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L:\mid\mdr\git\NEMS\input\tdm\"/>
    </mc:Choice>
  </mc:AlternateContent>
  <xr:revisionPtr revIDLastSave="0" documentId="13_ncr:1_{DAE73E28-6D3C-410A-9DE0-EDB82FE7E8BE}" xr6:coauthVersionLast="47" xr6:coauthVersionMax="47" xr10:uidLastSave="{00000000-0000-0000-0000-000000000000}"/>
  <bookViews>
    <workbookView xWindow="57480" yWindow="9150" windowWidth="25440" windowHeight="15270" tabRatio="599" xr2:uid="{00000000-000D-0000-FFFF-FFFF00000000}"/>
  </bookViews>
  <sheets>
    <sheet name="trnair" sheetId="1" r:id="rId1"/>
  </sheets>
  <definedNames>
    <definedName name="AIR_MGMT_ADJ">trnair!$C$1457:$BF$1488</definedName>
    <definedName name="ALPHAYD">trnair!$C$1438</definedName>
    <definedName name="ALPHAYI">trnair!$F$1438</definedName>
    <definedName name="ASMAC">trnair!$B$376:$BE$423</definedName>
    <definedName name="beta1_ftm">trnair!$D$355:$E$370</definedName>
    <definedName name="beta1_rpm">trnair!$D$152:$E$167</definedName>
    <definedName name="BETAFUELD">trnair!$C$1440</definedName>
    <definedName name="BETAFUELI">trnair!$F$1440</definedName>
    <definedName name="BETATIMED">trnair!$C$1441</definedName>
    <definedName name="BETATIMEI">trnair!$F$1441</definedName>
    <definedName name="COVIDMULT_HIMAC">trnair!$AA$1494:$AL$1525</definedName>
    <definedName name="COVIDMULT_LOMAC">trnair!$O$1494:$Z$1525</definedName>
    <definedName name="COVIDMULT_REF">trnair!$C$1494:$N$1525</definedName>
    <definedName name="FTM_HIST">trnair!$C$216:$AD$247</definedName>
    <definedName name="FTMAC">trnair!$B$427:$BE$474</definedName>
    <definedName name="FUEL_BURN_RED">trnair!$C$1270</definedName>
    <definedName name="GPTMD_FRT">trnair!$D$1223:$BG$1261</definedName>
    <definedName name="GPTMD_PASS">trnair!$D$1125:$BG$1172</definedName>
    <definedName name="GPTMD_PASS_VINT">trnair!$D$1277:$AY$1324</definedName>
    <definedName name="GPTMI_FRT">trnair!$D$1181:$BG$1219</definedName>
    <definedName name="GPTMI_PASS">trnair!$D$1074:$BG$1121</definedName>
    <definedName name="GPTMI_PASS_VINT">trnair!$D$1331:$AY$1378</definedName>
    <definedName name="intercept_ftm">trnair!$B$355:$C$370</definedName>
    <definedName name="intercept_rpm">trnair!$B$152:$C$167</definedName>
    <definedName name="LOAD_FACTOR">trnair!$C$178:$BF$209</definedName>
    <definedName name="MAX_UNPRK_SHR">trnair!$B$1004</definedName>
    <definedName name="MAXAGE_UNPRK_P">trnair!$B$1003</definedName>
    <definedName name="MIN_PRK_SHR">trnair!$B$1008:$D$1023</definedName>
    <definedName name="MINAGE_C_PACT">trnair!$B$1001</definedName>
    <definedName name="MINAGE_C_PPRK">trnair!$B$1000</definedName>
    <definedName name="MINAGE_PRK_F">trnair!$B$999</definedName>
    <definedName name="MINAGE_PRK_P">trnair!$B$1002</definedName>
    <definedName name="PASS_WEIGHT">trnair!$B$1046</definedName>
    <definedName name="PCT_BELLY_DOM">trnair!$D$1052:$BG$1054</definedName>
    <definedName name="PCT_BELLY_FRT">trnair!$D$1064:$BG$1069</definedName>
    <definedName name="PCT_BELLY_INT">trnair!$D$1055:$BG$1057</definedName>
    <definedName name="PCT_BELLY_PLOAD">trnair!$D$1052:$BG$1057</definedName>
    <definedName name="PCT_PASS_MTOW">trnair!$D$1041:$BG$1043</definedName>
    <definedName name="QAGTR_US">trnair!$B$1451:$BE$1451</definedName>
    <definedName name="RHOYD">trnair!$C$1439</definedName>
    <definedName name="RHOYI">trnair!$F$1439</definedName>
    <definedName name="RPMT_HIST">trnair!$B$11:$AC$42</definedName>
    <definedName name="SC_TOT_H">trnair!$B$744:$BE$791</definedName>
    <definedName name="SHR_FTM_BODY">trnair!$D$253:$BG$348</definedName>
    <definedName name="SHR_FTMD">trnair!$D$253:$BG$300</definedName>
    <definedName name="SHR_FTMI">trnair!$D$301:$BG$348</definedName>
    <definedName name="SHR_RPM_BODY">trnair!$D$49:$BG$144</definedName>
    <definedName name="SHR_RPMD">trnair!$D$49:$BG$96</definedName>
    <definedName name="SHR_RPMI">trnair!$D$97:$BG$144</definedName>
    <definedName name="STK_ALIGN_MULT">trnair!$D$1385:$J$1432</definedName>
    <definedName name="STK_SUP_NEW">trnair!$B$479:$BE$526</definedName>
    <definedName name="STKCA">trnair!$B$638:$BE$685</definedName>
    <definedName name="STKCAVINT">trnair!$B$847:$AW$894</definedName>
    <definedName name="STKCP">trnair!$B$691:$BE$738</definedName>
    <definedName name="STKCPVINT">trnair!$B$949:$AW$996</definedName>
    <definedName name="STKPA">trnair!$B$532:$BE$579</definedName>
    <definedName name="STKPAVINT">trnair!$B$796:$AW$843</definedName>
    <definedName name="STKPP">trnair!$B$585:$BE$632</definedName>
    <definedName name="STKPPVINT">trnair!$B$898:$AW$945</definedName>
    <definedName name="SURVAC">trnair!$C$1028:$AX$1033</definedName>
    <definedName name="WLD_GDP">trnair!$B$1552:$BE$1567</definedName>
    <definedName name="WLD_POP">trnair!$B$1531:$BE$1546</definedName>
    <definedName name="YIELD">trnair!$B$1445:$BE$1446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91" i="1" l="1"/>
  <c r="AE1091" i="1"/>
  <c r="AD474" i="1"/>
  <c r="AE474" i="1" s="1"/>
  <c r="AF474" i="1" s="1"/>
  <c r="AG474" i="1" s="1"/>
  <c r="AH474" i="1" s="1"/>
  <c r="AI474" i="1" s="1"/>
  <c r="AJ474" i="1" s="1"/>
  <c r="AK474" i="1" s="1"/>
  <c r="AL474" i="1" s="1"/>
  <c r="AM474" i="1" s="1"/>
  <c r="AN474" i="1" s="1"/>
  <c r="AO474" i="1" s="1"/>
  <c r="AP474" i="1" s="1"/>
  <c r="AQ474" i="1" s="1"/>
  <c r="AR474" i="1" s="1"/>
  <c r="AS474" i="1" s="1"/>
  <c r="AT474" i="1" s="1"/>
  <c r="AU474" i="1" s="1"/>
  <c r="AV474" i="1" s="1"/>
  <c r="AW474" i="1" s="1"/>
  <c r="AX474" i="1" s="1"/>
  <c r="AY474" i="1" s="1"/>
  <c r="AZ474" i="1" s="1"/>
  <c r="BA474" i="1" s="1"/>
  <c r="BB474" i="1" s="1"/>
  <c r="BC474" i="1" s="1"/>
  <c r="BD474" i="1" s="1"/>
  <c r="BE474" i="1" s="1"/>
  <c r="AD473" i="1"/>
  <c r="AE473" i="1" s="1"/>
  <c r="AF473" i="1" s="1"/>
  <c r="AG473" i="1" s="1"/>
  <c r="AH473" i="1" s="1"/>
  <c r="AI473" i="1" s="1"/>
  <c r="AJ473" i="1" s="1"/>
  <c r="AK473" i="1" s="1"/>
  <c r="AL473" i="1" s="1"/>
  <c r="AM473" i="1" s="1"/>
  <c r="AN473" i="1" s="1"/>
  <c r="AO473" i="1" s="1"/>
  <c r="AP473" i="1" s="1"/>
  <c r="AQ473" i="1" s="1"/>
  <c r="AR473" i="1" s="1"/>
  <c r="AS473" i="1" s="1"/>
  <c r="AT473" i="1" s="1"/>
  <c r="AU473" i="1" s="1"/>
  <c r="AV473" i="1" s="1"/>
  <c r="AW473" i="1" s="1"/>
  <c r="AX473" i="1" s="1"/>
  <c r="AY473" i="1" s="1"/>
  <c r="AZ473" i="1" s="1"/>
  <c r="BA473" i="1" s="1"/>
  <c r="BB473" i="1" s="1"/>
  <c r="BC473" i="1" s="1"/>
  <c r="BD473" i="1" s="1"/>
  <c r="BE473" i="1" s="1"/>
  <c r="AD472" i="1"/>
  <c r="AE472" i="1" s="1"/>
  <c r="AF472" i="1" s="1"/>
  <c r="AG472" i="1" s="1"/>
  <c r="AH472" i="1" s="1"/>
  <c r="AI472" i="1" s="1"/>
  <c r="AJ472" i="1" s="1"/>
  <c r="AK472" i="1" s="1"/>
  <c r="AL472" i="1" s="1"/>
  <c r="AM472" i="1" s="1"/>
  <c r="AN472" i="1" s="1"/>
  <c r="AO472" i="1" s="1"/>
  <c r="AP472" i="1" s="1"/>
  <c r="AQ472" i="1" s="1"/>
  <c r="AR472" i="1" s="1"/>
  <c r="AS472" i="1" s="1"/>
  <c r="AT472" i="1" s="1"/>
  <c r="AU472" i="1" s="1"/>
  <c r="AV472" i="1" s="1"/>
  <c r="AW472" i="1" s="1"/>
  <c r="AX472" i="1" s="1"/>
  <c r="AY472" i="1" s="1"/>
  <c r="AZ472" i="1" s="1"/>
  <c r="BA472" i="1" s="1"/>
  <c r="BB472" i="1" s="1"/>
  <c r="BC472" i="1" s="1"/>
  <c r="BD472" i="1" s="1"/>
  <c r="BE472" i="1" s="1"/>
  <c r="AD471" i="1"/>
  <c r="AE471" i="1" s="1"/>
  <c r="AF471" i="1" s="1"/>
  <c r="AG471" i="1" s="1"/>
  <c r="AH471" i="1" s="1"/>
  <c r="AI471" i="1" s="1"/>
  <c r="AJ471" i="1" s="1"/>
  <c r="AK471" i="1" s="1"/>
  <c r="AL471" i="1" s="1"/>
  <c r="AM471" i="1" s="1"/>
  <c r="AN471" i="1" s="1"/>
  <c r="AO471" i="1" s="1"/>
  <c r="AP471" i="1" s="1"/>
  <c r="AQ471" i="1" s="1"/>
  <c r="AR471" i="1" s="1"/>
  <c r="AS471" i="1" s="1"/>
  <c r="AT471" i="1" s="1"/>
  <c r="AU471" i="1" s="1"/>
  <c r="AV471" i="1" s="1"/>
  <c r="AW471" i="1" s="1"/>
  <c r="AX471" i="1" s="1"/>
  <c r="AY471" i="1" s="1"/>
  <c r="AZ471" i="1" s="1"/>
  <c r="BA471" i="1" s="1"/>
  <c r="BB471" i="1" s="1"/>
  <c r="BC471" i="1" s="1"/>
  <c r="BD471" i="1" s="1"/>
  <c r="BE471" i="1" s="1"/>
  <c r="AD470" i="1"/>
  <c r="AE470" i="1" s="1"/>
  <c r="AF470" i="1" s="1"/>
  <c r="AG470" i="1" s="1"/>
  <c r="AH470" i="1" s="1"/>
  <c r="AI470" i="1" s="1"/>
  <c r="AJ470" i="1" s="1"/>
  <c r="AK470" i="1" s="1"/>
  <c r="AL470" i="1" s="1"/>
  <c r="AM470" i="1" s="1"/>
  <c r="AN470" i="1" s="1"/>
  <c r="AO470" i="1" s="1"/>
  <c r="AP470" i="1" s="1"/>
  <c r="AQ470" i="1" s="1"/>
  <c r="AR470" i="1" s="1"/>
  <c r="AS470" i="1" s="1"/>
  <c r="AT470" i="1" s="1"/>
  <c r="AU470" i="1" s="1"/>
  <c r="AV470" i="1" s="1"/>
  <c r="AW470" i="1" s="1"/>
  <c r="AX470" i="1" s="1"/>
  <c r="AY470" i="1" s="1"/>
  <c r="AZ470" i="1" s="1"/>
  <c r="BA470" i="1" s="1"/>
  <c r="BB470" i="1" s="1"/>
  <c r="BC470" i="1" s="1"/>
  <c r="BD470" i="1" s="1"/>
  <c r="BE470" i="1" s="1"/>
  <c r="AD469" i="1"/>
  <c r="AE469" i="1" s="1"/>
  <c r="AF469" i="1" s="1"/>
  <c r="AG469" i="1" s="1"/>
  <c r="AH469" i="1" s="1"/>
  <c r="AI469" i="1" s="1"/>
  <c r="AJ469" i="1" s="1"/>
  <c r="AK469" i="1" s="1"/>
  <c r="AL469" i="1" s="1"/>
  <c r="AM469" i="1" s="1"/>
  <c r="AN469" i="1" s="1"/>
  <c r="AO469" i="1" s="1"/>
  <c r="AP469" i="1" s="1"/>
  <c r="AQ469" i="1" s="1"/>
  <c r="AR469" i="1" s="1"/>
  <c r="AS469" i="1" s="1"/>
  <c r="AT469" i="1" s="1"/>
  <c r="AU469" i="1" s="1"/>
  <c r="AV469" i="1" s="1"/>
  <c r="AW469" i="1" s="1"/>
  <c r="AX469" i="1" s="1"/>
  <c r="AY469" i="1" s="1"/>
  <c r="AZ469" i="1" s="1"/>
  <c r="BA469" i="1" s="1"/>
  <c r="BB469" i="1" s="1"/>
  <c r="BC469" i="1" s="1"/>
  <c r="BD469" i="1" s="1"/>
  <c r="BE469" i="1" s="1"/>
  <c r="AD468" i="1"/>
  <c r="AE468" i="1" s="1"/>
  <c r="AF468" i="1" s="1"/>
  <c r="AG468" i="1" s="1"/>
  <c r="AH468" i="1" s="1"/>
  <c r="AI468" i="1" s="1"/>
  <c r="AJ468" i="1" s="1"/>
  <c r="AK468" i="1" s="1"/>
  <c r="AL468" i="1" s="1"/>
  <c r="AM468" i="1" s="1"/>
  <c r="AN468" i="1" s="1"/>
  <c r="AO468" i="1" s="1"/>
  <c r="AP468" i="1" s="1"/>
  <c r="AQ468" i="1" s="1"/>
  <c r="AR468" i="1" s="1"/>
  <c r="AS468" i="1" s="1"/>
  <c r="AT468" i="1" s="1"/>
  <c r="AU468" i="1" s="1"/>
  <c r="AV468" i="1" s="1"/>
  <c r="AW468" i="1" s="1"/>
  <c r="AX468" i="1" s="1"/>
  <c r="AY468" i="1" s="1"/>
  <c r="AZ468" i="1" s="1"/>
  <c r="BA468" i="1" s="1"/>
  <c r="BB468" i="1" s="1"/>
  <c r="BC468" i="1" s="1"/>
  <c r="BD468" i="1" s="1"/>
  <c r="BE468" i="1" s="1"/>
  <c r="AD467" i="1"/>
  <c r="AE467" i="1" s="1"/>
  <c r="AF467" i="1" s="1"/>
  <c r="AG467" i="1" s="1"/>
  <c r="AH467" i="1" s="1"/>
  <c r="AI467" i="1" s="1"/>
  <c r="AJ467" i="1" s="1"/>
  <c r="AK467" i="1" s="1"/>
  <c r="AL467" i="1" s="1"/>
  <c r="AM467" i="1" s="1"/>
  <c r="AN467" i="1" s="1"/>
  <c r="AO467" i="1" s="1"/>
  <c r="AP467" i="1" s="1"/>
  <c r="AQ467" i="1" s="1"/>
  <c r="AR467" i="1" s="1"/>
  <c r="AS467" i="1" s="1"/>
  <c r="AT467" i="1" s="1"/>
  <c r="AU467" i="1" s="1"/>
  <c r="AV467" i="1" s="1"/>
  <c r="AW467" i="1" s="1"/>
  <c r="AX467" i="1" s="1"/>
  <c r="AY467" i="1" s="1"/>
  <c r="AZ467" i="1" s="1"/>
  <c r="BA467" i="1" s="1"/>
  <c r="BB467" i="1" s="1"/>
  <c r="BC467" i="1" s="1"/>
  <c r="BD467" i="1" s="1"/>
  <c r="BE467" i="1" s="1"/>
  <c r="AD466" i="1"/>
  <c r="AE466" i="1" s="1"/>
  <c r="AF466" i="1" s="1"/>
  <c r="AG466" i="1" s="1"/>
  <c r="AH466" i="1" s="1"/>
  <c r="AI466" i="1" s="1"/>
  <c r="AJ466" i="1" s="1"/>
  <c r="AK466" i="1" s="1"/>
  <c r="AL466" i="1" s="1"/>
  <c r="AM466" i="1" s="1"/>
  <c r="AN466" i="1" s="1"/>
  <c r="AO466" i="1" s="1"/>
  <c r="AP466" i="1" s="1"/>
  <c r="AQ466" i="1" s="1"/>
  <c r="AR466" i="1" s="1"/>
  <c r="AS466" i="1" s="1"/>
  <c r="AT466" i="1" s="1"/>
  <c r="AU466" i="1" s="1"/>
  <c r="AV466" i="1" s="1"/>
  <c r="AW466" i="1" s="1"/>
  <c r="AX466" i="1" s="1"/>
  <c r="AY466" i="1" s="1"/>
  <c r="AZ466" i="1" s="1"/>
  <c r="BA466" i="1" s="1"/>
  <c r="BB466" i="1" s="1"/>
  <c r="BC466" i="1" s="1"/>
  <c r="BD466" i="1" s="1"/>
  <c r="BE466" i="1" s="1"/>
  <c r="AD465" i="1"/>
  <c r="AE465" i="1" s="1"/>
  <c r="AF465" i="1" s="1"/>
  <c r="AG465" i="1" s="1"/>
  <c r="AH465" i="1" s="1"/>
  <c r="AI465" i="1" s="1"/>
  <c r="AJ465" i="1" s="1"/>
  <c r="AK465" i="1" s="1"/>
  <c r="AL465" i="1" s="1"/>
  <c r="AM465" i="1" s="1"/>
  <c r="AN465" i="1" s="1"/>
  <c r="AO465" i="1" s="1"/>
  <c r="AP465" i="1" s="1"/>
  <c r="AQ465" i="1" s="1"/>
  <c r="AR465" i="1" s="1"/>
  <c r="AS465" i="1" s="1"/>
  <c r="AT465" i="1" s="1"/>
  <c r="AU465" i="1" s="1"/>
  <c r="AV465" i="1" s="1"/>
  <c r="AW465" i="1" s="1"/>
  <c r="AX465" i="1" s="1"/>
  <c r="AY465" i="1" s="1"/>
  <c r="AZ465" i="1" s="1"/>
  <c r="BA465" i="1" s="1"/>
  <c r="BB465" i="1" s="1"/>
  <c r="BC465" i="1" s="1"/>
  <c r="BD465" i="1" s="1"/>
  <c r="BE465" i="1" s="1"/>
  <c r="AD464" i="1"/>
  <c r="AE464" i="1" s="1"/>
  <c r="AF464" i="1" s="1"/>
  <c r="AG464" i="1" s="1"/>
  <c r="AH464" i="1" s="1"/>
  <c r="AI464" i="1" s="1"/>
  <c r="AJ464" i="1" s="1"/>
  <c r="AK464" i="1" s="1"/>
  <c r="AL464" i="1" s="1"/>
  <c r="AM464" i="1" s="1"/>
  <c r="AN464" i="1" s="1"/>
  <c r="AO464" i="1" s="1"/>
  <c r="AP464" i="1" s="1"/>
  <c r="AQ464" i="1" s="1"/>
  <c r="AR464" i="1" s="1"/>
  <c r="AS464" i="1" s="1"/>
  <c r="AT464" i="1" s="1"/>
  <c r="AU464" i="1" s="1"/>
  <c r="AV464" i="1" s="1"/>
  <c r="AW464" i="1" s="1"/>
  <c r="AX464" i="1" s="1"/>
  <c r="AY464" i="1" s="1"/>
  <c r="AZ464" i="1" s="1"/>
  <c r="BA464" i="1" s="1"/>
  <c r="BB464" i="1" s="1"/>
  <c r="BC464" i="1" s="1"/>
  <c r="BD464" i="1" s="1"/>
  <c r="BE464" i="1" s="1"/>
  <c r="AD463" i="1"/>
  <c r="AE463" i="1" s="1"/>
  <c r="AF463" i="1" s="1"/>
  <c r="AG463" i="1" s="1"/>
  <c r="AH463" i="1" s="1"/>
  <c r="AI463" i="1" s="1"/>
  <c r="AJ463" i="1" s="1"/>
  <c r="AK463" i="1" s="1"/>
  <c r="AL463" i="1" s="1"/>
  <c r="AM463" i="1" s="1"/>
  <c r="AN463" i="1" s="1"/>
  <c r="AO463" i="1" s="1"/>
  <c r="AP463" i="1" s="1"/>
  <c r="AQ463" i="1" s="1"/>
  <c r="AR463" i="1" s="1"/>
  <c r="AS463" i="1" s="1"/>
  <c r="AT463" i="1" s="1"/>
  <c r="AU463" i="1" s="1"/>
  <c r="AV463" i="1" s="1"/>
  <c r="AW463" i="1" s="1"/>
  <c r="AX463" i="1" s="1"/>
  <c r="AY463" i="1" s="1"/>
  <c r="AZ463" i="1" s="1"/>
  <c r="BA463" i="1" s="1"/>
  <c r="BB463" i="1" s="1"/>
  <c r="BC463" i="1" s="1"/>
  <c r="BD463" i="1" s="1"/>
  <c r="BE463" i="1" s="1"/>
  <c r="AD462" i="1"/>
  <c r="AE462" i="1" s="1"/>
  <c r="AF462" i="1" s="1"/>
  <c r="AG462" i="1" s="1"/>
  <c r="AH462" i="1" s="1"/>
  <c r="AI462" i="1" s="1"/>
  <c r="AJ462" i="1" s="1"/>
  <c r="AK462" i="1" s="1"/>
  <c r="AL462" i="1" s="1"/>
  <c r="AM462" i="1" s="1"/>
  <c r="AN462" i="1" s="1"/>
  <c r="AO462" i="1" s="1"/>
  <c r="AP462" i="1" s="1"/>
  <c r="AQ462" i="1" s="1"/>
  <c r="AR462" i="1" s="1"/>
  <c r="AS462" i="1" s="1"/>
  <c r="AT462" i="1" s="1"/>
  <c r="AU462" i="1" s="1"/>
  <c r="AV462" i="1" s="1"/>
  <c r="AW462" i="1" s="1"/>
  <c r="AX462" i="1" s="1"/>
  <c r="AY462" i="1" s="1"/>
  <c r="AZ462" i="1" s="1"/>
  <c r="BA462" i="1" s="1"/>
  <c r="BB462" i="1" s="1"/>
  <c r="BC462" i="1" s="1"/>
  <c r="BD462" i="1" s="1"/>
  <c r="BE462" i="1" s="1"/>
  <c r="AD461" i="1"/>
  <c r="AE461" i="1" s="1"/>
  <c r="AF461" i="1" s="1"/>
  <c r="AG461" i="1" s="1"/>
  <c r="AH461" i="1" s="1"/>
  <c r="AI461" i="1" s="1"/>
  <c r="AJ461" i="1" s="1"/>
  <c r="AK461" i="1" s="1"/>
  <c r="AL461" i="1" s="1"/>
  <c r="AM461" i="1" s="1"/>
  <c r="AN461" i="1" s="1"/>
  <c r="AO461" i="1" s="1"/>
  <c r="AP461" i="1" s="1"/>
  <c r="AQ461" i="1" s="1"/>
  <c r="AR461" i="1" s="1"/>
  <c r="AS461" i="1" s="1"/>
  <c r="AT461" i="1" s="1"/>
  <c r="AU461" i="1" s="1"/>
  <c r="AV461" i="1" s="1"/>
  <c r="AW461" i="1" s="1"/>
  <c r="AX461" i="1" s="1"/>
  <c r="AY461" i="1" s="1"/>
  <c r="AZ461" i="1" s="1"/>
  <c r="BA461" i="1" s="1"/>
  <c r="BB461" i="1" s="1"/>
  <c r="BC461" i="1" s="1"/>
  <c r="BD461" i="1" s="1"/>
  <c r="BE461" i="1" s="1"/>
  <c r="AD460" i="1"/>
  <c r="AE460" i="1" s="1"/>
  <c r="AF460" i="1" s="1"/>
  <c r="AG460" i="1" s="1"/>
  <c r="AH460" i="1" s="1"/>
  <c r="AI460" i="1" s="1"/>
  <c r="AJ460" i="1" s="1"/>
  <c r="AK460" i="1" s="1"/>
  <c r="AL460" i="1" s="1"/>
  <c r="AM460" i="1" s="1"/>
  <c r="AN460" i="1" s="1"/>
  <c r="AO460" i="1" s="1"/>
  <c r="AP460" i="1" s="1"/>
  <c r="AQ460" i="1" s="1"/>
  <c r="AR460" i="1" s="1"/>
  <c r="AS460" i="1" s="1"/>
  <c r="AT460" i="1" s="1"/>
  <c r="AU460" i="1" s="1"/>
  <c r="AV460" i="1" s="1"/>
  <c r="AW460" i="1" s="1"/>
  <c r="AX460" i="1" s="1"/>
  <c r="AY460" i="1" s="1"/>
  <c r="AZ460" i="1" s="1"/>
  <c r="BA460" i="1" s="1"/>
  <c r="BB460" i="1" s="1"/>
  <c r="BC460" i="1" s="1"/>
  <c r="BD460" i="1" s="1"/>
  <c r="BE460" i="1" s="1"/>
  <c r="AD459" i="1"/>
  <c r="AE459" i="1" s="1"/>
  <c r="AF459" i="1" s="1"/>
  <c r="AG459" i="1" s="1"/>
  <c r="AH459" i="1" s="1"/>
  <c r="AI459" i="1" s="1"/>
  <c r="AJ459" i="1" s="1"/>
  <c r="AK459" i="1" s="1"/>
  <c r="AL459" i="1" s="1"/>
  <c r="AM459" i="1" s="1"/>
  <c r="AN459" i="1" s="1"/>
  <c r="AO459" i="1" s="1"/>
  <c r="AP459" i="1" s="1"/>
  <c r="AQ459" i="1" s="1"/>
  <c r="AR459" i="1" s="1"/>
  <c r="AS459" i="1" s="1"/>
  <c r="AT459" i="1" s="1"/>
  <c r="AU459" i="1" s="1"/>
  <c r="AV459" i="1" s="1"/>
  <c r="AW459" i="1" s="1"/>
  <c r="AX459" i="1" s="1"/>
  <c r="AY459" i="1" s="1"/>
  <c r="AZ459" i="1" s="1"/>
  <c r="BA459" i="1" s="1"/>
  <c r="BB459" i="1" s="1"/>
  <c r="BC459" i="1" s="1"/>
  <c r="BD459" i="1" s="1"/>
  <c r="BE459" i="1" s="1"/>
  <c r="AD458" i="1"/>
  <c r="AE458" i="1" s="1"/>
  <c r="AF458" i="1" s="1"/>
  <c r="AG458" i="1" s="1"/>
  <c r="AH458" i="1" s="1"/>
  <c r="AI458" i="1" s="1"/>
  <c r="AJ458" i="1" s="1"/>
  <c r="AK458" i="1" s="1"/>
  <c r="AL458" i="1" s="1"/>
  <c r="AM458" i="1" s="1"/>
  <c r="AN458" i="1" s="1"/>
  <c r="AO458" i="1" s="1"/>
  <c r="AP458" i="1" s="1"/>
  <c r="AQ458" i="1" s="1"/>
  <c r="AR458" i="1" s="1"/>
  <c r="AS458" i="1" s="1"/>
  <c r="AT458" i="1" s="1"/>
  <c r="AU458" i="1" s="1"/>
  <c r="AV458" i="1" s="1"/>
  <c r="AW458" i="1" s="1"/>
  <c r="AX458" i="1" s="1"/>
  <c r="AY458" i="1" s="1"/>
  <c r="AZ458" i="1" s="1"/>
  <c r="BA458" i="1" s="1"/>
  <c r="BB458" i="1" s="1"/>
  <c r="BC458" i="1" s="1"/>
  <c r="BD458" i="1" s="1"/>
  <c r="BE458" i="1" s="1"/>
  <c r="AD457" i="1"/>
  <c r="AE457" i="1" s="1"/>
  <c r="AF457" i="1" s="1"/>
  <c r="AG457" i="1" s="1"/>
  <c r="AH457" i="1" s="1"/>
  <c r="AI457" i="1" s="1"/>
  <c r="AJ457" i="1" s="1"/>
  <c r="AK457" i="1" s="1"/>
  <c r="AL457" i="1" s="1"/>
  <c r="AM457" i="1" s="1"/>
  <c r="AN457" i="1" s="1"/>
  <c r="AO457" i="1" s="1"/>
  <c r="AP457" i="1" s="1"/>
  <c r="AQ457" i="1" s="1"/>
  <c r="AR457" i="1" s="1"/>
  <c r="AS457" i="1" s="1"/>
  <c r="AT457" i="1" s="1"/>
  <c r="AU457" i="1" s="1"/>
  <c r="AV457" i="1" s="1"/>
  <c r="AW457" i="1" s="1"/>
  <c r="AX457" i="1" s="1"/>
  <c r="AY457" i="1" s="1"/>
  <c r="AZ457" i="1" s="1"/>
  <c r="BA457" i="1" s="1"/>
  <c r="BB457" i="1" s="1"/>
  <c r="BC457" i="1" s="1"/>
  <c r="BD457" i="1" s="1"/>
  <c r="BE457" i="1" s="1"/>
  <c r="AD456" i="1"/>
  <c r="AE456" i="1" s="1"/>
  <c r="AF456" i="1" s="1"/>
  <c r="AG456" i="1" s="1"/>
  <c r="AH456" i="1" s="1"/>
  <c r="AI456" i="1" s="1"/>
  <c r="AJ456" i="1" s="1"/>
  <c r="AK456" i="1" s="1"/>
  <c r="AL456" i="1" s="1"/>
  <c r="AM456" i="1" s="1"/>
  <c r="AN456" i="1" s="1"/>
  <c r="AO456" i="1" s="1"/>
  <c r="AP456" i="1" s="1"/>
  <c r="AQ456" i="1" s="1"/>
  <c r="AR456" i="1" s="1"/>
  <c r="AS456" i="1" s="1"/>
  <c r="AT456" i="1" s="1"/>
  <c r="AU456" i="1" s="1"/>
  <c r="AV456" i="1" s="1"/>
  <c r="AW456" i="1" s="1"/>
  <c r="AX456" i="1" s="1"/>
  <c r="AY456" i="1" s="1"/>
  <c r="AZ456" i="1" s="1"/>
  <c r="BA456" i="1" s="1"/>
  <c r="BB456" i="1" s="1"/>
  <c r="BC456" i="1" s="1"/>
  <c r="BD456" i="1" s="1"/>
  <c r="BE456" i="1" s="1"/>
  <c r="AD455" i="1"/>
  <c r="AE455" i="1" s="1"/>
  <c r="AF455" i="1" s="1"/>
  <c r="AG455" i="1" s="1"/>
  <c r="AH455" i="1" s="1"/>
  <c r="AI455" i="1" s="1"/>
  <c r="AJ455" i="1" s="1"/>
  <c r="AK455" i="1" s="1"/>
  <c r="AL455" i="1" s="1"/>
  <c r="AM455" i="1" s="1"/>
  <c r="AN455" i="1" s="1"/>
  <c r="AO455" i="1" s="1"/>
  <c r="AP455" i="1" s="1"/>
  <c r="AQ455" i="1" s="1"/>
  <c r="AR455" i="1" s="1"/>
  <c r="AS455" i="1" s="1"/>
  <c r="AT455" i="1" s="1"/>
  <c r="AU455" i="1" s="1"/>
  <c r="AV455" i="1" s="1"/>
  <c r="AW455" i="1" s="1"/>
  <c r="AX455" i="1" s="1"/>
  <c r="AY455" i="1" s="1"/>
  <c r="AZ455" i="1" s="1"/>
  <c r="BA455" i="1" s="1"/>
  <c r="BB455" i="1" s="1"/>
  <c r="BC455" i="1" s="1"/>
  <c r="BD455" i="1" s="1"/>
  <c r="BE455" i="1" s="1"/>
  <c r="AD454" i="1"/>
  <c r="AE454" i="1" s="1"/>
  <c r="AF454" i="1" s="1"/>
  <c r="AG454" i="1" s="1"/>
  <c r="AH454" i="1" s="1"/>
  <c r="AI454" i="1" s="1"/>
  <c r="AJ454" i="1" s="1"/>
  <c r="AK454" i="1" s="1"/>
  <c r="AL454" i="1" s="1"/>
  <c r="AM454" i="1" s="1"/>
  <c r="AN454" i="1" s="1"/>
  <c r="AO454" i="1" s="1"/>
  <c r="AP454" i="1" s="1"/>
  <c r="AQ454" i="1" s="1"/>
  <c r="AR454" i="1" s="1"/>
  <c r="AS454" i="1" s="1"/>
  <c r="AT454" i="1" s="1"/>
  <c r="AU454" i="1" s="1"/>
  <c r="AV454" i="1" s="1"/>
  <c r="AW454" i="1" s="1"/>
  <c r="AX454" i="1" s="1"/>
  <c r="AY454" i="1" s="1"/>
  <c r="AZ454" i="1" s="1"/>
  <c r="BA454" i="1" s="1"/>
  <c r="BB454" i="1" s="1"/>
  <c r="BC454" i="1" s="1"/>
  <c r="BD454" i="1" s="1"/>
  <c r="BE454" i="1" s="1"/>
  <c r="AD453" i="1"/>
  <c r="AE453" i="1" s="1"/>
  <c r="AF453" i="1" s="1"/>
  <c r="AG453" i="1" s="1"/>
  <c r="AH453" i="1" s="1"/>
  <c r="AI453" i="1" s="1"/>
  <c r="AJ453" i="1" s="1"/>
  <c r="AK453" i="1" s="1"/>
  <c r="AL453" i="1" s="1"/>
  <c r="AM453" i="1" s="1"/>
  <c r="AN453" i="1" s="1"/>
  <c r="AO453" i="1" s="1"/>
  <c r="AP453" i="1" s="1"/>
  <c r="AQ453" i="1" s="1"/>
  <c r="AR453" i="1" s="1"/>
  <c r="AS453" i="1" s="1"/>
  <c r="AT453" i="1" s="1"/>
  <c r="AU453" i="1" s="1"/>
  <c r="AV453" i="1" s="1"/>
  <c r="AW453" i="1" s="1"/>
  <c r="AX453" i="1" s="1"/>
  <c r="AY453" i="1" s="1"/>
  <c r="AZ453" i="1" s="1"/>
  <c r="BA453" i="1" s="1"/>
  <c r="BB453" i="1" s="1"/>
  <c r="BC453" i="1" s="1"/>
  <c r="BD453" i="1" s="1"/>
  <c r="BE453" i="1" s="1"/>
  <c r="AD452" i="1"/>
  <c r="AE452" i="1" s="1"/>
  <c r="AF452" i="1" s="1"/>
  <c r="AG452" i="1" s="1"/>
  <c r="AH452" i="1" s="1"/>
  <c r="AI452" i="1" s="1"/>
  <c r="AJ452" i="1" s="1"/>
  <c r="AK452" i="1" s="1"/>
  <c r="AL452" i="1" s="1"/>
  <c r="AM452" i="1" s="1"/>
  <c r="AN452" i="1" s="1"/>
  <c r="AO452" i="1" s="1"/>
  <c r="AP452" i="1" s="1"/>
  <c r="AQ452" i="1" s="1"/>
  <c r="AR452" i="1" s="1"/>
  <c r="AS452" i="1" s="1"/>
  <c r="AT452" i="1" s="1"/>
  <c r="AU452" i="1" s="1"/>
  <c r="AV452" i="1" s="1"/>
  <c r="AW452" i="1" s="1"/>
  <c r="AX452" i="1" s="1"/>
  <c r="AY452" i="1" s="1"/>
  <c r="AZ452" i="1" s="1"/>
  <c r="BA452" i="1" s="1"/>
  <c r="BB452" i="1" s="1"/>
  <c r="BC452" i="1" s="1"/>
  <c r="BD452" i="1" s="1"/>
  <c r="BE452" i="1" s="1"/>
  <c r="AD451" i="1"/>
  <c r="AE451" i="1" s="1"/>
  <c r="AF451" i="1" s="1"/>
  <c r="AG451" i="1" s="1"/>
  <c r="AH451" i="1" s="1"/>
  <c r="AI451" i="1" s="1"/>
  <c r="AJ451" i="1" s="1"/>
  <c r="AK451" i="1" s="1"/>
  <c r="AL451" i="1" s="1"/>
  <c r="AM451" i="1" s="1"/>
  <c r="AN451" i="1" s="1"/>
  <c r="AO451" i="1" s="1"/>
  <c r="AP451" i="1" s="1"/>
  <c r="AQ451" i="1" s="1"/>
  <c r="AR451" i="1" s="1"/>
  <c r="AS451" i="1" s="1"/>
  <c r="AT451" i="1" s="1"/>
  <c r="AU451" i="1" s="1"/>
  <c r="AV451" i="1" s="1"/>
  <c r="AW451" i="1" s="1"/>
  <c r="AX451" i="1" s="1"/>
  <c r="AY451" i="1" s="1"/>
  <c r="AZ451" i="1" s="1"/>
  <c r="BA451" i="1" s="1"/>
  <c r="BB451" i="1" s="1"/>
  <c r="BC451" i="1" s="1"/>
  <c r="BD451" i="1" s="1"/>
  <c r="BE451" i="1" s="1"/>
  <c r="AD450" i="1"/>
  <c r="AE450" i="1" s="1"/>
  <c r="AF450" i="1" s="1"/>
  <c r="AG450" i="1" s="1"/>
  <c r="AH450" i="1" s="1"/>
  <c r="AI450" i="1" s="1"/>
  <c r="AJ450" i="1" s="1"/>
  <c r="AK450" i="1" s="1"/>
  <c r="AL450" i="1" s="1"/>
  <c r="AM450" i="1" s="1"/>
  <c r="AN450" i="1" s="1"/>
  <c r="AO450" i="1" s="1"/>
  <c r="AP450" i="1" s="1"/>
  <c r="AQ450" i="1" s="1"/>
  <c r="AR450" i="1" s="1"/>
  <c r="AS450" i="1" s="1"/>
  <c r="AT450" i="1" s="1"/>
  <c r="AU450" i="1" s="1"/>
  <c r="AV450" i="1" s="1"/>
  <c r="AW450" i="1" s="1"/>
  <c r="AX450" i="1" s="1"/>
  <c r="AY450" i="1" s="1"/>
  <c r="AZ450" i="1" s="1"/>
  <c r="BA450" i="1" s="1"/>
  <c r="BB450" i="1" s="1"/>
  <c r="BC450" i="1" s="1"/>
  <c r="BD450" i="1" s="1"/>
  <c r="BE450" i="1" s="1"/>
  <c r="AD449" i="1"/>
  <c r="AE449" i="1" s="1"/>
  <c r="AF449" i="1" s="1"/>
  <c r="AG449" i="1" s="1"/>
  <c r="AH449" i="1" s="1"/>
  <c r="AI449" i="1" s="1"/>
  <c r="AJ449" i="1" s="1"/>
  <c r="AK449" i="1" s="1"/>
  <c r="AL449" i="1" s="1"/>
  <c r="AM449" i="1" s="1"/>
  <c r="AN449" i="1" s="1"/>
  <c r="AO449" i="1" s="1"/>
  <c r="AP449" i="1" s="1"/>
  <c r="AQ449" i="1" s="1"/>
  <c r="AR449" i="1" s="1"/>
  <c r="AS449" i="1" s="1"/>
  <c r="AT449" i="1" s="1"/>
  <c r="AU449" i="1" s="1"/>
  <c r="AV449" i="1" s="1"/>
  <c r="AW449" i="1" s="1"/>
  <c r="AX449" i="1" s="1"/>
  <c r="AY449" i="1" s="1"/>
  <c r="AZ449" i="1" s="1"/>
  <c r="BA449" i="1" s="1"/>
  <c r="BB449" i="1" s="1"/>
  <c r="BC449" i="1" s="1"/>
  <c r="BD449" i="1" s="1"/>
  <c r="BE449" i="1" s="1"/>
  <c r="AD448" i="1"/>
  <c r="AE448" i="1" s="1"/>
  <c r="AF448" i="1" s="1"/>
  <c r="AG448" i="1" s="1"/>
  <c r="AH448" i="1" s="1"/>
  <c r="AI448" i="1" s="1"/>
  <c r="AJ448" i="1" s="1"/>
  <c r="AK448" i="1" s="1"/>
  <c r="AL448" i="1" s="1"/>
  <c r="AM448" i="1" s="1"/>
  <c r="AN448" i="1" s="1"/>
  <c r="AO448" i="1" s="1"/>
  <c r="AP448" i="1" s="1"/>
  <c r="AQ448" i="1" s="1"/>
  <c r="AR448" i="1" s="1"/>
  <c r="AS448" i="1" s="1"/>
  <c r="AT448" i="1" s="1"/>
  <c r="AU448" i="1" s="1"/>
  <c r="AV448" i="1" s="1"/>
  <c r="AW448" i="1" s="1"/>
  <c r="AX448" i="1" s="1"/>
  <c r="AY448" i="1" s="1"/>
  <c r="AZ448" i="1" s="1"/>
  <c r="BA448" i="1" s="1"/>
  <c r="BB448" i="1" s="1"/>
  <c r="BC448" i="1" s="1"/>
  <c r="BD448" i="1" s="1"/>
  <c r="BE448" i="1" s="1"/>
  <c r="AD447" i="1"/>
  <c r="AE447" i="1" s="1"/>
  <c r="AF447" i="1" s="1"/>
  <c r="AG447" i="1" s="1"/>
  <c r="AH447" i="1" s="1"/>
  <c r="AI447" i="1" s="1"/>
  <c r="AJ447" i="1" s="1"/>
  <c r="AK447" i="1" s="1"/>
  <c r="AL447" i="1" s="1"/>
  <c r="AM447" i="1" s="1"/>
  <c r="AN447" i="1" s="1"/>
  <c r="AO447" i="1" s="1"/>
  <c r="AP447" i="1" s="1"/>
  <c r="AQ447" i="1" s="1"/>
  <c r="AR447" i="1" s="1"/>
  <c r="AS447" i="1" s="1"/>
  <c r="AT447" i="1" s="1"/>
  <c r="AU447" i="1" s="1"/>
  <c r="AV447" i="1" s="1"/>
  <c r="AW447" i="1" s="1"/>
  <c r="AX447" i="1" s="1"/>
  <c r="AY447" i="1" s="1"/>
  <c r="AZ447" i="1" s="1"/>
  <c r="BA447" i="1" s="1"/>
  <c r="BB447" i="1" s="1"/>
  <c r="BC447" i="1" s="1"/>
  <c r="BD447" i="1" s="1"/>
  <c r="BE447" i="1" s="1"/>
  <c r="AD446" i="1"/>
  <c r="AE446" i="1" s="1"/>
  <c r="AF446" i="1" s="1"/>
  <c r="AG446" i="1" s="1"/>
  <c r="AH446" i="1" s="1"/>
  <c r="AI446" i="1" s="1"/>
  <c r="AJ446" i="1" s="1"/>
  <c r="AK446" i="1" s="1"/>
  <c r="AL446" i="1" s="1"/>
  <c r="AM446" i="1" s="1"/>
  <c r="AN446" i="1" s="1"/>
  <c r="AO446" i="1" s="1"/>
  <c r="AP446" i="1" s="1"/>
  <c r="AQ446" i="1" s="1"/>
  <c r="AR446" i="1" s="1"/>
  <c r="AS446" i="1" s="1"/>
  <c r="AT446" i="1" s="1"/>
  <c r="AU446" i="1" s="1"/>
  <c r="AV446" i="1" s="1"/>
  <c r="AW446" i="1" s="1"/>
  <c r="AX446" i="1" s="1"/>
  <c r="AY446" i="1" s="1"/>
  <c r="AZ446" i="1" s="1"/>
  <c r="BA446" i="1" s="1"/>
  <c r="BB446" i="1" s="1"/>
  <c r="BC446" i="1" s="1"/>
  <c r="BD446" i="1" s="1"/>
  <c r="BE446" i="1" s="1"/>
  <c r="AD445" i="1"/>
  <c r="AE445" i="1" s="1"/>
  <c r="AF445" i="1" s="1"/>
  <c r="AG445" i="1" s="1"/>
  <c r="AH445" i="1" s="1"/>
  <c r="AI445" i="1" s="1"/>
  <c r="AJ445" i="1" s="1"/>
  <c r="AK445" i="1" s="1"/>
  <c r="AL445" i="1" s="1"/>
  <c r="AM445" i="1" s="1"/>
  <c r="AN445" i="1" s="1"/>
  <c r="AO445" i="1" s="1"/>
  <c r="AP445" i="1" s="1"/>
  <c r="AQ445" i="1" s="1"/>
  <c r="AR445" i="1" s="1"/>
  <c r="AS445" i="1" s="1"/>
  <c r="AT445" i="1" s="1"/>
  <c r="AU445" i="1" s="1"/>
  <c r="AV445" i="1" s="1"/>
  <c r="AW445" i="1" s="1"/>
  <c r="AX445" i="1" s="1"/>
  <c r="AY445" i="1" s="1"/>
  <c r="AZ445" i="1" s="1"/>
  <c r="BA445" i="1" s="1"/>
  <c r="BB445" i="1" s="1"/>
  <c r="BC445" i="1" s="1"/>
  <c r="BD445" i="1" s="1"/>
  <c r="BE445" i="1" s="1"/>
  <c r="AD444" i="1"/>
  <c r="AE444" i="1" s="1"/>
  <c r="AF444" i="1" s="1"/>
  <c r="AG444" i="1" s="1"/>
  <c r="AH444" i="1" s="1"/>
  <c r="AI444" i="1" s="1"/>
  <c r="AJ444" i="1" s="1"/>
  <c r="AK444" i="1" s="1"/>
  <c r="AL444" i="1" s="1"/>
  <c r="AM444" i="1" s="1"/>
  <c r="AN444" i="1" s="1"/>
  <c r="AO444" i="1" s="1"/>
  <c r="AP444" i="1" s="1"/>
  <c r="AQ444" i="1" s="1"/>
  <c r="AR444" i="1" s="1"/>
  <c r="AS444" i="1" s="1"/>
  <c r="AT444" i="1" s="1"/>
  <c r="AU444" i="1" s="1"/>
  <c r="AV444" i="1" s="1"/>
  <c r="AW444" i="1" s="1"/>
  <c r="AX444" i="1" s="1"/>
  <c r="AY444" i="1" s="1"/>
  <c r="AZ444" i="1" s="1"/>
  <c r="BA444" i="1" s="1"/>
  <c r="BB444" i="1" s="1"/>
  <c r="BC444" i="1" s="1"/>
  <c r="BD444" i="1" s="1"/>
  <c r="BE444" i="1" s="1"/>
  <c r="AD443" i="1"/>
  <c r="AE443" i="1" s="1"/>
  <c r="AF443" i="1" s="1"/>
  <c r="AG443" i="1" s="1"/>
  <c r="AH443" i="1" s="1"/>
  <c r="AI443" i="1" s="1"/>
  <c r="AJ443" i="1" s="1"/>
  <c r="AK443" i="1" s="1"/>
  <c r="AL443" i="1" s="1"/>
  <c r="AM443" i="1" s="1"/>
  <c r="AN443" i="1" s="1"/>
  <c r="AO443" i="1" s="1"/>
  <c r="AP443" i="1" s="1"/>
  <c r="AQ443" i="1" s="1"/>
  <c r="AR443" i="1" s="1"/>
  <c r="AS443" i="1" s="1"/>
  <c r="AT443" i="1" s="1"/>
  <c r="AU443" i="1" s="1"/>
  <c r="AV443" i="1" s="1"/>
  <c r="AW443" i="1" s="1"/>
  <c r="AX443" i="1" s="1"/>
  <c r="AY443" i="1" s="1"/>
  <c r="AZ443" i="1" s="1"/>
  <c r="BA443" i="1" s="1"/>
  <c r="BB443" i="1" s="1"/>
  <c r="BC443" i="1" s="1"/>
  <c r="BD443" i="1" s="1"/>
  <c r="BE443" i="1" s="1"/>
  <c r="AD442" i="1"/>
  <c r="AE442" i="1" s="1"/>
  <c r="AF442" i="1" s="1"/>
  <c r="AG442" i="1" s="1"/>
  <c r="AH442" i="1" s="1"/>
  <c r="AI442" i="1" s="1"/>
  <c r="AJ442" i="1" s="1"/>
  <c r="AK442" i="1" s="1"/>
  <c r="AL442" i="1" s="1"/>
  <c r="AM442" i="1" s="1"/>
  <c r="AN442" i="1" s="1"/>
  <c r="AO442" i="1" s="1"/>
  <c r="AP442" i="1" s="1"/>
  <c r="AQ442" i="1" s="1"/>
  <c r="AR442" i="1" s="1"/>
  <c r="AS442" i="1" s="1"/>
  <c r="AT442" i="1" s="1"/>
  <c r="AU442" i="1" s="1"/>
  <c r="AV442" i="1" s="1"/>
  <c r="AW442" i="1" s="1"/>
  <c r="AX442" i="1" s="1"/>
  <c r="AY442" i="1" s="1"/>
  <c r="AZ442" i="1" s="1"/>
  <c r="BA442" i="1" s="1"/>
  <c r="BB442" i="1" s="1"/>
  <c r="BC442" i="1" s="1"/>
  <c r="BD442" i="1" s="1"/>
  <c r="BE442" i="1" s="1"/>
  <c r="AD441" i="1"/>
  <c r="AE441" i="1" s="1"/>
  <c r="AF441" i="1" s="1"/>
  <c r="AG441" i="1" s="1"/>
  <c r="AH441" i="1" s="1"/>
  <c r="AI441" i="1" s="1"/>
  <c r="AJ441" i="1" s="1"/>
  <c r="AK441" i="1" s="1"/>
  <c r="AL441" i="1" s="1"/>
  <c r="AM441" i="1" s="1"/>
  <c r="AN441" i="1" s="1"/>
  <c r="AO441" i="1" s="1"/>
  <c r="AP441" i="1" s="1"/>
  <c r="AQ441" i="1" s="1"/>
  <c r="AR441" i="1" s="1"/>
  <c r="AS441" i="1" s="1"/>
  <c r="AT441" i="1" s="1"/>
  <c r="AU441" i="1" s="1"/>
  <c r="AV441" i="1" s="1"/>
  <c r="AW441" i="1" s="1"/>
  <c r="AX441" i="1" s="1"/>
  <c r="AY441" i="1" s="1"/>
  <c r="AZ441" i="1" s="1"/>
  <c r="BA441" i="1" s="1"/>
  <c r="BB441" i="1" s="1"/>
  <c r="BC441" i="1" s="1"/>
  <c r="BD441" i="1" s="1"/>
  <c r="BE441" i="1" s="1"/>
  <c r="AD440" i="1"/>
  <c r="AE440" i="1" s="1"/>
  <c r="AF440" i="1" s="1"/>
  <c r="AG440" i="1" s="1"/>
  <c r="AH440" i="1" s="1"/>
  <c r="AI440" i="1" s="1"/>
  <c r="AJ440" i="1" s="1"/>
  <c r="AK440" i="1" s="1"/>
  <c r="AL440" i="1" s="1"/>
  <c r="AM440" i="1" s="1"/>
  <c r="AN440" i="1" s="1"/>
  <c r="AO440" i="1" s="1"/>
  <c r="AP440" i="1" s="1"/>
  <c r="AQ440" i="1" s="1"/>
  <c r="AR440" i="1" s="1"/>
  <c r="AS440" i="1" s="1"/>
  <c r="AT440" i="1" s="1"/>
  <c r="AU440" i="1" s="1"/>
  <c r="AV440" i="1" s="1"/>
  <c r="AW440" i="1" s="1"/>
  <c r="AX440" i="1" s="1"/>
  <c r="AY440" i="1" s="1"/>
  <c r="AZ440" i="1" s="1"/>
  <c r="BA440" i="1" s="1"/>
  <c r="BB440" i="1" s="1"/>
  <c r="BC440" i="1" s="1"/>
  <c r="BD440" i="1" s="1"/>
  <c r="BE440" i="1" s="1"/>
  <c r="AD439" i="1"/>
  <c r="AE439" i="1" s="1"/>
  <c r="AF439" i="1" s="1"/>
  <c r="AG439" i="1" s="1"/>
  <c r="AH439" i="1" s="1"/>
  <c r="AI439" i="1" s="1"/>
  <c r="AJ439" i="1" s="1"/>
  <c r="AK439" i="1" s="1"/>
  <c r="AL439" i="1" s="1"/>
  <c r="AM439" i="1" s="1"/>
  <c r="AN439" i="1" s="1"/>
  <c r="AO439" i="1" s="1"/>
  <c r="AP439" i="1" s="1"/>
  <c r="AQ439" i="1" s="1"/>
  <c r="AR439" i="1" s="1"/>
  <c r="AS439" i="1" s="1"/>
  <c r="AT439" i="1" s="1"/>
  <c r="AU439" i="1" s="1"/>
  <c r="AV439" i="1" s="1"/>
  <c r="AW439" i="1" s="1"/>
  <c r="AX439" i="1" s="1"/>
  <c r="AY439" i="1" s="1"/>
  <c r="AZ439" i="1" s="1"/>
  <c r="BA439" i="1" s="1"/>
  <c r="BB439" i="1" s="1"/>
  <c r="BC439" i="1" s="1"/>
  <c r="BD439" i="1" s="1"/>
  <c r="BE439" i="1" s="1"/>
  <c r="AD438" i="1"/>
  <c r="AE438" i="1" s="1"/>
  <c r="AF438" i="1" s="1"/>
  <c r="AG438" i="1" s="1"/>
  <c r="AH438" i="1" s="1"/>
  <c r="AI438" i="1" s="1"/>
  <c r="AJ438" i="1" s="1"/>
  <c r="AK438" i="1" s="1"/>
  <c r="AL438" i="1" s="1"/>
  <c r="AM438" i="1" s="1"/>
  <c r="AN438" i="1" s="1"/>
  <c r="AO438" i="1" s="1"/>
  <c r="AP438" i="1" s="1"/>
  <c r="AQ438" i="1" s="1"/>
  <c r="AR438" i="1" s="1"/>
  <c r="AS438" i="1" s="1"/>
  <c r="AT438" i="1" s="1"/>
  <c r="AU438" i="1" s="1"/>
  <c r="AV438" i="1" s="1"/>
  <c r="AW438" i="1" s="1"/>
  <c r="AX438" i="1" s="1"/>
  <c r="AY438" i="1" s="1"/>
  <c r="AZ438" i="1" s="1"/>
  <c r="BA438" i="1" s="1"/>
  <c r="BB438" i="1" s="1"/>
  <c r="BC438" i="1" s="1"/>
  <c r="BD438" i="1" s="1"/>
  <c r="BE438" i="1" s="1"/>
  <c r="AD437" i="1"/>
  <c r="AE437" i="1" s="1"/>
  <c r="AF437" i="1" s="1"/>
  <c r="AG437" i="1" s="1"/>
  <c r="AH437" i="1" s="1"/>
  <c r="AI437" i="1" s="1"/>
  <c r="AJ437" i="1" s="1"/>
  <c r="AK437" i="1" s="1"/>
  <c r="AL437" i="1" s="1"/>
  <c r="AM437" i="1" s="1"/>
  <c r="AN437" i="1" s="1"/>
  <c r="AO437" i="1" s="1"/>
  <c r="AP437" i="1" s="1"/>
  <c r="AQ437" i="1" s="1"/>
  <c r="AR437" i="1" s="1"/>
  <c r="AS437" i="1" s="1"/>
  <c r="AT437" i="1" s="1"/>
  <c r="AU437" i="1" s="1"/>
  <c r="AV437" i="1" s="1"/>
  <c r="AW437" i="1" s="1"/>
  <c r="AX437" i="1" s="1"/>
  <c r="AY437" i="1" s="1"/>
  <c r="AZ437" i="1" s="1"/>
  <c r="BA437" i="1" s="1"/>
  <c r="BB437" i="1" s="1"/>
  <c r="BC437" i="1" s="1"/>
  <c r="BD437" i="1" s="1"/>
  <c r="BE437" i="1" s="1"/>
  <c r="AD436" i="1"/>
  <c r="AE436" i="1" s="1"/>
  <c r="AF436" i="1" s="1"/>
  <c r="AG436" i="1" s="1"/>
  <c r="AH436" i="1" s="1"/>
  <c r="AI436" i="1" s="1"/>
  <c r="AJ436" i="1" s="1"/>
  <c r="AK436" i="1" s="1"/>
  <c r="AL436" i="1" s="1"/>
  <c r="AM436" i="1" s="1"/>
  <c r="AN436" i="1" s="1"/>
  <c r="AO436" i="1" s="1"/>
  <c r="AP436" i="1" s="1"/>
  <c r="AQ436" i="1" s="1"/>
  <c r="AR436" i="1" s="1"/>
  <c r="AS436" i="1" s="1"/>
  <c r="AT436" i="1" s="1"/>
  <c r="AU436" i="1" s="1"/>
  <c r="AV436" i="1" s="1"/>
  <c r="AW436" i="1" s="1"/>
  <c r="AX436" i="1" s="1"/>
  <c r="AY436" i="1" s="1"/>
  <c r="AZ436" i="1" s="1"/>
  <c r="BA436" i="1" s="1"/>
  <c r="BB436" i="1" s="1"/>
  <c r="BC436" i="1" s="1"/>
  <c r="BD436" i="1" s="1"/>
  <c r="BE436" i="1" s="1"/>
  <c r="AD435" i="1"/>
  <c r="AE435" i="1" s="1"/>
  <c r="AF435" i="1" s="1"/>
  <c r="AG435" i="1" s="1"/>
  <c r="AH435" i="1" s="1"/>
  <c r="AI435" i="1" s="1"/>
  <c r="AJ435" i="1" s="1"/>
  <c r="AK435" i="1" s="1"/>
  <c r="AL435" i="1" s="1"/>
  <c r="AM435" i="1" s="1"/>
  <c r="AN435" i="1" s="1"/>
  <c r="AO435" i="1" s="1"/>
  <c r="AP435" i="1" s="1"/>
  <c r="AQ435" i="1" s="1"/>
  <c r="AR435" i="1" s="1"/>
  <c r="AS435" i="1" s="1"/>
  <c r="AT435" i="1" s="1"/>
  <c r="AU435" i="1" s="1"/>
  <c r="AV435" i="1" s="1"/>
  <c r="AW435" i="1" s="1"/>
  <c r="AX435" i="1" s="1"/>
  <c r="AY435" i="1" s="1"/>
  <c r="AZ435" i="1" s="1"/>
  <c r="BA435" i="1" s="1"/>
  <c r="BB435" i="1" s="1"/>
  <c r="BC435" i="1" s="1"/>
  <c r="BD435" i="1" s="1"/>
  <c r="BE435" i="1" s="1"/>
  <c r="AD434" i="1"/>
  <c r="AE434" i="1" s="1"/>
  <c r="AF434" i="1" s="1"/>
  <c r="AG434" i="1" s="1"/>
  <c r="AH434" i="1" s="1"/>
  <c r="AI434" i="1" s="1"/>
  <c r="AJ434" i="1" s="1"/>
  <c r="AK434" i="1" s="1"/>
  <c r="AL434" i="1" s="1"/>
  <c r="AM434" i="1" s="1"/>
  <c r="AN434" i="1" s="1"/>
  <c r="AO434" i="1" s="1"/>
  <c r="AP434" i="1" s="1"/>
  <c r="AQ434" i="1" s="1"/>
  <c r="AR434" i="1" s="1"/>
  <c r="AS434" i="1" s="1"/>
  <c r="AT434" i="1" s="1"/>
  <c r="AU434" i="1" s="1"/>
  <c r="AV434" i="1" s="1"/>
  <c r="AW434" i="1" s="1"/>
  <c r="AX434" i="1" s="1"/>
  <c r="AY434" i="1" s="1"/>
  <c r="AZ434" i="1" s="1"/>
  <c r="BA434" i="1" s="1"/>
  <c r="BB434" i="1" s="1"/>
  <c r="BC434" i="1" s="1"/>
  <c r="BD434" i="1" s="1"/>
  <c r="BE434" i="1" s="1"/>
  <c r="AD433" i="1"/>
  <c r="AE433" i="1" s="1"/>
  <c r="AF433" i="1" s="1"/>
  <c r="AG433" i="1" s="1"/>
  <c r="AH433" i="1" s="1"/>
  <c r="AI433" i="1" s="1"/>
  <c r="AJ433" i="1" s="1"/>
  <c r="AK433" i="1" s="1"/>
  <c r="AL433" i="1" s="1"/>
  <c r="AM433" i="1" s="1"/>
  <c r="AN433" i="1" s="1"/>
  <c r="AO433" i="1" s="1"/>
  <c r="AP433" i="1" s="1"/>
  <c r="AQ433" i="1" s="1"/>
  <c r="AR433" i="1" s="1"/>
  <c r="AS433" i="1" s="1"/>
  <c r="AT433" i="1" s="1"/>
  <c r="AU433" i="1" s="1"/>
  <c r="AV433" i="1" s="1"/>
  <c r="AW433" i="1" s="1"/>
  <c r="AX433" i="1" s="1"/>
  <c r="AY433" i="1" s="1"/>
  <c r="AZ433" i="1" s="1"/>
  <c r="BA433" i="1" s="1"/>
  <c r="BB433" i="1" s="1"/>
  <c r="BC433" i="1" s="1"/>
  <c r="BD433" i="1" s="1"/>
  <c r="BE433" i="1" s="1"/>
  <c r="AD432" i="1"/>
  <c r="AE432" i="1" s="1"/>
  <c r="AF432" i="1" s="1"/>
  <c r="AG432" i="1" s="1"/>
  <c r="AH432" i="1" s="1"/>
  <c r="AI432" i="1" s="1"/>
  <c r="AJ432" i="1" s="1"/>
  <c r="AK432" i="1" s="1"/>
  <c r="AL432" i="1" s="1"/>
  <c r="AM432" i="1" s="1"/>
  <c r="AN432" i="1" s="1"/>
  <c r="AO432" i="1" s="1"/>
  <c r="AP432" i="1" s="1"/>
  <c r="AQ432" i="1" s="1"/>
  <c r="AR432" i="1" s="1"/>
  <c r="AS432" i="1" s="1"/>
  <c r="AT432" i="1" s="1"/>
  <c r="AU432" i="1" s="1"/>
  <c r="AV432" i="1" s="1"/>
  <c r="AW432" i="1" s="1"/>
  <c r="AX432" i="1" s="1"/>
  <c r="AY432" i="1" s="1"/>
  <c r="AZ432" i="1" s="1"/>
  <c r="BA432" i="1" s="1"/>
  <c r="BB432" i="1" s="1"/>
  <c r="BC432" i="1" s="1"/>
  <c r="BD432" i="1" s="1"/>
  <c r="BE432" i="1" s="1"/>
  <c r="AD431" i="1"/>
  <c r="AE431" i="1" s="1"/>
  <c r="AF431" i="1" s="1"/>
  <c r="AG431" i="1" s="1"/>
  <c r="AH431" i="1" s="1"/>
  <c r="AI431" i="1" s="1"/>
  <c r="AJ431" i="1" s="1"/>
  <c r="AK431" i="1" s="1"/>
  <c r="AL431" i="1" s="1"/>
  <c r="AM431" i="1" s="1"/>
  <c r="AN431" i="1" s="1"/>
  <c r="AO431" i="1" s="1"/>
  <c r="AP431" i="1" s="1"/>
  <c r="AQ431" i="1" s="1"/>
  <c r="AR431" i="1" s="1"/>
  <c r="AS431" i="1" s="1"/>
  <c r="AT431" i="1" s="1"/>
  <c r="AU431" i="1" s="1"/>
  <c r="AV431" i="1" s="1"/>
  <c r="AW431" i="1" s="1"/>
  <c r="AX431" i="1" s="1"/>
  <c r="AY431" i="1" s="1"/>
  <c r="AZ431" i="1" s="1"/>
  <c r="BA431" i="1" s="1"/>
  <c r="BB431" i="1" s="1"/>
  <c r="BC431" i="1" s="1"/>
  <c r="BD431" i="1" s="1"/>
  <c r="BE431" i="1" s="1"/>
  <c r="AD430" i="1"/>
  <c r="AE430" i="1" s="1"/>
  <c r="AF430" i="1" s="1"/>
  <c r="AG430" i="1" s="1"/>
  <c r="AH430" i="1" s="1"/>
  <c r="AI430" i="1" s="1"/>
  <c r="AJ430" i="1" s="1"/>
  <c r="AK430" i="1" s="1"/>
  <c r="AL430" i="1" s="1"/>
  <c r="AM430" i="1" s="1"/>
  <c r="AN430" i="1" s="1"/>
  <c r="AO430" i="1" s="1"/>
  <c r="AP430" i="1" s="1"/>
  <c r="AQ430" i="1" s="1"/>
  <c r="AR430" i="1" s="1"/>
  <c r="AS430" i="1" s="1"/>
  <c r="AT430" i="1" s="1"/>
  <c r="AU430" i="1" s="1"/>
  <c r="AV430" i="1" s="1"/>
  <c r="AW430" i="1" s="1"/>
  <c r="AX430" i="1" s="1"/>
  <c r="AY430" i="1" s="1"/>
  <c r="AZ430" i="1" s="1"/>
  <c r="BA430" i="1" s="1"/>
  <c r="BB430" i="1" s="1"/>
  <c r="BC430" i="1" s="1"/>
  <c r="BD430" i="1" s="1"/>
  <c r="BE430" i="1" s="1"/>
  <c r="AD429" i="1"/>
  <c r="AE429" i="1" s="1"/>
  <c r="AF429" i="1" s="1"/>
  <c r="AG429" i="1" s="1"/>
  <c r="AH429" i="1" s="1"/>
  <c r="AI429" i="1" s="1"/>
  <c r="AJ429" i="1" s="1"/>
  <c r="AK429" i="1" s="1"/>
  <c r="AL429" i="1" s="1"/>
  <c r="AM429" i="1" s="1"/>
  <c r="AN429" i="1" s="1"/>
  <c r="AO429" i="1" s="1"/>
  <c r="AP429" i="1" s="1"/>
  <c r="AQ429" i="1" s="1"/>
  <c r="AR429" i="1" s="1"/>
  <c r="AS429" i="1" s="1"/>
  <c r="AT429" i="1" s="1"/>
  <c r="AU429" i="1" s="1"/>
  <c r="AV429" i="1" s="1"/>
  <c r="AW429" i="1" s="1"/>
  <c r="AX429" i="1" s="1"/>
  <c r="AY429" i="1" s="1"/>
  <c r="AZ429" i="1" s="1"/>
  <c r="BA429" i="1" s="1"/>
  <c r="BB429" i="1" s="1"/>
  <c r="BC429" i="1" s="1"/>
  <c r="BD429" i="1" s="1"/>
  <c r="BE429" i="1" s="1"/>
  <c r="AD428" i="1"/>
  <c r="AE428" i="1" s="1"/>
  <c r="AF428" i="1" s="1"/>
  <c r="AG428" i="1" s="1"/>
  <c r="AH428" i="1" s="1"/>
  <c r="AI428" i="1" s="1"/>
  <c r="AJ428" i="1" s="1"/>
  <c r="AK428" i="1" s="1"/>
  <c r="AL428" i="1" s="1"/>
  <c r="AM428" i="1" s="1"/>
  <c r="AN428" i="1" s="1"/>
  <c r="AO428" i="1" s="1"/>
  <c r="AP428" i="1" s="1"/>
  <c r="AQ428" i="1" s="1"/>
  <c r="AR428" i="1" s="1"/>
  <c r="AS428" i="1" s="1"/>
  <c r="AT428" i="1" s="1"/>
  <c r="AU428" i="1" s="1"/>
  <c r="AV428" i="1" s="1"/>
  <c r="AW428" i="1" s="1"/>
  <c r="AX428" i="1" s="1"/>
  <c r="AY428" i="1" s="1"/>
  <c r="AZ428" i="1" s="1"/>
  <c r="BA428" i="1" s="1"/>
  <c r="BB428" i="1" s="1"/>
  <c r="BC428" i="1" s="1"/>
  <c r="BD428" i="1" s="1"/>
  <c r="BE428" i="1" s="1"/>
  <c r="AG427" i="1"/>
  <c r="AH427" i="1" s="1"/>
  <c r="AI427" i="1" s="1"/>
  <c r="AJ427" i="1" s="1"/>
  <c r="AK427" i="1" s="1"/>
  <c r="AL427" i="1" s="1"/>
  <c r="AM427" i="1" s="1"/>
  <c r="AN427" i="1" s="1"/>
  <c r="AO427" i="1" s="1"/>
  <c r="AP427" i="1" s="1"/>
  <c r="AQ427" i="1" s="1"/>
  <c r="AR427" i="1" s="1"/>
  <c r="AS427" i="1" s="1"/>
  <c r="AT427" i="1" s="1"/>
  <c r="AU427" i="1" s="1"/>
  <c r="AV427" i="1" s="1"/>
  <c r="AW427" i="1" s="1"/>
  <c r="AX427" i="1" s="1"/>
  <c r="AY427" i="1" s="1"/>
  <c r="AZ427" i="1" s="1"/>
  <c r="BA427" i="1" s="1"/>
  <c r="BB427" i="1" s="1"/>
  <c r="BC427" i="1" s="1"/>
  <c r="BD427" i="1" s="1"/>
  <c r="BE427" i="1" s="1"/>
  <c r="AF427" i="1"/>
  <c r="AE427" i="1"/>
  <c r="AD427" i="1"/>
  <c r="AE1126" i="1" l="1"/>
  <c r="AE1127" i="1" s="1"/>
  <c r="AE1142" i="1"/>
  <c r="AE1143" i="1" s="1"/>
  <c r="AE1159" i="1"/>
  <c r="AE1160" i="1"/>
  <c r="AE1161" i="1" s="1"/>
  <c r="AE1162" i="1" s="1"/>
  <c r="AE1163" i="1" s="1"/>
  <c r="AE1164" i="1" s="1"/>
  <c r="AE1165" i="1" s="1"/>
  <c r="AE1166" i="1" s="1"/>
  <c r="AE1167" i="1" s="1"/>
  <c r="AE1168" i="1" s="1"/>
  <c r="AE1169" i="1" s="1"/>
  <c r="AE1170" i="1" s="1"/>
  <c r="AE1171" i="1" s="1"/>
  <c r="AE1172" i="1" s="1"/>
  <c r="AE1158" i="1"/>
  <c r="AE1107" i="1" s="1"/>
  <c r="AE1108" i="1"/>
  <c r="G1125" i="1"/>
  <c r="AG1052" i="1"/>
  <c r="AH1052" i="1"/>
  <c r="AI1052" i="1"/>
  <c r="AJ1052" i="1"/>
  <c r="AK1052" i="1"/>
  <c r="AL1052" i="1"/>
  <c r="AM1052" i="1"/>
  <c r="AN1052" i="1"/>
  <c r="AO1052" i="1"/>
  <c r="AP1052" i="1"/>
  <c r="AQ1052" i="1"/>
  <c r="AR1052" i="1"/>
  <c r="AS1052" i="1"/>
  <c r="AT1052" i="1"/>
  <c r="AU1052" i="1"/>
  <c r="AV1052" i="1"/>
  <c r="AW1052" i="1"/>
  <c r="AX1052" i="1"/>
  <c r="AY1052" i="1"/>
  <c r="AZ1052" i="1"/>
  <c r="BA1052" i="1" s="1"/>
  <c r="BB1052" i="1" s="1"/>
  <c r="BC1052" i="1" s="1"/>
  <c r="BD1052" i="1" s="1"/>
  <c r="BE1052" i="1" s="1"/>
  <c r="BF1052" i="1" s="1"/>
  <c r="BG1052" i="1" s="1"/>
  <c r="AG1053" i="1"/>
  <c r="AH1053" i="1" s="1"/>
  <c r="AI1053" i="1" s="1"/>
  <c r="AJ1053" i="1" s="1"/>
  <c r="AK1053" i="1" s="1"/>
  <c r="AL1053" i="1" s="1"/>
  <c r="AM1053" i="1" s="1"/>
  <c r="AN1053" i="1" s="1"/>
  <c r="AO1053" i="1" s="1"/>
  <c r="AP1053" i="1" s="1"/>
  <c r="AQ1053" i="1" s="1"/>
  <c r="AR1053" i="1" s="1"/>
  <c r="AS1053" i="1" s="1"/>
  <c r="AT1053" i="1" s="1"/>
  <c r="AU1053" i="1" s="1"/>
  <c r="AV1053" i="1" s="1"/>
  <c r="AW1053" i="1" s="1"/>
  <c r="AX1053" i="1" s="1"/>
  <c r="AY1053" i="1" s="1"/>
  <c r="AZ1053" i="1" s="1"/>
  <c r="BA1053" i="1" s="1"/>
  <c r="BB1053" i="1" s="1"/>
  <c r="BC1053" i="1" s="1"/>
  <c r="BD1053" i="1" s="1"/>
  <c r="BE1053" i="1" s="1"/>
  <c r="BF1053" i="1" s="1"/>
  <c r="BG1053" i="1" s="1"/>
  <c r="AG1054" i="1"/>
  <c r="AH1054" i="1"/>
  <c r="AI1054" i="1" s="1"/>
  <c r="AJ1054" i="1" s="1"/>
  <c r="AK1054" i="1" s="1"/>
  <c r="AL1054" i="1" s="1"/>
  <c r="AM1054" i="1" s="1"/>
  <c r="AN1054" i="1" s="1"/>
  <c r="AO1054" i="1" s="1"/>
  <c r="AP1054" i="1" s="1"/>
  <c r="AQ1054" i="1" s="1"/>
  <c r="AR1054" i="1" s="1"/>
  <c r="AS1054" i="1" s="1"/>
  <c r="AT1054" i="1" s="1"/>
  <c r="AU1054" i="1" s="1"/>
  <c r="AV1054" i="1" s="1"/>
  <c r="AW1054" i="1" s="1"/>
  <c r="AX1054" i="1" s="1"/>
  <c r="AY1054" i="1" s="1"/>
  <c r="AZ1054" i="1" s="1"/>
  <c r="BA1054" i="1" s="1"/>
  <c r="BB1054" i="1" s="1"/>
  <c r="BC1054" i="1" s="1"/>
  <c r="BD1054" i="1" s="1"/>
  <c r="BE1054" i="1" s="1"/>
  <c r="BF1054" i="1" s="1"/>
  <c r="BG1054" i="1" s="1"/>
  <c r="AG1055" i="1"/>
  <c r="AH1055" i="1" s="1"/>
  <c r="AI1055" i="1" s="1"/>
  <c r="AJ1055" i="1" s="1"/>
  <c r="AK1055" i="1" s="1"/>
  <c r="AL1055" i="1" s="1"/>
  <c r="AM1055" i="1" s="1"/>
  <c r="AN1055" i="1" s="1"/>
  <c r="AO1055" i="1" s="1"/>
  <c r="AP1055" i="1" s="1"/>
  <c r="AQ1055" i="1" s="1"/>
  <c r="AR1055" i="1" s="1"/>
  <c r="AS1055" i="1" s="1"/>
  <c r="AT1055" i="1" s="1"/>
  <c r="AU1055" i="1" s="1"/>
  <c r="AV1055" i="1" s="1"/>
  <c r="AW1055" i="1" s="1"/>
  <c r="AX1055" i="1" s="1"/>
  <c r="AY1055" i="1" s="1"/>
  <c r="AZ1055" i="1" s="1"/>
  <c r="BA1055" i="1" s="1"/>
  <c r="BB1055" i="1" s="1"/>
  <c r="BC1055" i="1" s="1"/>
  <c r="BD1055" i="1" s="1"/>
  <c r="BE1055" i="1" s="1"/>
  <c r="BF1055" i="1" s="1"/>
  <c r="BG1055" i="1" s="1"/>
  <c r="AG1056" i="1"/>
  <c r="AH1056" i="1"/>
  <c r="AI1056" i="1"/>
  <c r="AJ1056" i="1" s="1"/>
  <c r="AK1056" i="1" s="1"/>
  <c r="AL1056" i="1" s="1"/>
  <c r="AM1056" i="1" s="1"/>
  <c r="AN1056" i="1" s="1"/>
  <c r="AO1056" i="1" s="1"/>
  <c r="AP1056" i="1" s="1"/>
  <c r="AQ1056" i="1" s="1"/>
  <c r="AR1056" i="1" s="1"/>
  <c r="AS1056" i="1" s="1"/>
  <c r="AT1056" i="1" s="1"/>
  <c r="AU1056" i="1" s="1"/>
  <c r="AV1056" i="1" s="1"/>
  <c r="AW1056" i="1" s="1"/>
  <c r="AX1056" i="1" s="1"/>
  <c r="AY1056" i="1" s="1"/>
  <c r="AZ1056" i="1" s="1"/>
  <c r="BA1056" i="1" s="1"/>
  <c r="BB1056" i="1" s="1"/>
  <c r="BC1056" i="1" s="1"/>
  <c r="BD1056" i="1" s="1"/>
  <c r="BE1056" i="1" s="1"/>
  <c r="BF1056" i="1" s="1"/>
  <c r="BG1056" i="1" s="1"/>
  <c r="AG1057" i="1"/>
  <c r="AH1057" i="1"/>
  <c r="AI1057" i="1"/>
  <c r="AJ1057" i="1" s="1"/>
  <c r="AK1057" i="1" s="1"/>
  <c r="AL1057" i="1" s="1"/>
  <c r="AM1057" i="1" s="1"/>
  <c r="AN1057" i="1" s="1"/>
  <c r="AO1057" i="1" s="1"/>
  <c r="AP1057" i="1" s="1"/>
  <c r="AQ1057" i="1" s="1"/>
  <c r="AR1057" i="1" s="1"/>
  <c r="AS1057" i="1" s="1"/>
  <c r="AT1057" i="1" s="1"/>
  <c r="AU1057" i="1" s="1"/>
  <c r="AV1057" i="1" s="1"/>
  <c r="AW1057" i="1" s="1"/>
  <c r="AX1057" i="1" s="1"/>
  <c r="AY1057" i="1" s="1"/>
  <c r="AZ1057" i="1" s="1"/>
  <c r="BA1057" i="1" s="1"/>
  <c r="BB1057" i="1" s="1"/>
  <c r="BC1057" i="1" s="1"/>
  <c r="BD1057" i="1" s="1"/>
  <c r="BE1057" i="1" s="1"/>
  <c r="BF1057" i="1" s="1"/>
  <c r="BG1057" i="1" s="1"/>
  <c r="AF1053" i="1"/>
  <c r="AF1054" i="1"/>
  <c r="AF1055" i="1"/>
  <c r="AF1056" i="1"/>
  <c r="AF1057" i="1"/>
  <c r="AF1052" i="1"/>
  <c r="X248" i="1"/>
  <c r="Y248" i="1"/>
  <c r="Z248" i="1"/>
  <c r="AA248" i="1"/>
  <c r="AB248" i="1"/>
  <c r="AC248" i="1"/>
  <c r="AD248" i="1"/>
  <c r="W248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C43" i="1"/>
  <c r="AB43" i="1"/>
  <c r="AD1473" i="1"/>
  <c r="AE1473" i="1" s="1"/>
  <c r="AF1473" i="1" s="1"/>
  <c r="AG1473" i="1" s="1"/>
  <c r="AH1473" i="1" s="1"/>
  <c r="AI1473" i="1" s="1"/>
  <c r="AJ1473" i="1" s="1"/>
  <c r="AK1473" i="1" s="1"/>
  <c r="AL1473" i="1" s="1"/>
  <c r="AM1473" i="1" s="1"/>
  <c r="AN1473" i="1" s="1"/>
  <c r="AO1473" i="1" s="1"/>
  <c r="AP1473" i="1" s="1"/>
  <c r="AQ1473" i="1" s="1"/>
  <c r="AR1473" i="1" s="1"/>
  <c r="AS1473" i="1" s="1"/>
  <c r="AT1473" i="1" s="1"/>
  <c r="AU1473" i="1" s="1"/>
  <c r="AV1473" i="1" s="1"/>
  <c r="AW1473" i="1" s="1"/>
  <c r="AX1473" i="1" s="1"/>
  <c r="AY1473" i="1" s="1"/>
  <c r="AZ1473" i="1" s="1"/>
  <c r="BA1473" i="1" s="1"/>
  <c r="BB1473" i="1" s="1"/>
  <c r="BC1473" i="1" s="1"/>
  <c r="BD1473" i="1" s="1"/>
  <c r="BE1473" i="1" s="1"/>
  <c r="BF1473" i="1" s="1"/>
  <c r="AD1457" i="1"/>
  <c r="AE1457" i="1" s="1"/>
  <c r="AF1457" i="1" s="1"/>
  <c r="AG1457" i="1" s="1"/>
  <c r="AH1457" i="1" s="1"/>
  <c r="AI1457" i="1" s="1"/>
  <c r="AJ1457" i="1" s="1"/>
  <c r="AK1457" i="1" s="1"/>
  <c r="AL1457" i="1" s="1"/>
  <c r="AM1457" i="1" s="1"/>
  <c r="AN1457" i="1" s="1"/>
  <c r="AO1457" i="1" s="1"/>
  <c r="AP1457" i="1" s="1"/>
  <c r="AQ1457" i="1" s="1"/>
  <c r="AR1457" i="1" s="1"/>
  <c r="AS1457" i="1" s="1"/>
  <c r="AT1457" i="1" s="1"/>
  <c r="AU1457" i="1" s="1"/>
  <c r="AV1457" i="1" s="1"/>
  <c r="AW1457" i="1" s="1"/>
  <c r="AX1457" i="1" s="1"/>
  <c r="AY1457" i="1" s="1"/>
  <c r="AZ1457" i="1" s="1"/>
  <c r="BA1457" i="1" s="1"/>
  <c r="BB1457" i="1" s="1"/>
  <c r="BC1457" i="1" s="1"/>
  <c r="BD1457" i="1" s="1"/>
  <c r="BE1457" i="1" s="1"/>
  <c r="BF1457" i="1" s="1"/>
  <c r="AE1076" i="1" l="1"/>
  <c r="AE1128" i="1"/>
  <c r="AE1075" i="1"/>
  <c r="AE1144" i="1"/>
  <c r="AE1092" i="1"/>
  <c r="AE1109" i="1"/>
  <c r="Z1525" i="1"/>
  <c r="AL1525" i="1" s="1"/>
  <c r="Y1525" i="1"/>
  <c r="AK1525" i="1" s="1"/>
  <c r="X1525" i="1"/>
  <c r="AJ1525" i="1" s="1"/>
  <c r="W1525" i="1"/>
  <c r="AI1525" i="1" s="1"/>
  <c r="V1525" i="1"/>
  <c r="AH1525" i="1" s="1"/>
  <c r="U1525" i="1"/>
  <c r="AG1525" i="1" s="1"/>
  <c r="T1525" i="1"/>
  <c r="AF1525" i="1" s="1"/>
  <c r="S1525" i="1"/>
  <c r="AE1525" i="1" s="1"/>
  <c r="R1525" i="1"/>
  <c r="AD1525" i="1" s="1"/>
  <c r="Q1525" i="1"/>
  <c r="AC1525" i="1" s="1"/>
  <c r="P1525" i="1"/>
  <c r="AB1525" i="1" s="1"/>
  <c r="Z1524" i="1"/>
  <c r="AL1524" i="1" s="1"/>
  <c r="Y1524" i="1"/>
  <c r="AK1524" i="1" s="1"/>
  <c r="X1524" i="1"/>
  <c r="AJ1524" i="1" s="1"/>
  <c r="W1524" i="1"/>
  <c r="AI1524" i="1" s="1"/>
  <c r="V1524" i="1"/>
  <c r="AH1524" i="1" s="1"/>
  <c r="U1524" i="1"/>
  <c r="AG1524" i="1" s="1"/>
  <c r="T1524" i="1"/>
  <c r="AF1524" i="1" s="1"/>
  <c r="S1524" i="1"/>
  <c r="AE1524" i="1" s="1"/>
  <c r="R1524" i="1"/>
  <c r="AD1524" i="1" s="1"/>
  <c r="Q1524" i="1"/>
  <c r="AC1524" i="1" s="1"/>
  <c r="P1524" i="1"/>
  <c r="AB1524" i="1" s="1"/>
  <c r="AC1523" i="1"/>
  <c r="Z1523" i="1"/>
  <c r="AL1523" i="1" s="1"/>
  <c r="Y1523" i="1"/>
  <c r="AK1523" i="1" s="1"/>
  <c r="X1523" i="1"/>
  <c r="AJ1523" i="1" s="1"/>
  <c r="W1523" i="1"/>
  <c r="AI1523" i="1" s="1"/>
  <c r="V1523" i="1"/>
  <c r="AH1523" i="1" s="1"/>
  <c r="U1523" i="1"/>
  <c r="AG1523" i="1" s="1"/>
  <c r="T1523" i="1"/>
  <c r="AF1523" i="1" s="1"/>
  <c r="S1523" i="1"/>
  <c r="AE1523" i="1" s="1"/>
  <c r="R1523" i="1"/>
  <c r="AD1523" i="1" s="1"/>
  <c r="Q1523" i="1"/>
  <c r="P1523" i="1"/>
  <c r="AB1523" i="1" s="1"/>
  <c r="Z1522" i="1"/>
  <c r="AL1522" i="1" s="1"/>
  <c r="Y1522" i="1"/>
  <c r="AK1522" i="1" s="1"/>
  <c r="X1522" i="1"/>
  <c r="AJ1522" i="1" s="1"/>
  <c r="W1522" i="1"/>
  <c r="AI1522" i="1" s="1"/>
  <c r="V1522" i="1"/>
  <c r="AH1522" i="1" s="1"/>
  <c r="U1522" i="1"/>
  <c r="AG1522" i="1" s="1"/>
  <c r="T1522" i="1"/>
  <c r="AF1522" i="1" s="1"/>
  <c r="S1522" i="1"/>
  <c r="AE1522" i="1" s="1"/>
  <c r="R1522" i="1"/>
  <c r="AD1522" i="1" s="1"/>
  <c r="Q1522" i="1"/>
  <c r="AC1522" i="1" s="1"/>
  <c r="P1522" i="1"/>
  <c r="AB1522" i="1" s="1"/>
  <c r="AC1521" i="1"/>
  <c r="Z1521" i="1"/>
  <c r="AL1521" i="1" s="1"/>
  <c r="Y1521" i="1"/>
  <c r="AK1521" i="1" s="1"/>
  <c r="X1521" i="1"/>
  <c r="AJ1521" i="1" s="1"/>
  <c r="W1521" i="1"/>
  <c r="AI1521" i="1" s="1"/>
  <c r="V1521" i="1"/>
  <c r="AH1521" i="1" s="1"/>
  <c r="U1521" i="1"/>
  <c r="AG1521" i="1" s="1"/>
  <c r="T1521" i="1"/>
  <c r="AF1521" i="1" s="1"/>
  <c r="S1521" i="1"/>
  <c r="AE1521" i="1" s="1"/>
  <c r="R1521" i="1"/>
  <c r="AD1521" i="1" s="1"/>
  <c r="Q1521" i="1"/>
  <c r="P1521" i="1"/>
  <c r="AB1521" i="1" s="1"/>
  <c r="Z1520" i="1"/>
  <c r="AL1520" i="1" s="1"/>
  <c r="Y1520" i="1"/>
  <c r="AK1520" i="1" s="1"/>
  <c r="X1520" i="1"/>
  <c r="AJ1520" i="1" s="1"/>
  <c r="W1520" i="1"/>
  <c r="AI1520" i="1" s="1"/>
  <c r="V1520" i="1"/>
  <c r="AH1520" i="1" s="1"/>
  <c r="U1520" i="1"/>
  <c r="AG1520" i="1" s="1"/>
  <c r="T1520" i="1"/>
  <c r="AF1520" i="1" s="1"/>
  <c r="S1520" i="1"/>
  <c r="AE1520" i="1" s="1"/>
  <c r="R1520" i="1"/>
  <c r="AD1520" i="1" s="1"/>
  <c r="Q1520" i="1"/>
  <c r="AC1520" i="1" s="1"/>
  <c r="P1520" i="1"/>
  <c r="AB1520" i="1" s="1"/>
  <c r="AK1519" i="1"/>
  <c r="AC1519" i="1"/>
  <c r="Z1519" i="1"/>
  <c r="AL1519" i="1" s="1"/>
  <c r="Y1519" i="1"/>
  <c r="X1519" i="1"/>
  <c r="AJ1519" i="1" s="1"/>
  <c r="W1519" i="1"/>
  <c r="AI1519" i="1" s="1"/>
  <c r="V1519" i="1"/>
  <c r="AH1519" i="1" s="1"/>
  <c r="U1519" i="1"/>
  <c r="AG1519" i="1" s="1"/>
  <c r="T1519" i="1"/>
  <c r="AF1519" i="1" s="1"/>
  <c r="S1519" i="1"/>
  <c r="AE1519" i="1" s="1"/>
  <c r="R1519" i="1"/>
  <c r="AD1519" i="1" s="1"/>
  <c r="Q1519" i="1"/>
  <c r="P1519" i="1"/>
  <c r="AB1519" i="1" s="1"/>
  <c r="Z1518" i="1"/>
  <c r="AL1518" i="1" s="1"/>
  <c r="Y1518" i="1"/>
  <c r="AK1518" i="1" s="1"/>
  <c r="X1518" i="1"/>
  <c r="AJ1518" i="1" s="1"/>
  <c r="W1518" i="1"/>
  <c r="AI1518" i="1" s="1"/>
  <c r="V1518" i="1"/>
  <c r="AH1518" i="1" s="1"/>
  <c r="U1518" i="1"/>
  <c r="AG1518" i="1" s="1"/>
  <c r="T1518" i="1"/>
  <c r="AF1518" i="1" s="1"/>
  <c r="S1518" i="1"/>
  <c r="AE1518" i="1" s="1"/>
  <c r="R1518" i="1"/>
  <c r="AD1518" i="1" s="1"/>
  <c r="Q1518" i="1"/>
  <c r="AC1518" i="1" s="1"/>
  <c r="P1518" i="1"/>
  <c r="AB1518" i="1" s="1"/>
  <c r="AC1517" i="1"/>
  <c r="Z1517" i="1"/>
  <c r="AL1517" i="1" s="1"/>
  <c r="Y1517" i="1"/>
  <c r="AK1517" i="1" s="1"/>
  <c r="X1517" i="1"/>
  <c r="AJ1517" i="1" s="1"/>
  <c r="W1517" i="1"/>
  <c r="AI1517" i="1" s="1"/>
  <c r="V1517" i="1"/>
  <c r="AH1517" i="1" s="1"/>
  <c r="U1517" i="1"/>
  <c r="AG1517" i="1" s="1"/>
  <c r="T1517" i="1"/>
  <c r="AF1517" i="1" s="1"/>
  <c r="S1517" i="1"/>
  <c r="AE1517" i="1" s="1"/>
  <c r="R1517" i="1"/>
  <c r="AD1517" i="1" s="1"/>
  <c r="Q1517" i="1"/>
  <c r="P1517" i="1"/>
  <c r="AB1517" i="1" s="1"/>
  <c r="Z1516" i="1"/>
  <c r="AL1516" i="1" s="1"/>
  <c r="Y1516" i="1"/>
  <c r="AK1516" i="1" s="1"/>
  <c r="X1516" i="1"/>
  <c r="AJ1516" i="1" s="1"/>
  <c r="W1516" i="1"/>
  <c r="AI1516" i="1" s="1"/>
  <c r="V1516" i="1"/>
  <c r="AH1516" i="1" s="1"/>
  <c r="U1516" i="1"/>
  <c r="AG1516" i="1" s="1"/>
  <c r="T1516" i="1"/>
  <c r="AF1516" i="1" s="1"/>
  <c r="S1516" i="1"/>
  <c r="AE1516" i="1" s="1"/>
  <c r="R1516" i="1"/>
  <c r="AD1516" i="1" s="1"/>
  <c r="Q1516" i="1"/>
  <c r="AC1516" i="1" s="1"/>
  <c r="P1516" i="1"/>
  <c r="AB1516" i="1" s="1"/>
  <c r="Z1515" i="1"/>
  <c r="AL1515" i="1" s="1"/>
  <c r="Y1515" i="1"/>
  <c r="AK1515" i="1" s="1"/>
  <c r="X1515" i="1"/>
  <c r="AJ1515" i="1" s="1"/>
  <c r="W1515" i="1"/>
  <c r="AI1515" i="1" s="1"/>
  <c r="V1515" i="1"/>
  <c r="AH1515" i="1" s="1"/>
  <c r="U1515" i="1"/>
  <c r="AG1515" i="1" s="1"/>
  <c r="T1515" i="1"/>
  <c r="AF1515" i="1" s="1"/>
  <c r="S1515" i="1"/>
  <c r="AE1515" i="1" s="1"/>
  <c r="R1515" i="1"/>
  <c r="AD1515" i="1" s="1"/>
  <c r="Q1515" i="1"/>
  <c r="AC1515" i="1" s="1"/>
  <c r="P1515" i="1"/>
  <c r="AB1515" i="1" s="1"/>
  <c r="Z1514" i="1"/>
  <c r="AL1514" i="1" s="1"/>
  <c r="Y1514" i="1"/>
  <c r="AK1514" i="1" s="1"/>
  <c r="X1514" i="1"/>
  <c r="AJ1514" i="1" s="1"/>
  <c r="W1514" i="1"/>
  <c r="AI1514" i="1" s="1"/>
  <c r="V1514" i="1"/>
  <c r="AH1514" i="1" s="1"/>
  <c r="U1514" i="1"/>
  <c r="AG1514" i="1" s="1"/>
  <c r="T1514" i="1"/>
  <c r="AF1514" i="1" s="1"/>
  <c r="S1514" i="1"/>
  <c r="AE1514" i="1" s="1"/>
  <c r="R1514" i="1"/>
  <c r="AD1514" i="1" s="1"/>
  <c r="Q1514" i="1"/>
  <c r="AC1514" i="1" s="1"/>
  <c r="P1514" i="1"/>
  <c r="AB1514" i="1" s="1"/>
  <c r="Z1513" i="1"/>
  <c r="AL1513" i="1" s="1"/>
  <c r="Y1513" i="1"/>
  <c r="AK1513" i="1" s="1"/>
  <c r="X1513" i="1"/>
  <c r="AJ1513" i="1" s="1"/>
  <c r="W1513" i="1"/>
  <c r="AI1513" i="1" s="1"/>
  <c r="V1513" i="1"/>
  <c r="AH1513" i="1" s="1"/>
  <c r="U1513" i="1"/>
  <c r="AG1513" i="1" s="1"/>
  <c r="T1513" i="1"/>
  <c r="AF1513" i="1" s="1"/>
  <c r="S1513" i="1"/>
  <c r="AE1513" i="1" s="1"/>
  <c r="R1513" i="1"/>
  <c r="AD1513" i="1" s="1"/>
  <c r="Q1513" i="1"/>
  <c r="AC1513" i="1" s="1"/>
  <c r="P1513" i="1"/>
  <c r="AB1513" i="1" s="1"/>
  <c r="Z1512" i="1"/>
  <c r="AL1512" i="1" s="1"/>
  <c r="Y1512" i="1"/>
  <c r="AK1512" i="1" s="1"/>
  <c r="X1512" i="1"/>
  <c r="AJ1512" i="1" s="1"/>
  <c r="W1512" i="1"/>
  <c r="AI1512" i="1" s="1"/>
  <c r="V1512" i="1"/>
  <c r="AH1512" i="1" s="1"/>
  <c r="U1512" i="1"/>
  <c r="AG1512" i="1" s="1"/>
  <c r="T1512" i="1"/>
  <c r="AF1512" i="1" s="1"/>
  <c r="S1512" i="1"/>
  <c r="AE1512" i="1" s="1"/>
  <c r="R1512" i="1"/>
  <c r="AD1512" i="1" s="1"/>
  <c r="Q1512" i="1"/>
  <c r="AC1512" i="1" s="1"/>
  <c r="P1512" i="1"/>
  <c r="AB1512" i="1" s="1"/>
  <c r="Z1511" i="1"/>
  <c r="AL1511" i="1" s="1"/>
  <c r="Y1511" i="1"/>
  <c r="AK1511" i="1" s="1"/>
  <c r="X1511" i="1"/>
  <c r="AJ1511" i="1" s="1"/>
  <c r="W1511" i="1"/>
  <c r="AI1511" i="1" s="1"/>
  <c r="V1511" i="1"/>
  <c r="AH1511" i="1" s="1"/>
  <c r="U1511" i="1"/>
  <c r="AG1511" i="1" s="1"/>
  <c r="T1511" i="1"/>
  <c r="AF1511" i="1" s="1"/>
  <c r="S1511" i="1"/>
  <c r="AE1511" i="1" s="1"/>
  <c r="R1511" i="1"/>
  <c r="AD1511" i="1" s="1"/>
  <c r="Q1511" i="1"/>
  <c r="AC1511" i="1" s="1"/>
  <c r="P1511" i="1"/>
  <c r="AB1511" i="1" s="1"/>
  <c r="AC1510" i="1"/>
  <c r="Z1510" i="1"/>
  <c r="AL1510" i="1" s="1"/>
  <c r="Y1510" i="1"/>
  <c r="AK1510" i="1" s="1"/>
  <c r="X1510" i="1"/>
  <c r="AJ1510" i="1" s="1"/>
  <c r="W1510" i="1"/>
  <c r="AI1510" i="1" s="1"/>
  <c r="V1510" i="1"/>
  <c r="AH1510" i="1" s="1"/>
  <c r="U1510" i="1"/>
  <c r="AG1510" i="1" s="1"/>
  <c r="T1510" i="1"/>
  <c r="AF1510" i="1" s="1"/>
  <c r="S1510" i="1"/>
  <c r="AE1510" i="1" s="1"/>
  <c r="R1510" i="1"/>
  <c r="AD1510" i="1" s="1"/>
  <c r="Q1510" i="1"/>
  <c r="P1510" i="1"/>
  <c r="AB1510" i="1" s="1"/>
  <c r="Z1509" i="1"/>
  <c r="AL1509" i="1" s="1"/>
  <c r="Y1509" i="1"/>
  <c r="AK1509" i="1" s="1"/>
  <c r="X1509" i="1"/>
  <c r="AJ1509" i="1" s="1"/>
  <c r="W1509" i="1"/>
  <c r="AI1509" i="1" s="1"/>
  <c r="V1509" i="1"/>
  <c r="AH1509" i="1" s="1"/>
  <c r="U1509" i="1"/>
  <c r="AG1509" i="1" s="1"/>
  <c r="T1509" i="1"/>
  <c r="AF1509" i="1" s="1"/>
  <c r="S1509" i="1"/>
  <c r="AE1509" i="1" s="1"/>
  <c r="R1509" i="1"/>
  <c r="AD1509" i="1" s="1"/>
  <c r="Q1509" i="1"/>
  <c r="AC1509" i="1" s="1"/>
  <c r="P1509" i="1"/>
  <c r="AB1509" i="1" s="1"/>
  <c r="Z1508" i="1"/>
  <c r="AL1508" i="1" s="1"/>
  <c r="Y1508" i="1"/>
  <c r="AK1508" i="1" s="1"/>
  <c r="X1508" i="1"/>
  <c r="AJ1508" i="1" s="1"/>
  <c r="W1508" i="1"/>
  <c r="AI1508" i="1" s="1"/>
  <c r="V1508" i="1"/>
  <c r="AH1508" i="1" s="1"/>
  <c r="U1508" i="1"/>
  <c r="AG1508" i="1" s="1"/>
  <c r="T1508" i="1"/>
  <c r="AF1508" i="1" s="1"/>
  <c r="S1508" i="1"/>
  <c r="AE1508" i="1" s="1"/>
  <c r="R1508" i="1"/>
  <c r="AD1508" i="1" s="1"/>
  <c r="Q1508" i="1"/>
  <c r="AC1508" i="1" s="1"/>
  <c r="P1508" i="1"/>
  <c r="AB1508" i="1" s="1"/>
  <c r="Z1507" i="1"/>
  <c r="AL1507" i="1" s="1"/>
  <c r="Y1507" i="1"/>
  <c r="AK1507" i="1" s="1"/>
  <c r="X1507" i="1"/>
  <c r="AJ1507" i="1" s="1"/>
  <c r="W1507" i="1"/>
  <c r="AI1507" i="1" s="1"/>
  <c r="V1507" i="1"/>
  <c r="AH1507" i="1" s="1"/>
  <c r="U1507" i="1"/>
  <c r="AG1507" i="1" s="1"/>
  <c r="T1507" i="1"/>
  <c r="AF1507" i="1" s="1"/>
  <c r="S1507" i="1"/>
  <c r="AE1507" i="1" s="1"/>
  <c r="R1507" i="1"/>
  <c r="AD1507" i="1" s="1"/>
  <c r="Q1507" i="1"/>
  <c r="AC1507" i="1" s="1"/>
  <c r="P1507" i="1"/>
  <c r="AB1507" i="1" s="1"/>
  <c r="Z1506" i="1"/>
  <c r="AL1506" i="1" s="1"/>
  <c r="Y1506" i="1"/>
  <c r="AK1506" i="1" s="1"/>
  <c r="X1506" i="1"/>
  <c r="AJ1506" i="1" s="1"/>
  <c r="W1506" i="1"/>
  <c r="AI1506" i="1" s="1"/>
  <c r="V1506" i="1"/>
  <c r="AH1506" i="1" s="1"/>
  <c r="U1506" i="1"/>
  <c r="AG1506" i="1" s="1"/>
  <c r="T1506" i="1"/>
  <c r="AF1506" i="1" s="1"/>
  <c r="S1506" i="1"/>
  <c r="AE1506" i="1" s="1"/>
  <c r="R1506" i="1"/>
  <c r="AD1506" i="1" s="1"/>
  <c r="Q1506" i="1"/>
  <c r="AC1506" i="1" s="1"/>
  <c r="P1506" i="1"/>
  <c r="AB1506" i="1" s="1"/>
  <c r="Z1505" i="1"/>
  <c r="AL1505" i="1" s="1"/>
  <c r="Y1505" i="1"/>
  <c r="AK1505" i="1" s="1"/>
  <c r="X1505" i="1"/>
  <c r="AJ1505" i="1" s="1"/>
  <c r="W1505" i="1"/>
  <c r="AI1505" i="1" s="1"/>
  <c r="V1505" i="1"/>
  <c r="AH1505" i="1" s="1"/>
  <c r="U1505" i="1"/>
  <c r="AG1505" i="1" s="1"/>
  <c r="T1505" i="1"/>
  <c r="AF1505" i="1" s="1"/>
  <c r="S1505" i="1"/>
  <c r="AE1505" i="1" s="1"/>
  <c r="R1505" i="1"/>
  <c r="AD1505" i="1" s="1"/>
  <c r="Q1505" i="1"/>
  <c r="AC1505" i="1" s="1"/>
  <c r="P1505" i="1"/>
  <c r="AB1505" i="1" s="1"/>
  <c r="Z1504" i="1"/>
  <c r="AL1504" i="1" s="1"/>
  <c r="Y1504" i="1"/>
  <c r="AK1504" i="1" s="1"/>
  <c r="X1504" i="1"/>
  <c r="AJ1504" i="1" s="1"/>
  <c r="W1504" i="1"/>
  <c r="AI1504" i="1" s="1"/>
  <c r="V1504" i="1"/>
  <c r="AH1504" i="1" s="1"/>
  <c r="U1504" i="1"/>
  <c r="AG1504" i="1" s="1"/>
  <c r="T1504" i="1"/>
  <c r="AF1504" i="1" s="1"/>
  <c r="S1504" i="1"/>
  <c r="AE1504" i="1" s="1"/>
  <c r="R1504" i="1"/>
  <c r="AD1504" i="1" s="1"/>
  <c r="Q1504" i="1"/>
  <c r="AC1504" i="1" s="1"/>
  <c r="P1504" i="1"/>
  <c r="AB1504" i="1" s="1"/>
  <c r="Z1503" i="1"/>
  <c r="AL1503" i="1" s="1"/>
  <c r="Y1503" i="1"/>
  <c r="AK1503" i="1" s="1"/>
  <c r="X1503" i="1"/>
  <c r="AJ1503" i="1" s="1"/>
  <c r="W1503" i="1"/>
  <c r="AI1503" i="1" s="1"/>
  <c r="V1503" i="1"/>
  <c r="AH1503" i="1" s="1"/>
  <c r="U1503" i="1"/>
  <c r="AG1503" i="1" s="1"/>
  <c r="T1503" i="1"/>
  <c r="AF1503" i="1" s="1"/>
  <c r="S1503" i="1"/>
  <c r="AE1503" i="1" s="1"/>
  <c r="R1503" i="1"/>
  <c r="AD1503" i="1" s="1"/>
  <c r="Q1503" i="1"/>
  <c r="AC1503" i="1" s="1"/>
  <c r="P1503" i="1"/>
  <c r="AB1503" i="1" s="1"/>
  <c r="Z1502" i="1"/>
  <c r="AL1502" i="1" s="1"/>
  <c r="Y1502" i="1"/>
  <c r="AK1502" i="1" s="1"/>
  <c r="X1502" i="1"/>
  <c r="AJ1502" i="1" s="1"/>
  <c r="W1502" i="1"/>
  <c r="AI1502" i="1" s="1"/>
  <c r="V1502" i="1"/>
  <c r="AH1502" i="1" s="1"/>
  <c r="U1502" i="1"/>
  <c r="AG1502" i="1" s="1"/>
  <c r="T1502" i="1"/>
  <c r="AF1502" i="1" s="1"/>
  <c r="S1502" i="1"/>
  <c r="AE1502" i="1" s="1"/>
  <c r="R1502" i="1"/>
  <c r="AD1502" i="1" s="1"/>
  <c r="Q1502" i="1"/>
  <c r="AC1502" i="1" s="1"/>
  <c r="P1502" i="1"/>
  <c r="AB1502" i="1" s="1"/>
  <c r="Z1501" i="1"/>
  <c r="AL1501" i="1" s="1"/>
  <c r="Y1501" i="1"/>
  <c r="AK1501" i="1" s="1"/>
  <c r="X1501" i="1"/>
  <c r="AJ1501" i="1" s="1"/>
  <c r="W1501" i="1"/>
  <c r="AI1501" i="1" s="1"/>
  <c r="V1501" i="1"/>
  <c r="AH1501" i="1" s="1"/>
  <c r="U1501" i="1"/>
  <c r="AG1501" i="1" s="1"/>
  <c r="T1501" i="1"/>
  <c r="AF1501" i="1" s="1"/>
  <c r="S1501" i="1"/>
  <c r="AE1501" i="1" s="1"/>
  <c r="R1501" i="1"/>
  <c r="AD1501" i="1" s="1"/>
  <c r="Q1501" i="1"/>
  <c r="AC1501" i="1" s="1"/>
  <c r="P1501" i="1"/>
  <c r="AB1501" i="1" s="1"/>
  <c r="Z1500" i="1"/>
  <c r="AL1500" i="1" s="1"/>
  <c r="Y1500" i="1"/>
  <c r="AK1500" i="1" s="1"/>
  <c r="X1500" i="1"/>
  <c r="AJ1500" i="1" s="1"/>
  <c r="W1500" i="1"/>
  <c r="AI1500" i="1" s="1"/>
  <c r="V1500" i="1"/>
  <c r="AH1500" i="1" s="1"/>
  <c r="U1500" i="1"/>
  <c r="AG1500" i="1" s="1"/>
  <c r="T1500" i="1"/>
  <c r="AF1500" i="1" s="1"/>
  <c r="S1500" i="1"/>
  <c r="AE1500" i="1" s="1"/>
  <c r="R1500" i="1"/>
  <c r="AD1500" i="1" s="1"/>
  <c r="Q1500" i="1"/>
  <c r="AC1500" i="1" s="1"/>
  <c r="P1500" i="1"/>
  <c r="AB1500" i="1" s="1"/>
  <c r="Z1499" i="1"/>
  <c r="AL1499" i="1" s="1"/>
  <c r="Y1499" i="1"/>
  <c r="AK1499" i="1" s="1"/>
  <c r="X1499" i="1"/>
  <c r="AJ1499" i="1" s="1"/>
  <c r="W1499" i="1"/>
  <c r="AI1499" i="1" s="1"/>
  <c r="V1499" i="1"/>
  <c r="AH1499" i="1" s="1"/>
  <c r="U1499" i="1"/>
  <c r="AG1499" i="1" s="1"/>
  <c r="T1499" i="1"/>
  <c r="AF1499" i="1" s="1"/>
  <c r="S1499" i="1"/>
  <c r="AE1499" i="1" s="1"/>
  <c r="R1499" i="1"/>
  <c r="AD1499" i="1" s="1"/>
  <c r="Q1499" i="1"/>
  <c r="AC1499" i="1" s="1"/>
  <c r="P1499" i="1"/>
  <c r="AB1499" i="1" s="1"/>
  <c r="Z1498" i="1"/>
  <c r="AL1498" i="1" s="1"/>
  <c r="Y1498" i="1"/>
  <c r="AK1498" i="1" s="1"/>
  <c r="X1498" i="1"/>
  <c r="AJ1498" i="1" s="1"/>
  <c r="W1498" i="1"/>
  <c r="AI1498" i="1" s="1"/>
  <c r="V1498" i="1"/>
  <c r="AH1498" i="1" s="1"/>
  <c r="U1498" i="1"/>
  <c r="AG1498" i="1" s="1"/>
  <c r="T1498" i="1"/>
  <c r="AF1498" i="1" s="1"/>
  <c r="S1498" i="1"/>
  <c r="AE1498" i="1" s="1"/>
  <c r="R1498" i="1"/>
  <c r="AD1498" i="1" s="1"/>
  <c r="Q1498" i="1"/>
  <c r="AC1498" i="1" s="1"/>
  <c r="P1498" i="1"/>
  <c r="AB1498" i="1" s="1"/>
  <c r="AC1497" i="1"/>
  <c r="Z1497" i="1"/>
  <c r="AL1497" i="1" s="1"/>
  <c r="Y1497" i="1"/>
  <c r="AK1497" i="1" s="1"/>
  <c r="X1497" i="1"/>
  <c r="AJ1497" i="1" s="1"/>
  <c r="W1497" i="1"/>
  <c r="AI1497" i="1" s="1"/>
  <c r="V1497" i="1"/>
  <c r="AH1497" i="1" s="1"/>
  <c r="U1497" i="1"/>
  <c r="AG1497" i="1" s="1"/>
  <c r="T1497" i="1"/>
  <c r="AF1497" i="1" s="1"/>
  <c r="S1497" i="1"/>
  <c r="AE1497" i="1" s="1"/>
  <c r="R1497" i="1"/>
  <c r="AD1497" i="1" s="1"/>
  <c r="Q1497" i="1"/>
  <c r="P1497" i="1"/>
  <c r="AB1497" i="1" s="1"/>
  <c r="Z1496" i="1"/>
  <c r="AL1496" i="1" s="1"/>
  <c r="Y1496" i="1"/>
  <c r="AK1496" i="1" s="1"/>
  <c r="X1496" i="1"/>
  <c r="AJ1496" i="1" s="1"/>
  <c r="W1496" i="1"/>
  <c r="AI1496" i="1" s="1"/>
  <c r="V1496" i="1"/>
  <c r="AH1496" i="1" s="1"/>
  <c r="U1496" i="1"/>
  <c r="AG1496" i="1" s="1"/>
  <c r="T1496" i="1"/>
  <c r="AF1496" i="1" s="1"/>
  <c r="S1496" i="1"/>
  <c r="AE1496" i="1" s="1"/>
  <c r="R1496" i="1"/>
  <c r="AD1496" i="1" s="1"/>
  <c r="Q1496" i="1"/>
  <c r="AC1496" i="1" s="1"/>
  <c r="P1496" i="1"/>
  <c r="AB1496" i="1" s="1"/>
  <c r="Z1495" i="1"/>
  <c r="AL1495" i="1" s="1"/>
  <c r="Y1495" i="1"/>
  <c r="AK1495" i="1" s="1"/>
  <c r="X1495" i="1"/>
  <c r="AJ1495" i="1" s="1"/>
  <c r="W1495" i="1"/>
  <c r="AI1495" i="1" s="1"/>
  <c r="V1495" i="1"/>
  <c r="AH1495" i="1" s="1"/>
  <c r="U1495" i="1"/>
  <c r="AG1495" i="1" s="1"/>
  <c r="T1495" i="1"/>
  <c r="AF1495" i="1" s="1"/>
  <c r="S1495" i="1"/>
  <c r="AE1495" i="1" s="1"/>
  <c r="R1495" i="1"/>
  <c r="AD1495" i="1" s="1"/>
  <c r="Q1495" i="1"/>
  <c r="AC1495" i="1" s="1"/>
  <c r="P1495" i="1"/>
  <c r="AB1495" i="1" s="1"/>
  <c r="Z1494" i="1"/>
  <c r="AL1494" i="1" s="1"/>
  <c r="Y1494" i="1"/>
  <c r="AK1494" i="1" s="1"/>
  <c r="X1494" i="1"/>
  <c r="AJ1494" i="1" s="1"/>
  <c r="W1494" i="1"/>
  <c r="AI1494" i="1" s="1"/>
  <c r="V1494" i="1"/>
  <c r="AH1494" i="1" s="1"/>
  <c r="U1494" i="1"/>
  <c r="AG1494" i="1" s="1"/>
  <c r="T1494" i="1"/>
  <c r="AF1494" i="1" s="1"/>
  <c r="S1494" i="1"/>
  <c r="AE1494" i="1" s="1"/>
  <c r="R1494" i="1"/>
  <c r="AD1494" i="1" s="1"/>
  <c r="Q1494" i="1"/>
  <c r="AC1494" i="1" s="1"/>
  <c r="P1494" i="1"/>
  <c r="AB1494" i="1" s="1"/>
  <c r="Z1446" i="1"/>
  <c r="AA1446" i="1" s="1"/>
  <c r="Z1445" i="1"/>
  <c r="AA1445" i="1" s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E1363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E1347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E1331" i="1"/>
  <c r="D1331" i="1" s="1"/>
  <c r="C1331" i="1"/>
  <c r="B1331" i="1"/>
  <c r="D1329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E1275" i="1"/>
  <c r="C1270" i="1"/>
  <c r="AA1250" i="1"/>
  <c r="AA1251" i="1" s="1"/>
  <c r="AA1252" i="1" s="1"/>
  <c r="AA1253" i="1" s="1"/>
  <c r="AA1254" i="1" s="1"/>
  <c r="AA1255" i="1" s="1"/>
  <c r="AA1256" i="1" s="1"/>
  <c r="AA1257" i="1" s="1"/>
  <c r="AA1258" i="1" s="1"/>
  <c r="AA1259" i="1" s="1"/>
  <c r="AA1260" i="1" s="1"/>
  <c r="AA1261" i="1" s="1"/>
  <c r="Z1250" i="1"/>
  <c r="Z1251" i="1" s="1"/>
  <c r="Z1252" i="1" s="1"/>
  <c r="Z1253" i="1" s="1"/>
  <c r="Z1254" i="1" s="1"/>
  <c r="Z1255" i="1" s="1"/>
  <c r="Z1256" i="1" s="1"/>
  <c r="Z1257" i="1" s="1"/>
  <c r="Z1258" i="1" s="1"/>
  <c r="Z1259" i="1" s="1"/>
  <c r="Z1260" i="1" s="1"/>
  <c r="Z1261" i="1" s="1"/>
  <c r="Y1250" i="1"/>
  <c r="Y1251" i="1" s="1"/>
  <c r="Y1252" i="1" s="1"/>
  <c r="Y1253" i="1" s="1"/>
  <c r="Y1254" i="1" s="1"/>
  <c r="Y1255" i="1" s="1"/>
  <c r="Y1256" i="1" s="1"/>
  <c r="Y1257" i="1" s="1"/>
  <c r="Y1258" i="1" s="1"/>
  <c r="Y1259" i="1" s="1"/>
  <c r="Y1260" i="1" s="1"/>
  <c r="Y1261" i="1" s="1"/>
  <c r="X1250" i="1"/>
  <c r="X1251" i="1" s="1"/>
  <c r="X1252" i="1" s="1"/>
  <c r="X1253" i="1" s="1"/>
  <c r="X1254" i="1" s="1"/>
  <c r="X1255" i="1" s="1"/>
  <c r="X1256" i="1" s="1"/>
  <c r="X1257" i="1" s="1"/>
  <c r="X1258" i="1" s="1"/>
  <c r="X1259" i="1" s="1"/>
  <c r="X1260" i="1" s="1"/>
  <c r="X1261" i="1" s="1"/>
  <c r="W1250" i="1"/>
  <c r="W1251" i="1" s="1"/>
  <c r="W1252" i="1" s="1"/>
  <c r="W1253" i="1" s="1"/>
  <c r="W1254" i="1" s="1"/>
  <c r="W1255" i="1" s="1"/>
  <c r="W1256" i="1" s="1"/>
  <c r="W1257" i="1" s="1"/>
  <c r="W1258" i="1" s="1"/>
  <c r="W1259" i="1" s="1"/>
  <c r="W1260" i="1" s="1"/>
  <c r="W1261" i="1" s="1"/>
  <c r="V1250" i="1"/>
  <c r="V1251" i="1" s="1"/>
  <c r="V1252" i="1" s="1"/>
  <c r="V1253" i="1" s="1"/>
  <c r="V1254" i="1" s="1"/>
  <c r="V1255" i="1" s="1"/>
  <c r="V1256" i="1" s="1"/>
  <c r="V1257" i="1" s="1"/>
  <c r="V1258" i="1" s="1"/>
  <c r="V1259" i="1" s="1"/>
  <c r="V1260" i="1" s="1"/>
  <c r="V1261" i="1" s="1"/>
  <c r="U1250" i="1"/>
  <c r="U1251" i="1" s="1"/>
  <c r="U1252" i="1" s="1"/>
  <c r="U1253" i="1" s="1"/>
  <c r="U1254" i="1" s="1"/>
  <c r="U1255" i="1" s="1"/>
  <c r="U1256" i="1" s="1"/>
  <c r="U1257" i="1" s="1"/>
  <c r="U1258" i="1" s="1"/>
  <c r="U1259" i="1" s="1"/>
  <c r="U1260" i="1" s="1"/>
  <c r="U1261" i="1" s="1"/>
  <c r="T1250" i="1"/>
  <c r="T1251" i="1" s="1"/>
  <c r="T1252" i="1" s="1"/>
  <c r="T1253" i="1" s="1"/>
  <c r="T1254" i="1" s="1"/>
  <c r="T1255" i="1" s="1"/>
  <c r="T1256" i="1" s="1"/>
  <c r="T1257" i="1" s="1"/>
  <c r="T1258" i="1" s="1"/>
  <c r="T1259" i="1" s="1"/>
  <c r="T1260" i="1" s="1"/>
  <c r="T1261" i="1" s="1"/>
  <c r="S1250" i="1"/>
  <c r="S1251" i="1" s="1"/>
  <c r="S1252" i="1" s="1"/>
  <c r="S1253" i="1" s="1"/>
  <c r="S1254" i="1" s="1"/>
  <c r="S1255" i="1" s="1"/>
  <c r="S1256" i="1" s="1"/>
  <c r="S1257" i="1" s="1"/>
  <c r="S1258" i="1" s="1"/>
  <c r="S1259" i="1" s="1"/>
  <c r="S1260" i="1" s="1"/>
  <c r="S1261" i="1" s="1"/>
  <c r="R1250" i="1"/>
  <c r="R1251" i="1" s="1"/>
  <c r="R1252" i="1" s="1"/>
  <c r="R1253" i="1" s="1"/>
  <c r="R1254" i="1" s="1"/>
  <c r="R1255" i="1" s="1"/>
  <c r="R1256" i="1" s="1"/>
  <c r="R1257" i="1" s="1"/>
  <c r="R1258" i="1" s="1"/>
  <c r="R1259" i="1" s="1"/>
  <c r="R1260" i="1" s="1"/>
  <c r="R1261" i="1" s="1"/>
  <c r="Q1250" i="1"/>
  <c r="Q1251" i="1" s="1"/>
  <c r="Q1252" i="1" s="1"/>
  <c r="Q1253" i="1" s="1"/>
  <c r="Q1254" i="1" s="1"/>
  <c r="Q1255" i="1" s="1"/>
  <c r="Q1256" i="1" s="1"/>
  <c r="Q1257" i="1" s="1"/>
  <c r="Q1258" i="1" s="1"/>
  <c r="Q1259" i="1" s="1"/>
  <c r="Q1260" i="1" s="1"/>
  <c r="Q1261" i="1" s="1"/>
  <c r="P1250" i="1"/>
  <c r="P1251" i="1" s="1"/>
  <c r="P1252" i="1" s="1"/>
  <c r="P1253" i="1" s="1"/>
  <c r="P1254" i="1" s="1"/>
  <c r="P1255" i="1" s="1"/>
  <c r="P1256" i="1" s="1"/>
  <c r="P1257" i="1" s="1"/>
  <c r="P1258" i="1" s="1"/>
  <c r="P1259" i="1" s="1"/>
  <c r="P1260" i="1" s="1"/>
  <c r="P1261" i="1" s="1"/>
  <c r="O1250" i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N1250" i="1"/>
  <c r="N1251" i="1" s="1"/>
  <c r="N1252" i="1" s="1"/>
  <c r="N1253" i="1" s="1"/>
  <c r="N1254" i="1" s="1"/>
  <c r="N1255" i="1" s="1"/>
  <c r="N1256" i="1" s="1"/>
  <c r="N1257" i="1" s="1"/>
  <c r="N1258" i="1" s="1"/>
  <c r="N1259" i="1" s="1"/>
  <c r="N1260" i="1" s="1"/>
  <c r="N1261" i="1" s="1"/>
  <c r="M1250" i="1"/>
  <c r="M1251" i="1" s="1"/>
  <c r="J1251" i="1" s="1"/>
  <c r="I1250" i="1"/>
  <c r="L1249" i="1"/>
  <c r="K1249" i="1"/>
  <c r="J1249" i="1"/>
  <c r="I1249" i="1"/>
  <c r="H1249" i="1"/>
  <c r="G1249" i="1"/>
  <c r="F1249" i="1"/>
  <c r="E1249" i="1"/>
  <c r="D1249" i="1"/>
  <c r="P1243" i="1"/>
  <c r="P1244" i="1" s="1"/>
  <c r="P1245" i="1" s="1"/>
  <c r="P1246" i="1" s="1"/>
  <c r="P1247" i="1" s="1"/>
  <c r="P1248" i="1" s="1"/>
  <c r="AA1237" i="1"/>
  <c r="AA1238" i="1" s="1"/>
  <c r="AA1239" i="1" s="1"/>
  <c r="AA1240" i="1" s="1"/>
  <c r="AA1241" i="1" s="1"/>
  <c r="AA1242" i="1" s="1"/>
  <c r="AA1243" i="1" s="1"/>
  <c r="AA1244" i="1" s="1"/>
  <c r="AA1245" i="1" s="1"/>
  <c r="AA1246" i="1" s="1"/>
  <c r="AA1247" i="1" s="1"/>
  <c r="AA1248" i="1" s="1"/>
  <c r="Z1237" i="1"/>
  <c r="Z1238" i="1" s="1"/>
  <c r="Z1239" i="1" s="1"/>
  <c r="Z1240" i="1" s="1"/>
  <c r="Z1241" i="1" s="1"/>
  <c r="Z1242" i="1" s="1"/>
  <c r="Z1243" i="1" s="1"/>
  <c r="Z1244" i="1" s="1"/>
  <c r="Z1245" i="1" s="1"/>
  <c r="Z1246" i="1" s="1"/>
  <c r="Z1247" i="1" s="1"/>
  <c r="Z1248" i="1" s="1"/>
  <c r="Y1237" i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X1237" i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W1237" i="1"/>
  <c r="W1238" i="1" s="1"/>
  <c r="W1239" i="1" s="1"/>
  <c r="W1240" i="1" s="1"/>
  <c r="W1241" i="1" s="1"/>
  <c r="W1242" i="1" s="1"/>
  <c r="W1243" i="1" s="1"/>
  <c r="W1244" i="1" s="1"/>
  <c r="W1245" i="1" s="1"/>
  <c r="W1246" i="1" s="1"/>
  <c r="W1247" i="1" s="1"/>
  <c r="W1248" i="1" s="1"/>
  <c r="V1237" i="1"/>
  <c r="V1238" i="1" s="1"/>
  <c r="V1239" i="1" s="1"/>
  <c r="V1240" i="1" s="1"/>
  <c r="V1241" i="1" s="1"/>
  <c r="V1242" i="1" s="1"/>
  <c r="V1243" i="1" s="1"/>
  <c r="V1244" i="1" s="1"/>
  <c r="V1245" i="1" s="1"/>
  <c r="V1246" i="1" s="1"/>
  <c r="V1247" i="1" s="1"/>
  <c r="V1248" i="1" s="1"/>
  <c r="U1237" i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T1237" i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S1237" i="1"/>
  <c r="S1238" i="1" s="1"/>
  <c r="S1239" i="1" s="1"/>
  <c r="S1240" i="1" s="1"/>
  <c r="S1241" i="1" s="1"/>
  <c r="S1242" i="1" s="1"/>
  <c r="S1243" i="1" s="1"/>
  <c r="S1244" i="1" s="1"/>
  <c r="S1245" i="1" s="1"/>
  <c r="S1246" i="1" s="1"/>
  <c r="S1247" i="1" s="1"/>
  <c r="S1248" i="1" s="1"/>
  <c r="R1237" i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Q1237" i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P1237" i="1"/>
  <c r="P1238" i="1" s="1"/>
  <c r="P1239" i="1" s="1"/>
  <c r="P1240" i="1" s="1"/>
  <c r="P1241" i="1" s="1"/>
  <c r="P1242" i="1" s="1"/>
  <c r="O1237" i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N1237" i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M1237" i="1"/>
  <c r="F1237" i="1" s="1"/>
  <c r="I1237" i="1"/>
  <c r="L1236" i="1"/>
  <c r="K1236" i="1"/>
  <c r="J1236" i="1"/>
  <c r="I1236" i="1"/>
  <c r="H1236" i="1"/>
  <c r="G1236" i="1"/>
  <c r="F1236" i="1"/>
  <c r="E1236" i="1"/>
  <c r="D1236" i="1"/>
  <c r="AA1224" i="1"/>
  <c r="AA1225" i="1" s="1"/>
  <c r="AA1226" i="1" s="1"/>
  <c r="AA1227" i="1" s="1"/>
  <c r="AA1228" i="1" s="1"/>
  <c r="AA1229" i="1" s="1"/>
  <c r="AA1230" i="1" s="1"/>
  <c r="AA1231" i="1" s="1"/>
  <c r="AA1232" i="1" s="1"/>
  <c r="AA1233" i="1" s="1"/>
  <c r="AA1234" i="1" s="1"/>
  <c r="AA1235" i="1" s="1"/>
  <c r="Z1224" i="1"/>
  <c r="Z1225" i="1" s="1"/>
  <c r="Z1226" i="1" s="1"/>
  <c r="Z1227" i="1" s="1"/>
  <c r="Z1228" i="1" s="1"/>
  <c r="Z1229" i="1" s="1"/>
  <c r="Z1230" i="1" s="1"/>
  <c r="Z1231" i="1" s="1"/>
  <c r="Z1232" i="1" s="1"/>
  <c r="Z1233" i="1" s="1"/>
  <c r="Z1234" i="1" s="1"/>
  <c r="Z1235" i="1" s="1"/>
  <c r="Y1224" i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X1224" i="1"/>
  <c r="X1225" i="1" s="1"/>
  <c r="X1226" i="1" s="1"/>
  <c r="X1227" i="1" s="1"/>
  <c r="X1228" i="1" s="1"/>
  <c r="X1229" i="1" s="1"/>
  <c r="X1230" i="1" s="1"/>
  <c r="X1231" i="1" s="1"/>
  <c r="X1232" i="1" s="1"/>
  <c r="X1233" i="1" s="1"/>
  <c r="X1234" i="1" s="1"/>
  <c r="X1235" i="1" s="1"/>
  <c r="W1224" i="1"/>
  <c r="W1225" i="1" s="1"/>
  <c r="W1226" i="1" s="1"/>
  <c r="W1227" i="1" s="1"/>
  <c r="W1228" i="1" s="1"/>
  <c r="W1229" i="1" s="1"/>
  <c r="W1230" i="1" s="1"/>
  <c r="W1231" i="1" s="1"/>
  <c r="W1232" i="1" s="1"/>
  <c r="W1233" i="1" s="1"/>
  <c r="W1234" i="1" s="1"/>
  <c r="W1235" i="1" s="1"/>
  <c r="V1224" i="1"/>
  <c r="V1225" i="1" s="1"/>
  <c r="V1226" i="1" s="1"/>
  <c r="V1227" i="1" s="1"/>
  <c r="V1228" i="1" s="1"/>
  <c r="V1229" i="1" s="1"/>
  <c r="V1230" i="1" s="1"/>
  <c r="V1231" i="1" s="1"/>
  <c r="V1232" i="1" s="1"/>
  <c r="V1233" i="1" s="1"/>
  <c r="V1234" i="1" s="1"/>
  <c r="V1235" i="1" s="1"/>
  <c r="U1224" i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T1224" i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S1224" i="1"/>
  <c r="S1225" i="1" s="1"/>
  <c r="S1226" i="1" s="1"/>
  <c r="S1227" i="1" s="1"/>
  <c r="S1228" i="1" s="1"/>
  <c r="S1229" i="1" s="1"/>
  <c r="S1230" i="1" s="1"/>
  <c r="S1231" i="1" s="1"/>
  <c r="S1232" i="1" s="1"/>
  <c r="S1233" i="1" s="1"/>
  <c r="S1234" i="1" s="1"/>
  <c r="S1235" i="1" s="1"/>
  <c r="R1224" i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Q1224" i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P1224" i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O1224" i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N1224" i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M1224" i="1"/>
  <c r="G1224" i="1" s="1"/>
  <c r="K1224" i="1"/>
  <c r="D1224" i="1"/>
  <c r="L1223" i="1"/>
  <c r="K1223" i="1"/>
  <c r="J1223" i="1"/>
  <c r="I1223" i="1"/>
  <c r="H1223" i="1"/>
  <c r="G1223" i="1"/>
  <c r="F1223" i="1"/>
  <c r="E1223" i="1"/>
  <c r="D1223" i="1"/>
  <c r="AA1208" i="1"/>
  <c r="AA1209" i="1" s="1"/>
  <c r="AA1210" i="1" s="1"/>
  <c r="AA1211" i="1" s="1"/>
  <c r="AA1212" i="1" s="1"/>
  <c r="AA1213" i="1" s="1"/>
  <c r="AA1214" i="1" s="1"/>
  <c r="AA1215" i="1" s="1"/>
  <c r="AA1216" i="1" s="1"/>
  <c r="AA1217" i="1" s="1"/>
  <c r="AA1218" i="1" s="1"/>
  <c r="AA1219" i="1" s="1"/>
  <c r="Z1208" i="1"/>
  <c r="Z1209" i="1" s="1"/>
  <c r="Z1210" i="1" s="1"/>
  <c r="Z1211" i="1" s="1"/>
  <c r="Z1212" i="1" s="1"/>
  <c r="Z1213" i="1" s="1"/>
  <c r="Z1214" i="1" s="1"/>
  <c r="Z1215" i="1" s="1"/>
  <c r="Z1216" i="1" s="1"/>
  <c r="Z1217" i="1" s="1"/>
  <c r="Z1218" i="1" s="1"/>
  <c r="Z1219" i="1" s="1"/>
  <c r="Y1208" i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X1208" i="1"/>
  <c r="X1209" i="1" s="1"/>
  <c r="X1210" i="1" s="1"/>
  <c r="X1211" i="1" s="1"/>
  <c r="X1212" i="1" s="1"/>
  <c r="X1213" i="1" s="1"/>
  <c r="X1214" i="1" s="1"/>
  <c r="X1215" i="1" s="1"/>
  <c r="X1216" i="1" s="1"/>
  <c r="X1217" i="1" s="1"/>
  <c r="X1218" i="1" s="1"/>
  <c r="X1219" i="1" s="1"/>
  <c r="W1208" i="1"/>
  <c r="W1209" i="1" s="1"/>
  <c r="W1210" i="1" s="1"/>
  <c r="W1211" i="1" s="1"/>
  <c r="W1212" i="1" s="1"/>
  <c r="W1213" i="1" s="1"/>
  <c r="W1214" i="1" s="1"/>
  <c r="W1215" i="1" s="1"/>
  <c r="W1216" i="1" s="1"/>
  <c r="W1217" i="1" s="1"/>
  <c r="W1218" i="1" s="1"/>
  <c r="W1219" i="1" s="1"/>
  <c r="V1208" i="1"/>
  <c r="V1209" i="1" s="1"/>
  <c r="V1210" i="1" s="1"/>
  <c r="V1211" i="1" s="1"/>
  <c r="V1212" i="1" s="1"/>
  <c r="V1213" i="1" s="1"/>
  <c r="V1214" i="1" s="1"/>
  <c r="V1215" i="1" s="1"/>
  <c r="V1216" i="1" s="1"/>
  <c r="V1217" i="1" s="1"/>
  <c r="V1218" i="1" s="1"/>
  <c r="V1219" i="1" s="1"/>
  <c r="U1208" i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T1208" i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S1208" i="1"/>
  <c r="S1209" i="1" s="1"/>
  <c r="S1210" i="1" s="1"/>
  <c r="S1211" i="1" s="1"/>
  <c r="S1212" i="1" s="1"/>
  <c r="S1213" i="1" s="1"/>
  <c r="S1214" i="1" s="1"/>
  <c r="S1215" i="1" s="1"/>
  <c r="S1216" i="1" s="1"/>
  <c r="S1217" i="1" s="1"/>
  <c r="S1218" i="1" s="1"/>
  <c r="S1219" i="1" s="1"/>
  <c r="R1208" i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Q1208" i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P1208" i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O1208" i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N1208" i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M1208" i="1"/>
  <c r="M1209" i="1" s="1"/>
  <c r="I1209" i="1" s="1"/>
  <c r="G1208" i="1"/>
  <c r="L1207" i="1"/>
  <c r="K1207" i="1"/>
  <c r="J1207" i="1"/>
  <c r="I1207" i="1"/>
  <c r="H1207" i="1"/>
  <c r="G1207" i="1"/>
  <c r="F1207" i="1"/>
  <c r="E1207" i="1"/>
  <c r="D1207" i="1"/>
  <c r="T1198" i="1"/>
  <c r="T1199" i="1" s="1"/>
  <c r="T1200" i="1" s="1"/>
  <c r="T1201" i="1" s="1"/>
  <c r="T1202" i="1" s="1"/>
  <c r="T1203" i="1" s="1"/>
  <c r="T1204" i="1" s="1"/>
  <c r="T1205" i="1" s="1"/>
  <c r="T1206" i="1" s="1"/>
  <c r="AA1196" i="1"/>
  <c r="AA1197" i="1" s="1"/>
  <c r="AA1198" i="1" s="1"/>
  <c r="AA1199" i="1" s="1"/>
  <c r="AA1200" i="1" s="1"/>
  <c r="AA1201" i="1" s="1"/>
  <c r="AA1202" i="1" s="1"/>
  <c r="AA1203" i="1" s="1"/>
  <c r="AA1204" i="1" s="1"/>
  <c r="AA1205" i="1" s="1"/>
  <c r="AA1206" i="1" s="1"/>
  <c r="AA1195" i="1"/>
  <c r="Z1195" i="1"/>
  <c r="Z1196" i="1" s="1"/>
  <c r="Z1197" i="1" s="1"/>
  <c r="Z1198" i="1" s="1"/>
  <c r="Z1199" i="1" s="1"/>
  <c r="Z1200" i="1" s="1"/>
  <c r="Z1201" i="1" s="1"/>
  <c r="Z1202" i="1" s="1"/>
  <c r="Z1203" i="1" s="1"/>
  <c r="Z1204" i="1" s="1"/>
  <c r="Z1205" i="1" s="1"/>
  <c r="Z1206" i="1" s="1"/>
  <c r="Y1195" i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X1195" i="1"/>
  <c r="X1196" i="1" s="1"/>
  <c r="X1197" i="1" s="1"/>
  <c r="X1198" i="1" s="1"/>
  <c r="X1199" i="1" s="1"/>
  <c r="X1200" i="1" s="1"/>
  <c r="X1201" i="1" s="1"/>
  <c r="X1202" i="1" s="1"/>
  <c r="X1203" i="1" s="1"/>
  <c r="X1204" i="1" s="1"/>
  <c r="X1205" i="1" s="1"/>
  <c r="X1206" i="1" s="1"/>
  <c r="W1195" i="1"/>
  <c r="W1196" i="1" s="1"/>
  <c r="W1197" i="1" s="1"/>
  <c r="W1198" i="1" s="1"/>
  <c r="W1199" i="1" s="1"/>
  <c r="W1200" i="1" s="1"/>
  <c r="W1201" i="1" s="1"/>
  <c r="W1202" i="1" s="1"/>
  <c r="W1203" i="1" s="1"/>
  <c r="W1204" i="1" s="1"/>
  <c r="W1205" i="1" s="1"/>
  <c r="W1206" i="1" s="1"/>
  <c r="V1195" i="1"/>
  <c r="V1196" i="1" s="1"/>
  <c r="V1197" i="1" s="1"/>
  <c r="V1198" i="1" s="1"/>
  <c r="V1199" i="1" s="1"/>
  <c r="V1200" i="1" s="1"/>
  <c r="V1201" i="1" s="1"/>
  <c r="V1202" i="1" s="1"/>
  <c r="V1203" i="1" s="1"/>
  <c r="V1204" i="1" s="1"/>
  <c r="V1205" i="1" s="1"/>
  <c r="V1206" i="1" s="1"/>
  <c r="U1195" i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T1195" i="1"/>
  <c r="T1196" i="1" s="1"/>
  <c r="T1197" i="1" s="1"/>
  <c r="S1195" i="1"/>
  <c r="S1196" i="1" s="1"/>
  <c r="S1197" i="1" s="1"/>
  <c r="S1198" i="1" s="1"/>
  <c r="S1199" i="1" s="1"/>
  <c r="S1200" i="1" s="1"/>
  <c r="S1201" i="1" s="1"/>
  <c r="S1202" i="1" s="1"/>
  <c r="S1203" i="1" s="1"/>
  <c r="S1204" i="1" s="1"/>
  <c r="S1205" i="1" s="1"/>
  <c r="S1206" i="1" s="1"/>
  <c r="R1195" i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Q1195" i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P1195" i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O1195" i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N1195" i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M1195" i="1"/>
  <c r="M1196" i="1" s="1"/>
  <c r="J1196" i="1" s="1"/>
  <c r="J1195" i="1"/>
  <c r="G1195" i="1"/>
  <c r="L1194" i="1"/>
  <c r="K1194" i="1"/>
  <c r="J1194" i="1"/>
  <c r="I1194" i="1"/>
  <c r="H1194" i="1"/>
  <c r="G1194" i="1"/>
  <c r="F1194" i="1"/>
  <c r="E1194" i="1"/>
  <c r="D1194" i="1"/>
  <c r="AA1187" i="1"/>
  <c r="AA1188" i="1" s="1"/>
  <c r="AA1189" i="1" s="1"/>
  <c r="AA1190" i="1" s="1"/>
  <c r="AA1191" i="1" s="1"/>
  <c r="AA1192" i="1" s="1"/>
  <c r="AA1193" i="1" s="1"/>
  <c r="P1184" i="1"/>
  <c r="P1185" i="1" s="1"/>
  <c r="P1186" i="1" s="1"/>
  <c r="P1187" i="1" s="1"/>
  <c r="P1188" i="1" s="1"/>
  <c r="P1189" i="1" s="1"/>
  <c r="P1190" i="1" s="1"/>
  <c r="P1191" i="1" s="1"/>
  <c r="P1192" i="1" s="1"/>
  <c r="P1193" i="1" s="1"/>
  <c r="AA1182" i="1"/>
  <c r="AA1183" i="1" s="1"/>
  <c r="AA1184" i="1" s="1"/>
  <c r="AA1185" i="1" s="1"/>
  <c r="AA1186" i="1" s="1"/>
  <c r="Z1182" i="1"/>
  <c r="Z1183" i="1" s="1"/>
  <c r="Z1184" i="1" s="1"/>
  <c r="Z1185" i="1" s="1"/>
  <c r="Z1186" i="1" s="1"/>
  <c r="Z1187" i="1" s="1"/>
  <c r="Z1188" i="1" s="1"/>
  <c r="Z1189" i="1" s="1"/>
  <c r="Z1190" i="1" s="1"/>
  <c r="Z1191" i="1" s="1"/>
  <c r="Z1192" i="1" s="1"/>
  <c r="Z1193" i="1" s="1"/>
  <c r="Y1182" i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X1182" i="1"/>
  <c r="X1183" i="1" s="1"/>
  <c r="X1184" i="1" s="1"/>
  <c r="X1185" i="1" s="1"/>
  <c r="X1186" i="1" s="1"/>
  <c r="X1187" i="1" s="1"/>
  <c r="X1188" i="1" s="1"/>
  <c r="X1189" i="1" s="1"/>
  <c r="X1190" i="1" s="1"/>
  <c r="X1191" i="1" s="1"/>
  <c r="X1192" i="1" s="1"/>
  <c r="X1193" i="1" s="1"/>
  <c r="W1182" i="1"/>
  <c r="W1183" i="1" s="1"/>
  <c r="W1184" i="1" s="1"/>
  <c r="W1185" i="1" s="1"/>
  <c r="W1186" i="1" s="1"/>
  <c r="W1187" i="1" s="1"/>
  <c r="W1188" i="1" s="1"/>
  <c r="W1189" i="1" s="1"/>
  <c r="W1190" i="1" s="1"/>
  <c r="W1191" i="1" s="1"/>
  <c r="W1192" i="1" s="1"/>
  <c r="W1193" i="1" s="1"/>
  <c r="V1182" i="1"/>
  <c r="V1183" i="1" s="1"/>
  <c r="V1184" i="1" s="1"/>
  <c r="V1185" i="1" s="1"/>
  <c r="V1186" i="1" s="1"/>
  <c r="V1187" i="1" s="1"/>
  <c r="V1188" i="1" s="1"/>
  <c r="V1189" i="1" s="1"/>
  <c r="V1190" i="1" s="1"/>
  <c r="V1191" i="1" s="1"/>
  <c r="V1192" i="1" s="1"/>
  <c r="V1193" i="1" s="1"/>
  <c r="U1182" i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T1182" i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S1182" i="1"/>
  <c r="S1183" i="1" s="1"/>
  <c r="S1184" i="1" s="1"/>
  <c r="S1185" i="1" s="1"/>
  <c r="S1186" i="1" s="1"/>
  <c r="S1187" i="1" s="1"/>
  <c r="S1188" i="1" s="1"/>
  <c r="S1189" i="1" s="1"/>
  <c r="S1190" i="1" s="1"/>
  <c r="S1191" i="1" s="1"/>
  <c r="S1192" i="1" s="1"/>
  <c r="S1193" i="1" s="1"/>
  <c r="R1182" i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Q1182" i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P1182" i="1"/>
  <c r="P1183" i="1" s="1"/>
  <c r="O1182" i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N1182" i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M1182" i="1"/>
  <c r="G1182" i="1" s="1"/>
  <c r="L1181" i="1"/>
  <c r="K1181" i="1"/>
  <c r="J1181" i="1"/>
  <c r="I1181" i="1"/>
  <c r="H1181" i="1"/>
  <c r="G1181" i="1"/>
  <c r="F1181" i="1"/>
  <c r="E1181" i="1"/>
  <c r="D1181" i="1"/>
  <c r="R1172" i="1"/>
  <c r="R1121" i="1" s="1"/>
  <c r="C1172" i="1"/>
  <c r="B1172" i="1"/>
  <c r="R1171" i="1"/>
  <c r="Q1171" i="1" s="1"/>
  <c r="C1171" i="1"/>
  <c r="B1171" i="1"/>
  <c r="R1170" i="1"/>
  <c r="Q1170" i="1" s="1"/>
  <c r="C1170" i="1"/>
  <c r="B1170" i="1"/>
  <c r="R1169" i="1"/>
  <c r="Q1169" i="1" s="1"/>
  <c r="C1169" i="1"/>
  <c r="B1169" i="1"/>
  <c r="R1168" i="1"/>
  <c r="R1117" i="1" s="1"/>
  <c r="C1168" i="1"/>
  <c r="B1168" i="1"/>
  <c r="R1167" i="1"/>
  <c r="Q1167" i="1" s="1"/>
  <c r="P1167" i="1" s="1"/>
  <c r="C1167" i="1"/>
  <c r="B1167" i="1"/>
  <c r="R1166" i="1"/>
  <c r="R1115" i="1" s="1"/>
  <c r="Q1166" i="1"/>
  <c r="P1166" i="1" s="1"/>
  <c r="P1115" i="1" s="1"/>
  <c r="C1166" i="1"/>
  <c r="B1166" i="1"/>
  <c r="R1165" i="1"/>
  <c r="Q1165" i="1" s="1"/>
  <c r="Q1114" i="1" s="1"/>
  <c r="P1165" i="1"/>
  <c r="O1165" i="1" s="1"/>
  <c r="C1165" i="1"/>
  <c r="B1165" i="1"/>
  <c r="R1164" i="1"/>
  <c r="R1113" i="1" s="1"/>
  <c r="C1164" i="1"/>
  <c r="B1164" i="1"/>
  <c r="R1163" i="1"/>
  <c r="Q1163" i="1" s="1"/>
  <c r="C1163" i="1"/>
  <c r="B1163" i="1"/>
  <c r="R1162" i="1"/>
  <c r="C1162" i="1"/>
  <c r="B1162" i="1"/>
  <c r="R1161" i="1"/>
  <c r="Q1161" i="1" s="1"/>
  <c r="P1161" i="1" s="1"/>
  <c r="O1161" i="1" s="1"/>
  <c r="N1161" i="1" s="1"/>
  <c r="M1161" i="1" s="1"/>
  <c r="L1161" i="1" s="1"/>
  <c r="C1161" i="1"/>
  <c r="B1161" i="1"/>
  <c r="R1160" i="1"/>
  <c r="Q1160" i="1" s="1"/>
  <c r="P1160" i="1" s="1"/>
  <c r="C1160" i="1"/>
  <c r="B1160" i="1"/>
  <c r="R1159" i="1"/>
  <c r="Q1159" i="1" s="1"/>
  <c r="P1159" i="1" s="1"/>
  <c r="O1159" i="1" s="1"/>
  <c r="N1159" i="1" s="1"/>
  <c r="M1159" i="1" s="1"/>
  <c r="C1159" i="1"/>
  <c r="B1159" i="1"/>
  <c r="R1158" i="1"/>
  <c r="Q1158" i="1" s="1"/>
  <c r="P1158" i="1" s="1"/>
  <c r="P1107" i="1" s="1"/>
  <c r="C1158" i="1"/>
  <c r="B1158" i="1"/>
  <c r="C1157" i="1"/>
  <c r="B1157" i="1"/>
  <c r="R1156" i="1"/>
  <c r="Q1156" i="1" s="1"/>
  <c r="C1156" i="1"/>
  <c r="B1156" i="1"/>
  <c r="R1155" i="1"/>
  <c r="Q1155" i="1" s="1"/>
  <c r="C1155" i="1"/>
  <c r="B1155" i="1"/>
  <c r="R1154" i="1"/>
  <c r="Q1154" i="1" s="1"/>
  <c r="P1154" i="1" s="1"/>
  <c r="O1154" i="1" s="1"/>
  <c r="N1154" i="1" s="1"/>
  <c r="M1154" i="1" s="1"/>
  <c r="L1154" i="1" s="1"/>
  <c r="L1103" i="1" s="1"/>
  <c r="C1154" i="1"/>
  <c r="B1154" i="1"/>
  <c r="R1153" i="1"/>
  <c r="Q1153" i="1" s="1"/>
  <c r="C1153" i="1"/>
  <c r="B1153" i="1"/>
  <c r="R1152" i="1"/>
  <c r="Q1152" i="1" s="1"/>
  <c r="P1152" i="1" s="1"/>
  <c r="O1152" i="1" s="1"/>
  <c r="N1152" i="1" s="1"/>
  <c r="C1152" i="1"/>
  <c r="B1152" i="1"/>
  <c r="R1151" i="1"/>
  <c r="Q1151" i="1" s="1"/>
  <c r="P1151" i="1" s="1"/>
  <c r="O1151" i="1" s="1"/>
  <c r="C1151" i="1"/>
  <c r="B1151" i="1"/>
  <c r="R1150" i="1"/>
  <c r="Q1150" i="1" s="1"/>
  <c r="P1150" i="1" s="1"/>
  <c r="C1150" i="1"/>
  <c r="B1150" i="1"/>
  <c r="R1149" i="1"/>
  <c r="Q1149" i="1" s="1"/>
  <c r="C1149" i="1"/>
  <c r="B1149" i="1"/>
  <c r="R1148" i="1"/>
  <c r="R1097" i="1" s="1"/>
  <c r="C1148" i="1"/>
  <c r="B1148" i="1"/>
  <c r="R1147" i="1"/>
  <c r="Q1147" i="1" s="1"/>
  <c r="P1147" i="1" s="1"/>
  <c r="O1147" i="1" s="1"/>
  <c r="N1147" i="1" s="1"/>
  <c r="M1147" i="1" s="1"/>
  <c r="L1147" i="1" s="1"/>
  <c r="K1147" i="1" s="1"/>
  <c r="J1147" i="1"/>
  <c r="I1147" i="1" s="1"/>
  <c r="C1147" i="1"/>
  <c r="B1147" i="1"/>
  <c r="R1146" i="1"/>
  <c r="Q1146" i="1" s="1"/>
  <c r="P1146" i="1" s="1"/>
  <c r="O1146" i="1" s="1"/>
  <c r="N1146" i="1" s="1"/>
  <c r="M1146" i="1" s="1"/>
  <c r="M1095" i="1" s="1"/>
  <c r="L1146" i="1"/>
  <c r="K1146" i="1" s="1"/>
  <c r="C1146" i="1"/>
  <c r="B1146" i="1"/>
  <c r="R1145" i="1"/>
  <c r="Q1145" i="1" s="1"/>
  <c r="C1145" i="1"/>
  <c r="B1145" i="1"/>
  <c r="R1144" i="1"/>
  <c r="Q1144" i="1" s="1"/>
  <c r="P1144" i="1" s="1"/>
  <c r="C1144" i="1"/>
  <c r="B1144" i="1"/>
  <c r="R1143" i="1"/>
  <c r="Q1143" i="1" s="1"/>
  <c r="C1143" i="1"/>
  <c r="B1143" i="1"/>
  <c r="R1142" i="1"/>
  <c r="Q1142" i="1" s="1"/>
  <c r="P1142" i="1"/>
  <c r="P1091" i="1" s="1"/>
  <c r="C1142" i="1"/>
  <c r="B1142" i="1"/>
  <c r="C1141" i="1"/>
  <c r="B1141" i="1"/>
  <c r="R1140" i="1"/>
  <c r="C1140" i="1"/>
  <c r="B1140" i="1"/>
  <c r="R1139" i="1"/>
  <c r="Q1139" i="1" s="1"/>
  <c r="P1139" i="1" s="1"/>
  <c r="O1139" i="1" s="1"/>
  <c r="N1139" i="1" s="1"/>
  <c r="M1139" i="1" s="1"/>
  <c r="L1139" i="1" s="1"/>
  <c r="C1139" i="1"/>
  <c r="B1139" i="1"/>
  <c r="R1138" i="1"/>
  <c r="Q1138" i="1" s="1"/>
  <c r="P1138" i="1" s="1"/>
  <c r="C1138" i="1"/>
  <c r="B1138" i="1"/>
  <c r="R1137" i="1"/>
  <c r="Q1137" i="1" s="1"/>
  <c r="P1137" i="1" s="1"/>
  <c r="O1137" i="1" s="1"/>
  <c r="O1086" i="1" s="1"/>
  <c r="C1137" i="1"/>
  <c r="B1137" i="1"/>
  <c r="R1136" i="1"/>
  <c r="Q1136" i="1" s="1"/>
  <c r="P1136" i="1" s="1"/>
  <c r="O1136" i="1" s="1"/>
  <c r="C1136" i="1"/>
  <c r="B1136" i="1"/>
  <c r="R1135" i="1"/>
  <c r="C1135" i="1"/>
  <c r="B1135" i="1"/>
  <c r="R1134" i="1"/>
  <c r="Q1134" i="1" s="1"/>
  <c r="C1134" i="1"/>
  <c r="B1134" i="1"/>
  <c r="R1133" i="1"/>
  <c r="R1082" i="1" s="1"/>
  <c r="C1133" i="1"/>
  <c r="B1133" i="1"/>
  <c r="R1132" i="1"/>
  <c r="Q1132" i="1" s="1"/>
  <c r="P1132" i="1" s="1"/>
  <c r="O1132" i="1" s="1"/>
  <c r="N1132" i="1" s="1"/>
  <c r="M1132" i="1" s="1"/>
  <c r="L1132" i="1" s="1"/>
  <c r="K1132" i="1" s="1"/>
  <c r="C1132" i="1"/>
  <c r="B1132" i="1"/>
  <c r="R1131" i="1"/>
  <c r="Q1131" i="1" s="1"/>
  <c r="P1131" i="1" s="1"/>
  <c r="O1131" i="1" s="1"/>
  <c r="N1131" i="1" s="1"/>
  <c r="M1131" i="1" s="1"/>
  <c r="L1131" i="1" s="1"/>
  <c r="C1131" i="1"/>
  <c r="B1131" i="1"/>
  <c r="R1130" i="1"/>
  <c r="Q1130" i="1" s="1"/>
  <c r="P1130" i="1" s="1"/>
  <c r="C1130" i="1"/>
  <c r="B1130" i="1"/>
  <c r="R1129" i="1"/>
  <c r="Q1129" i="1" s="1"/>
  <c r="P1129" i="1" s="1"/>
  <c r="O1129" i="1" s="1"/>
  <c r="O1078" i="1" s="1"/>
  <c r="C1129" i="1"/>
  <c r="B1129" i="1"/>
  <c r="R1128" i="1"/>
  <c r="C1128" i="1"/>
  <c r="B1128" i="1"/>
  <c r="R1127" i="1"/>
  <c r="Q1127" i="1" s="1"/>
  <c r="P1127" i="1" s="1"/>
  <c r="C1127" i="1"/>
  <c r="B1127" i="1"/>
  <c r="R1126" i="1"/>
  <c r="C1126" i="1"/>
  <c r="B1126" i="1"/>
  <c r="C1125" i="1"/>
  <c r="B1125" i="1"/>
  <c r="AD1121" i="1"/>
  <c r="AC1121" i="1"/>
  <c r="AB1121" i="1"/>
  <c r="E1378" i="1" s="1"/>
  <c r="AA1121" i="1"/>
  <c r="Z1121" i="1"/>
  <c r="Y1121" i="1"/>
  <c r="X1121" i="1"/>
  <c r="W1121" i="1"/>
  <c r="V1121" i="1"/>
  <c r="U1121" i="1"/>
  <c r="S1121" i="1"/>
  <c r="C1121" i="1"/>
  <c r="B1121" i="1"/>
  <c r="AD1120" i="1"/>
  <c r="AC1120" i="1"/>
  <c r="AB1120" i="1"/>
  <c r="E1377" i="1" s="1"/>
  <c r="AA1120" i="1"/>
  <c r="Z1120" i="1"/>
  <c r="Y1120" i="1"/>
  <c r="X1120" i="1"/>
  <c r="W1120" i="1"/>
  <c r="V1120" i="1"/>
  <c r="U1120" i="1"/>
  <c r="S1120" i="1"/>
  <c r="C1120" i="1"/>
  <c r="B1120" i="1"/>
  <c r="AD1119" i="1"/>
  <c r="AC1119" i="1"/>
  <c r="AB1119" i="1"/>
  <c r="E1376" i="1" s="1"/>
  <c r="AA1119" i="1"/>
  <c r="Z1119" i="1"/>
  <c r="Y1119" i="1"/>
  <c r="X1119" i="1"/>
  <c r="W1119" i="1"/>
  <c r="V1119" i="1"/>
  <c r="U1119" i="1"/>
  <c r="S1119" i="1"/>
  <c r="R1119" i="1"/>
  <c r="C1119" i="1"/>
  <c r="B1119" i="1"/>
  <c r="AD1118" i="1"/>
  <c r="AC1118" i="1"/>
  <c r="AB1118" i="1"/>
  <c r="E1375" i="1" s="1"/>
  <c r="AA1118" i="1"/>
  <c r="Z1118" i="1"/>
  <c r="Y1118" i="1"/>
  <c r="X1118" i="1"/>
  <c r="W1118" i="1"/>
  <c r="V1118" i="1"/>
  <c r="U1118" i="1"/>
  <c r="S1118" i="1"/>
  <c r="C1118" i="1"/>
  <c r="B1118" i="1"/>
  <c r="AD1117" i="1"/>
  <c r="AC1117" i="1"/>
  <c r="AB1117" i="1"/>
  <c r="E1374" i="1" s="1"/>
  <c r="AA1117" i="1"/>
  <c r="Z1117" i="1"/>
  <c r="Y1117" i="1"/>
  <c r="X1117" i="1"/>
  <c r="W1117" i="1"/>
  <c r="V1117" i="1"/>
  <c r="U1117" i="1"/>
  <c r="S1117" i="1"/>
  <c r="C1117" i="1"/>
  <c r="B1117" i="1"/>
  <c r="AD1116" i="1"/>
  <c r="AC1116" i="1"/>
  <c r="AB1116" i="1"/>
  <c r="E1373" i="1" s="1"/>
  <c r="AA1116" i="1"/>
  <c r="Z1116" i="1"/>
  <c r="Y1116" i="1"/>
  <c r="X1116" i="1"/>
  <c r="W1116" i="1"/>
  <c r="V1116" i="1"/>
  <c r="U1116" i="1"/>
  <c r="S1116" i="1"/>
  <c r="R1116" i="1"/>
  <c r="Q1116" i="1"/>
  <c r="C1116" i="1"/>
  <c r="B1116" i="1"/>
  <c r="AD1115" i="1"/>
  <c r="AC1115" i="1"/>
  <c r="AB1115" i="1"/>
  <c r="E1372" i="1" s="1"/>
  <c r="AA1115" i="1"/>
  <c r="Z1115" i="1"/>
  <c r="Y1115" i="1"/>
  <c r="X1115" i="1"/>
  <c r="W1115" i="1"/>
  <c r="V1115" i="1"/>
  <c r="U1115" i="1"/>
  <c r="S1115" i="1"/>
  <c r="C1115" i="1"/>
  <c r="B1115" i="1"/>
  <c r="AD1114" i="1"/>
  <c r="AC1114" i="1"/>
  <c r="AB1114" i="1"/>
  <c r="E1371" i="1" s="1"/>
  <c r="AA1114" i="1"/>
  <c r="Z1114" i="1"/>
  <c r="Y1114" i="1"/>
  <c r="X1114" i="1"/>
  <c r="W1114" i="1"/>
  <c r="V1114" i="1"/>
  <c r="U1114" i="1"/>
  <c r="S1114" i="1"/>
  <c r="R1114" i="1"/>
  <c r="P1114" i="1"/>
  <c r="C1114" i="1"/>
  <c r="B1114" i="1"/>
  <c r="AD1113" i="1"/>
  <c r="AC1113" i="1"/>
  <c r="AB1113" i="1"/>
  <c r="E1370" i="1" s="1"/>
  <c r="AA1113" i="1"/>
  <c r="Z1113" i="1"/>
  <c r="Y1113" i="1"/>
  <c r="X1113" i="1"/>
  <c r="W1113" i="1"/>
  <c r="V1113" i="1"/>
  <c r="U1113" i="1"/>
  <c r="S1113" i="1"/>
  <c r="C1113" i="1"/>
  <c r="B1113" i="1"/>
  <c r="AD1112" i="1"/>
  <c r="AC1112" i="1"/>
  <c r="AB1112" i="1"/>
  <c r="E1369" i="1" s="1"/>
  <c r="AA1112" i="1"/>
  <c r="Z1112" i="1"/>
  <c r="Y1112" i="1"/>
  <c r="X1112" i="1"/>
  <c r="W1112" i="1"/>
  <c r="V1112" i="1"/>
  <c r="U1112" i="1"/>
  <c r="S1112" i="1"/>
  <c r="C1112" i="1"/>
  <c r="B1112" i="1"/>
  <c r="AD1111" i="1"/>
  <c r="AC1111" i="1"/>
  <c r="AB1111" i="1"/>
  <c r="E1368" i="1" s="1"/>
  <c r="AA1111" i="1"/>
  <c r="Z1111" i="1"/>
  <c r="Y1111" i="1"/>
  <c r="X1111" i="1"/>
  <c r="W1111" i="1"/>
  <c r="V1111" i="1"/>
  <c r="U1111" i="1"/>
  <c r="S1111" i="1"/>
  <c r="C1111" i="1"/>
  <c r="B1111" i="1"/>
  <c r="AD1110" i="1"/>
  <c r="AC1110" i="1"/>
  <c r="AB1110" i="1"/>
  <c r="E1367" i="1" s="1"/>
  <c r="AA1110" i="1"/>
  <c r="Z1110" i="1"/>
  <c r="Y1110" i="1"/>
  <c r="X1110" i="1"/>
  <c r="W1110" i="1"/>
  <c r="V1110" i="1"/>
  <c r="U1110" i="1"/>
  <c r="S1110" i="1"/>
  <c r="R1110" i="1"/>
  <c r="P1110" i="1"/>
  <c r="O1110" i="1"/>
  <c r="C1110" i="1"/>
  <c r="B1110" i="1"/>
  <c r="AD1109" i="1"/>
  <c r="AC1109" i="1"/>
  <c r="AB1109" i="1"/>
  <c r="E1366" i="1" s="1"/>
  <c r="AA1109" i="1"/>
  <c r="Z1109" i="1"/>
  <c r="Y1109" i="1"/>
  <c r="X1109" i="1"/>
  <c r="W1109" i="1"/>
  <c r="V1109" i="1"/>
  <c r="U1109" i="1"/>
  <c r="S1109" i="1"/>
  <c r="R1109" i="1"/>
  <c r="C1109" i="1"/>
  <c r="B1109" i="1"/>
  <c r="AD1108" i="1"/>
  <c r="AC1108" i="1"/>
  <c r="AB1108" i="1"/>
  <c r="E1365" i="1" s="1"/>
  <c r="AA1108" i="1"/>
  <c r="Z1108" i="1"/>
  <c r="Y1108" i="1"/>
  <c r="X1108" i="1"/>
  <c r="W1108" i="1"/>
  <c r="V1108" i="1"/>
  <c r="U1108" i="1"/>
  <c r="S1108" i="1"/>
  <c r="R1108" i="1"/>
  <c r="Q1108" i="1"/>
  <c r="P1108" i="1"/>
  <c r="O1108" i="1"/>
  <c r="C1108" i="1"/>
  <c r="B1108" i="1"/>
  <c r="AD1107" i="1"/>
  <c r="AC1107" i="1"/>
  <c r="AB1107" i="1"/>
  <c r="E1364" i="1" s="1"/>
  <c r="AA1107" i="1"/>
  <c r="Z1107" i="1"/>
  <c r="Y1107" i="1"/>
  <c r="X1107" i="1"/>
  <c r="W1107" i="1"/>
  <c r="V1107" i="1"/>
  <c r="U1107" i="1"/>
  <c r="S1107" i="1"/>
  <c r="C1107" i="1"/>
  <c r="B1107" i="1"/>
  <c r="T1106" i="1"/>
  <c r="T1118" i="1" s="1"/>
  <c r="C1106" i="1"/>
  <c r="B1106" i="1"/>
  <c r="AD1105" i="1"/>
  <c r="AC1105" i="1"/>
  <c r="AB1105" i="1"/>
  <c r="E1362" i="1" s="1"/>
  <c r="AA1105" i="1"/>
  <c r="Z1105" i="1"/>
  <c r="Y1105" i="1"/>
  <c r="X1105" i="1"/>
  <c r="W1105" i="1"/>
  <c r="V1105" i="1"/>
  <c r="U1105" i="1"/>
  <c r="T1105" i="1"/>
  <c r="S1105" i="1"/>
  <c r="C1105" i="1"/>
  <c r="B1105" i="1"/>
  <c r="AD1104" i="1"/>
  <c r="AC1104" i="1"/>
  <c r="AB1104" i="1"/>
  <c r="E1361" i="1" s="1"/>
  <c r="AA1104" i="1"/>
  <c r="Z1104" i="1"/>
  <c r="Y1104" i="1"/>
  <c r="X1104" i="1"/>
  <c r="W1104" i="1"/>
  <c r="V1104" i="1"/>
  <c r="U1104" i="1"/>
  <c r="T1104" i="1"/>
  <c r="S1104" i="1"/>
  <c r="R1104" i="1"/>
  <c r="C1104" i="1"/>
  <c r="B1104" i="1"/>
  <c r="AD1103" i="1"/>
  <c r="AC1103" i="1"/>
  <c r="AB1103" i="1"/>
  <c r="E1360" i="1" s="1"/>
  <c r="AA1103" i="1"/>
  <c r="Z1103" i="1"/>
  <c r="Y1103" i="1"/>
  <c r="X1103" i="1"/>
  <c r="W1103" i="1"/>
  <c r="V1103" i="1"/>
  <c r="U1103" i="1"/>
  <c r="T1103" i="1"/>
  <c r="S1103" i="1"/>
  <c r="P1103" i="1"/>
  <c r="N1103" i="1"/>
  <c r="C1103" i="1"/>
  <c r="B1103" i="1"/>
  <c r="AD1102" i="1"/>
  <c r="AC1102" i="1"/>
  <c r="AB1102" i="1"/>
  <c r="E1359" i="1" s="1"/>
  <c r="AA1102" i="1"/>
  <c r="Z1102" i="1"/>
  <c r="Y1102" i="1"/>
  <c r="X1102" i="1"/>
  <c r="W1102" i="1"/>
  <c r="V1102" i="1"/>
  <c r="U1102" i="1"/>
  <c r="T1102" i="1"/>
  <c r="S1102" i="1"/>
  <c r="R1102" i="1"/>
  <c r="C1102" i="1"/>
  <c r="B1102" i="1"/>
  <c r="AD1101" i="1"/>
  <c r="AC1101" i="1"/>
  <c r="AB1101" i="1"/>
  <c r="E1358" i="1" s="1"/>
  <c r="AA1101" i="1"/>
  <c r="Z1101" i="1"/>
  <c r="Y1101" i="1"/>
  <c r="X1101" i="1"/>
  <c r="W1101" i="1"/>
  <c r="V1101" i="1"/>
  <c r="U1101" i="1"/>
  <c r="T1101" i="1"/>
  <c r="S1101" i="1"/>
  <c r="Q1101" i="1"/>
  <c r="O1101" i="1"/>
  <c r="C1101" i="1"/>
  <c r="B1101" i="1"/>
  <c r="AD1100" i="1"/>
  <c r="AC1100" i="1"/>
  <c r="AB1100" i="1"/>
  <c r="E1357" i="1" s="1"/>
  <c r="AA1100" i="1"/>
  <c r="Z1100" i="1"/>
  <c r="Y1100" i="1"/>
  <c r="X1100" i="1"/>
  <c r="W1100" i="1"/>
  <c r="V1100" i="1"/>
  <c r="U1100" i="1"/>
  <c r="T1100" i="1"/>
  <c r="S1100" i="1"/>
  <c r="R1100" i="1"/>
  <c r="P1100" i="1"/>
  <c r="C1100" i="1"/>
  <c r="B1100" i="1"/>
  <c r="AD1099" i="1"/>
  <c r="AC1099" i="1"/>
  <c r="AB1099" i="1"/>
  <c r="E1356" i="1" s="1"/>
  <c r="AA1099" i="1"/>
  <c r="Z1099" i="1"/>
  <c r="Y1099" i="1"/>
  <c r="X1099" i="1"/>
  <c r="W1099" i="1"/>
  <c r="V1099" i="1"/>
  <c r="U1099" i="1"/>
  <c r="T1099" i="1"/>
  <c r="S1099" i="1"/>
  <c r="C1099" i="1"/>
  <c r="B1099" i="1"/>
  <c r="AD1098" i="1"/>
  <c r="AC1098" i="1"/>
  <c r="AB1098" i="1"/>
  <c r="E1355" i="1" s="1"/>
  <c r="AA1098" i="1"/>
  <c r="Z1098" i="1"/>
  <c r="Y1098" i="1"/>
  <c r="X1098" i="1"/>
  <c r="W1098" i="1"/>
  <c r="V1098" i="1"/>
  <c r="U1098" i="1"/>
  <c r="T1098" i="1"/>
  <c r="S1098" i="1"/>
  <c r="C1098" i="1"/>
  <c r="B1098" i="1"/>
  <c r="AD1097" i="1"/>
  <c r="AC1097" i="1"/>
  <c r="AB1097" i="1"/>
  <c r="E1354" i="1" s="1"/>
  <c r="AA1097" i="1"/>
  <c r="Z1097" i="1"/>
  <c r="Y1097" i="1"/>
  <c r="X1097" i="1"/>
  <c r="W1097" i="1"/>
  <c r="V1097" i="1"/>
  <c r="U1097" i="1"/>
  <c r="T1097" i="1"/>
  <c r="S1097" i="1"/>
  <c r="C1097" i="1"/>
  <c r="B1097" i="1"/>
  <c r="AD1096" i="1"/>
  <c r="AC1096" i="1"/>
  <c r="AB1096" i="1"/>
  <c r="E1353" i="1" s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C1096" i="1"/>
  <c r="B1096" i="1"/>
  <c r="AD1095" i="1"/>
  <c r="AC1095" i="1"/>
  <c r="AB1095" i="1"/>
  <c r="E1352" i="1" s="1"/>
  <c r="AA1095" i="1"/>
  <c r="Z1095" i="1"/>
  <c r="Y1095" i="1"/>
  <c r="X1095" i="1"/>
  <c r="W1095" i="1"/>
  <c r="V1095" i="1"/>
  <c r="U1095" i="1"/>
  <c r="T1095" i="1"/>
  <c r="S1095" i="1"/>
  <c r="C1095" i="1"/>
  <c r="B1095" i="1"/>
  <c r="AD1094" i="1"/>
  <c r="AC1094" i="1"/>
  <c r="AB1094" i="1"/>
  <c r="E1351" i="1" s="1"/>
  <c r="AA1094" i="1"/>
  <c r="Z1094" i="1"/>
  <c r="Y1094" i="1"/>
  <c r="X1094" i="1"/>
  <c r="W1094" i="1"/>
  <c r="V1094" i="1"/>
  <c r="U1094" i="1"/>
  <c r="T1094" i="1"/>
  <c r="S1094" i="1"/>
  <c r="C1094" i="1"/>
  <c r="B1094" i="1"/>
  <c r="AD1093" i="1"/>
  <c r="AC1093" i="1"/>
  <c r="AB1093" i="1"/>
  <c r="E1350" i="1" s="1"/>
  <c r="AA1093" i="1"/>
  <c r="Z1093" i="1"/>
  <c r="Y1093" i="1"/>
  <c r="X1093" i="1"/>
  <c r="W1093" i="1"/>
  <c r="V1093" i="1"/>
  <c r="U1093" i="1"/>
  <c r="T1093" i="1"/>
  <c r="S1093" i="1"/>
  <c r="C1093" i="1"/>
  <c r="B1093" i="1"/>
  <c r="AD1092" i="1"/>
  <c r="AC1092" i="1"/>
  <c r="AB1092" i="1"/>
  <c r="E1349" i="1" s="1"/>
  <c r="AA1092" i="1"/>
  <c r="Z1092" i="1"/>
  <c r="Y1092" i="1"/>
  <c r="X1092" i="1"/>
  <c r="W1092" i="1"/>
  <c r="V1092" i="1"/>
  <c r="U1092" i="1"/>
  <c r="T1092" i="1"/>
  <c r="S1092" i="1"/>
  <c r="C1092" i="1"/>
  <c r="B1092" i="1"/>
  <c r="AC1091" i="1"/>
  <c r="AB1091" i="1"/>
  <c r="E1348" i="1" s="1"/>
  <c r="AA1091" i="1"/>
  <c r="Z1091" i="1"/>
  <c r="Y1091" i="1"/>
  <c r="X1091" i="1"/>
  <c r="W1091" i="1"/>
  <c r="V1091" i="1"/>
  <c r="U1091" i="1"/>
  <c r="T1091" i="1"/>
  <c r="S1091" i="1"/>
  <c r="R1091" i="1"/>
  <c r="Q1091" i="1"/>
  <c r="C1091" i="1"/>
  <c r="B1091" i="1"/>
  <c r="C1090" i="1"/>
  <c r="B1090" i="1"/>
  <c r="AD1089" i="1"/>
  <c r="AC1089" i="1"/>
  <c r="AB1089" i="1"/>
  <c r="E1346" i="1" s="1"/>
  <c r="AA1089" i="1"/>
  <c r="Z1089" i="1"/>
  <c r="Y1089" i="1"/>
  <c r="X1089" i="1"/>
  <c r="W1089" i="1"/>
  <c r="V1089" i="1"/>
  <c r="U1089" i="1"/>
  <c r="T1089" i="1"/>
  <c r="S1089" i="1"/>
  <c r="C1089" i="1"/>
  <c r="B1089" i="1"/>
  <c r="AD1088" i="1"/>
  <c r="AC1088" i="1"/>
  <c r="AB1088" i="1"/>
  <c r="E1345" i="1" s="1"/>
  <c r="AA1088" i="1"/>
  <c r="Z1088" i="1"/>
  <c r="Y1088" i="1"/>
  <c r="X1088" i="1"/>
  <c r="W1088" i="1"/>
  <c r="V1088" i="1"/>
  <c r="U1088" i="1"/>
  <c r="T1088" i="1"/>
  <c r="S1088" i="1"/>
  <c r="Q1088" i="1"/>
  <c r="C1088" i="1"/>
  <c r="B1088" i="1"/>
  <c r="AD1087" i="1"/>
  <c r="AC1087" i="1"/>
  <c r="AB1087" i="1"/>
  <c r="E1344" i="1" s="1"/>
  <c r="AA1087" i="1"/>
  <c r="Z1087" i="1"/>
  <c r="Y1087" i="1"/>
  <c r="X1087" i="1"/>
  <c r="W1087" i="1"/>
  <c r="V1087" i="1"/>
  <c r="U1087" i="1"/>
  <c r="T1087" i="1"/>
  <c r="S1087" i="1"/>
  <c r="C1087" i="1"/>
  <c r="B1087" i="1"/>
  <c r="AD1086" i="1"/>
  <c r="AC1086" i="1"/>
  <c r="AB1086" i="1"/>
  <c r="E1343" i="1" s="1"/>
  <c r="AA1086" i="1"/>
  <c r="Z1086" i="1"/>
  <c r="Y1086" i="1"/>
  <c r="X1086" i="1"/>
  <c r="W1086" i="1"/>
  <c r="V1086" i="1"/>
  <c r="U1086" i="1"/>
  <c r="T1086" i="1"/>
  <c r="S1086" i="1"/>
  <c r="C1086" i="1"/>
  <c r="B1086" i="1"/>
  <c r="AD1085" i="1"/>
  <c r="AC1085" i="1"/>
  <c r="AB1085" i="1"/>
  <c r="E1342" i="1" s="1"/>
  <c r="AA1085" i="1"/>
  <c r="Z1085" i="1"/>
  <c r="Y1085" i="1"/>
  <c r="X1085" i="1"/>
  <c r="W1085" i="1"/>
  <c r="V1085" i="1"/>
  <c r="U1085" i="1"/>
  <c r="T1085" i="1"/>
  <c r="S1085" i="1"/>
  <c r="C1085" i="1"/>
  <c r="B1085" i="1"/>
  <c r="AD1084" i="1"/>
  <c r="AC1084" i="1"/>
  <c r="AB1084" i="1"/>
  <c r="E1341" i="1" s="1"/>
  <c r="AA1084" i="1"/>
  <c r="Z1084" i="1"/>
  <c r="Y1084" i="1"/>
  <c r="X1084" i="1"/>
  <c r="W1084" i="1"/>
  <c r="V1084" i="1"/>
  <c r="U1084" i="1"/>
  <c r="T1084" i="1"/>
  <c r="S1084" i="1"/>
  <c r="C1084" i="1"/>
  <c r="B1084" i="1"/>
  <c r="AD1083" i="1"/>
  <c r="AC1083" i="1"/>
  <c r="AB1083" i="1"/>
  <c r="E1340" i="1" s="1"/>
  <c r="AA1083" i="1"/>
  <c r="Z1083" i="1"/>
  <c r="Y1083" i="1"/>
  <c r="X1083" i="1"/>
  <c r="W1083" i="1"/>
  <c r="V1083" i="1"/>
  <c r="U1083" i="1"/>
  <c r="T1083" i="1"/>
  <c r="S1083" i="1"/>
  <c r="C1083" i="1"/>
  <c r="B1083" i="1"/>
  <c r="AD1082" i="1"/>
  <c r="AC1082" i="1"/>
  <c r="AB1082" i="1"/>
  <c r="E1339" i="1" s="1"/>
  <c r="AA1082" i="1"/>
  <c r="Z1082" i="1"/>
  <c r="Y1082" i="1"/>
  <c r="X1082" i="1"/>
  <c r="W1082" i="1"/>
  <c r="V1082" i="1"/>
  <c r="U1082" i="1"/>
  <c r="T1082" i="1"/>
  <c r="S1082" i="1"/>
  <c r="C1082" i="1"/>
  <c r="B1082" i="1"/>
  <c r="AD1081" i="1"/>
  <c r="AC1081" i="1"/>
  <c r="AB1081" i="1"/>
  <c r="E1338" i="1" s="1"/>
  <c r="AA1081" i="1"/>
  <c r="Z1081" i="1"/>
  <c r="Y1081" i="1"/>
  <c r="X1081" i="1"/>
  <c r="W1081" i="1"/>
  <c r="V1081" i="1"/>
  <c r="U1081" i="1"/>
  <c r="T1081" i="1"/>
  <c r="S1081" i="1"/>
  <c r="C1081" i="1"/>
  <c r="B1081" i="1"/>
  <c r="AD1080" i="1"/>
  <c r="AC1080" i="1"/>
  <c r="AB1080" i="1"/>
  <c r="E1337" i="1" s="1"/>
  <c r="AA1080" i="1"/>
  <c r="Z1080" i="1"/>
  <c r="Y1080" i="1"/>
  <c r="X1080" i="1"/>
  <c r="W1080" i="1"/>
  <c r="V1080" i="1"/>
  <c r="U1080" i="1"/>
  <c r="T1080" i="1"/>
  <c r="S1080" i="1"/>
  <c r="C1080" i="1"/>
  <c r="B1080" i="1"/>
  <c r="AD1079" i="1"/>
  <c r="AC1079" i="1"/>
  <c r="AB1079" i="1"/>
  <c r="E1336" i="1" s="1"/>
  <c r="AA1079" i="1"/>
  <c r="Z1079" i="1"/>
  <c r="Y1079" i="1"/>
  <c r="X1079" i="1"/>
  <c r="W1079" i="1"/>
  <c r="V1079" i="1"/>
  <c r="U1079" i="1"/>
  <c r="T1079" i="1"/>
  <c r="S1079" i="1"/>
  <c r="R1079" i="1"/>
  <c r="C1079" i="1"/>
  <c r="B1079" i="1"/>
  <c r="AD1078" i="1"/>
  <c r="AC1078" i="1"/>
  <c r="AB1078" i="1"/>
  <c r="E1335" i="1" s="1"/>
  <c r="AA1078" i="1"/>
  <c r="Z1078" i="1"/>
  <c r="Y1078" i="1"/>
  <c r="X1078" i="1"/>
  <c r="W1078" i="1"/>
  <c r="V1078" i="1"/>
  <c r="U1078" i="1"/>
  <c r="T1078" i="1"/>
  <c r="S1078" i="1"/>
  <c r="C1078" i="1"/>
  <c r="B1078" i="1"/>
  <c r="AD1077" i="1"/>
  <c r="AC1077" i="1"/>
  <c r="AB1077" i="1"/>
  <c r="E1334" i="1" s="1"/>
  <c r="AA1077" i="1"/>
  <c r="Z1077" i="1"/>
  <c r="Y1077" i="1"/>
  <c r="X1077" i="1"/>
  <c r="W1077" i="1"/>
  <c r="V1077" i="1"/>
  <c r="U1077" i="1"/>
  <c r="T1077" i="1"/>
  <c r="S1077" i="1"/>
  <c r="C1077" i="1"/>
  <c r="B1077" i="1"/>
  <c r="AD1076" i="1"/>
  <c r="AC1076" i="1"/>
  <c r="AB1076" i="1"/>
  <c r="E1333" i="1" s="1"/>
  <c r="AA1076" i="1"/>
  <c r="Z1076" i="1"/>
  <c r="Y1076" i="1"/>
  <c r="X1076" i="1"/>
  <c r="W1076" i="1"/>
  <c r="V1076" i="1"/>
  <c r="U1076" i="1"/>
  <c r="T1076" i="1"/>
  <c r="S1076" i="1"/>
  <c r="C1076" i="1"/>
  <c r="B1076" i="1"/>
  <c r="AD1075" i="1"/>
  <c r="AC1075" i="1"/>
  <c r="AB1075" i="1"/>
  <c r="E1332" i="1" s="1"/>
  <c r="AA1075" i="1"/>
  <c r="Z1075" i="1"/>
  <c r="Y1075" i="1"/>
  <c r="X1075" i="1"/>
  <c r="W1075" i="1"/>
  <c r="V1075" i="1"/>
  <c r="U1075" i="1"/>
  <c r="T1075" i="1"/>
  <c r="S1075" i="1"/>
  <c r="C1075" i="1"/>
  <c r="B1075" i="1"/>
  <c r="C1074" i="1"/>
  <c r="B1074" i="1"/>
  <c r="AG1069" i="1"/>
  <c r="AH1069" i="1" s="1"/>
  <c r="AI1069" i="1" s="1"/>
  <c r="AJ1069" i="1" s="1"/>
  <c r="AK1069" i="1" s="1"/>
  <c r="AL1069" i="1" s="1"/>
  <c r="AM1069" i="1" s="1"/>
  <c r="AN1069" i="1" s="1"/>
  <c r="AO1069" i="1" s="1"/>
  <c r="AP1069" i="1" s="1"/>
  <c r="AQ1069" i="1" s="1"/>
  <c r="AR1069" i="1" s="1"/>
  <c r="AS1069" i="1" s="1"/>
  <c r="AT1069" i="1" s="1"/>
  <c r="AU1069" i="1" s="1"/>
  <c r="AV1069" i="1" s="1"/>
  <c r="AW1069" i="1" s="1"/>
  <c r="AX1069" i="1" s="1"/>
  <c r="AY1069" i="1" s="1"/>
  <c r="AZ1069" i="1" s="1"/>
  <c r="BA1069" i="1" s="1"/>
  <c r="BB1069" i="1" s="1"/>
  <c r="BC1069" i="1" s="1"/>
  <c r="BD1069" i="1" s="1"/>
  <c r="BE1069" i="1" s="1"/>
  <c r="BF1069" i="1" s="1"/>
  <c r="BG1069" i="1" s="1"/>
  <c r="AF1069" i="1"/>
  <c r="AG1068" i="1"/>
  <c r="AH1068" i="1" s="1"/>
  <c r="AI1068" i="1" s="1"/>
  <c r="AJ1068" i="1" s="1"/>
  <c r="AK1068" i="1" s="1"/>
  <c r="AL1068" i="1" s="1"/>
  <c r="AM1068" i="1" s="1"/>
  <c r="AN1068" i="1" s="1"/>
  <c r="AO1068" i="1" s="1"/>
  <c r="AP1068" i="1" s="1"/>
  <c r="AQ1068" i="1" s="1"/>
  <c r="AR1068" i="1" s="1"/>
  <c r="AS1068" i="1" s="1"/>
  <c r="AT1068" i="1" s="1"/>
  <c r="AU1068" i="1" s="1"/>
  <c r="AV1068" i="1" s="1"/>
  <c r="AW1068" i="1" s="1"/>
  <c r="AX1068" i="1" s="1"/>
  <c r="AY1068" i="1" s="1"/>
  <c r="AZ1068" i="1" s="1"/>
  <c r="BA1068" i="1" s="1"/>
  <c r="BB1068" i="1" s="1"/>
  <c r="BC1068" i="1" s="1"/>
  <c r="BD1068" i="1" s="1"/>
  <c r="BE1068" i="1" s="1"/>
  <c r="BF1068" i="1" s="1"/>
  <c r="BG1068" i="1" s="1"/>
  <c r="AF1068" i="1"/>
  <c r="AG1067" i="1"/>
  <c r="AH1067" i="1" s="1"/>
  <c r="AI1067" i="1" s="1"/>
  <c r="AJ1067" i="1" s="1"/>
  <c r="AK1067" i="1" s="1"/>
  <c r="AL1067" i="1" s="1"/>
  <c r="AM1067" i="1" s="1"/>
  <c r="AN1067" i="1" s="1"/>
  <c r="AO1067" i="1" s="1"/>
  <c r="AP1067" i="1" s="1"/>
  <c r="AQ1067" i="1" s="1"/>
  <c r="AR1067" i="1" s="1"/>
  <c r="AS1067" i="1" s="1"/>
  <c r="AT1067" i="1" s="1"/>
  <c r="AU1067" i="1" s="1"/>
  <c r="AV1067" i="1" s="1"/>
  <c r="AW1067" i="1" s="1"/>
  <c r="AX1067" i="1" s="1"/>
  <c r="AY1067" i="1" s="1"/>
  <c r="AZ1067" i="1" s="1"/>
  <c r="BA1067" i="1" s="1"/>
  <c r="BB1067" i="1" s="1"/>
  <c r="BC1067" i="1" s="1"/>
  <c r="BD1067" i="1" s="1"/>
  <c r="BE1067" i="1" s="1"/>
  <c r="BF1067" i="1" s="1"/>
  <c r="BG1067" i="1" s="1"/>
  <c r="AF1067" i="1"/>
  <c r="AG1066" i="1"/>
  <c r="AH1066" i="1" s="1"/>
  <c r="AI1066" i="1" s="1"/>
  <c r="AJ1066" i="1" s="1"/>
  <c r="AK1066" i="1" s="1"/>
  <c r="AL1066" i="1" s="1"/>
  <c r="AM1066" i="1" s="1"/>
  <c r="AN1066" i="1" s="1"/>
  <c r="AO1066" i="1" s="1"/>
  <c r="AP1066" i="1" s="1"/>
  <c r="AQ1066" i="1" s="1"/>
  <c r="AR1066" i="1" s="1"/>
  <c r="AS1066" i="1" s="1"/>
  <c r="AT1066" i="1" s="1"/>
  <c r="AU1066" i="1" s="1"/>
  <c r="AV1066" i="1" s="1"/>
  <c r="AW1066" i="1" s="1"/>
  <c r="AX1066" i="1" s="1"/>
  <c r="AY1066" i="1" s="1"/>
  <c r="AZ1066" i="1" s="1"/>
  <c r="BA1066" i="1" s="1"/>
  <c r="BB1066" i="1" s="1"/>
  <c r="BC1066" i="1" s="1"/>
  <c r="BD1066" i="1" s="1"/>
  <c r="BE1066" i="1" s="1"/>
  <c r="BF1066" i="1" s="1"/>
  <c r="BG1066" i="1" s="1"/>
  <c r="AF1066" i="1"/>
  <c r="AG1065" i="1"/>
  <c r="AH1065" i="1" s="1"/>
  <c r="AI1065" i="1" s="1"/>
  <c r="AJ1065" i="1" s="1"/>
  <c r="AK1065" i="1" s="1"/>
  <c r="AL1065" i="1" s="1"/>
  <c r="AM1065" i="1" s="1"/>
  <c r="AN1065" i="1" s="1"/>
  <c r="AO1065" i="1" s="1"/>
  <c r="AP1065" i="1" s="1"/>
  <c r="AQ1065" i="1" s="1"/>
  <c r="AR1065" i="1" s="1"/>
  <c r="AS1065" i="1" s="1"/>
  <c r="AT1065" i="1" s="1"/>
  <c r="AU1065" i="1" s="1"/>
  <c r="AV1065" i="1" s="1"/>
  <c r="AW1065" i="1" s="1"/>
  <c r="AX1065" i="1" s="1"/>
  <c r="AY1065" i="1" s="1"/>
  <c r="AZ1065" i="1" s="1"/>
  <c r="BA1065" i="1" s="1"/>
  <c r="BB1065" i="1" s="1"/>
  <c r="BC1065" i="1" s="1"/>
  <c r="BD1065" i="1" s="1"/>
  <c r="BE1065" i="1" s="1"/>
  <c r="BF1065" i="1" s="1"/>
  <c r="BG1065" i="1" s="1"/>
  <c r="AF1065" i="1"/>
  <c r="AG1064" i="1"/>
  <c r="AH1064" i="1" s="1"/>
  <c r="AI1064" i="1" s="1"/>
  <c r="AJ1064" i="1" s="1"/>
  <c r="AK1064" i="1" s="1"/>
  <c r="AL1064" i="1" s="1"/>
  <c r="AM1064" i="1" s="1"/>
  <c r="AN1064" i="1" s="1"/>
  <c r="AO1064" i="1" s="1"/>
  <c r="AP1064" i="1" s="1"/>
  <c r="AQ1064" i="1" s="1"/>
  <c r="AR1064" i="1" s="1"/>
  <c r="AS1064" i="1" s="1"/>
  <c r="AT1064" i="1" s="1"/>
  <c r="AU1064" i="1" s="1"/>
  <c r="AV1064" i="1" s="1"/>
  <c r="AW1064" i="1" s="1"/>
  <c r="AX1064" i="1" s="1"/>
  <c r="AY1064" i="1" s="1"/>
  <c r="AZ1064" i="1" s="1"/>
  <c r="BA1064" i="1" s="1"/>
  <c r="BB1064" i="1" s="1"/>
  <c r="BC1064" i="1" s="1"/>
  <c r="BD1064" i="1" s="1"/>
  <c r="BE1064" i="1" s="1"/>
  <c r="BF1064" i="1" s="1"/>
  <c r="BG1064" i="1" s="1"/>
  <c r="AF1064" i="1"/>
  <c r="AF1043" i="1"/>
  <c r="AG1043" i="1" s="1"/>
  <c r="AH1043" i="1" s="1"/>
  <c r="AI1043" i="1" s="1"/>
  <c r="AJ1043" i="1" s="1"/>
  <c r="AK1043" i="1" s="1"/>
  <c r="AL1043" i="1" s="1"/>
  <c r="AM1043" i="1" s="1"/>
  <c r="AN1043" i="1" s="1"/>
  <c r="AO1043" i="1" s="1"/>
  <c r="AP1043" i="1" s="1"/>
  <c r="AQ1043" i="1" s="1"/>
  <c r="AR1043" i="1" s="1"/>
  <c r="AS1043" i="1" s="1"/>
  <c r="AT1043" i="1" s="1"/>
  <c r="AU1043" i="1" s="1"/>
  <c r="AV1043" i="1" s="1"/>
  <c r="AW1043" i="1" s="1"/>
  <c r="AX1043" i="1" s="1"/>
  <c r="AY1043" i="1" s="1"/>
  <c r="AZ1043" i="1" s="1"/>
  <c r="BA1043" i="1" s="1"/>
  <c r="BB1043" i="1" s="1"/>
  <c r="BC1043" i="1" s="1"/>
  <c r="BD1043" i="1" s="1"/>
  <c r="BE1043" i="1" s="1"/>
  <c r="BF1043" i="1" s="1"/>
  <c r="BG1043" i="1" s="1"/>
  <c r="AF1042" i="1"/>
  <c r="AG1042" i="1" s="1"/>
  <c r="AH1042" i="1" s="1"/>
  <c r="AI1042" i="1" s="1"/>
  <c r="AJ1042" i="1" s="1"/>
  <c r="AK1042" i="1" s="1"/>
  <c r="AL1042" i="1" s="1"/>
  <c r="AM1042" i="1" s="1"/>
  <c r="AN1042" i="1" s="1"/>
  <c r="AO1042" i="1" s="1"/>
  <c r="AP1042" i="1" s="1"/>
  <c r="AQ1042" i="1" s="1"/>
  <c r="AR1042" i="1" s="1"/>
  <c r="AS1042" i="1" s="1"/>
  <c r="AT1042" i="1" s="1"/>
  <c r="AU1042" i="1" s="1"/>
  <c r="AV1042" i="1" s="1"/>
  <c r="AW1042" i="1" s="1"/>
  <c r="AX1042" i="1" s="1"/>
  <c r="AY1042" i="1" s="1"/>
  <c r="AZ1042" i="1" s="1"/>
  <c r="BA1042" i="1" s="1"/>
  <c r="BB1042" i="1" s="1"/>
  <c r="BC1042" i="1" s="1"/>
  <c r="BD1042" i="1" s="1"/>
  <c r="BE1042" i="1" s="1"/>
  <c r="BF1042" i="1" s="1"/>
  <c r="BG1042" i="1" s="1"/>
  <c r="AF1041" i="1"/>
  <c r="AG1041" i="1" s="1"/>
  <c r="AH1041" i="1" s="1"/>
  <c r="AI1041" i="1" s="1"/>
  <c r="AJ1041" i="1" s="1"/>
  <c r="AK1041" i="1" s="1"/>
  <c r="AL1041" i="1" s="1"/>
  <c r="AM1041" i="1" s="1"/>
  <c r="AN1041" i="1" s="1"/>
  <c r="AO1041" i="1" s="1"/>
  <c r="AP1041" i="1" s="1"/>
  <c r="AQ1041" i="1" s="1"/>
  <c r="AR1041" i="1" s="1"/>
  <c r="AS1041" i="1" s="1"/>
  <c r="AT1041" i="1" s="1"/>
  <c r="AU1041" i="1" s="1"/>
  <c r="AV1041" i="1" s="1"/>
  <c r="AW1041" i="1" s="1"/>
  <c r="AX1041" i="1" s="1"/>
  <c r="AY1041" i="1" s="1"/>
  <c r="AZ1041" i="1" s="1"/>
  <c r="BA1041" i="1" s="1"/>
  <c r="BB1041" i="1" s="1"/>
  <c r="BC1041" i="1" s="1"/>
  <c r="BD1041" i="1" s="1"/>
  <c r="BE1041" i="1" s="1"/>
  <c r="BF1041" i="1" s="1"/>
  <c r="BG1041" i="1" s="1"/>
  <c r="BF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BF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BF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BF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BF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BF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BF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BF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BF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BF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BF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BF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BF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BF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BF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BF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BF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BF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BF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BF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BF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BF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BF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BF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BF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BF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BF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BF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BF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BF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BF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BF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BF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BF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BF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BF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BF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BF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BF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BF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BF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BF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BF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BF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BF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BF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BF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BF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R478" i="1"/>
  <c r="S478" i="1" s="1"/>
  <c r="T478" i="1" s="1"/>
  <c r="BG763" i="1" l="1"/>
  <c r="BG770" i="1"/>
  <c r="BG746" i="1"/>
  <c r="BG748" i="1"/>
  <c r="BG749" i="1"/>
  <c r="BG751" i="1"/>
  <c r="BG753" i="1"/>
  <c r="BG758" i="1"/>
  <c r="BG759" i="1"/>
  <c r="BG761" i="1"/>
  <c r="BG766" i="1"/>
  <c r="BG757" i="1"/>
  <c r="BG764" i="1"/>
  <c r="BG785" i="1"/>
  <c r="BG774" i="1"/>
  <c r="BG772" i="1"/>
  <c r="BG782" i="1"/>
  <c r="BG787" i="1"/>
  <c r="AE1129" i="1"/>
  <c r="AE1077" i="1"/>
  <c r="AE1093" i="1"/>
  <c r="AE1145" i="1"/>
  <c r="AE1110" i="1"/>
  <c r="R1081" i="1"/>
  <c r="Q1081" i="1"/>
  <c r="O1080" i="1"/>
  <c r="Q1080" i="1"/>
  <c r="R1083" i="1"/>
  <c r="P1085" i="1"/>
  <c r="R1085" i="1"/>
  <c r="Q1085" i="1"/>
  <c r="R1087" i="1"/>
  <c r="Q1076" i="1"/>
  <c r="R1076" i="1"/>
  <c r="O1138" i="1"/>
  <c r="P1087" i="1"/>
  <c r="O1160" i="1"/>
  <c r="P1109" i="1"/>
  <c r="BG747" i="1"/>
  <c r="BG750" i="1"/>
  <c r="Q1079" i="1"/>
  <c r="BG790" i="1"/>
  <c r="BG765" i="1"/>
  <c r="BG771" i="1"/>
  <c r="BG786" i="1"/>
  <c r="BG788" i="1"/>
  <c r="R1105" i="1"/>
  <c r="L1081" i="1"/>
  <c r="M1081" i="1"/>
  <c r="N1081" i="1"/>
  <c r="O1081" i="1"/>
  <c r="P1081" i="1"/>
  <c r="O1166" i="1"/>
  <c r="N1166" i="1" s="1"/>
  <c r="M1166" i="1" s="1"/>
  <c r="M1115" i="1" s="1"/>
  <c r="L1095" i="1"/>
  <c r="I1182" i="1"/>
  <c r="E1195" i="1"/>
  <c r="M1110" i="1"/>
  <c r="R1095" i="1"/>
  <c r="N1110" i="1"/>
  <c r="Q1133" i="1"/>
  <c r="Q1082" i="1" s="1"/>
  <c r="O1142" i="1"/>
  <c r="N1142" i="1" s="1"/>
  <c r="H1195" i="1"/>
  <c r="I1195" i="1"/>
  <c r="E1208" i="1"/>
  <c r="Q1110" i="1"/>
  <c r="R1112" i="1"/>
  <c r="R1118" i="1"/>
  <c r="R1120" i="1"/>
  <c r="Q1168" i="1"/>
  <c r="P1168" i="1" s="1"/>
  <c r="H1208" i="1"/>
  <c r="I1208" i="1"/>
  <c r="J1208" i="1"/>
  <c r="J1237" i="1"/>
  <c r="D1250" i="1"/>
  <c r="K1237" i="1"/>
  <c r="E1250" i="1"/>
  <c r="F1250" i="1"/>
  <c r="G1250" i="1"/>
  <c r="H1250" i="1"/>
  <c r="R1092" i="1"/>
  <c r="L1250" i="1"/>
  <c r="BG775" i="1"/>
  <c r="BG777" i="1"/>
  <c r="BG779" i="1"/>
  <c r="BG781" i="1"/>
  <c r="BG783" i="1"/>
  <c r="Q1135" i="1"/>
  <c r="P1135" i="1" s="1"/>
  <c r="R1084" i="1"/>
  <c r="M1152" i="1"/>
  <c r="L1152" i="1" s="1"/>
  <c r="N1101" i="1"/>
  <c r="Q1126" i="1"/>
  <c r="P1126" i="1" s="1"/>
  <c r="R1075" i="1"/>
  <c r="N1136" i="1"/>
  <c r="O1085" i="1"/>
  <c r="P1153" i="1"/>
  <c r="Q1102" i="1"/>
  <c r="J1146" i="1"/>
  <c r="K1095" i="1"/>
  <c r="E1329" i="1"/>
  <c r="F1275" i="1"/>
  <c r="G1275" i="1" s="1"/>
  <c r="G1274" i="1" s="1"/>
  <c r="P1149" i="1"/>
  <c r="Q1098" i="1"/>
  <c r="O1100" i="1"/>
  <c r="N1151" i="1"/>
  <c r="P1156" i="1"/>
  <c r="Q1105" i="1"/>
  <c r="Q1128" i="1"/>
  <c r="R1077" i="1"/>
  <c r="P1145" i="1"/>
  <c r="Q1094" i="1"/>
  <c r="L1159" i="1"/>
  <c r="M1108" i="1"/>
  <c r="P1080" i="1"/>
  <c r="R1088" i="1"/>
  <c r="P1101" i="1"/>
  <c r="O1103" i="1"/>
  <c r="N1137" i="1"/>
  <c r="K1154" i="1"/>
  <c r="O1158" i="1"/>
  <c r="Q1164" i="1"/>
  <c r="Q1172" i="1"/>
  <c r="R1080" i="1"/>
  <c r="R1101" i="1"/>
  <c r="Q1103" i="1"/>
  <c r="Q1117" i="1"/>
  <c r="E1224" i="1"/>
  <c r="BG789" i="1"/>
  <c r="Q1087" i="1"/>
  <c r="M1088" i="1"/>
  <c r="R1094" i="1"/>
  <c r="N1095" i="1"/>
  <c r="Q1099" i="1"/>
  <c r="R1103" i="1"/>
  <c r="N1108" i="1"/>
  <c r="Q1109" i="1"/>
  <c r="O1115" i="1"/>
  <c r="E1182" i="1"/>
  <c r="K1195" i="1"/>
  <c r="K1208" i="1"/>
  <c r="F1224" i="1"/>
  <c r="J1250" i="1"/>
  <c r="BG754" i="1"/>
  <c r="BG755" i="1"/>
  <c r="BG756" i="1"/>
  <c r="BG778" i="1"/>
  <c r="BG791" i="1"/>
  <c r="P1086" i="1"/>
  <c r="N1088" i="1"/>
  <c r="O1095" i="1"/>
  <c r="R1098" i="1"/>
  <c r="R1099" i="1"/>
  <c r="Q1115" i="1"/>
  <c r="H1182" i="1"/>
  <c r="D1195" i="1"/>
  <c r="L1195" i="1"/>
  <c r="D1208" i="1"/>
  <c r="L1208" i="1"/>
  <c r="H1224" i="1"/>
  <c r="E1237" i="1"/>
  <c r="K1250" i="1"/>
  <c r="BG767" i="1"/>
  <c r="BG780" i="1"/>
  <c r="Q1078" i="1"/>
  <c r="M1080" i="1"/>
  <c r="Q1086" i="1"/>
  <c r="O1088" i="1"/>
  <c r="Q1093" i="1"/>
  <c r="P1095" i="1"/>
  <c r="Q1107" i="1"/>
  <c r="T1114" i="1"/>
  <c r="I1224" i="1"/>
  <c r="G1237" i="1"/>
  <c r="BG769" i="1"/>
  <c r="BG744" i="1"/>
  <c r="BG745" i="1"/>
  <c r="BG760" i="1"/>
  <c r="BG762" i="1"/>
  <c r="BG773" i="1"/>
  <c r="BG784" i="1"/>
  <c r="R1078" i="1"/>
  <c r="N1080" i="1"/>
  <c r="R1086" i="1"/>
  <c r="P1088" i="1"/>
  <c r="R1093" i="1"/>
  <c r="Q1095" i="1"/>
  <c r="Q1100" i="1"/>
  <c r="M1103" i="1"/>
  <c r="R1107" i="1"/>
  <c r="T1109" i="1"/>
  <c r="F1195" i="1"/>
  <c r="F1208" i="1"/>
  <c r="J1224" i="1"/>
  <c r="H1237" i="1"/>
  <c r="AK374" i="1"/>
  <c r="P1076" i="1"/>
  <c r="O1127" i="1"/>
  <c r="D1336" i="1"/>
  <c r="Q1140" i="1"/>
  <c r="R1089" i="1"/>
  <c r="D1339" i="1"/>
  <c r="D1359" i="1"/>
  <c r="P1078" i="1"/>
  <c r="D1356" i="1"/>
  <c r="N1129" i="1"/>
  <c r="L1080" i="1"/>
  <c r="K1131" i="1"/>
  <c r="P1163" i="1"/>
  <c r="Q1112" i="1"/>
  <c r="H1147" i="1"/>
  <c r="I1096" i="1"/>
  <c r="J1154" i="1"/>
  <c r="K1103" i="1"/>
  <c r="L1110" i="1"/>
  <c r="K1161" i="1"/>
  <c r="Q1075" i="1"/>
  <c r="P1143" i="1"/>
  <c r="Q1092" i="1"/>
  <c r="I1196" i="1"/>
  <c r="H1196" i="1"/>
  <c r="G1196" i="1"/>
  <c r="F1196" i="1"/>
  <c r="M1197" i="1"/>
  <c r="E1196" i="1"/>
  <c r="L1196" i="1"/>
  <c r="K1196" i="1"/>
  <c r="D1196" i="1"/>
  <c r="BG768" i="1"/>
  <c r="D1371" i="1"/>
  <c r="J1132" i="1"/>
  <c r="K1081" i="1"/>
  <c r="P1134" i="1"/>
  <c r="Q1083" i="1"/>
  <c r="L1088" i="1"/>
  <c r="K1139" i="1"/>
  <c r="O1130" i="1"/>
  <c r="P1079" i="1"/>
  <c r="BG752" i="1"/>
  <c r="BG776" i="1"/>
  <c r="D1351" i="1"/>
  <c r="D1366" i="1"/>
  <c r="O1144" i="1"/>
  <c r="P1093" i="1"/>
  <c r="Q1148" i="1"/>
  <c r="O1150" i="1"/>
  <c r="P1099" i="1"/>
  <c r="P1155" i="1"/>
  <c r="Q1104" i="1"/>
  <c r="Q1162" i="1"/>
  <c r="R1111" i="1"/>
  <c r="D1344" i="1"/>
  <c r="J1096" i="1"/>
  <c r="D1333" i="1"/>
  <c r="D1341" i="1"/>
  <c r="D1348" i="1"/>
  <c r="D1353" i="1"/>
  <c r="D1361" i="1"/>
  <c r="D1375" i="1"/>
  <c r="P1169" i="1"/>
  <c r="Q1118" i="1"/>
  <c r="D1338" i="1"/>
  <c r="D1346" i="1"/>
  <c r="D1350" i="1"/>
  <c r="D1358" i="1"/>
  <c r="N1165" i="1"/>
  <c r="O1114" i="1"/>
  <c r="P1117" i="1"/>
  <c r="O1168" i="1"/>
  <c r="D1335" i="1"/>
  <c r="D1343" i="1"/>
  <c r="D1355" i="1"/>
  <c r="T1120" i="1"/>
  <c r="T1115" i="1"/>
  <c r="T1121" i="1"/>
  <c r="T1113" i="1"/>
  <c r="T1116" i="1"/>
  <c r="T1119" i="1"/>
  <c r="T1111" i="1"/>
  <c r="T1108" i="1"/>
  <c r="D1365" i="1"/>
  <c r="P1116" i="1"/>
  <c r="O1167" i="1"/>
  <c r="P1171" i="1"/>
  <c r="Q1120" i="1"/>
  <c r="D1332" i="1"/>
  <c r="D1340" i="1"/>
  <c r="D1352" i="1"/>
  <c r="D1360" i="1"/>
  <c r="T1117" i="1"/>
  <c r="D1374" i="1"/>
  <c r="D1337" i="1"/>
  <c r="D1345" i="1"/>
  <c r="D1349" i="1"/>
  <c r="D1357" i="1"/>
  <c r="T1110" i="1"/>
  <c r="D1367" i="1"/>
  <c r="T1112" i="1"/>
  <c r="D1369" i="1"/>
  <c r="D1334" i="1"/>
  <c r="D1342" i="1"/>
  <c r="D1354" i="1"/>
  <c r="D1362" i="1"/>
  <c r="T1107" i="1"/>
  <c r="D1364" i="1"/>
  <c r="Q1119" i="1"/>
  <c r="P1170" i="1"/>
  <c r="F1251" i="1"/>
  <c r="M1252" i="1"/>
  <c r="E1251" i="1"/>
  <c r="L1251" i="1"/>
  <c r="D1251" i="1"/>
  <c r="K1251" i="1"/>
  <c r="I1251" i="1"/>
  <c r="G1251" i="1"/>
  <c r="H1251" i="1"/>
  <c r="D1368" i="1"/>
  <c r="D1376" i="1"/>
  <c r="J1182" i="1"/>
  <c r="D1373" i="1"/>
  <c r="K1182" i="1"/>
  <c r="D1370" i="1"/>
  <c r="D1378" i="1"/>
  <c r="D1182" i="1"/>
  <c r="L1182" i="1"/>
  <c r="M1183" i="1"/>
  <c r="H1209" i="1"/>
  <c r="G1209" i="1"/>
  <c r="F1209" i="1"/>
  <c r="M1210" i="1"/>
  <c r="E1209" i="1"/>
  <c r="L1209" i="1"/>
  <c r="D1209" i="1"/>
  <c r="J1209" i="1"/>
  <c r="D1372" i="1"/>
  <c r="F1182" i="1"/>
  <c r="K1209" i="1"/>
  <c r="D1377" i="1"/>
  <c r="L1224" i="1"/>
  <c r="M1225" i="1"/>
  <c r="D1237" i="1"/>
  <c r="L1237" i="1"/>
  <c r="M1238" i="1"/>
  <c r="D1347" i="1"/>
  <c r="D1363" i="1"/>
  <c r="AE1078" i="1" l="1"/>
  <c r="AE1130" i="1"/>
  <c r="AE1094" i="1"/>
  <c r="AE1146" i="1"/>
  <c r="AE1111" i="1"/>
  <c r="Q1084" i="1"/>
  <c r="P1133" i="1"/>
  <c r="N1115" i="1"/>
  <c r="O1091" i="1"/>
  <c r="L1166" i="1"/>
  <c r="M1101" i="1"/>
  <c r="N1160" i="1"/>
  <c r="O1109" i="1"/>
  <c r="N1138" i="1"/>
  <c r="O1087" i="1"/>
  <c r="G1329" i="1"/>
  <c r="H1275" i="1"/>
  <c r="H1329" i="1" s="1"/>
  <c r="Q1121" i="1"/>
  <c r="P1172" i="1"/>
  <c r="O1156" i="1"/>
  <c r="P1105" i="1"/>
  <c r="I1146" i="1"/>
  <c r="J1095" i="1"/>
  <c r="Q1113" i="1"/>
  <c r="P1164" i="1"/>
  <c r="M1151" i="1"/>
  <c r="N1100" i="1"/>
  <c r="P1128" i="1"/>
  <c r="Q1077" i="1"/>
  <c r="O1107" i="1"/>
  <c r="N1158" i="1"/>
  <c r="K1159" i="1"/>
  <c r="L1108" i="1"/>
  <c r="O1153" i="1"/>
  <c r="P1102" i="1"/>
  <c r="F1331" i="1"/>
  <c r="G1331" i="1" s="1"/>
  <c r="F1329" i="1"/>
  <c r="N1086" i="1"/>
  <c r="M1137" i="1"/>
  <c r="O1145" i="1"/>
  <c r="P1094" i="1"/>
  <c r="O1149" i="1"/>
  <c r="P1098" i="1"/>
  <c r="M1136" i="1"/>
  <c r="N1085" i="1"/>
  <c r="F1355" i="1"/>
  <c r="G1355" i="1" s="1"/>
  <c r="F1333" i="1"/>
  <c r="G1333" i="1" s="1"/>
  <c r="N1130" i="1"/>
  <c r="O1079" i="1"/>
  <c r="O1133" i="1"/>
  <c r="P1082" i="1"/>
  <c r="P1148" i="1"/>
  <c r="Q1097" i="1"/>
  <c r="O1171" i="1"/>
  <c r="P1120" i="1"/>
  <c r="I1197" i="1"/>
  <c r="H1197" i="1"/>
  <c r="G1197" i="1"/>
  <c r="F1197" i="1"/>
  <c r="M1198" i="1"/>
  <c r="E1197" i="1"/>
  <c r="L1197" i="1"/>
  <c r="K1197" i="1"/>
  <c r="J1197" i="1"/>
  <c r="D1197" i="1"/>
  <c r="O1126" i="1"/>
  <c r="P1075" i="1"/>
  <c r="P1140" i="1"/>
  <c r="Q1089" i="1"/>
  <c r="AK421" i="1"/>
  <c r="AK415" i="1"/>
  <c r="AK407" i="1"/>
  <c r="AK420" i="1"/>
  <c r="AK418" i="1"/>
  <c r="AK410" i="1"/>
  <c r="AK402" i="1"/>
  <c r="AK394" i="1"/>
  <c r="AK423" i="1"/>
  <c r="AK413" i="1"/>
  <c r="AK416" i="1"/>
  <c r="AK408" i="1"/>
  <c r="AK400" i="1"/>
  <c r="AK392" i="1"/>
  <c r="AK422" i="1"/>
  <c r="AK419" i="1"/>
  <c r="AK411" i="1"/>
  <c r="AK403" i="1"/>
  <c r="AK395" i="1"/>
  <c r="AK414" i="1"/>
  <c r="AK406" i="1"/>
  <c r="AK398" i="1"/>
  <c r="AK383" i="1"/>
  <c r="AK386" i="1"/>
  <c r="AK378" i="1"/>
  <c r="AK385" i="1"/>
  <c r="AK377" i="1"/>
  <c r="AK388" i="1"/>
  <c r="AK417" i="1"/>
  <c r="AK401" i="1"/>
  <c r="AK389" i="1"/>
  <c r="AK381" i="1"/>
  <c r="AL374" i="1"/>
  <c r="AM374" i="1" s="1"/>
  <c r="AN374" i="1" s="1"/>
  <c r="AO374" i="1" s="1"/>
  <c r="AP374" i="1" s="1"/>
  <c r="AQ374" i="1" s="1"/>
  <c r="AR374" i="1" s="1"/>
  <c r="AS374" i="1" s="1"/>
  <c r="AT374" i="1" s="1"/>
  <c r="AU374" i="1" s="1"/>
  <c r="AV374" i="1" s="1"/>
  <c r="AW374" i="1" s="1"/>
  <c r="AX374" i="1" s="1"/>
  <c r="AY374" i="1" s="1"/>
  <c r="AZ374" i="1" s="1"/>
  <c r="BA374" i="1" s="1"/>
  <c r="BB374" i="1" s="1"/>
  <c r="BC374" i="1" s="1"/>
  <c r="BD374" i="1" s="1"/>
  <c r="BE374" i="1" s="1"/>
  <c r="AK405" i="1"/>
  <c r="AK404" i="1"/>
  <c r="AK397" i="1"/>
  <c r="AK384" i="1"/>
  <c r="AK376" i="1"/>
  <c r="AK409" i="1"/>
  <c r="AK393" i="1"/>
  <c r="AK387" i="1"/>
  <c r="AK379" i="1"/>
  <c r="AK412" i="1"/>
  <c r="AK396" i="1"/>
  <c r="AK382" i="1"/>
  <c r="AK399" i="1"/>
  <c r="AK390" i="1"/>
  <c r="AK391" i="1"/>
  <c r="AK380" i="1"/>
  <c r="F1342" i="1"/>
  <c r="G1342" i="1" s="1"/>
  <c r="F1347" i="1"/>
  <c r="G1347" i="1" s="1"/>
  <c r="F1364" i="1"/>
  <c r="G1364" i="1" s="1"/>
  <c r="F1345" i="1"/>
  <c r="G1345" i="1" s="1"/>
  <c r="P1162" i="1"/>
  <c r="Q1111" i="1"/>
  <c r="G1147" i="1"/>
  <c r="H1096" i="1"/>
  <c r="F1377" i="1"/>
  <c r="G1377" i="1" s="1"/>
  <c r="F1352" i="1"/>
  <c r="G1352" i="1" s="1"/>
  <c r="N1144" i="1"/>
  <c r="O1093" i="1"/>
  <c r="H1210" i="1"/>
  <c r="G1210" i="1"/>
  <c r="F1210" i="1"/>
  <c r="M1211" i="1"/>
  <c r="E1210" i="1"/>
  <c r="L1210" i="1"/>
  <c r="D1210" i="1"/>
  <c r="K1210" i="1"/>
  <c r="J1210" i="1"/>
  <c r="I1210" i="1"/>
  <c r="F1353" i="1"/>
  <c r="G1353" i="1" s="1"/>
  <c r="K1152" i="1"/>
  <c r="L1101" i="1"/>
  <c r="J1139" i="1"/>
  <c r="K1088" i="1"/>
  <c r="F1371" i="1"/>
  <c r="G1371" i="1" s="1"/>
  <c r="F1359" i="1"/>
  <c r="G1359" i="1" s="1"/>
  <c r="F1336" i="1"/>
  <c r="G1336" i="1" s="1"/>
  <c r="F1373" i="1"/>
  <c r="G1373" i="1" s="1"/>
  <c r="F1369" i="1"/>
  <c r="G1369" i="1" s="1"/>
  <c r="F1238" i="1"/>
  <c r="M1239" i="1"/>
  <c r="E1238" i="1"/>
  <c r="L1238" i="1"/>
  <c r="D1238" i="1"/>
  <c r="K1238" i="1"/>
  <c r="J1238" i="1"/>
  <c r="G1238" i="1"/>
  <c r="I1238" i="1"/>
  <c r="H1238" i="1"/>
  <c r="F1350" i="1"/>
  <c r="G1350" i="1" s="1"/>
  <c r="J1131" i="1"/>
  <c r="K1080" i="1"/>
  <c r="F1374" i="1"/>
  <c r="G1374" i="1" s="1"/>
  <c r="F1340" i="1"/>
  <c r="G1340" i="1" s="1"/>
  <c r="F1335" i="1"/>
  <c r="G1335" i="1" s="1"/>
  <c r="O1169" i="1"/>
  <c r="P1118" i="1"/>
  <c r="F1348" i="1"/>
  <c r="G1348" i="1" s="1"/>
  <c r="O1155" i="1"/>
  <c r="P1104" i="1"/>
  <c r="I1154" i="1"/>
  <c r="J1103" i="1"/>
  <c r="O1163" i="1"/>
  <c r="P1112" i="1"/>
  <c r="N1127" i="1"/>
  <c r="O1076" i="1"/>
  <c r="I1132" i="1"/>
  <c r="J1081" i="1"/>
  <c r="F1360" i="1"/>
  <c r="G1360" i="1" s="1"/>
  <c r="M1165" i="1"/>
  <c r="N1114" i="1"/>
  <c r="J1161" i="1"/>
  <c r="K1110" i="1"/>
  <c r="F1372" i="1"/>
  <c r="G1372" i="1" s="1"/>
  <c r="F1370" i="1"/>
  <c r="G1370" i="1" s="1"/>
  <c r="F1368" i="1"/>
  <c r="G1368" i="1" s="1"/>
  <c r="F1252" i="1"/>
  <c r="M1253" i="1"/>
  <c r="E1252" i="1"/>
  <c r="L1252" i="1"/>
  <c r="D1252" i="1"/>
  <c r="K1252" i="1"/>
  <c r="I1252" i="1"/>
  <c r="J1252" i="1"/>
  <c r="H1252" i="1"/>
  <c r="G1252" i="1"/>
  <c r="O1117" i="1"/>
  <c r="N1168" i="1"/>
  <c r="M1142" i="1"/>
  <c r="N1091" i="1"/>
  <c r="O1134" i="1"/>
  <c r="P1083" i="1"/>
  <c r="M1129" i="1"/>
  <c r="N1078" i="1"/>
  <c r="O1135" i="1"/>
  <c r="P1084" i="1"/>
  <c r="F1367" i="1"/>
  <c r="G1367" i="1" s="1"/>
  <c r="O1116" i="1"/>
  <c r="N1167" i="1"/>
  <c r="F1358" i="1"/>
  <c r="G1358" i="1" s="1"/>
  <c r="L1115" i="1"/>
  <c r="K1166" i="1"/>
  <c r="F1362" i="1"/>
  <c r="G1362" i="1" s="1"/>
  <c r="G1225" i="1"/>
  <c r="F1225" i="1"/>
  <c r="M1226" i="1"/>
  <c r="E1225" i="1"/>
  <c r="L1225" i="1"/>
  <c r="D1225" i="1"/>
  <c r="K1225" i="1"/>
  <c r="I1225" i="1"/>
  <c r="H1225" i="1"/>
  <c r="J1225" i="1"/>
  <c r="G1183" i="1"/>
  <c r="F1183" i="1"/>
  <c r="M1184" i="1"/>
  <c r="E1183" i="1"/>
  <c r="L1183" i="1"/>
  <c r="D1183" i="1"/>
  <c r="K1183" i="1"/>
  <c r="J1183" i="1"/>
  <c r="I1183" i="1"/>
  <c r="H1183" i="1"/>
  <c r="P1119" i="1"/>
  <c r="O1170" i="1"/>
  <c r="F1354" i="1"/>
  <c r="G1354" i="1" s="1"/>
  <c r="N1150" i="1"/>
  <c r="O1099" i="1"/>
  <c r="P1092" i="1"/>
  <c r="O1143" i="1"/>
  <c r="F1366" i="1" l="1"/>
  <c r="G1366" i="1" s="1"/>
  <c r="F1337" i="1"/>
  <c r="G1337" i="1" s="1"/>
  <c r="F1341" i="1"/>
  <c r="G1341" i="1" s="1"/>
  <c r="F1376" i="1"/>
  <c r="G1376" i="1" s="1"/>
  <c r="F1344" i="1"/>
  <c r="G1344" i="1" s="1"/>
  <c r="F1343" i="1"/>
  <c r="G1343" i="1" s="1"/>
  <c r="F1334" i="1"/>
  <c r="G1334" i="1" s="1"/>
  <c r="F1361" i="1"/>
  <c r="G1361" i="1" s="1"/>
  <c r="F1356" i="1"/>
  <c r="G1356" i="1" s="1"/>
  <c r="F1378" i="1"/>
  <c r="G1378" i="1" s="1"/>
  <c r="F1351" i="1"/>
  <c r="G1351" i="1" s="1"/>
  <c r="AE1079" i="1"/>
  <c r="AE1131" i="1"/>
  <c r="AE1095" i="1"/>
  <c r="AE1147" i="1"/>
  <c r="AE1112" i="1"/>
  <c r="AL380" i="1"/>
  <c r="AM380" i="1" s="1"/>
  <c r="AN380" i="1" s="1"/>
  <c r="AO380" i="1" s="1"/>
  <c r="AP380" i="1" s="1"/>
  <c r="AQ380" i="1" s="1"/>
  <c r="AR380" i="1" s="1"/>
  <c r="AS380" i="1" s="1"/>
  <c r="AT380" i="1" s="1"/>
  <c r="AU380" i="1" s="1"/>
  <c r="AV380" i="1" s="1"/>
  <c r="AW380" i="1" s="1"/>
  <c r="AX380" i="1" s="1"/>
  <c r="AY380" i="1" s="1"/>
  <c r="AZ380" i="1" s="1"/>
  <c r="BA380" i="1" s="1"/>
  <c r="BB380" i="1" s="1"/>
  <c r="BC380" i="1" s="1"/>
  <c r="BD380" i="1" s="1"/>
  <c r="BE380" i="1" s="1"/>
  <c r="M1138" i="1"/>
  <c r="N1087" i="1"/>
  <c r="N1109" i="1"/>
  <c r="M1160" i="1"/>
  <c r="F1357" i="1"/>
  <c r="G1357" i="1" s="1"/>
  <c r="AL387" i="1"/>
  <c r="AM387" i="1" s="1"/>
  <c r="AN387" i="1" s="1"/>
  <c r="AO387" i="1" s="1"/>
  <c r="AP387" i="1" s="1"/>
  <c r="AQ387" i="1" s="1"/>
  <c r="AR387" i="1" s="1"/>
  <c r="AS387" i="1" s="1"/>
  <c r="AT387" i="1" s="1"/>
  <c r="AU387" i="1" s="1"/>
  <c r="AV387" i="1" s="1"/>
  <c r="AW387" i="1" s="1"/>
  <c r="AX387" i="1" s="1"/>
  <c r="AY387" i="1" s="1"/>
  <c r="AZ387" i="1" s="1"/>
  <c r="BA387" i="1" s="1"/>
  <c r="BB387" i="1" s="1"/>
  <c r="BC387" i="1" s="1"/>
  <c r="BD387" i="1" s="1"/>
  <c r="BE387" i="1" s="1"/>
  <c r="F1339" i="1"/>
  <c r="G1339" i="1" s="1"/>
  <c r="H1339" i="1" s="1"/>
  <c r="H1367" i="1"/>
  <c r="F1363" i="1"/>
  <c r="G1363" i="1" s="1"/>
  <c r="F1375" i="1"/>
  <c r="G1375" i="1" s="1"/>
  <c r="I1275" i="1"/>
  <c r="I1329" i="1" s="1"/>
  <c r="F1346" i="1"/>
  <c r="G1346" i="1" s="1"/>
  <c r="H1274" i="1"/>
  <c r="H1331" i="1" s="1"/>
  <c r="F1365" i="1"/>
  <c r="G1365" i="1" s="1"/>
  <c r="H1365" i="1" s="1"/>
  <c r="F1332" i="1"/>
  <c r="G1332" i="1" s="1"/>
  <c r="H1332" i="1" s="1"/>
  <c r="F1338" i="1"/>
  <c r="G1338" i="1" s="1"/>
  <c r="H1338" i="1" s="1"/>
  <c r="H1354" i="1"/>
  <c r="F1349" i="1"/>
  <c r="G1349" i="1" s="1"/>
  <c r="H1349" i="1" s="1"/>
  <c r="H1146" i="1"/>
  <c r="I1095" i="1"/>
  <c r="N1153" i="1"/>
  <c r="O1102" i="1"/>
  <c r="N1145" i="1"/>
  <c r="O1094" i="1"/>
  <c r="L1151" i="1"/>
  <c r="M1100" i="1"/>
  <c r="N1156" i="1"/>
  <c r="O1105" i="1"/>
  <c r="L1137" i="1"/>
  <c r="M1086" i="1"/>
  <c r="J1159" i="1"/>
  <c r="K1108" i="1"/>
  <c r="O1164" i="1"/>
  <c r="P1113" i="1"/>
  <c r="O1172" i="1"/>
  <c r="P1121" i="1"/>
  <c r="N1149" i="1"/>
  <c r="O1098" i="1"/>
  <c r="O1128" i="1"/>
  <c r="P1077" i="1"/>
  <c r="H1370" i="1"/>
  <c r="M1158" i="1"/>
  <c r="N1107" i="1"/>
  <c r="L1136" i="1"/>
  <c r="M1085" i="1"/>
  <c r="AL423" i="1"/>
  <c r="AM423" i="1" s="1"/>
  <c r="AN423" i="1" s="1"/>
  <c r="AO423" i="1" s="1"/>
  <c r="AP423" i="1" s="1"/>
  <c r="AQ423" i="1" s="1"/>
  <c r="AR423" i="1" s="1"/>
  <c r="AS423" i="1" s="1"/>
  <c r="AT423" i="1" s="1"/>
  <c r="AU423" i="1" s="1"/>
  <c r="AV423" i="1" s="1"/>
  <c r="AW423" i="1" s="1"/>
  <c r="AX423" i="1" s="1"/>
  <c r="AY423" i="1" s="1"/>
  <c r="AZ423" i="1" s="1"/>
  <c r="BA423" i="1" s="1"/>
  <c r="BB423" i="1" s="1"/>
  <c r="BC423" i="1" s="1"/>
  <c r="BD423" i="1" s="1"/>
  <c r="BE423" i="1" s="1"/>
  <c r="L1129" i="1"/>
  <c r="M1078" i="1"/>
  <c r="M1127" i="1"/>
  <c r="N1076" i="1"/>
  <c r="AL386" i="1"/>
  <c r="AM386" i="1" s="1"/>
  <c r="AN386" i="1" s="1"/>
  <c r="AO386" i="1" s="1"/>
  <c r="AP386" i="1" s="1"/>
  <c r="AQ386" i="1" s="1"/>
  <c r="AR386" i="1" s="1"/>
  <c r="AS386" i="1" s="1"/>
  <c r="AT386" i="1" s="1"/>
  <c r="AU386" i="1" s="1"/>
  <c r="AV386" i="1" s="1"/>
  <c r="AW386" i="1" s="1"/>
  <c r="AX386" i="1" s="1"/>
  <c r="AY386" i="1" s="1"/>
  <c r="AZ386" i="1" s="1"/>
  <c r="BA386" i="1" s="1"/>
  <c r="BB386" i="1" s="1"/>
  <c r="BC386" i="1" s="1"/>
  <c r="BD386" i="1" s="1"/>
  <c r="BE386" i="1" s="1"/>
  <c r="G1226" i="1"/>
  <c r="F1226" i="1"/>
  <c r="M1227" i="1"/>
  <c r="E1226" i="1"/>
  <c r="L1226" i="1"/>
  <c r="D1226" i="1"/>
  <c r="K1226" i="1"/>
  <c r="H1226" i="1"/>
  <c r="J1226" i="1"/>
  <c r="I1226" i="1"/>
  <c r="N1155" i="1"/>
  <c r="O1104" i="1"/>
  <c r="I1131" i="1"/>
  <c r="J1080" i="1"/>
  <c r="H1352" i="1"/>
  <c r="AL390" i="1"/>
  <c r="AM390" i="1" s="1"/>
  <c r="AN390" i="1" s="1"/>
  <c r="AO390" i="1" s="1"/>
  <c r="AP390" i="1" s="1"/>
  <c r="AQ390" i="1" s="1"/>
  <c r="AR390" i="1" s="1"/>
  <c r="AS390" i="1" s="1"/>
  <c r="AT390" i="1" s="1"/>
  <c r="AU390" i="1" s="1"/>
  <c r="AV390" i="1" s="1"/>
  <c r="AW390" i="1" s="1"/>
  <c r="AX390" i="1" s="1"/>
  <c r="AY390" i="1" s="1"/>
  <c r="AZ390" i="1" s="1"/>
  <c r="BA390" i="1" s="1"/>
  <c r="BB390" i="1" s="1"/>
  <c r="BC390" i="1" s="1"/>
  <c r="BD390" i="1" s="1"/>
  <c r="BE390" i="1" s="1"/>
  <c r="AL409" i="1"/>
  <c r="AM409" i="1" s="1"/>
  <c r="AN409" i="1" s="1"/>
  <c r="AO409" i="1" s="1"/>
  <c r="AP409" i="1" s="1"/>
  <c r="AQ409" i="1" s="1"/>
  <c r="AR409" i="1" s="1"/>
  <c r="AS409" i="1" s="1"/>
  <c r="AT409" i="1" s="1"/>
  <c r="AU409" i="1" s="1"/>
  <c r="AV409" i="1" s="1"/>
  <c r="AW409" i="1" s="1"/>
  <c r="AX409" i="1" s="1"/>
  <c r="AY409" i="1" s="1"/>
  <c r="AZ409" i="1" s="1"/>
  <c r="BA409" i="1" s="1"/>
  <c r="BB409" i="1" s="1"/>
  <c r="BC409" i="1" s="1"/>
  <c r="BD409" i="1" s="1"/>
  <c r="BE409" i="1" s="1"/>
  <c r="AL389" i="1"/>
  <c r="AM389" i="1" s="1"/>
  <c r="AN389" i="1" s="1"/>
  <c r="AO389" i="1" s="1"/>
  <c r="AP389" i="1" s="1"/>
  <c r="AQ389" i="1" s="1"/>
  <c r="AR389" i="1" s="1"/>
  <c r="AS389" i="1" s="1"/>
  <c r="AT389" i="1" s="1"/>
  <c r="AU389" i="1" s="1"/>
  <c r="AV389" i="1" s="1"/>
  <c r="AW389" i="1" s="1"/>
  <c r="AX389" i="1" s="1"/>
  <c r="AY389" i="1" s="1"/>
  <c r="AZ389" i="1" s="1"/>
  <c r="BA389" i="1" s="1"/>
  <c r="BB389" i="1" s="1"/>
  <c r="BC389" i="1" s="1"/>
  <c r="BD389" i="1" s="1"/>
  <c r="BE389" i="1" s="1"/>
  <c r="AL383" i="1"/>
  <c r="AM383" i="1" s="1"/>
  <c r="AN383" i="1" s="1"/>
  <c r="AO383" i="1" s="1"/>
  <c r="AP383" i="1" s="1"/>
  <c r="AQ383" i="1" s="1"/>
  <c r="AR383" i="1" s="1"/>
  <c r="AS383" i="1" s="1"/>
  <c r="AT383" i="1" s="1"/>
  <c r="AU383" i="1" s="1"/>
  <c r="AV383" i="1" s="1"/>
  <c r="AW383" i="1" s="1"/>
  <c r="AX383" i="1" s="1"/>
  <c r="AY383" i="1" s="1"/>
  <c r="AZ383" i="1" s="1"/>
  <c r="BA383" i="1" s="1"/>
  <c r="BB383" i="1" s="1"/>
  <c r="BC383" i="1" s="1"/>
  <c r="BD383" i="1" s="1"/>
  <c r="BE383" i="1" s="1"/>
  <c r="AL422" i="1"/>
  <c r="AM422" i="1" s="1"/>
  <c r="AN422" i="1" s="1"/>
  <c r="AO422" i="1" s="1"/>
  <c r="AP422" i="1" s="1"/>
  <c r="AQ422" i="1" s="1"/>
  <c r="AR422" i="1" s="1"/>
  <c r="AS422" i="1" s="1"/>
  <c r="AT422" i="1" s="1"/>
  <c r="AU422" i="1" s="1"/>
  <c r="AV422" i="1" s="1"/>
  <c r="AW422" i="1" s="1"/>
  <c r="AX422" i="1" s="1"/>
  <c r="AY422" i="1" s="1"/>
  <c r="AZ422" i="1" s="1"/>
  <c r="BA422" i="1" s="1"/>
  <c r="BB422" i="1" s="1"/>
  <c r="BC422" i="1" s="1"/>
  <c r="BD422" i="1" s="1"/>
  <c r="BE422" i="1" s="1"/>
  <c r="AL402" i="1"/>
  <c r="AM402" i="1" s="1"/>
  <c r="AN402" i="1" s="1"/>
  <c r="AO402" i="1" s="1"/>
  <c r="AP402" i="1" s="1"/>
  <c r="AQ402" i="1" s="1"/>
  <c r="AR402" i="1" s="1"/>
  <c r="AS402" i="1" s="1"/>
  <c r="AT402" i="1" s="1"/>
  <c r="AU402" i="1" s="1"/>
  <c r="AV402" i="1" s="1"/>
  <c r="AW402" i="1" s="1"/>
  <c r="AX402" i="1" s="1"/>
  <c r="AY402" i="1" s="1"/>
  <c r="AZ402" i="1" s="1"/>
  <c r="BA402" i="1" s="1"/>
  <c r="BB402" i="1" s="1"/>
  <c r="BC402" i="1" s="1"/>
  <c r="BD402" i="1" s="1"/>
  <c r="BE402" i="1" s="1"/>
  <c r="O1140" i="1"/>
  <c r="P1089" i="1"/>
  <c r="N1171" i="1"/>
  <c r="O1120" i="1"/>
  <c r="N1133" i="1"/>
  <c r="O1082" i="1"/>
  <c r="H1154" i="1"/>
  <c r="I1103" i="1"/>
  <c r="O1162" i="1"/>
  <c r="P1111" i="1"/>
  <c r="AL394" i="1"/>
  <c r="AM394" i="1" s="1"/>
  <c r="AN394" i="1" s="1"/>
  <c r="AO394" i="1" s="1"/>
  <c r="AP394" i="1" s="1"/>
  <c r="AQ394" i="1" s="1"/>
  <c r="AR394" i="1" s="1"/>
  <c r="AS394" i="1" s="1"/>
  <c r="AT394" i="1" s="1"/>
  <c r="AU394" i="1" s="1"/>
  <c r="AV394" i="1" s="1"/>
  <c r="AW394" i="1" s="1"/>
  <c r="AX394" i="1" s="1"/>
  <c r="AY394" i="1" s="1"/>
  <c r="AZ394" i="1" s="1"/>
  <c r="BA394" i="1" s="1"/>
  <c r="BB394" i="1" s="1"/>
  <c r="BC394" i="1" s="1"/>
  <c r="BD394" i="1" s="1"/>
  <c r="BE394" i="1" s="1"/>
  <c r="N1134" i="1"/>
  <c r="O1083" i="1"/>
  <c r="H1132" i="1"/>
  <c r="I1081" i="1"/>
  <c r="F1239" i="1"/>
  <c r="M1240" i="1"/>
  <c r="E1239" i="1"/>
  <c r="L1239" i="1"/>
  <c r="D1239" i="1"/>
  <c r="K1239" i="1"/>
  <c r="J1239" i="1"/>
  <c r="I1239" i="1"/>
  <c r="G1239" i="1"/>
  <c r="H1239" i="1"/>
  <c r="H1369" i="1"/>
  <c r="H1336" i="1"/>
  <c r="I1139" i="1"/>
  <c r="J1088" i="1"/>
  <c r="H1377" i="1"/>
  <c r="AL399" i="1"/>
  <c r="AM399" i="1" s="1"/>
  <c r="AN399" i="1" s="1"/>
  <c r="AO399" i="1" s="1"/>
  <c r="AP399" i="1" s="1"/>
  <c r="AQ399" i="1" s="1"/>
  <c r="AR399" i="1" s="1"/>
  <c r="AS399" i="1" s="1"/>
  <c r="AT399" i="1" s="1"/>
  <c r="AU399" i="1" s="1"/>
  <c r="AV399" i="1" s="1"/>
  <c r="AW399" i="1" s="1"/>
  <c r="AX399" i="1" s="1"/>
  <c r="AY399" i="1" s="1"/>
  <c r="AZ399" i="1" s="1"/>
  <c r="BA399" i="1" s="1"/>
  <c r="BB399" i="1" s="1"/>
  <c r="BC399" i="1" s="1"/>
  <c r="BD399" i="1" s="1"/>
  <c r="BE399" i="1" s="1"/>
  <c r="AL376" i="1"/>
  <c r="AM376" i="1" s="1"/>
  <c r="AN376" i="1" s="1"/>
  <c r="AO376" i="1" s="1"/>
  <c r="AP376" i="1" s="1"/>
  <c r="AQ376" i="1" s="1"/>
  <c r="AR376" i="1" s="1"/>
  <c r="AS376" i="1" s="1"/>
  <c r="AT376" i="1" s="1"/>
  <c r="AU376" i="1" s="1"/>
  <c r="AV376" i="1" s="1"/>
  <c r="AW376" i="1" s="1"/>
  <c r="AX376" i="1" s="1"/>
  <c r="AY376" i="1" s="1"/>
  <c r="AZ376" i="1" s="1"/>
  <c r="BA376" i="1" s="1"/>
  <c r="BB376" i="1" s="1"/>
  <c r="BC376" i="1" s="1"/>
  <c r="BD376" i="1" s="1"/>
  <c r="BE376" i="1" s="1"/>
  <c r="AL401" i="1"/>
  <c r="AM401" i="1" s="1"/>
  <c r="AN401" i="1" s="1"/>
  <c r="AO401" i="1" s="1"/>
  <c r="AP401" i="1" s="1"/>
  <c r="AQ401" i="1" s="1"/>
  <c r="AR401" i="1" s="1"/>
  <c r="AS401" i="1" s="1"/>
  <c r="AT401" i="1" s="1"/>
  <c r="AU401" i="1" s="1"/>
  <c r="AV401" i="1" s="1"/>
  <c r="AW401" i="1" s="1"/>
  <c r="AX401" i="1" s="1"/>
  <c r="AY401" i="1" s="1"/>
  <c r="AZ401" i="1" s="1"/>
  <c r="BA401" i="1" s="1"/>
  <c r="BB401" i="1" s="1"/>
  <c r="BC401" i="1" s="1"/>
  <c r="BD401" i="1" s="1"/>
  <c r="BE401" i="1" s="1"/>
  <c r="AL398" i="1"/>
  <c r="AM398" i="1" s="1"/>
  <c r="AN398" i="1" s="1"/>
  <c r="AO398" i="1" s="1"/>
  <c r="AP398" i="1" s="1"/>
  <c r="AQ398" i="1" s="1"/>
  <c r="AR398" i="1" s="1"/>
  <c r="AS398" i="1" s="1"/>
  <c r="AT398" i="1" s="1"/>
  <c r="AU398" i="1" s="1"/>
  <c r="AV398" i="1" s="1"/>
  <c r="AW398" i="1" s="1"/>
  <c r="AX398" i="1" s="1"/>
  <c r="AY398" i="1" s="1"/>
  <c r="AZ398" i="1" s="1"/>
  <c r="BA398" i="1" s="1"/>
  <c r="BB398" i="1" s="1"/>
  <c r="BC398" i="1" s="1"/>
  <c r="BD398" i="1" s="1"/>
  <c r="BE398" i="1" s="1"/>
  <c r="AL392" i="1"/>
  <c r="AM392" i="1" s="1"/>
  <c r="AN392" i="1" s="1"/>
  <c r="AO392" i="1" s="1"/>
  <c r="AP392" i="1" s="1"/>
  <c r="AQ392" i="1" s="1"/>
  <c r="AR392" i="1" s="1"/>
  <c r="AS392" i="1" s="1"/>
  <c r="AT392" i="1" s="1"/>
  <c r="AU392" i="1" s="1"/>
  <c r="AV392" i="1" s="1"/>
  <c r="AW392" i="1" s="1"/>
  <c r="AX392" i="1" s="1"/>
  <c r="AY392" i="1" s="1"/>
  <c r="AZ392" i="1" s="1"/>
  <c r="BA392" i="1" s="1"/>
  <c r="BB392" i="1" s="1"/>
  <c r="BC392" i="1" s="1"/>
  <c r="BD392" i="1" s="1"/>
  <c r="BE392" i="1" s="1"/>
  <c r="AL410" i="1"/>
  <c r="AM410" i="1" s="1"/>
  <c r="AN410" i="1" s="1"/>
  <c r="AO410" i="1" s="1"/>
  <c r="AP410" i="1" s="1"/>
  <c r="AQ410" i="1" s="1"/>
  <c r="AR410" i="1" s="1"/>
  <c r="AS410" i="1" s="1"/>
  <c r="AT410" i="1" s="1"/>
  <c r="AU410" i="1" s="1"/>
  <c r="AV410" i="1" s="1"/>
  <c r="AW410" i="1" s="1"/>
  <c r="AX410" i="1" s="1"/>
  <c r="AY410" i="1" s="1"/>
  <c r="AZ410" i="1" s="1"/>
  <c r="BA410" i="1" s="1"/>
  <c r="BB410" i="1" s="1"/>
  <c r="BC410" i="1" s="1"/>
  <c r="BD410" i="1" s="1"/>
  <c r="BE410" i="1" s="1"/>
  <c r="N1117" i="1"/>
  <c r="M1168" i="1"/>
  <c r="H1211" i="1"/>
  <c r="G1211" i="1"/>
  <c r="F1211" i="1"/>
  <c r="M1212" i="1"/>
  <c r="E1211" i="1"/>
  <c r="L1211" i="1"/>
  <c r="D1211" i="1"/>
  <c r="J1211" i="1"/>
  <c r="I1211" i="1"/>
  <c r="K1211" i="1"/>
  <c r="N1116" i="1"/>
  <c r="M1167" i="1"/>
  <c r="H1373" i="1"/>
  <c r="AL382" i="1"/>
  <c r="AM382" i="1" s="1"/>
  <c r="AN382" i="1" s="1"/>
  <c r="AO382" i="1" s="1"/>
  <c r="AP382" i="1" s="1"/>
  <c r="AQ382" i="1" s="1"/>
  <c r="AR382" i="1" s="1"/>
  <c r="AS382" i="1" s="1"/>
  <c r="AT382" i="1" s="1"/>
  <c r="AU382" i="1" s="1"/>
  <c r="AV382" i="1" s="1"/>
  <c r="AW382" i="1" s="1"/>
  <c r="AX382" i="1" s="1"/>
  <c r="AY382" i="1" s="1"/>
  <c r="AZ382" i="1" s="1"/>
  <c r="BA382" i="1" s="1"/>
  <c r="BB382" i="1" s="1"/>
  <c r="BC382" i="1" s="1"/>
  <c r="BD382" i="1" s="1"/>
  <c r="BE382" i="1" s="1"/>
  <c r="AL384" i="1"/>
  <c r="AM384" i="1" s="1"/>
  <c r="AN384" i="1" s="1"/>
  <c r="AO384" i="1" s="1"/>
  <c r="AP384" i="1" s="1"/>
  <c r="AQ384" i="1" s="1"/>
  <c r="AR384" i="1" s="1"/>
  <c r="AS384" i="1" s="1"/>
  <c r="AT384" i="1" s="1"/>
  <c r="AU384" i="1" s="1"/>
  <c r="AV384" i="1" s="1"/>
  <c r="AW384" i="1" s="1"/>
  <c r="AX384" i="1" s="1"/>
  <c r="AY384" i="1" s="1"/>
  <c r="AZ384" i="1" s="1"/>
  <c r="BA384" i="1" s="1"/>
  <c r="BB384" i="1" s="1"/>
  <c r="BC384" i="1" s="1"/>
  <c r="BD384" i="1" s="1"/>
  <c r="BE384" i="1" s="1"/>
  <c r="AL417" i="1"/>
  <c r="AM417" i="1" s="1"/>
  <c r="AN417" i="1" s="1"/>
  <c r="AO417" i="1" s="1"/>
  <c r="AP417" i="1" s="1"/>
  <c r="AQ417" i="1" s="1"/>
  <c r="AR417" i="1" s="1"/>
  <c r="AS417" i="1" s="1"/>
  <c r="AT417" i="1" s="1"/>
  <c r="AU417" i="1" s="1"/>
  <c r="AV417" i="1" s="1"/>
  <c r="AW417" i="1" s="1"/>
  <c r="AX417" i="1" s="1"/>
  <c r="AY417" i="1" s="1"/>
  <c r="AZ417" i="1" s="1"/>
  <c r="BA417" i="1" s="1"/>
  <c r="BB417" i="1" s="1"/>
  <c r="BC417" i="1" s="1"/>
  <c r="BD417" i="1" s="1"/>
  <c r="BE417" i="1" s="1"/>
  <c r="AL406" i="1"/>
  <c r="AM406" i="1" s="1"/>
  <c r="AN406" i="1" s="1"/>
  <c r="AO406" i="1" s="1"/>
  <c r="AP406" i="1" s="1"/>
  <c r="AQ406" i="1" s="1"/>
  <c r="AR406" i="1" s="1"/>
  <c r="AS406" i="1" s="1"/>
  <c r="AT406" i="1" s="1"/>
  <c r="AU406" i="1" s="1"/>
  <c r="AV406" i="1" s="1"/>
  <c r="AW406" i="1" s="1"/>
  <c r="AX406" i="1" s="1"/>
  <c r="AY406" i="1" s="1"/>
  <c r="AZ406" i="1" s="1"/>
  <c r="BA406" i="1" s="1"/>
  <c r="BB406" i="1" s="1"/>
  <c r="BC406" i="1" s="1"/>
  <c r="BD406" i="1" s="1"/>
  <c r="BE406" i="1" s="1"/>
  <c r="AL400" i="1"/>
  <c r="AM400" i="1" s="1"/>
  <c r="AN400" i="1" s="1"/>
  <c r="AO400" i="1" s="1"/>
  <c r="AP400" i="1" s="1"/>
  <c r="AQ400" i="1" s="1"/>
  <c r="AR400" i="1" s="1"/>
  <c r="AS400" i="1" s="1"/>
  <c r="AT400" i="1" s="1"/>
  <c r="AU400" i="1" s="1"/>
  <c r="AV400" i="1" s="1"/>
  <c r="AW400" i="1" s="1"/>
  <c r="AX400" i="1" s="1"/>
  <c r="AY400" i="1" s="1"/>
  <c r="AZ400" i="1" s="1"/>
  <c r="BA400" i="1" s="1"/>
  <c r="BB400" i="1" s="1"/>
  <c r="BC400" i="1" s="1"/>
  <c r="BD400" i="1" s="1"/>
  <c r="BE400" i="1" s="1"/>
  <c r="AL418" i="1"/>
  <c r="AM418" i="1" s="1"/>
  <c r="AN418" i="1" s="1"/>
  <c r="AO418" i="1" s="1"/>
  <c r="AP418" i="1" s="1"/>
  <c r="AQ418" i="1" s="1"/>
  <c r="AR418" i="1" s="1"/>
  <c r="AS418" i="1" s="1"/>
  <c r="AT418" i="1" s="1"/>
  <c r="AU418" i="1" s="1"/>
  <c r="AV418" i="1" s="1"/>
  <c r="AW418" i="1" s="1"/>
  <c r="AX418" i="1" s="1"/>
  <c r="AY418" i="1" s="1"/>
  <c r="AZ418" i="1" s="1"/>
  <c r="BA418" i="1" s="1"/>
  <c r="BB418" i="1" s="1"/>
  <c r="BC418" i="1" s="1"/>
  <c r="BD418" i="1" s="1"/>
  <c r="BE418" i="1" s="1"/>
  <c r="I1198" i="1"/>
  <c r="H1198" i="1"/>
  <c r="G1198" i="1"/>
  <c r="F1198" i="1"/>
  <c r="M1199" i="1"/>
  <c r="E1198" i="1"/>
  <c r="L1198" i="1"/>
  <c r="K1198" i="1"/>
  <c r="J1198" i="1"/>
  <c r="D1198" i="1"/>
  <c r="O1148" i="1"/>
  <c r="P1097" i="1"/>
  <c r="M1150" i="1"/>
  <c r="N1099" i="1"/>
  <c r="AL378" i="1"/>
  <c r="AM378" i="1" s="1"/>
  <c r="AN378" i="1" s="1"/>
  <c r="AO378" i="1" s="1"/>
  <c r="AP378" i="1" s="1"/>
  <c r="AQ378" i="1" s="1"/>
  <c r="AR378" i="1" s="1"/>
  <c r="AS378" i="1" s="1"/>
  <c r="AT378" i="1" s="1"/>
  <c r="AU378" i="1" s="1"/>
  <c r="AV378" i="1" s="1"/>
  <c r="AW378" i="1" s="1"/>
  <c r="AX378" i="1" s="1"/>
  <c r="AY378" i="1" s="1"/>
  <c r="AZ378" i="1" s="1"/>
  <c r="BA378" i="1" s="1"/>
  <c r="BB378" i="1" s="1"/>
  <c r="BC378" i="1" s="1"/>
  <c r="BD378" i="1" s="1"/>
  <c r="BE378" i="1" s="1"/>
  <c r="AL393" i="1"/>
  <c r="AM393" i="1" s="1"/>
  <c r="AN393" i="1" s="1"/>
  <c r="AO393" i="1" s="1"/>
  <c r="AP393" i="1" s="1"/>
  <c r="AQ393" i="1" s="1"/>
  <c r="AR393" i="1" s="1"/>
  <c r="AS393" i="1" s="1"/>
  <c r="AT393" i="1" s="1"/>
  <c r="AU393" i="1" s="1"/>
  <c r="AV393" i="1" s="1"/>
  <c r="AW393" i="1" s="1"/>
  <c r="AX393" i="1" s="1"/>
  <c r="AY393" i="1" s="1"/>
  <c r="AZ393" i="1" s="1"/>
  <c r="BA393" i="1" s="1"/>
  <c r="BB393" i="1" s="1"/>
  <c r="BC393" i="1" s="1"/>
  <c r="BD393" i="1" s="1"/>
  <c r="BE393" i="1" s="1"/>
  <c r="N1143" i="1"/>
  <c r="O1092" i="1"/>
  <c r="L1142" i="1"/>
  <c r="M1091" i="1"/>
  <c r="I1161" i="1"/>
  <c r="J1110" i="1"/>
  <c r="N1169" i="1"/>
  <c r="O1118" i="1"/>
  <c r="J1152" i="1"/>
  <c r="K1101" i="1"/>
  <c r="F1147" i="1"/>
  <c r="G1096" i="1"/>
  <c r="AL396" i="1"/>
  <c r="AM396" i="1" s="1"/>
  <c r="AN396" i="1" s="1"/>
  <c r="AO396" i="1" s="1"/>
  <c r="AP396" i="1" s="1"/>
  <c r="AQ396" i="1" s="1"/>
  <c r="AR396" i="1" s="1"/>
  <c r="AS396" i="1" s="1"/>
  <c r="AT396" i="1" s="1"/>
  <c r="AU396" i="1" s="1"/>
  <c r="AV396" i="1" s="1"/>
  <c r="AW396" i="1" s="1"/>
  <c r="AX396" i="1" s="1"/>
  <c r="AY396" i="1" s="1"/>
  <c r="AZ396" i="1" s="1"/>
  <c r="BA396" i="1" s="1"/>
  <c r="BB396" i="1" s="1"/>
  <c r="BC396" i="1" s="1"/>
  <c r="BD396" i="1" s="1"/>
  <c r="BE396" i="1" s="1"/>
  <c r="AL397" i="1"/>
  <c r="AM397" i="1" s="1"/>
  <c r="AN397" i="1" s="1"/>
  <c r="AO397" i="1" s="1"/>
  <c r="AP397" i="1" s="1"/>
  <c r="AQ397" i="1" s="1"/>
  <c r="AR397" i="1" s="1"/>
  <c r="AS397" i="1" s="1"/>
  <c r="AT397" i="1" s="1"/>
  <c r="AU397" i="1" s="1"/>
  <c r="AV397" i="1" s="1"/>
  <c r="AW397" i="1" s="1"/>
  <c r="AX397" i="1" s="1"/>
  <c r="AY397" i="1" s="1"/>
  <c r="AZ397" i="1" s="1"/>
  <c r="BA397" i="1" s="1"/>
  <c r="BB397" i="1" s="1"/>
  <c r="BC397" i="1" s="1"/>
  <c r="BD397" i="1" s="1"/>
  <c r="BE397" i="1" s="1"/>
  <c r="AL388" i="1"/>
  <c r="AM388" i="1" s="1"/>
  <c r="AN388" i="1" s="1"/>
  <c r="AO388" i="1" s="1"/>
  <c r="AP388" i="1" s="1"/>
  <c r="AQ388" i="1" s="1"/>
  <c r="AR388" i="1" s="1"/>
  <c r="AS388" i="1" s="1"/>
  <c r="AT388" i="1" s="1"/>
  <c r="AU388" i="1" s="1"/>
  <c r="AV388" i="1" s="1"/>
  <c r="AW388" i="1" s="1"/>
  <c r="AX388" i="1" s="1"/>
  <c r="AY388" i="1" s="1"/>
  <c r="AZ388" i="1" s="1"/>
  <c r="BA388" i="1" s="1"/>
  <c r="BB388" i="1" s="1"/>
  <c r="BC388" i="1" s="1"/>
  <c r="BD388" i="1" s="1"/>
  <c r="BE388" i="1" s="1"/>
  <c r="AL414" i="1"/>
  <c r="AM414" i="1" s="1"/>
  <c r="AN414" i="1" s="1"/>
  <c r="AO414" i="1" s="1"/>
  <c r="AP414" i="1" s="1"/>
  <c r="AQ414" i="1" s="1"/>
  <c r="AR414" i="1" s="1"/>
  <c r="AS414" i="1" s="1"/>
  <c r="AT414" i="1" s="1"/>
  <c r="AU414" i="1" s="1"/>
  <c r="AV414" i="1" s="1"/>
  <c r="AW414" i="1" s="1"/>
  <c r="AX414" i="1" s="1"/>
  <c r="AY414" i="1" s="1"/>
  <c r="AZ414" i="1" s="1"/>
  <c r="BA414" i="1" s="1"/>
  <c r="BB414" i="1" s="1"/>
  <c r="BC414" i="1" s="1"/>
  <c r="BD414" i="1" s="1"/>
  <c r="BE414" i="1" s="1"/>
  <c r="AL408" i="1"/>
  <c r="AM408" i="1" s="1"/>
  <c r="AN408" i="1" s="1"/>
  <c r="AO408" i="1" s="1"/>
  <c r="AP408" i="1" s="1"/>
  <c r="AQ408" i="1" s="1"/>
  <c r="AR408" i="1" s="1"/>
  <c r="AS408" i="1" s="1"/>
  <c r="AT408" i="1" s="1"/>
  <c r="AU408" i="1" s="1"/>
  <c r="AV408" i="1" s="1"/>
  <c r="AW408" i="1" s="1"/>
  <c r="AX408" i="1" s="1"/>
  <c r="AY408" i="1" s="1"/>
  <c r="AZ408" i="1" s="1"/>
  <c r="BA408" i="1" s="1"/>
  <c r="BB408" i="1" s="1"/>
  <c r="BC408" i="1" s="1"/>
  <c r="BD408" i="1" s="1"/>
  <c r="BE408" i="1" s="1"/>
  <c r="AL420" i="1"/>
  <c r="AM420" i="1" s="1"/>
  <c r="AN420" i="1" s="1"/>
  <c r="AO420" i="1" s="1"/>
  <c r="AP420" i="1" s="1"/>
  <c r="AQ420" i="1" s="1"/>
  <c r="AR420" i="1" s="1"/>
  <c r="AS420" i="1" s="1"/>
  <c r="AT420" i="1" s="1"/>
  <c r="AU420" i="1" s="1"/>
  <c r="AV420" i="1" s="1"/>
  <c r="AW420" i="1" s="1"/>
  <c r="AX420" i="1" s="1"/>
  <c r="AY420" i="1" s="1"/>
  <c r="AZ420" i="1" s="1"/>
  <c r="BA420" i="1" s="1"/>
  <c r="BB420" i="1" s="1"/>
  <c r="BC420" i="1" s="1"/>
  <c r="BD420" i="1" s="1"/>
  <c r="BE420" i="1" s="1"/>
  <c r="M1130" i="1"/>
  <c r="N1079" i="1"/>
  <c r="G1184" i="1"/>
  <c r="F1184" i="1"/>
  <c r="M1185" i="1"/>
  <c r="E1184" i="1"/>
  <c r="L1184" i="1"/>
  <c r="D1184" i="1"/>
  <c r="K1184" i="1"/>
  <c r="J1184" i="1"/>
  <c r="I1184" i="1"/>
  <c r="H1184" i="1"/>
  <c r="AL411" i="1"/>
  <c r="AM411" i="1" s="1"/>
  <c r="AN411" i="1" s="1"/>
  <c r="AO411" i="1" s="1"/>
  <c r="AP411" i="1" s="1"/>
  <c r="AQ411" i="1" s="1"/>
  <c r="AR411" i="1" s="1"/>
  <c r="AS411" i="1" s="1"/>
  <c r="AT411" i="1" s="1"/>
  <c r="AU411" i="1" s="1"/>
  <c r="AV411" i="1" s="1"/>
  <c r="AW411" i="1" s="1"/>
  <c r="AX411" i="1" s="1"/>
  <c r="AY411" i="1" s="1"/>
  <c r="AZ411" i="1" s="1"/>
  <c r="BA411" i="1" s="1"/>
  <c r="BB411" i="1" s="1"/>
  <c r="BC411" i="1" s="1"/>
  <c r="BD411" i="1" s="1"/>
  <c r="BE411" i="1" s="1"/>
  <c r="AL381" i="1"/>
  <c r="AM381" i="1" s="1"/>
  <c r="AN381" i="1" s="1"/>
  <c r="AO381" i="1" s="1"/>
  <c r="AP381" i="1" s="1"/>
  <c r="AQ381" i="1" s="1"/>
  <c r="AR381" i="1" s="1"/>
  <c r="AS381" i="1" s="1"/>
  <c r="AT381" i="1" s="1"/>
  <c r="AU381" i="1" s="1"/>
  <c r="AV381" i="1" s="1"/>
  <c r="AW381" i="1" s="1"/>
  <c r="AX381" i="1" s="1"/>
  <c r="AY381" i="1" s="1"/>
  <c r="AZ381" i="1" s="1"/>
  <c r="BA381" i="1" s="1"/>
  <c r="BB381" i="1" s="1"/>
  <c r="BC381" i="1" s="1"/>
  <c r="BD381" i="1" s="1"/>
  <c r="BE381" i="1" s="1"/>
  <c r="N1163" i="1"/>
  <c r="O1112" i="1"/>
  <c r="H1353" i="1"/>
  <c r="AL412" i="1"/>
  <c r="AM412" i="1" s="1"/>
  <c r="AN412" i="1" s="1"/>
  <c r="AO412" i="1" s="1"/>
  <c r="AP412" i="1" s="1"/>
  <c r="AQ412" i="1" s="1"/>
  <c r="AR412" i="1" s="1"/>
  <c r="AS412" i="1" s="1"/>
  <c r="AT412" i="1" s="1"/>
  <c r="AU412" i="1" s="1"/>
  <c r="AV412" i="1" s="1"/>
  <c r="AW412" i="1" s="1"/>
  <c r="AX412" i="1" s="1"/>
  <c r="AY412" i="1" s="1"/>
  <c r="AZ412" i="1" s="1"/>
  <c r="BA412" i="1" s="1"/>
  <c r="BB412" i="1" s="1"/>
  <c r="BC412" i="1" s="1"/>
  <c r="BD412" i="1" s="1"/>
  <c r="BE412" i="1" s="1"/>
  <c r="AL404" i="1"/>
  <c r="AM404" i="1" s="1"/>
  <c r="AN404" i="1" s="1"/>
  <c r="AO404" i="1" s="1"/>
  <c r="AP404" i="1" s="1"/>
  <c r="AQ404" i="1" s="1"/>
  <c r="AR404" i="1" s="1"/>
  <c r="AS404" i="1" s="1"/>
  <c r="AT404" i="1" s="1"/>
  <c r="AU404" i="1" s="1"/>
  <c r="AV404" i="1" s="1"/>
  <c r="AW404" i="1" s="1"/>
  <c r="AX404" i="1" s="1"/>
  <c r="AY404" i="1" s="1"/>
  <c r="AZ404" i="1" s="1"/>
  <c r="BA404" i="1" s="1"/>
  <c r="BB404" i="1" s="1"/>
  <c r="BC404" i="1" s="1"/>
  <c r="BD404" i="1" s="1"/>
  <c r="BE404" i="1" s="1"/>
  <c r="AL377" i="1"/>
  <c r="AM377" i="1" s="1"/>
  <c r="AN377" i="1" s="1"/>
  <c r="AO377" i="1" s="1"/>
  <c r="AP377" i="1" s="1"/>
  <c r="AQ377" i="1" s="1"/>
  <c r="AR377" i="1" s="1"/>
  <c r="AS377" i="1" s="1"/>
  <c r="AT377" i="1" s="1"/>
  <c r="AU377" i="1" s="1"/>
  <c r="AV377" i="1" s="1"/>
  <c r="AW377" i="1" s="1"/>
  <c r="AX377" i="1" s="1"/>
  <c r="AY377" i="1" s="1"/>
  <c r="AZ377" i="1" s="1"/>
  <c r="BA377" i="1" s="1"/>
  <c r="BB377" i="1" s="1"/>
  <c r="BC377" i="1" s="1"/>
  <c r="BD377" i="1" s="1"/>
  <c r="BE377" i="1" s="1"/>
  <c r="AL395" i="1"/>
  <c r="AM395" i="1" s="1"/>
  <c r="AN395" i="1" s="1"/>
  <c r="AO395" i="1" s="1"/>
  <c r="AP395" i="1" s="1"/>
  <c r="AQ395" i="1" s="1"/>
  <c r="AR395" i="1" s="1"/>
  <c r="AS395" i="1" s="1"/>
  <c r="AT395" i="1" s="1"/>
  <c r="AU395" i="1" s="1"/>
  <c r="AV395" i="1" s="1"/>
  <c r="AW395" i="1" s="1"/>
  <c r="AX395" i="1" s="1"/>
  <c r="AY395" i="1" s="1"/>
  <c r="AZ395" i="1" s="1"/>
  <c r="BA395" i="1" s="1"/>
  <c r="BB395" i="1" s="1"/>
  <c r="BC395" i="1" s="1"/>
  <c r="BD395" i="1" s="1"/>
  <c r="BE395" i="1" s="1"/>
  <c r="AL416" i="1"/>
  <c r="AM416" i="1" s="1"/>
  <c r="AN416" i="1" s="1"/>
  <c r="AO416" i="1" s="1"/>
  <c r="AP416" i="1" s="1"/>
  <c r="AQ416" i="1" s="1"/>
  <c r="AR416" i="1" s="1"/>
  <c r="AS416" i="1" s="1"/>
  <c r="AT416" i="1" s="1"/>
  <c r="AU416" i="1" s="1"/>
  <c r="AV416" i="1" s="1"/>
  <c r="AW416" i="1" s="1"/>
  <c r="AX416" i="1" s="1"/>
  <c r="AY416" i="1" s="1"/>
  <c r="AZ416" i="1" s="1"/>
  <c r="BA416" i="1" s="1"/>
  <c r="BB416" i="1" s="1"/>
  <c r="BC416" i="1" s="1"/>
  <c r="BD416" i="1" s="1"/>
  <c r="BE416" i="1" s="1"/>
  <c r="AL407" i="1"/>
  <c r="AM407" i="1" s="1"/>
  <c r="AN407" i="1" s="1"/>
  <c r="AO407" i="1" s="1"/>
  <c r="AP407" i="1" s="1"/>
  <c r="AQ407" i="1" s="1"/>
  <c r="AR407" i="1" s="1"/>
  <c r="AS407" i="1" s="1"/>
  <c r="AT407" i="1" s="1"/>
  <c r="AU407" i="1" s="1"/>
  <c r="AV407" i="1" s="1"/>
  <c r="AW407" i="1" s="1"/>
  <c r="AX407" i="1" s="1"/>
  <c r="AY407" i="1" s="1"/>
  <c r="AZ407" i="1" s="1"/>
  <c r="BA407" i="1" s="1"/>
  <c r="BB407" i="1" s="1"/>
  <c r="BC407" i="1" s="1"/>
  <c r="BD407" i="1" s="1"/>
  <c r="BE407" i="1" s="1"/>
  <c r="N1126" i="1"/>
  <c r="O1075" i="1"/>
  <c r="H1333" i="1"/>
  <c r="AL421" i="1"/>
  <c r="AM421" i="1" s="1"/>
  <c r="AN421" i="1" s="1"/>
  <c r="AO421" i="1" s="1"/>
  <c r="AP421" i="1" s="1"/>
  <c r="AQ421" i="1" s="1"/>
  <c r="AR421" i="1" s="1"/>
  <c r="AS421" i="1" s="1"/>
  <c r="AT421" i="1" s="1"/>
  <c r="AU421" i="1" s="1"/>
  <c r="AV421" i="1" s="1"/>
  <c r="AW421" i="1" s="1"/>
  <c r="AX421" i="1" s="1"/>
  <c r="AY421" i="1" s="1"/>
  <c r="AZ421" i="1" s="1"/>
  <c r="BA421" i="1" s="1"/>
  <c r="BB421" i="1" s="1"/>
  <c r="BC421" i="1" s="1"/>
  <c r="BD421" i="1" s="1"/>
  <c r="BE421" i="1" s="1"/>
  <c r="AL391" i="1"/>
  <c r="AM391" i="1" s="1"/>
  <c r="AN391" i="1" s="1"/>
  <c r="AO391" i="1" s="1"/>
  <c r="AP391" i="1" s="1"/>
  <c r="AQ391" i="1" s="1"/>
  <c r="AR391" i="1" s="1"/>
  <c r="AS391" i="1" s="1"/>
  <c r="AT391" i="1" s="1"/>
  <c r="AU391" i="1" s="1"/>
  <c r="AV391" i="1" s="1"/>
  <c r="AW391" i="1" s="1"/>
  <c r="AX391" i="1" s="1"/>
  <c r="AY391" i="1" s="1"/>
  <c r="AZ391" i="1" s="1"/>
  <c r="BA391" i="1" s="1"/>
  <c r="BB391" i="1" s="1"/>
  <c r="BC391" i="1" s="1"/>
  <c r="BD391" i="1" s="1"/>
  <c r="BE391" i="1" s="1"/>
  <c r="AL419" i="1"/>
  <c r="AM419" i="1" s="1"/>
  <c r="AN419" i="1" s="1"/>
  <c r="AO419" i="1" s="1"/>
  <c r="AP419" i="1" s="1"/>
  <c r="AQ419" i="1" s="1"/>
  <c r="AR419" i="1" s="1"/>
  <c r="AS419" i="1" s="1"/>
  <c r="AT419" i="1" s="1"/>
  <c r="AU419" i="1" s="1"/>
  <c r="AV419" i="1" s="1"/>
  <c r="AW419" i="1" s="1"/>
  <c r="AX419" i="1" s="1"/>
  <c r="AY419" i="1" s="1"/>
  <c r="AZ419" i="1" s="1"/>
  <c r="BA419" i="1" s="1"/>
  <c r="BB419" i="1" s="1"/>
  <c r="BC419" i="1" s="1"/>
  <c r="BD419" i="1" s="1"/>
  <c r="BE419" i="1" s="1"/>
  <c r="N1170" i="1"/>
  <c r="O1119" i="1"/>
  <c r="J1166" i="1"/>
  <c r="K1115" i="1"/>
  <c r="N1135" i="1"/>
  <c r="O1084" i="1"/>
  <c r="F1253" i="1"/>
  <c r="M1254" i="1"/>
  <c r="E1253" i="1"/>
  <c r="L1253" i="1"/>
  <c r="D1253" i="1"/>
  <c r="K1253" i="1"/>
  <c r="I1253" i="1"/>
  <c r="J1253" i="1"/>
  <c r="H1253" i="1"/>
  <c r="G1253" i="1"/>
  <c r="L1165" i="1"/>
  <c r="M1114" i="1"/>
  <c r="H1350" i="1"/>
  <c r="H1343" i="1"/>
  <c r="M1144" i="1"/>
  <c r="N1093" i="1"/>
  <c r="AL379" i="1"/>
  <c r="AM379" i="1" s="1"/>
  <c r="AN379" i="1" s="1"/>
  <c r="AO379" i="1" s="1"/>
  <c r="AP379" i="1" s="1"/>
  <c r="AQ379" i="1" s="1"/>
  <c r="AR379" i="1" s="1"/>
  <c r="AS379" i="1" s="1"/>
  <c r="AT379" i="1" s="1"/>
  <c r="AU379" i="1" s="1"/>
  <c r="AV379" i="1" s="1"/>
  <c r="AW379" i="1" s="1"/>
  <c r="AX379" i="1" s="1"/>
  <c r="AY379" i="1" s="1"/>
  <c r="AZ379" i="1" s="1"/>
  <c r="BA379" i="1" s="1"/>
  <c r="BB379" i="1" s="1"/>
  <c r="BC379" i="1" s="1"/>
  <c r="BD379" i="1" s="1"/>
  <c r="BE379" i="1" s="1"/>
  <c r="AL405" i="1"/>
  <c r="AM405" i="1" s="1"/>
  <c r="AN405" i="1" s="1"/>
  <c r="AO405" i="1" s="1"/>
  <c r="AP405" i="1" s="1"/>
  <c r="AQ405" i="1" s="1"/>
  <c r="AR405" i="1" s="1"/>
  <c r="AS405" i="1" s="1"/>
  <c r="AT405" i="1" s="1"/>
  <c r="AU405" i="1" s="1"/>
  <c r="AV405" i="1" s="1"/>
  <c r="AW405" i="1" s="1"/>
  <c r="AX405" i="1" s="1"/>
  <c r="AY405" i="1" s="1"/>
  <c r="AZ405" i="1" s="1"/>
  <c r="BA405" i="1" s="1"/>
  <c r="BB405" i="1" s="1"/>
  <c r="BC405" i="1" s="1"/>
  <c r="BD405" i="1" s="1"/>
  <c r="BE405" i="1" s="1"/>
  <c r="AL385" i="1"/>
  <c r="AM385" i="1" s="1"/>
  <c r="AN385" i="1" s="1"/>
  <c r="AO385" i="1" s="1"/>
  <c r="AP385" i="1" s="1"/>
  <c r="AQ385" i="1" s="1"/>
  <c r="AR385" i="1" s="1"/>
  <c r="AS385" i="1" s="1"/>
  <c r="AT385" i="1" s="1"/>
  <c r="AU385" i="1" s="1"/>
  <c r="AV385" i="1" s="1"/>
  <c r="AW385" i="1" s="1"/>
  <c r="AX385" i="1" s="1"/>
  <c r="AY385" i="1" s="1"/>
  <c r="AZ385" i="1" s="1"/>
  <c r="BA385" i="1" s="1"/>
  <c r="BB385" i="1" s="1"/>
  <c r="BC385" i="1" s="1"/>
  <c r="BD385" i="1" s="1"/>
  <c r="BE385" i="1" s="1"/>
  <c r="AL403" i="1"/>
  <c r="AM403" i="1" s="1"/>
  <c r="AN403" i="1" s="1"/>
  <c r="AO403" i="1" s="1"/>
  <c r="AP403" i="1" s="1"/>
  <c r="AQ403" i="1" s="1"/>
  <c r="AR403" i="1" s="1"/>
  <c r="AS403" i="1" s="1"/>
  <c r="AT403" i="1" s="1"/>
  <c r="AU403" i="1" s="1"/>
  <c r="AV403" i="1" s="1"/>
  <c r="AW403" i="1" s="1"/>
  <c r="AX403" i="1" s="1"/>
  <c r="AY403" i="1" s="1"/>
  <c r="AZ403" i="1" s="1"/>
  <c r="BA403" i="1" s="1"/>
  <c r="BB403" i="1" s="1"/>
  <c r="BC403" i="1" s="1"/>
  <c r="BD403" i="1" s="1"/>
  <c r="BE403" i="1" s="1"/>
  <c r="AL413" i="1"/>
  <c r="AM413" i="1" s="1"/>
  <c r="AN413" i="1" s="1"/>
  <c r="AO413" i="1" s="1"/>
  <c r="AP413" i="1" s="1"/>
  <c r="AQ413" i="1" s="1"/>
  <c r="AR413" i="1" s="1"/>
  <c r="AS413" i="1" s="1"/>
  <c r="AT413" i="1" s="1"/>
  <c r="AU413" i="1" s="1"/>
  <c r="AV413" i="1" s="1"/>
  <c r="AW413" i="1" s="1"/>
  <c r="AX413" i="1" s="1"/>
  <c r="AY413" i="1" s="1"/>
  <c r="AZ413" i="1" s="1"/>
  <c r="BA413" i="1" s="1"/>
  <c r="BB413" i="1" s="1"/>
  <c r="BC413" i="1" s="1"/>
  <c r="BD413" i="1" s="1"/>
  <c r="BE413" i="1" s="1"/>
  <c r="AL415" i="1"/>
  <c r="AM415" i="1" s="1"/>
  <c r="AN415" i="1" s="1"/>
  <c r="AO415" i="1" s="1"/>
  <c r="AP415" i="1" s="1"/>
  <c r="AQ415" i="1" s="1"/>
  <c r="AR415" i="1" s="1"/>
  <c r="AS415" i="1" s="1"/>
  <c r="AT415" i="1" s="1"/>
  <c r="AU415" i="1" s="1"/>
  <c r="AV415" i="1" s="1"/>
  <c r="AW415" i="1" s="1"/>
  <c r="AX415" i="1" s="1"/>
  <c r="AY415" i="1" s="1"/>
  <c r="AZ415" i="1" s="1"/>
  <c r="BA415" i="1" s="1"/>
  <c r="BB415" i="1" s="1"/>
  <c r="BC415" i="1" s="1"/>
  <c r="BD415" i="1" s="1"/>
  <c r="BE415" i="1" s="1"/>
  <c r="H1355" i="1"/>
  <c r="H1346" i="1" l="1"/>
  <c r="H1368" i="1"/>
  <c r="AE1080" i="1"/>
  <c r="AE1132" i="1"/>
  <c r="AE1096" i="1"/>
  <c r="AE1148" i="1"/>
  <c r="AE1113" i="1"/>
  <c r="H1375" i="1"/>
  <c r="I1375" i="1" s="1"/>
  <c r="H1363" i="1"/>
  <c r="H1334" i="1"/>
  <c r="I1334" i="1" s="1"/>
  <c r="H1345" i="1"/>
  <c r="I1345" i="1" s="1"/>
  <c r="H1348" i="1"/>
  <c r="I1348" i="1" s="1"/>
  <c r="H1366" i="1"/>
  <c r="I1366" i="1" s="1"/>
  <c r="I1343" i="1"/>
  <c r="H1378" i="1"/>
  <c r="I1378" i="1" s="1"/>
  <c r="H1337" i="1"/>
  <c r="I1337" i="1" s="1"/>
  <c r="H1362" i="1"/>
  <c r="I1362" i="1" s="1"/>
  <c r="H1351" i="1"/>
  <c r="I1351" i="1" s="1"/>
  <c r="H1340" i="1"/>
  <c r="I1340" i="1" s="1"/>
  <c r="H1357" i="1"/>
  <c r="I1357" i="1" s="1"/>
  <c r="H1342" i="1"/>
  <c r="I1342" i="1" s="1"/>
  <c r="H1347" i="1"/>
  <c r="I1347" i="1" s="1"/>
  <c r="H1356" i="1"/>
  <c r="I1356" i="1" s="1"/>
  <c r="H1344" i="1"/>
  <c r="I1344" i="1" s="1"/>
  <c r="H1359" i="1"/>
  <c r="I1359" i="1" s="1"/>
  <c r="L1160" i="1"/>
  <c r="M1109" i="1"/>
  <c r="H1376" i="1"/>
  <c r="H1358" i="1"/>
  <c r="H1371" i="1"/>
  <c r="L1138" i="1"/>
  <c r="M1087" i="1"/>
  <c r="H1360" i="1"/>
  <c r="J1275" i="1"/>
  <c r="J1274" i="1" s="1"/>
  <c r="H1341" i="1"/>
  <c r="I1341" i="1" s="1"/>
  <c r="I1274" i="1"/>
  <c r="I1333" i="1" s="1"/>
  <c r="H1372" i="1"/>
  <c r="I1372" i="1" s="1"/>
  <c r="I1350" i="1"/>
  <c r="I1353" i="1"/>
  <c r="H1361" i="1"/>
  <c r="I1361" i="1" s="1"/>
  <c r="H1374" i="1"/>
  <c r="H1335" i="1"/>
  <c r="I1335" i="1" s="1"/>
  <c r="H1364" i="1"/>
  <c r="L1158" i="1"/>
  <c r="M1107" i="1"/>
  <c r="K1137" i="1"/>
  <c r="L1086" i="1"/>
  <c r="M1156" i="1"/>
  <c r="N1105" i="1"/>
  <c r="K1136" i="1"/>
  <c r="L1085" i="1"/>
  <c r="N1164" i="1"/>
  <c r="O1113" i="1"/>
  <c r="N1098" i="1"/>
  <c r="M1149" i="1"/>
  <c r="O1121" i="1"/>
  <c r="N1172" i="1"/>
  <c r="K1151" i="1"/>
  <c r="L1100" i="1"/>
  <c r="M1153" i="1"/>
  <c r="N1102" i="1"/>
  <c r="O1077" i="1"/>
  <c r="N1128" i="1"/>
  <c r="I1159" i="1"/>
  <c r="J1108" i="1"/>
  <c r="I1358" i="1"/>
  <c r="I1373" i="1"/>
  <c r="M1145" i="1"/>
  <c r="N1094" i="1"/>
  <c r="G1146" i="1"/>
  <c r="H1095" i="1"/>
  <c r="M1163" i="1"/>
  <c r="N1112" i="1"/>
  <c r="E1147" i="1"/>
  <c r="F1096" i="1"/>
  <c r="N1118" i="1"/>
  <c r="M1169" i="1"/>
  <c r="I1365" i="1"/>
  <c r="I1364" i="1"/>
  <c r="M1134" i="1"/>
  <c r="N1083" i="1"/>
  <c r="N1140" i="1"/>
  <c r="O1089" i="1"/>
  <c r="L1127" i="1"/>
  <c r="M1076" i="1"/>
  <c r="K1165" i="1"/>
  <c r="L1114" i="1"/>
  <c r="M1155" i="1"/>
  <c r="N1104" i="1"/>
  <c r="F1254" i="1"/>
  <c r="M1255" i="1"/>
  <c r="E1254" i="1"/>
  <c r="L1254" i="1"/>
  <c r="D1254" i="1"/>
  <c r="K1254" i="1"/>
  <c r="J1254" i="1"/>
  <c r="I1254" i="1"/>
  <c r="H1254" i="1"/>
  <c r="G1254" i="1"/>
  <c r="G1185" i="1"/>
  <c r="F1185" i="1"/>
  <c r="M1186" i="1"/>
  <c r="E1185" i="1"/>
  <c r="L1185" i="1"/>
  <c r="D1185" i="1"/>
  <c r="K1185" i="1"/>
  <c r="J1185" i="1"/>
  <c r="I1185" i="1"/>
  <c r="H1185" i="1"/>
  <c r="N1119" i="1"/>
  <c r="M1170" i="1"/>
  <c r="M1143" i="1"/>
  <c r="N1092" i="1"/>
  <c r="L1168" i="1"/>
  <c r="M1117" i="1"/>
  <c r="I1339" i="1"/>
  <c r="I1346" i="1"/>
  <c r="G1154" i="1"/>
  <c r="H1103" i="1"/>
  <c r="K1129" i="1"/>
  <c r="L1078" i="1"/>
  <c r="L1144" i="1"/>
  <c r="M1093" i="1"/>
  <c r="J1115" i="1"/>
  <c r="I1166" i="1"/>
  <c r="I1152" i="1"/>
  <c r="J1101" i="1"/>
  <c r="H1161" i="1"/>
  <c r="I1110" i="1"/>
  <c r="H1212" i="1"/>
  <c r="G1212" i="1"/>
  <c r="F1212" i="1"/>
  <c r="M1213" i="1"/>
  <c r="E1212" i="1"/>
  <c r="L1212" i="1"/>
  <c r="D1212" i="1"/>
  <c r="I1212" i="1"/>
  <c r="K1212" i="1"/>
  <c r="J1212" i="1"/>
  <c r="H1139" i="1"/>
  <c r="I1088" i="1"/>
  <c r="H1081" i="1"/>
  <c r="G1132" i="1"/>
  <c r="M1133" i="1"/>
  <c r="N1082" i="1"/>
  <c r="N1148" i="1"/>
  <c r="O1097" i="1"/>
  <c r="M1135" i="1"/>
  <c r="N1084" i="1"/>
  <c r="L1130" i="1"/>
  <c r="M1079" i="1"/>
  <c r="K1142" i="1"/>
  <c r="L1091" i="1"/>
  <c r="L1150" i="1"/>
  <c r="M1099" i="1"/>
  <c r="I1199" i="1"/>
  <c r="H1199" i="1"/>
  <c r="G1199" i="1"/>
  <c r="F1199" i="1"/>
  <c r="M1200" i="1"/>
  <c r="E1199" i="1"/>
  <c r="L1199" i="1"/>
  <c r="K1199" i="1"/>
  <c r="J1199" i="1"/>
  <c r="D1199" i="1"/>
  <c r="N1162" i="1"/>
  <c r="O1111" i="1"/>
  <c r="N1075" i="1"/>
  <c r="M1126" i="1"/>
  <c r="L1167" i="1"/>
  <c r="M1116" i="1"/>
  <c r="F1240" i="1"/>
  <c r="M1241" i="1"/>
  <c r="E1240" i="1"/>
  <c r="L1240" i="1"/>
  <c r="D1240" i="1"/>
  <c r="K1240" i="1"/>
  <c r="J1240" i="1"/>
  <c r="I1240" i="1"/>
  <c r="H1240" i="1"/>
  <c r="G1240" i="1"/>
  <c r="M1171" i="1"/>
  <c r="N1120" i="1"/>
  <c r="H1131" i="1"/>
  <c r="I1080" i="1"/>
  <c r="G1227" i="1"/>
  <c r="F1227" i="1"/>
  <c r="M1228" i="1"/>
  <c r="E1227" i="1"/>
  <c r="L1227" i="1"/>
  <c r="D1227" i="1"/>
  <c r="K1227" i="1"/>
  <c r="J1227" i="1"/>
  <c r="I1227" i="1"/>
  <c r="H1227" i="1"/>
  <c r="I1336" i="1" l="1"/>
  <c r="J1336" i="1" s="1"/>
  <c r="K1336" i="1" s="1"/>
  <c r="J1329" i="1"/>
  <c r="K1275" i="1"/>
  <c r="I1363" i="1"/>
  <c r="I1370" i="1"/>
  <c r="I1369" i="1"/>
  <c r="I1352" i="1"/>
  <c r="J1352" i="1" s="1"/>
  <c r="I1355" i="1"/>
  <c r="J1355" i="1" s="1"/>
  <c r="I1376" i="1"/>
  <c r="J1376" i="1" s="1"/>
  <c r="AE1081" i="1"/>
  <c r="AE1133" i="1"/>
  <c r="AE1149" i="1"/>
  <c r="AE1097" i="1"/>
  <c r="AE1114" i="1"/>
  <c r="I1374" i="1"/>
  <c r="J1374" i="1" s="1"/>
  <c r="I1367" i="1"/>
  <c r="J1367" i="1" s="1"/>
  <c r="I1354" i="1"/>
  <c r="J1354" i="1" s="1"/>
  <c r="I1360" i="1"/>
  <c r="J1360" i="1" s="1"/>
  <c r="I1349" i="1"/>
  <c r="J1349" i="1" s="1"/>
  <c r="K1160" i="1"/>
  <c r="L1109" i="1"/>
  <c r="I1338" i="1"/>
  <c r="J1338" i="1" s="1"/>
  <c r="K1138" i="1"/>
  <c r="L1087" i="1"/>
  <c r="I1368" i="1"/>
  <c r="J1368" i="1" s="1"/>
  <c r="K1368" i="1" s="1"/>
  <c r="I1371" i="1"/>
  <c r="J1371" i="1" s="1"/>
  <c r="I1332" i="1"/>
  <c r="J1332" i="1" s="1"/>
  <c r="I1377" i="1"/>
  <c r="J1377" i="1" s="1"/>
  <c r="I1331" i="1"/>
  <c r="J1331" i="1" s="1"/>
  <c r="J1373" i="1"/>
  <c r="M1128" i="1"/>
  <c r="N1077" i="1"/>
  <c r="L1156" i="1"/>
  <c r="M1105" i="1"/>
  <c r="J1370" i="1"/>
  <c r="J1335" i="1"/>
  <c r="L1145" i="1"/>
  <c r="M1094" i="1"/>
  <c r="L1149" i="1"/>
  <c r="M1098" i="1"/>
  <c r="J1136" i="1"/>
  <c r="K1085" i="1"/>
  <c r="J1361" i="1"/>
  <c r="J1351" i="1"/>
  <c r="L1153" i="1"/>
  <c r="M1102" i="1"/>
  <c r="J1137" i="1"/>
  <c r="K1086" i="1"/>
  <c r="M1172" i="1"/>
  <c r="N1121" i="1"/>
  <c r="H1159" i="1"/>
  <c r="I1108" i="1"/>
  <c r="F1146" i="1"/>
  <c r="G1095" i="1"/>
  <c r="J1350" i="1"/>
  <c r="J1151" i="1"/>
  <c r="K1100" i="1"/>
  <c r="N1113" i="1"/>
  <c r="M1164" i="1"/>
  <c r="K1158" i="1"/>
  <c r="L1107" i="1"/>
  <c r="K1130" i="1"/>
  <c r="L1079" i="1"/>
  <c r="K1127" i="1"/>
  <c r="L1076" i="1"/>
  <c r="I1115" i="1"/>
  <c r="H1166" i="1"/>
  <c r="L1171" i="1"/>
  <c r="M1120" i="1"/>
  <c r="G1161" i="1"/>
  <c r="H1110" i="1"/>
  <c r="J1346" i="1"/>
  <c r="L1275" i="1"/>
  <c r="K1274" i="1"/>
  <c r="K1329" i="1"/>
  <c r="M1119" i="1"/>
  <c r="L1170" i="1"/>
  <c r="J1348" i="1"/>
  <c r="J1345" i="1"/>
  <c r="G1228" i="1"/>
  <c r="F1228" i="1"/>
  <c r="M1229" i="1"/>
  <c r="E1228" i="1"/>
  <c r="L1228" i="1"/>
  <c r="D1228" i="1"/>
  <c r="K1228" i="1"/>
  <c r="J1228" i="1"/>
  <c r="I1228" i="1"/>
  <c r="H1228" i="1"/>
  <c r="J1337" i="1"/>
  <c r="J1339" i="1"/>
  <c r="J1347" i="1"/>
  <c r="G1186" i="1"/>
  <c r="F1186" i="1"/>
  <c r="E1186" i="1"/>
  <c r="M1187" i="1"/>
  <c r="L1186" i="1"/>
  <c r="D1186" i="1"/>
  <c r="K1186" i="1"/>
  <c r="J1186" i="1"/>
  <c r="I1186" i="1"/>
  <c r="H1186" i="1"/>
  <c r="J1343" i="1"/>
  <c r="M1140" i="1"/>
  <c r="N1089" i="1"/>
  <c r="J1358" i="1"/>
  <c r="H1213" i="1"/>
  <c r="G1213" i="1"/>
  <c r="F1213" i="1"/>
  <c r="M1214" i="1"/>
  <c r="E1213" i="1"/>
  <c r="L1213" i="1"/>
  <c r="D1213" i="1"/>
  <c r="K1213" i="1"/>
  <c r="J1213" i="1"/>
  <c r="I1213" i="1"/>
  <c r="J1340" i="1"/>
  <c r="H1152" i="1"/>
  <c r="I1101" i="1"/>
  <c r="K1144" i="1"/>
  <c r="L1093" i="1"/>
  <c r="J1366" i="1"/>
  <c r="D1147" i="1"/>
  <c r="D1096" i="1" s="1"/>
  <c r="E1096" i="1"/>
  <c r="H1080" i="1"/>
  <c r="G1131" i="1"/>
  <c r="K1167" i="1"/>
  <c r="L1116" i="1"/>
  <c r="M1148" i="1"/>
  <c r="N1097" i="1"/>
  <c r="L1155" i="1"/>
  <c r="M1104" i="1"/>
  <c r="J1334" i="1"/>
  <c r="F1255" i="1"/>
  <c r="M1256" i="1"/>
  <c r="E1255" i="1"/>
  <c r="L1255" i="1"/>
  <c r="D1255" i="1"/>
  <c r="K1255" i="1"/>
  <c r="J1255" i="1"/>
  <c r="I1255" i="1"/>
  <c r="H1255" i="1"/>
  <c r="G1255" i="1"/>
  <c r="J1357" i="1"/>
  <c r="J1353" i="1"/>
  <c r="L1135" i="1"/>
  <c r="M1084" i="1"/>
  <c r="H1088" i="1"/>
  <c r="G1139" i="1"/>
  <c r="F1241" i="1"/>
  <c r="M1242" i="1"/>
  <c r="E1241" i="1"/>
  <c r="L1241" i="1"/>
  <c r="D1241" i="1"/>
  <c r="K1241" i="1"/>
  <c r="J1241" i="1"/>
  <c r="I1241" i="1"/>
  <c r="H1241" i="1"/>
  <c r="G1241" i="1"/>
  <c r="J1342" i="1"/>
  <c r="K1342" i="1" s="1"/>
  <c r="K1150" i="1"/>
  <c r="L1099" i="1"/>
  <c r="L1126" i="1"/>
  <c r="M1075" i="1"/>
  <c r="N1111" i="1"/>
  <c r="M1162" i="1"/>
  <c r="L1133" i="1"/>
  <c r="M1082" i="1"/>
  <c r="J1363" i="1"/>
  <c r="J1362" i="1"/>
  <c r="K1168" i="1"/>
  <c r="L1117" i="1"/>
  <c r="L1143" i="1"/>
  <c r="M1092" i="1"/>
  <c r="L1134" i="1"/>
  <c r="M1083" i="1"/>
  <c r="J1341" i="1"/>
  <c r="J1372" i="1"/>
  <c r="I1200" i="1"/>
  <c r="H1200" i="1"/>
  <c r="G1200" i="1"/>
  <c r="F1200" i="1"/>
  <c r="M1201" i="1"/>
  <c r="E1200" i="1"/>
  <c r="L1200" i="1"/>
  <c r="K1200" i="1"/>
  <c r="J1200" i="1"/>
  <c r="D1200" i="1"/>
  <c r="J1142" i="1"/>
  <c r="K1091" i="1"/>
  <c r="J1356" i="1"/>
  <c r="F1132" i="1"/>
  <c r="G1081" i="1"/>
  <c r="J1359" i="1"/>
  <c r="J1333" i="1"/>
  <c r="J1129" i="1"/>
  <c r="K1078" i="1"/>
  <c r="J1375" i="1"/>
  <c r="J1165" i="1"/>
  <c r="K1114" i="1"/>
  <c r="J1364" i="1"/>
  <c r="L1163" i="1"/>
  <c r="M1112" i="1"/>
  <c r="F1154" i="1"/>
  <c r="G1103" i="1"/>
  <c r="M1118" i="1"/>
  <c r="L1169" i="1"/>
  <c r="J1369" i="1"/>
  <c r="J1344" i="1"/>
  <c r="J1378" i="1"/>
  <c r="J1365" i="1"/>
  <c r="K1361" i="1" l="1"/>
  <c r="K1369" i="1"/>
  <c r="K1335" i="1"/>
  <c r="K1373" i="1"/>
  <c r="K1352" i="1"/>
  <c r="K1364" i="1"/>
  <c r="AE1082" i="1"/>
  <c r="AE1134" i="1"/>
  <c r="AE1098" i="1"/>
  <c r="AE1150" i="1"/>
  <c r="AE1115" i="1"/>
  <c r="J1138" i="1"/>
  <c r="K1087" i="1"/>
  <c r="J1160" i="1"/>
  <c r="K1109" i="1"/>
  <c r="K1357" i="1"/>
  <c r="K1347" i="1"/>
  <c r="L1347" i="1" s="1"/>
  <c r="K1374" i="1"/>
  <c r="K1353" i="1"/>
  <c r="K1363" i="1"/>
  <c r="L1363" i="1" s="1"/>
  <c r="K1360" i="1"/>
  <c r="K1333" i="1"/>
  <c r="K1355" i="1"/>
  <c r="K1149" i="1"/>
  <c r="L1098" i="1"/>
  <c r="E1146" i="1"/>
  <c r="F1095" i="1"/>
  <c r="K1153" i="1"/>
  <c r="L1102" i="1"/>
  <c r="K1359" i="1"/>
  <c r="K1372" i="1"/>
  <c r="K1349" i="1"/>
  <c r="K1366" i="1"/>
  <c r="L1366" i="1" s="1"/>
  <c r="K1340" i="1"/>
  <c r="K1350" i="1"/>
  <c r="L1350" i="1" s="1"/>
  <c r="L1164" i="1"/>
  <c r="M1113" i="1"/>
  <c r="K1145" i="1"/>
  <c r="L1094" i="1"/>
  <c r="K1378" i="1"/>
  <c r="K1341" i="1"/>
  <c r="K1354" i="1"/>
  <c r="K1346" i="1"/>
  <c r="G1159" i="1"/>
  <c r="H1108" i="1"/>
  <c r="L1128" i="1"/>
  <c r="M1077" i="1"/>
  <c r="I1137" i="1"/>
  <c r="J1086" i="1"/>
  <c r="K1344" i="1"/>
  <c r="K1375" i="1"/>
  <c r="K1337" i="1"/>
  <c r="K1370" i="1"/>
  <c r="K1377" i="1"/>
  <c r="K1338" i="1"/>
  <c r="K1348" i="1"/>
  <c r="L1348" i="1" s="1"/>
  <c r="I1151" i="1"/>
  <c r="J1100" i="1"/>
  <c r="L1172" i="1"/>
  <c r="M1121" i="1"/>
  <c r="K1156" i="1"/>
  <c r="L1105" i="1"/>
  <c r="J1158" i="1"/>
  <c r="K1107" i="1"/>
  <c r="K1351" i="1"/>
  <c r="K1356" i="1"/>
  <c r="K1358" i="1"/>
  <c r="K1365" i="1"/>
  <c r="K1367" i="1"/>
  <c r="K1332" i="1"/>
  <c r="K1362" i="1"/>
  <c r="K1334" i="1"/>
  <c r="K1371" i="1"/>
  <c r="K1343" i="1"/>
  <c r="I1136" i="1"/>
  <c r="J1085" i="1"/>
  <c r="K1143" i="1"/>
  <c r="L1092" i="1"/>
  <c r="M1111" i="1"/>
  <c r="L1162" i="1"/>
  <c r="L1148" i="1"/>
  <c r="M1097" i="1"/>
  <c r="E1154" i="1"/>
  <c r="F1103" i="1"/>
  <c r="E1132" i="1"/>
  <c r="F1081" i="1"/>
  <c r="F1139" i="1"/>
  <c r="G1088" i="1"/>
  <c r="F1256" i="1"/>
  <c r="M1257" i="1"/>
  <c r="E1256" i="1"/>
  <c r="L1256" i="1"/>
  <c r="D1256" i="1"/>
  <c r="K1256" i="1"/>
  <c r="J1256" i="1"/>
  <c r="I1256" i="1"/>
  <c r="H1256" i="1"/>
  <c r="G1256" i="1"/>
  <c r="L1140" i="1"/>
  <c r="M1089" i="1"/>
  <c r="J1127" i="1"/>
  <c r="K1076" i="1"/>
  <c r="K1117" i="1"/>
  <c r="J1168" i="1"/>
  <c r="J1187" i="1"/>
  <c r="I1187" i="1"/>
  <c r="H1187" i="1"/>
  <c r="G1187" i="1"/>
  <c r="F1187" i="1"/>
  <c r="M1188" i="1"/>
  <c r="L1187" i="1"/>
  <c r="K1187" i="1"/>
  <c r="E1187" i="1"/>
  <c r="D1187" i="1"/>
  <c r="G1229" i="1"/>
  <c r="F1229" i="1"/>
  <c r="M1230" i="1"/>
  <c r="E1229" i="1"/>
  <c r="L1229" i="1"/>
  <c r="D1229" i="1"/>
  <c r="K1229" i="1"/>
  <c r="J1229" i="1"/>
  <c r="I1229" i="1"/>
  <c r="H1229" i="1"/>
  <c r="K1126" i="1"/>
  <c r="L1075" i="1"/>
  <c r="F1131" i="1"/>
  <c r="G1080" i="1"/>
  <c r="J1144" i="1"/>
  <c r="K1093" i="1"/>
  <c r="L1119" i="1"/>
  <c r="K1170" i="1"/>
  <c r="I1165" i="1"/>
  <c r="J1114" i="1"/>
  <c r="I1201" i="1"/>
  <c r="H1201" i="1"/>
  <c r="G1201" i="1"/>
  <c r="F1201" i="1"/>
  <c r="M1202" i="1"/>
  <c r="E1201" i="1"/>
  <c r="K1201" i="1"/>
  <c r="J1201" i="1"/>
  <c r="D1201" i="1"/>
  <c r="L1201" i="1"/>
  <c r="J1167" i="1"/>
  <c r="K1116" i="1"/>
  <c r="I1142" i="1"/>
  <c r="J1091" i="1"/>
  <c r="K1135" i="1"/>
  <c r="L1084" i="1"/>
  <c r="L1120" i="1"/>
  <c r="K1171" i="1"/>
  <c r="F1161" i="1"/>
  <c r="G1110" i="1"/>
  <c r="L1368" i="1"/>
  <c r="K1163" i="1"/>
  <c r="L1112" i="1"/>
  <c r="I1129" i="1"/>
  <c r="J1078" i="1"/>
  <c r="J1150" i="1"/>
  <c r="K1099" i="1"/>
  <c r="G1152" i="1"/>
  <c r="H1101" i="1"/>
  <c r="K1345" i="1"/>
  <c r="L1345" i="1" s="1"/>
  <c r="H1115" i="1"/>
  <c r="G1166" i="1"/>
  <c r="J1130" i="1"/>
  <c r="K1079" i="1"/>
  <c r="L1118" i="1"/>
  <c r="K1169" i="1"/>
  <c r="K1134" i="1"/>
  <c r="L1083" i="1"/>
  <c r="K1133" i="1"/>
  <c r="L1082" i="1"/>
  <c r="K1155" i="1"/>
  <c r="L1104" i="1"/>
  <c r="H1214" i="1"/>
  <c r="G1214" i="1"/>
  <c r="F1214" i="1"/>
  <c r="M1215" i="1"/>
  <c r="E1214" i="1"/>
  <c r="L1214" i="1"/>
  <c r="D1214" i="1"/>
  <c r="K1214" i="1"/>
  <c r="J1214" i="1"/>
  <c r="I1214" i="1"/>
  <c r="K1331" i="1"/>
  <c r="F1242" i="1"/>
  <c r="M1243" i="1"/>
  <c r="E1242" i="1"/>
  <c r="L1242" i="1"/>
  <c r="D1242" i="1"/>
  <c r="K1242" i="1"/>
  <c r="J1242" i="1"/>
  <c r="I1242" i="1"/>
  <c r="H1242" i="1"/>
  <c r="G1242" i="1"/>
  <c r="K1339" i="1"/>
  <c r="M1275" i="1"/>
  <c r="L1274" i="1"/>
  <c r="L1329" i="1"/>
  <c r="K1376" i="1"/>
  <c r="L1349" i="1" l="1"/>
  <c r="AE1135" i="1"/>
  <c r="AE1083" i="1"/>
  <c r="AE1151" i="1"/>
  <c r="AE1099" i="1"/>
  <c r="AE1116" i="1"/>
  <c r="J1109" i="1"/>
  <c r="I1160" i="1"/>
  <c r="L1374" i="1"/>
  <c r="I1138" i="1"/>
  <c r="J1087" i="1"/>
  <c r="K1105" i="1"/>
  <c r="J1156" i="1"/>
  <c r="L1121" i="1"/>
  <c r="K1172" i="1"/>
  <c r="L1342" i="1"/>
  <c r="F1159" i="1"/>
  <c r="G1108" i="1"/>
  <c r="K1164" i="1"/>
  <c r="L1113" i="1"/>
  <c r="J1153" i="1"/>
  <c r="K1102" i="1"/>
  <c r="H1151" i="1"/>
  <c r="I1100" i="1"/>
  <c r="J1145" i="1"/>
  <c r="K1094" i="1"/>
  <c r="L1341" i="1"/>
  <c r="M1341" i="1" s="1"/>
  <c r="L1334" i="1"/>
  <c r="D1146" i="1"/>
  <c r="D1095" i="1" s="1"/>
  <c r="E1095" i="1"/>
  <c r="L1344" i="1"/>
  <c r="I1158" i="1"/>
  <c r="J1107" i="1"/>
  <c r="K1128" i="1"/>
  <c r="L1077" i="1"/>
  <c r="H1136" i="1"/>
  <c r="I1085" i="1"/>
  <c r="H1137" i="1"/>
  <c r="I1086" i="1"/>
  <c r="K1098" i="1"/>
  <c r="J1149" i="1"/>
  <c r="K1148" i="1"/>
  <c r="L1097" i="1"/>
  <c r="F1243" i="1"/>
  <c r="M1244" i="1"/>
  <c r="E1243" i="1"/>
  <c r="L1243" i="1"/>
  <c r="D1243" i="1"/>
  <c r="K1243" i="1"/>
  <c r="J1243" i="1"/>
  <c r="I1243" i="1"/>
  <c r="H1243" i="1"/>
  <c r="G1243" i="1"/>
  <c r="L1352" i="1"/>
  <c r="L1356" i="1"/>
  <c r="K1112" i="1"/>
  <c r="J1163" i="1"/>
  <c r="L1358" i="1"/>
  <c r="I1167" i="1"/>
  <c r="J1116" i="1"/>
  <c r="E1131" i="1"/>
  <c r="F1080" i="1"/>
  <c r="E1103" i="1"/>
  <c r="D1154" i="1"/>
  <c r="D1103" i="1" s="1"/>
  <c r="H1215" i="1"/>
  <c r="G1215" i="1"/>
  <c r="F1215" i="1"/>
  <c r="M1216" i="1"/>
  <c r="E1215" i="1"/>
  <c r="L1215" i="1"/>
  <c r="D1215" i="1"/>
  <c r="K1215" i="1"/>
  <c r="J1215" i="1"/>
  <c r="I1215" i="1"/>
  <c r="N1275" i="1"/>
  <c r="M1274" i="1"/>
  <c r="M1374" i="1" s="1"/>
  <c r="M1329" i="1"/>
  <c r="I1127" i="1"/>
  <c r="J1076" i="1"/>
  <c r="I1130" i="1"/>
  <c r="J1079" i="1"/>
  <c r="L1353" i="1"/>
  <c r="L1361" i="1"/>
  <c r="K1120" i="1"/>
  <c r="J1171" i="1"/>
  <c r="L1377" i="1"/>
  <c r="L1370" i="1"/>
  <c r="L1346" i="1"/>
  <c r="L1111" i="1"/>
  <c r="K1162" i="1"/>
  <c r="J1170" i="1"/>
  <c r="K1119" i="1"/>
  <c r="L1372" i="1"/>
  <c r="L1355" i="1"/>
  <c r="J1134" i="1"/>
  <c r="K1083" i="1"/>
  <c r="G1115" i="1"/>
  <c r="F1166" i="1"/>
  <c r="L1369" i="1"/>
  <c r="L1351" i="1"/>
  <c r="L1343" i="1"/>
  <c r="J1126" i="1"/>
  <c r="K1075" i="1"/>
  <c r="J1117" i="1"/>
  <c r="I1168" i="1"/>
  <c r="L1337" i="1"/>
  <c r="L1354" i="1"/>
  <c r="L1339" i="1"/>
  <c r="L1359" i="1"/>
  <c r="L1333" i="1"/>
  <c r="I1150" i="1"/>
  <c r="J1099" i="1"/>
  <c r="L1367" i="1"/>
  <c r="L1335" i="1"/>
  <c r="L1362" i="1"/>
  <c r="L1371" i="1"/>
  <c r="L1332" i="1"/>
  <c r="J1188" i="1"/>
  <c r="I1188" i="1"/>
  <c r="H1188" i="1"/>
  <c r="G1188" i="1"/>
  <c r="F1188" i="1"/>
  <c r="M1189" i="1"/>
  <c r="L1188" i="1"/>
  <c r="K1188" i="1"/>
  <c r="E1188" i="1"/>
  <c r="D1188" i="1"/>
  <c r="K1082" i="1"/>
  <c r="J1133" i="1"/>
  <c r="G1101" i="1"/>
  <c r="F1152" i="1"/>
  <c r="L1365" i="1"/>
  <c r="I1114" i="1"/>
  <c r="H1165" i="1"/>
  <c r="L1336" i="1"/>
  <c r="G1230" i="1"/>
  <c r="F1230" i="1"/>
  <c r="M1231" i="1"/>
  <c r="E1230" i="1"/>
  <c r="L1230" i="1"/>
  <c r="D1230" i="1"/>
  <c r="K1230" i="1"/>
  <c r="J1230" i="1"/>
  <c r="I1230" i="1"/>
  <c r="H1230" i="1"/>
  <c r="L1360" i="1"/>
  <c r="L1089" i="1"/>
  <c r="K1140" i="1"/>
  <c r="D1132" i="1"/>
  <c r="D1081" i="1" s="1"/>
  <c r="E1081" i="1"/>
  <c r="J1143" i="1"/>
  <c r="K1092" i="1"/>
  <c r="H1142" i="1"/>
  <c r="I1091" i="1"/>
  <c r="E1139" i="1"/>
  <c r="F1088" i="1"/>
  <c r="L1331" i="1"/>
  <c r="J1155" i="1"/>
  <c r="K1104" i="1"/>
  <c r="L1364" i="1"/>
  <c r="L1376" i="1"/>
  <c r="L1340" i="1"/>
  <c r="L1373" i="1"/>
  <c r="L1357" i="1"/>
  <c r="M1357" i="1" s="1"/>
  <c r="J1169" i="1"/>
  <c r="K1118" i="1"/>
  <c r="H1129" i="1"/>
  <c r="I1078" i="1"/>
  <c r="E1161" i="1"/>
  <c r="F1110" i="1"/>
  <c r="J1135" i="1"/>
  <c r="K1084" i="1"/>
  <c r="L1338" i="1"/>
  <c r="I1202" i="1"/>
  <c r="H1202" i="1"/>
  <c r="G1202" i="1"/>
  <c r="F1202" i="1"/>
  <c r="M1203" i="1"/>
  <c r="E1202" i="1"/>
  <c r="J1202" i="1"/>
  <c r="D1202" i="1"/>
  <c r="L1202" i="1"/>
  <c r="K1202" i="1"/>
  <c r="L1378" i="1"/>
  <c r="I1144" i="1"/>
  <c r="J1093" i="1"/>
  <c r="F1257" i="1"/>
  <c r="M1258" i="1"/>
  <c r="E1257" i="1"/>
  <c r="L1257" i="1"/>
  <c r="D1257" i="1"/>
  <c r="K1257" i="1"/>
  <c r="J1257" i="1"/>
  <c r="I1257" i="1"/>
  <c r="H1257" i="1"/>
  <c r="G1257" i="1"/>
  <c r="L1375" i="1"/>
  <c r="M1370" i="1" l="1"/>
  <c r="M1344" i="1"/>
  <c r="M1335" i="1"/>
  <c r="AE1136" i="1"/>
  <c r="AE1084" i="1"/>
  <c r="AE1100" i="1"/>
  <c r="AE1152" i="1"/>
  <c r="AE1117" i="1"/>
  <c r="M1347" i="1"/>
  <c r="I1087" i="1"/>
  <c r="H1138" i="1"/>
  <c r="M1350" i="1"/>
  <c r="M1342" i="1"/>
  <c r="H1160" i="1"/>
  <c r="I1109" i="1"/>
  <c r="M1351" i="1"/>
  <c r="M1367" i="1"/>
  <c r="M1354" i="1"/>
  <c r="M1369" i="1"/>
  <c r="H1158" i="1"/>
  <c r="I1107" i="1"/>
  <c r="I1149" i="1"/>
  <c r="J1098" i="1"/>
  <c r="M1378" i="1"/>
  <c r="M1365" i="1"/>
  <c r="I1145" i="1"/>
  <c r="J1094" i="1"/>
  <c r="M1345" i="1"/>
  <c r="H1086" i="1"/>
  <c r="G1137" i="1"/>
  <c r="M1337" i="1"/>
  <c r="M1376" i="1"/>
  <c r="M1364" i="1"/>
  <c r="M1360" i="1"/>
  <c r="M1333" i="1"/>
  <c r="M1348" i="1"/>
  <c r="M1366" i="1"/>
  <c r="G1151" i="1"/>
  <c r="H1100" i="1"/>
  <c r="J1172" i="1"/>
  <c r="K1121" i="1"/>
  <c r="J1164" i="1"/>
  <c r="K1113" i="1"/>
  <c r="M1340" i="1"/>
  <c r="F1108" i="1"/>
  <c r="E1159" i="1"/>
  <c r="M1375" i="1"/>
  <c r="M1338" i="1"/>
  <c r="M1332" i="1"/>
  <c r="M1359" i="1"/>
  <c r="M1358" i="1"/>
  <c r="H1085" i="1"/>
  <c r="G1136" i="1"/>
  <c r="M1368" i="1"/>
  <c r="N1368" i="1" s="1"/>
  <c r="M1349" i="1"/>
  <c r="M1373" i="1"/>
  <c r="M1371" i="1"/>
  <c r="M1339" i="1"/>
  <c r="M1355" i="1"/>
  <c r="M1361" i="1"/>
  <c r="M1334" i="1"/>
  <c r="I1153" i="1"/>
  <c r="J1102" i="1"/>
  <c r="I1156" i="1"/>
  <c r="J1105" i="1"/>
  <c r="M1331" i="1"/>
  <c r="M1336" i="1"/>
  <c r="M1362" i="1"/>
  <c r="M1343" i="1"/>
  <c r="M1372" i="1"/>
  <c r="M1346" i="1"/>
  <c r="M1353" i="1"/>
  <c r="J1128" i="1"/>
  <c r="K1077" i="1"/>
  <c r="E1088" i="1"/>
  <c r="D1139" i="1"/>
  <c r="D1088" i="1" s="1"/>
  <c r="J1140" i="1"/>
  <c r="K1089" i="1"/>
  <c r="E1166" i="1"/>
  <c r="F1115" i="1"/>
  <c r="I1170" i="1"/>
  <c r="J1119" i="1"/>
  <c r="F1244" i="1"/>
  <c r="E1244" i="1"/>
  <c r="L1244" i="1"/>
  <c r="D1244" i="1"/>
  <c r="K1244" i="1"/>
  <c r="J1244" i="1"/>
  <c r="I1244" i="1"/>
  <c r="H1244" i="1"/>
  <c r="G1244" i="1"/>
  <c r="M1245" i="1"/>
  <c r="H1078" i="1"/>
  <c r="G1129" i="1"/>
  <c r="I1099" i="1"/>
  <c r="H1150" i="1"/>
  <c r="H1168" i="1"/>
  <c r="I1117" i="1"/>
  <c r="I1134" i="1"/>
  <c r="J1083" i="1"/>
  <c r="J1162" i="1"/>
  <c r="K1111" i="1"/>
  <c r="I1076" i="1"/>
  <c r="H1127" i="1"/>
  <c r="J1148" i="1"/>
  <c r="K1097" i="1"/>
  <c r="G1142" i="1"/>
  <c r="H1091" i="1"/>
  <c r="F1258" i="1"/>
  <c r="M1259" i="1"/>
  <c r="E1258" i="1"/>
  <c r="L1258" i="1"/>
  <c r="D1258" i="1"/>
  <c r="K1258" i="1"/>
  <c r="J1258" i="1"/>
  <c r="I1258" i="1"/>
  <c r="H1258" i="1"/>
  <c r="G1258" i="1"/>
  <c r="I1155" i="1"/>
  <c r="J1104" i="1"/>
  <c r="I1133" i="1"/>
  <c r="J1082" i="1"/>
  <c r="I1126" i="1"/>
  <c r="J1075" i="1"/>
  <c r="I1163" i="1"/>
  <c r="J1112" i="1"/>
  <c r="I1135" i="1"/>
  <c r="J1084" i="1"/>
  <c r="J1189" i="1"/>
  <c r="I1189" i="1"/>
  <c r="H1189" i="1"/>
  <c r="G1189" i="1"/>
  <c r="F1189" i="1"/>
  <c r="M1190" i="1"/>
  <c r="L1189" i="1"/>
  <c r="K1189" i="1"/>
  <c r="E1189" i="1"/>
  <c r="D1189" i="1"/>
  <c r="F1101" i="1"/>
  <c r="E1152" i="1"/>
  <c r="J1120" i="1"/>
  <c r="I1171" i="1"/>
  <c r="I1169" i="1"/>
  <c r="J1118" i="1"/>
  <c r="I1143" i="1"/>
  <c r="J1092" i="1"/>
  <c r="I1203" i="1"/>
  <c r="H1203" i="1"/>
  <c r="G1203" i="1"/>
  <c r="F1203" i="1"/>
  <c r="M1204" i="1"/>
  <c r="E1203" i="1"/>
  <c r="D1203" i="1"/>
  <c r="L1203" i="1"/>
  <c r="K1203" i="1"/>
  <c r="J1203" i="1"/>
  <c r="H1114" i="1"/>
  <c r="G1165" i="1"/>
  <c r="H1216" i="1"/>
  <c r="G1216" i="1"/>
  <c r="F1216" i="1"/>
  <c r="M1217" i="1"/>
  <c r="E1216" i="1"/>
  <c r="L1216" i="1"/>
  <c r="D1216" i="1"/>
  <c r="K1216" i="1"/>
  <c r="J1216" i="1"/>
  <c r="I1216" i="1"/>
  <c r="E1080" i="1"/>
  <c r="D1131" i="1"/>
  <c r="D1080" i="1" s="1"/>
  <c r="M1356" i="1"/>
  <c r="M1363" i="1"/>
  <c r="G1231" i="1"/>
  <c r="F1231" i="1"/>
  <c r="M1232" i="1"/>
  <c r="E1231" i="1"/>
  <c r="L1231" i="1"/>
  <c r="D1231" i="1"/>
  <c r="K1231" i="1"/>
  <c r="J1231" i="1"/>
  <c r="I1231" i="1"/>
  <c r="H1231" i="1"/>
  <c r="H1167" i="1"/>
  <c r="I1116" i="1"/>
  <c r="H1144" i="1"/>
  <c r="I1093" i="1"/>
  <c r="E1110" i="1"/>
  <c r="D1161" i="1"/>
  <c r="D1110" i="1" s="1"/>
  <c r="M1377" i="1"/>
  <c r="H1130" i="1"/>
  <c r="I1079" i="1"/>
  <c r="O1275" i="1"/>
  <c r="N1274" i="1"/>
  <c r="N1374" i="1" s="1"/>
  <c r="N1329" i="1"/>
  <c r="M1352" i="1"/>
  <c r="N1371" i="1" l="1"/>
  <c r="AE1137" i="1"/>
  <c r="AE1085" i="1"/>
  <c r="AE1153" i="1"/>
  <c r="AE1101" i="1"/>
  <c r="AE1118" i="1"/>
  <c r="N1367" i="1"/>
  <c r="N1378" i="1"/>
  <c r="G1160" i="1"/>
  <c r="H1109" i="1"/>
  <c r="N1366" i="1"/>
  <c r="H1087" i="1"/>
  <c r="G1138" i="1"/>
  <c r="N1343" i="1"/>
  <c r="O1343" i="1" s="1"/>
  <c r="N1351" i="1"/>
  <c r="H1153" i="1"/>
  <c r="I1102" i="1"/>
  <c r="F1151" i="1"/>
  <c r="G1100" i="1"/>
  <c r="N1348" i="1"/>
  <c r="N1363" i="1"/>
  <c r="N1335" i="1"/>
  <c r="N1360" i="1"/>
  <c r="O1360" i="1" s="1"/>
  <c r="F1137" i="1"/>
  <c r="G1086" i="1"/>
  <c r="H1149" i="1"/>
  <c r="I1098" i="1"/>
  <c r="N1356" i="1"/>
  <c r="N1347" i="1"/>
  <c r="N1344" i="1"/>
  <c r="N1342" i="1"/>
  <c r="O1342" i="1" s="1"/>
  <c r="N1345" i="1"/>
  <c r="N1362" i="1"/>
  <c r="J1113" i="1"/>
  <c r="I1164" i="1"/>
  <c r="G1158" i="1"/>
  <c r="H1107" i="1"/>
  <c r="D1159" i="1"/>
  <c r="D1108" i="1" s="1"/>
  <c r="E1108" i="1"/>
  <c r="N1377" i="1"/>
  <c r="N1331" i="1"/>
  <c r="I1128" i="1"/>
  <c r="J1077" i="1"/>
  <c r="F1136" i="1"/>
  <c r="G1085" i="1"/>
  <c r="N1369" i="1"/>
  <c r="H1156" i="1"/>
  <c r="I1105" i="1"/>
  <c r="J1121" i="1"/>
  <c r="I1172" i="1"/>
  <c r="H1145" i="1"/>
  <c r="I1094" i="1"/>
  <c r="N1352" i="1"/>
  <c r="N1354" i="1"/>
  <c r="N1339" i="1"/>
  <c r="N1338" i="1"/>
  <c r="H1079" i="1"/>
  <c r="G1130" i="1"/>
  <c r="D1152" i="1"/>
  <c r="D1101" i="1" s="1"/>
  <c r="E1101" i="1"/>
  <c r="N1333" i="1"/>
  <c r="N1365" i="1"/>
  <c r="H1076" i="1"/>
  <c r="G1127" i="1"/>
  <c r="H1143" i="1"/>
  <c r="I1092" i="1"/>
  <c r="H1163" i="1"/>
  <c r="I1112" i="1"/>
  <c r="I1162" i="1"/>
  <c r="J1111" i="1"/>
  <c r="N1376" i="1"/>
  <c r="I1119" i="1"/>
  <c r="H1170" i="1"/>
  <c r="I1140" i="1"/>
  <c r="J1089" i="1"/>
  <c r="G1144" i="1"/>
  <c r="H1093" i="1"/>
  <c r="N1334" i="1"/>
  <c r="H1133" i="1"/>
  <c r="I1082" i="1"/>
  <c r="F1142" i="1"/>
  <c r="G1091" i="1"/>
  <c r="F1129" i="1"/>
  <c r="G1078" i="1"/>
  <c r="H1116" i="1"/>
  <c r="G1167" i="1"/>
  <c r="N1353" i="1"/>
  <c r="N1361" i="1"/>
  <c r="H1134" i="1"/>
  <c r="I1083" i="1"/>
  <c r="N1341" i="1"/>
  <c r="E1115" i="1"/>
  <c r="D1166" i="1"/>
  <c r="D1115" i="1" s="1"/>
  <c r="H1126" i="1"/>
  <c r="I1075" i="1"/>
  <c r="H1099" i="1"/>
  <c r="G1150" i="1"/>
  <c r="G1232" i="1"/>
  <c r="F1232" i="1"/>
  <c r="M1233" i="1"/>
  <c r="E1232" i="1"/>
  <c r="L1232" i="1"/>
  <c r="D1232" i="1"/>
  <c r="K1232" i="1"/>
  <c r="J1232" i="1"/>
  <c r="I1232" i="1"/>
  <c r="H1232" i="1"/>
  <c r="F1165" i="1"/>
  <c r="G1114" i="1"/>
  <c r="N1373" i="1"/>
  <c r="I1204" i="1"/>
  <c r="H1204" i="1"/>
  <c r="G1204" i="1"/>
  <c r="F1204" i="1"/>
  <c r="M1205" i="1"/>
  <c r="E1204" i="1"/>
  <c r="L1204" i="1"/>
  <c r="K1204" i="1"/>
  <c r="J1204" i="1"/>
  <c r="D1204" i="1"/>
  <c r="P1275" i="1"/>
  <c r="O1274" i="1"/>
  <c r="O1374" i="1" s="1"/>
  <c r="O1329" i="1"/>
  <c r="N1370" i="1"/>
  <c r="N1350" i="1"/>
  <c r="N1375" i="1"/>
  <c r="N1346" i="1"/>
  <c r="N1355" i="1"/>
  <c r="H1155" i="1"/>
  <c r="I1104" i="1"/>
  <c r="I1148" i="1"/>
  <c r="J1097" i="1"/>
  <c r="N1359" i="1"/>
  <c r="F1245" i="1"/>
  <c r="J1245" i="1"/>
  <c r="L1245" i="1"/>
  <c r="K1245" i="1"/>
  <c r="I1245" i="1"/>
  <c r="H1245" i="1"/>
  <c r="G1245" i="1"/>
  <c r="E1245" i="1"/>
  <c r="M1246" i="1"/>
  <c r="D1245" i="1"/>
  <c r="N1337" i="1"/>
  <c r="N1340" i="1"/>
  <c r="H1217" i="1"/>
  <c r="G1217" i="1"/>
  <c r="F1217" i="1"/>
  <c r="M1218" i="1"/>
  <c r="E1217" i="1"/>
  <c r="L1217" i="1"/>
  <c r="D1217" i="1"/>
  <c r="K1217" i="1"/>
  <c r="J1217" i="1"/>
  <c r="I1217" i="1"/>
  <c r="H1169" i="1"/>
  <c r="I1118" i="1"/>
  <c r="N1336" i="1"/>
  <c r="N1364" i="1"/>
  <c r="O1364" i="1" s="1"/>
  <c r="N1349" i="1"/>
  <c r="N1357" i="1"/>
  <c r="H1171" i="1"/>
  <c r="I1120" i="1"/>
  <c r="N1372" i="1"/>
  <c r="J1190" i="1"/>
  <c r="I1190" i="1"/>
  <c r="H1190" i="1"/>
  <c r="G1190" i="1"/>
  <c r="F1190" i="1"/>
  <c r="L1190" i="1"/>
  <c r="K1190" i="1"/>
  <c r="E1190" i="1"/>
  <c r="D1190" i="1"/>
  <c r="M1191" i="1"/>
  <c r="I1084" i="1"/>
  <c r="H1135" i="1"/>
  <c r="F1259" i="1"/>
  <c r="M1260" i="1"/>
  <c r="E1259" i="1"/>
  <c r="L1259" i="1"/>
  <c r="D1259" i="1"/>
  <c r="K1259" i="1"/>
  <c r="J1259" i="1"/>
  <c r="I1259" i="1"/>
  <c r="H1259" i="1"/>
  <c r="G1259" i="1"/>
  <c r="N1358" i="1"/>
  <c r="N1332" i="1"/>
  <c r="H1117" i="1"/>
  <c r="G1168" i="1"/>
  <c r="AE1138" i="1" l="1"/>
  <c r="AE1086" i="1"/>
  <c r="AE1102" i="1"/>
  <c r="AE1154" i="1"/>
  <c r="AE1119" i="1"/>
  <c r="G1087" i="1"/>
  <c r="F1138" i="1"/>
  <c r="G1109" i="1"/>
  <c r="F1160" i="1"/>
  <c r="G1156" i="1"/>
  <c r="H1105" i="1"/>
  <c r="O1336" i="1"/>
  <c r="P1336" i="1" s="1"/>
  <c r="O1372" i="1"/>
  <c r="F1085" i="1"/>
  <c r="E1136" i="1"/>
  <c r="F1158" i="1"/>
  <c r="G1107" i="1"/>
  <c r="O1344" i="1"/>
  <c r="O1332" i="1"/>
  <c r="G1145" i="1"/>
  <c r="H1094" i="1"/>
  <c r="H1164" i="1"/>
  <c r="I1113" i="1"/>
  <c r="O1335" i="1"/>
  <c r="O1358" i="1"/>
  <c r="O1348" i="1"/>
  <c r="H1172" i="1"/>
  <c r="I1121" i="1"/>
  <c r="I1077" i="1"/>
  <c r="H1128" i="1"/>
  <c r="H1098" i="1"/>
  <c r="G1149" i="1"/>
  <c r="E1151" i="1"/>
  <c r="F1100" i="1"/>
  <c r="O1334" i="1"/>
  <c r="O1331" i="1"/>
  <c r="O1370" i="1"/>
  <c r="O1377" i="1"/>
  <c r="F1086" i="1"/>
  <c r="E1137" i="1"/>
  <c r="G1153" i="1"/>
  <c r="H1102" i="1"/>
  <c r="H1082" i="1"/>
  <c r="G1133" i="1"/>
  <c r="E1165" i="1"/>
  <c r="F1114" i="1"/>
  <c r="G1233" i="1"/>
  <c r="F1233" i="1"/>
  <c r="M1234" i="1"/>
  <c r="E1233" i="1"/>
  <c r="L1233" i="1"/>
  <c r="D1233" i="1"/>
  <c r="K1233" i="1"/>
  <c r="I1233" i="1"/>
  <c r="H1233" i="1"/>
  <c r="J1233" i="1"/>
  <c r="O1361" i="1"/>
  <c r="O1351" i="1"/>
  <c r="O1367" i="1"/>
  <c r="H1140" i="1"/>
  <c r="I1089" i="1"/>
  <c r="O1365" i="1"/>
  <c r="I1205" i="1"/>
  <c r="H1205" i="1"/>
  <c r="G1205" i="1"/>
  <c r="F1205" i="1"/>
  <c r="M1206" i="1"/>
  <c r="E1205" i="1"/>
  <c r="L1205" i="1"/>
  <c r="K1205" i="1"/>
  <c r="J1205" i="1"/>
  <c r="D1205" i="1"/>
  <c r="H1162" i="1"/>
  <c r="I1111" i="1"/>
  <c r="G1169" i="1"/>
  <c r="H1118" i="1"/>
  <c r="O1340" i="1"/>
  <c r="G1155" i="1"/>
  <c r="H1104" i="1"/>
  <c r="P1329" i="1"/>
  <c r="P1274" i="1"/>
  <c r="P1374" i="1" s="1"/>
  <c r="Q1275" i="1"/>
  <c r="H1075" i="1"/>
  <c r="G1126" i="1"/>
  <c r="O1353" i="1"/>
  <c r="O1371" i="1"/>
  <c r="P1371" i="1" s="1"/>
  <c r="H1119" i="1"/>
  <c r="G1170" i="1"/>
  <c r="G1163" i="1"/>
  <c r="H1112" i="1"/>
  <c r="J1191" i="1"/>
  <c r="I1191" i="1"/>
  <c r="H1191" i="1"/>
  <c r="G1191" i="1"/>
  <c r="F1191" i="1"/>
  <c r="L1191" i="1"/>
  <c r="K1191" i="1"/>
  <c r="E1191" i="1"/>
  <c r="D1191" i="1"/>
  <c r="M1192" i="1"/>
  <c r="O1352" i="1"/>
  <c r="H1218" i="1"/>
  <c r="G1218" i="1"/>
  <c r="F1218" i="1"/>
  <c r="M1219" i="1"/>
  <c r="E1218" i="1"/>
  <c r="L1218" i="1"/>
  <c r="D1218" i="1"/>
  <c r="K1218" i="1"/>
  <c r="J1218" i="1"/>
  <c r="I1218" i="1"/>
  <c r="O1337" i="1"/>
  <c r="O1355" i="1"/>
  <c r="P1355" i="1" s="1"/>
  <c r="O1363" i="1"/>
  <c r="G1116" i="1"/>
  <c r="F1167" i="1"/>
  <c r="F1078" i="1"/>
  <c r="E1129" i="1"/>
  <c r="O1368" i="1"/>
  <c r="G1117" i="1"/>
  <c r="F1168" i="1"/>
  <c r="O1346" i="1"/>
  <c r="O1354" i="1"/>
  <c r="G1093" i="1"/>
  <c r="F1144" i="1"/>
  <c r="O1376" i="1"/>
  <c r="G1143" i="1"/>
  <c r="H1092" i="1"/>
  <c r="O1333" i="1"/>
  <c r="F1130" i="1"/>
  <c r="G1079" i="1"/>
  <c r="F1127" i="1"/>
  <c r="G1076" i="1"/>
  <c r="F1260" i="1"/>
  <c r="M1261" i="1"/>
  <c r="E1260" i="1"/>
  <c r="L1260" i="1"/>
  <c r="D1260" i="1"/>
  <c r="K1260" i="1"/>
  <c r="J1260" i="1"/>
  <c r="I1260" i="1"/>
  <c r="H1260" i="1"/>
  <c r="G1260" i="1"/>
  <c r="O1366" i="1"/>
  <c r="O1357" i="1"/>
  <c r="G1246" i="1"/>
  <c r="F1246" i="1"/>
  <c r="L1246" i="1"/>
  <c r="J1246" i="1"/>
  <c r="K1246" i="1"/>
  <c r="I1246" i="1"/>
  <c r="H1246" i="1"/>
  <c r="M1247" i="1"/>
  <c r="E1246" i="1"/>
  <c r="D1246" i="1"/>
  <c r="O1375" i="1"/>
  <c r="O1373" i="1"/>
  <c r="O1362" i="1"/>
  <c r="O1347" i="1"/>
  <c r="E1142" i="1"/>
  <c r="F1091" i="1"/>
  <c r="O1345" i="1"/>
  <c r="O1338" i="1"/>
  <c r="P1338" i="1" s="1"/>
  <c r="F1150" i="1"/>
  <c r="G1099" i="1"/>
  <c r="H1148" i="1"/>
  <c r="I1097" i="1"/>
  <c r="H1083" i="1"/>
  <c r="G1134" i="1"/>
  <c r="G1171" i="1"/>
  <c r="H1120" i="1"/>
  <c r="H1084" i="1"/>
  <c r="G1135" i="1"/>
  <c r="O1349" i="1"/>
  <c r="O1359" i="1"/>
  <c r="O1350" i="1"/>
  <c r="O1369" i="1"/>
  <c r="O1341" i="1"/>
  <c r="O1378" i="1"/>
  <c r="O1356" i="1"/>
  <c r="O1339" i="1"/>
  <c r="P1361" i="1" l="1"/>
  <c r="P1337" i="1"/>
  <c r="P1335" i="1"/>
  <c r="AE1139" i="1"/>
  <c r="AE1087" i="1"/>
  <c r="AE1155" i="1"/>
  <c r="AE1103" i="1"/>
  <c r="AE1121" i="1"/>
  <c r="AE1120" i="1"/>
  <c r="P1333" i="1"/>
  <c r="P1339" i="1"/>
  <c r="P1341" i="1"/>
  <c r="P1350" i="1"/>
  <c r="P1343" i="1"/>
  <c r="P1359" i="1"/>
  <c r="P1377" i="1"/>
  <c r="P1345" i="1"/>
  <c r="P1344" i="1"/>
  <c r="P1352" i="1"/>
  <c r="P1357" i="1"/>
  <c r="E1160" i="1"/>
  <c r="F1109" i="1"/>
  <c r="P1362" i="1"/>
  <c r="P1378" i="1"/>
  <c r="P1376" i="1"/>
  <c r="P1354" i="1"/>
  <c r="P1349" i="1"/>
  <c r="P1368" i="1"/>
  <c r="P1332" i="1"/>
  <c r="P1347" i="1"/>
  <c r="P1375" i="1"/>
  <c r="P1356" i="1"/>
  <c r="P1369" i="1"/>
  <c r="P1366" i="1"/>
  <c r="E1138" i="1"/>
  <c r="F1087" i="1"/>
  <c r="P1373" i="1"/>
  <c r="D1137" i="1"/>
  <c r="D1086" i="1" s="1"/>
  <c r="E1086" i="1"/>
  <c r="F1149" i="1"/>
  <c r="G1098" i="1"/>
  <c r="E1158" i="1"/>
  <c r="F1107" i="1"/>
  <c r="D1136" i="1"/>
  <c r="D1085" i="1" s="1"/>
  <c r="E1085" i="1"/>
  <c r="P1367" i="1"/>
  <c r="H1077" i="1"/>
  <c r="G1128" i="1"/>
  <c r="G1164" i="1"/>
  <c r="H1113" i="1"/>
  <c r="P1342" i="1"/>
  <c r="P1351" i="1"/>
  <c r="F1145" i="1"/>
  <c r="G1094" i="1"/>
  <c r="D1151" i="1"/>
  <c r="D1100" i="1" s="1"/>
  <c r="E1100" i="1"/>
  <c r="G1172" i="1"/>
  <c r="H1121" i="1"/>
  <c r="G1102" i="1"/>
  <c r="F1153" i="1"/>
  <c r="P1346" i="1"/>
  <c r="P1363" i="1"/>
  <c r="P1360" i="1"/>
  <c r="P1353" i="1"/>
  <c r="P1340" i="1"/>
  <c r="F1156" i="1"/>
  <c r="G1105" i="1"/>
  <c r="E1130" i="1"/>
  <c r="F1079" i="1"/>
  <c r="F1155" i="1"/>
  <c r="G1104" i="1"/>
  <c r="P1334" i="1"/>
  <c r="F1117" i="1"/>
  <c r="E1168" i="1"/>
  <c r="H1219" i="1"/>
  <c r="G1219" i="1"/>
  <c r="F1219" i="1"/>
  <c r="E1219" i="1"/>
  <c r="L1219" i="1"/>
  <c r="D1219" i="1"/>
  <c r="J1219" i="1"/>
  <c r="I1219" i="1"/>
  <c r="K1219" i="1"/>
  <c r="F1133" i="1"/>
  <c r="G1082" i="1"/>
  <c r="E1150" i="1"/>
  <c r="F1099" i="1"/>
  <c r="F1134" i="1"/>
  <c r="G1083" i="1"/>
  <c r="F1126" i="1"/>
  <c r="G1075" i="1"/>
  <c r="G1234" i="1"/>
  <c r="F1234" i="1"/>
  <c r="M1235" i="1"/>
  <c r="E1234" i="1"/>
  <c r="L1234" i="1"/>
  <c r="D1234" i="1"/>
  <c r="K1234" i="1"/>
  <c r="H1234" i="1"/>
  <c r="J1234" i="1"/>
  <c r="I1234" i="1"/>
  <c r="F1143" i="1"/>
  <c r="G1092" i="1"/>
  <c r="F1169" i="1"/>
  <c r="G1118" i="1"/>
  <c r="P1348" i="1"/>
  <c r="H1089" i="1"/>
  <c r="G1140" i="1"/>
  <c r="E1127" i="1"/>
  <c r="F1076" i="1"/>
  <c r="D1129" i="1"/>
  <c r="D1078" i="1" s="1"/>
  <c r="E1078" i="1"/>
  <c r="Q1274" i="1"/>
  <c r="Q1374" i="1" s="1"/>
  <c r="R1275" i="1"/>
  <c r="Q1329" i="1"/>
  <c r="P1372" i="1"/>
  <c r="P1364" i="1"/>
  <c r="F1093" i="1"/>
  <c r="E1144" i="1"/>
  <c r="F1163" i="1"/>
  <c r="G1112" i="1"/>
  <c r="I1206" i="1"/>
  <c r="H1206" i="1"/>
  <c r="G1206" i="1"/>
  <c r="F1206" i="1"/>
  <c r="E1206" i="1"/>
  <c r="L1206" i="1"/>
  <c r="K1206" i="1"/>
  <c r="J1206" i="1"/>
  <c r="D1206" i="1"/>
  <c r="P1365" i="1"/>
  <c r="P1370" i="1"/>
  <c r="F1261" i="1"/>
  <c r="E1261" i="1"/>
  <c r="L1261" i="1"/>
  <c r="D1261" i="1"/>
  <c r="K1261" i="1"/>
  <c r="J1261" i="1"/>
  <c r="I1261" i="1"/>
  <c r="H1261" i="1"/>
  <c r="G1261" i="1"/>
  <c r="J1192" i="1"/>
  <c r="I1192" i="1"/>
  <c r="H1192" i="1"/>
  <c r="G1192" i="1"/>
  <c r="F1192" i="1"/>
  <c r="K1192" i="1"/>
  <c r="E1192" i="1"/>
  <c r="D1192" i="1"/>
  <c r="M1193" i="1"/>
  <c r="L1192" i="1"/>
  <c r="F1171" i="1"/>
  <c r="G1120" i="1"/>
  <c r="G1148" i="1"/>
  <c r="H1097" i="1"/>
  <c r="G1247" i="1"/>
  <c r="F1247" i="1"/>
  <c r="M1248" i="1"/>
  <c r="L1247" i="1"/>
  <c r="D1247" i="1"/>
  <c r="J1247" i="1"/>
  <c r="K1247" i="1"/>
  <c r="I1247" i="1"/>
  <c r="H1247" i="1"/>
  <c r="E1247" i="1"/>
  <c r="F1135" i="1"/>
  <c r="G1084" i="1"/>
  <c r="D1142" i="1"/>
  <c r="D1091" i="1" s="1"/>
  <c r="E1091" i="1"/>
  <c r="P1331" i="1"/>
  <c r="F1116" i="1"/>
  <c r="E1167" i="1"/>
  <c r="P1358" i="1"/>
  <c r="F1170" i="1"/>
  <c r="G1119" i="1"/>
  <c r="G1162" i="1"/>
  <c r="H1111" i="1"/>
  <c r="D1165" i="1"/>
  <c r="D1114" i="1" s="1"/>
  <c r="E1114" i="1"/>
  <c r="AE1140" i="1" l="1"/>
  <c r="AE1089" i="1" s="1"/>
  <c r="AE1088" i="1"/>
  <c r="AE1156" i="1"/>
  <c r="AE1105" i="1" s="1"/>
  <c r="AE1104" i="1"/>
  <c r="D1160" i="1"/>
  <c r="D1109" i="1" s="1"/>
  <c r="E1109" i="1"/>
  <c r="Q1365" i="1"/>
  <c r="Q1342" i="1"/>
  <c r="D1138" i="1"/>
  <c r="D1087" i="1" s="1"/>
  <c r="E1087" i="1"/>
  <c r="Q1345" i="1"/>
  <c r="E1153" i="1"/>
  <c r="F1102" i="1"/>
  <c r="E1145" i="1"/>
  <c r="F1094" i="1"/>
  <c r="Q1358" i="1"/>
  <c r="Q1335" i="1"/>
  <c r="R1335" i="1" s="1"/>
  <c r="Q1341" i="1"/>
  <c r="E1156" i="1"/>
  <c r="F1105" i="1"/>
  <c r="D1158" i="1"/>
  <c r="D1107" i="1" s="1"/>
  <c r="E1107" i="1"/>
  <c r="G1121" i="1"/>
  <c r="F1172" i="1"/>
  <c r="F1164" i="1"/>
  <c r="G1113" i="1"/>
  <c r="Q1372" i="1"/>
  <c r="F1128" i="1"/>
  <c r="G1077" i="1"/>
  <c r="E1149" i="1"/>
  <c r="F1098" i="1"/>
  <c r="Q1349" i="1"/>
  <c r="Q1331" i="1"/>
  <c r="Q1369" i="1"/>
  <c r="Q1363" i="1"/>
  <c r="D1127" i="1"/>
  <c r="D1076" i="1" s="1"/>
  <c r="E1076" i="1"/>
  <c r="G1235" i="1"/>
  <c r="F1235" i="1"/>
  <c r="E1235" i="1"/>
  <c r="L1235" i="1"/>
  <c r="D1235" i="1"/>
  <c r="K1235" i="1"/>
  <c r="J1235" i="1"/>
  <c r="I1235" i="1"/>
  <c r="H1235" i="1"/>
  <c r="D1167" i="1"/>
  <c r="D1116" i="1" s="1"/>
  <c r="E1116" i="1"/>
  <c r="Q1359" i="1"/>
  <c r="F1118" i="1"/>
  <c r="E1169" i="1"/>
  <c r="Q1337" i="1"/>
  <c r="E1133" i="1"/>
  <c r="F1082" i="1"/>
  <c r="Q1332" i="1"/>
  <c r="Q1346" i="1"/>
  <c r="E1135" i="1"/>
  <c r="F1084" i="1"/>
  <c r="E1171" i="1"/>
  <c r="F1120" i="1"/>
  <c r="Q1373" i="1"/>
  <c r="S1275" i="1"/>
  <c r="R1274" i="1"/>
  <c r="R1374" i="1" s="1"/>
  <c r="R1329" i="1"/>
  <c r="Q1339" i="1"/>
  <c r="Q1368" i="1"/>
  <c r="Q1344" i="1"/>
  <c r="Q1351" i="1"/>
  <c r="Q1343" i="1"/>
  <c r="Q1333" i="1"/>
  <c r="R1333" i="1" s="1"/>
  <c r="Q1361" i="1"/>
  <c r="Q1340" i="1"/>
  <c r="Q1334" i="1"/>
  <c r="D1130" i="1"/>
  <c r="D1079" i="1" s="1"/>
  <c r="E1079" i="1"/>
  <c r="Q1352" i="1"/>
  <c r="R1352" i="1" s="1"/>
  <c r="F1140" i="1"/>
  <c r="G1089" i="1"/>
  <c r="E1143" i="1"/>
  <c r="F1092" i="1"/>
  <c r="Q1377" i="1"/>
  <c r="E1134" i="1"/>
  <c r="F1083" i="1"/>
  <c r="Q1353" i="1"/>
  <c r="Q1367" i="1"/>
  <c r="Q1362" i="1"/>
  <c r="Q1350" i="1"/>
  <c r="Q1355" i="1"/>
  <c r="Q1360" i="1"/>
  <c r="Q1378" i="1"/>
  <c r="F1148" i="1"/>
  <c r="G1097" i="1"/>
  <c r="Q1376" i="1"/>
  <c r="R1376" i="1" s="1"/>
  <c r="Q1354" i="1"/>
  <c r="R1354" i="1" s="1"/>
  <c r="Q1375" i="1"/>
  <c r="R1375" i="1" s="1"/>
  <c r="F1075" i="1"/>
  <c r="E1126" i="1"/>
  <c r="E1155" i="1"/>
  <c r="F1104" i="1"/>
  <c r="Q1347" i="1"/>
  <c r="R1347" i="1" s="1"/>
  <c r="R1365" i="1"/>
  <c r="G1248" i="1"/>
  <c r="F1248" i="1"/>
  <c r="L1248" i="1"/>
  <c r="D1248" i="1"/>
  <c r="J1248" i="1"/>
  <c r="K1248" i="1"/>
  <c r="I1248" i="1"/>
  <c r="H1248" i="1"/>
  <c r="E1248" i="1"/>
  <c r="E1163" i="1"/>
  <c r="F1112" i="1"/>
  <c r="Q1366" i="1"/>
  <c r="F1162" i="1"/>
  <c r="G1111" i="1"/>
  <c r="J1193" i="1"/>
  <c r="I1193" i="1"/>
  <c r="H1193" i="1"/>
  <c r="G1193" i="1"/>
  <c r="F1193" i="1"/>
  <c r="E1193" i="1"/>
  <c r="D1193" i="1"/>
  <c r="L1193" i="1"/>
  <c r="K1193" i="1"/>
  <c r="D1144" i="1"/>
  <c r="D1093" i="1" s="1"/>
  <c r="E1093" i="1"/>
  <c r="F1119" i="1"/>
  <c r="E1170" i="1"/>
  <c r="Q1336" i="1"/>
  <c r="Q1356" i="1"/>
  <c r="Q1370" i="1"/>
  <c r="Q1357" i="1"/>
  <c r="R1357" i="1" s="1"/>
  <c r="Q1364" i="1"/>
  <c r="R1364" i="1" s="1"/>
  <c r="Q1348" i="1"/>
  <c r="R1348" i="1" s="1"/>
  <c r="Q1338" i="1"/>
  <c r="R1338" i="1" s="1"/>
  <c r="D1150" i="1"/>
  <c r="D1099" i="1" s="1"/>
  <c r="E1099" i="1"/>
  <c r="D1168" i="1"/>
  <c r="D1117" i="1" s="1"/>
  <c r="E1117" i="1"/>
  <c r="Q1371" i="1"/>
  <c r="R1350" i="1" l="1"/>
  <c r="R1371" i="1"/>
  <c r="R1353" i="1"/>
  <c r="R1363" i="1"/>
  <c r="R1378" i="1"/>
  <c r="F1113" i="1"/>
  <c r="E1164" i="1"/>
  <c r="E1172" i="1"/>
  <c r="F1121" i="1"/>
  <c r="R1370" i="1"/>
  <c r="S1370" i="1" s="1"/>
  <c r="E1098" i="1"/>
  <c r="D1149" i="1"/>
  <c r="D1098" i="1" s="1"/>
  <c r="D1145" i="1"/>
  <c r="D1094" i="1" s="1"/>
  <c r="E1094" i="1"/>
  <c r="R1372" i="1"/>
  <c r="R1343" i="1"/>
  <c r="S1343" i="1" s="1"/>
  <c r="R1373" i="1"/>
  <c r="R1360" i="1"/>
  <c r="R1377" i="1"/>
  <c r="S1377" i="1" s="1"/>
  <c r="E1128" i="1"/>
  <c r="F1077" i="1"/>
  <c r="E1102" i="1"/>
  <c r="D1153" i="1"/>
  <c r="D1102" i="1" s="1"/>
  <c r="R1355" i="1"/>
  <c r="D1156" i="1"/>
  <c r="D1105" i="1" s="1"/>
  <c r="E1105" i="1"/>
  <c r="E1119" i="1"/>
  <c r="D1170" i="1"/>
  <c r="D1119" i="1" s="1"/>
  <c r="R1346" i="1"/>
  <c r="R1369" i="1"/>
  <c r="T1275" i="1"/>
  <c r="S1274" i="1"/>
  <c r="S1374" i="1" s="1"/>
  <c r="S1329" i="1"/>
  <c r="R1332" i="1"/>
  <c r="S1350" i="1"/>
  <c r="R1351" i="1"/>
  <c r="D1133" i="1"/>
  <c r="D1082" i="1" s="1"/>
  <c r="E1082" i="1"/>
  <c r="S1347" i="1"/>
  <c r="R1341" i="1"/>
  <c r="S1341" i="1" s="1"/>
  <c r="R1344" i="1"/>
  <c r="S1344" i="1" s="1"/>
  <c r="D1171" i="1"/>
  <c r="D1120" i="1" s="1"/>
  <c r="E1120" i="1"/>
  <c r="R1337" i="1"/>
  <c r="D1163" i="1"/>
  <c r="D1112" i="1" s="1"/>
  <c r="E1112" i="1"/>
  <c r="S1357" i="1"/>
  <c r="E1148" i="1"/>
  <c r="F1097" i="1"/>
  <c r="R1349" i="1"/>
  <c r="D1143" i="1"/>
  <c r="D1092" i="1" s="1"/>
  <c r="E1092" i="1"/>
  <c r="R1334" i="1"/>
  <c r="S1334" i="1" s="1"/>
  <c r="R1368" i="1"/>
  <c r="S1368" i="1" s="1"/>
  <c r="E1118" i="1"/>
  <c r="D1169" i="1"/>
  <c r="D1118" i="1" s="1"/>
  <c r="D1134" i="1"/>
  <c r="D1083" i="1" s="1"/>
  <c r="E1083" i="1"/>
  <c r="E1162" i="1"/>
  <c r="F1111" i="1"/>
  <c r="R1331" i="1"/>
  <c r="S1331" i="1" s="1"/>
  <c r="R1340" i="1"/>
  <c r="R1339" i="1"/>
  <c r="S1339" i="1" s="1"/>
  <c r="D1135" i="1"/>
  <c r="D1084" i="1" s="1"/>
  <c r="E1084" i="1"/>
  <c r="R1358" i="1"/>
  <c r="R1356" i="1"/>
  <c r="S1356" i="1" s="1"/>
  <c r="D1155" i="1"/>
  <c r="D1104" i="1" s="1"/>
  <c r="E1104" i="1"/>
  <c r="R1362" i="1"/>
  <c r="S1362" i="1" s="1"/>
  <c r="R1336" i="1"/>
  <c r="R1366" i="1"/>
  <c r="D1126" i="1"/>
  <c r="D1075" i="1" s="1"/>
  <c r="E1075" i="1"/>
  <c r="R1342" i="1"/>
  <c r="S1342" i="1" s="1"/>
  <c r="R1367" i="1"/>
  <c r="S1367" i="1" s="1"/>
  <c r="E1140" i="1"/>
  <c r="F1089" i="1"/>
  <c r="R1361" i="1"/>
  <c r="R1345" i="1"/>
  <c r="R1359" i="1"/>
  <c r="S1359" i="1" s="1"/>
  <c r="S1346" i="1" l="1"/>
  <c r="D1128" i="1"/>
  <c r="D1077" i="1" s="1"/>
  <c r="E1077" i="1"/>
  <c r="S1376" i="1"/>
  <c r="S1371" i="1"/>
  <c r="D1172" i="1"/>
  <c r="D1121" i="1" s="1"/>
  <c r="E1121" i="1"/>
  <c r="S1358" i="1"/>
  <c r="S1366" i="1"/>
  <c r="S1364" i="1"/>
  <c r="S1363" i="1"/>
  <c r="D1164" i="1"/>
  <c r="D1113" i="1" s="1"/>
  <c r="E1113" i="1"/>
  <c r="S1345" i="1"/>
  <c r="S1361" i="1"/>
  <c r="S1336" i="1"/>
  <c r="S1349" i="1"/>
  <c r="S1351" i="1"/>
  <c r="S1333" i="1"/>
  <c r="U1275" i="1"/>
  <c r="T1274" i="1"/>
  <c r="T1374" i="1" s="1"/>
  <c r="T1329" i="1"/>
  <c r="S1352" i="1"/>
  <c r="T1352" i="1" s="1"/>
  <c r="S1353" i="1"/>
  <c r="T1342" i="1"/>
  <c r="T1358" i="1"/>
  <c r="T1364" i="1"/>
  <c r="S1372" i="1"/>
  <c r="S1365" i="1"/>
  <c r="S1335" i="1"/>
  <c r="S1378" i="1"/>
  <c r="D1148" i="1"/>
  <c r="D1097" i="1" s="1"/>
  <c r="E1097" i="1"/>
  <c r="D1162" i="1"/>
  <c r="D1111" i="1" s="1"/>
  <c r="E1111" i="1"/>
  <c r="S1337" i="1"/>
  <c r="S1354" i="1"/>
  <c r="S1373" i="1"/>
  <c r="S1360" i="1"/>
  <c r="S1338" i="1"/>
  <c r="S1348" i="1"/>
  <c r="S1375" i="1"/>
  <c r="D1140" i="1"/>
  <c r="D1089" i="1" s="1"/>
  <c r="E1089" i="1"/>
  <c r="S1340" i="1"/>
  <c r="S1355" i="1"/>
  <c r="T1355" i="1" s="1"/>
  <c r="S1332" i="1"/>
  <c r="S1369" i="1"/>
  <c r="T1340" i="1" l="1"/>
  <c r="T1369" i="1"/>
  <c r="T1349" i="1"/>
  <c r="T1344" i="1"/>
  <c r="T1354" i="1"/>
  <c r="T1351" i="1"/>
  <c r="T1337" i="1"/>
  <c r="U1337" i="1" s="1"/>
  <c r="T1343" i="1"/>
  <c r="T1338" i="1"/>
  <c r="T1360" i="1"/>
  <c r="T1366" i="1"/>
  <c r="T1362" i="1"/>
  <c r="U1362" i="1" s="1"/>
  <c r="T1336" i="1"/>
  <c r="U1336" i="1" s="1"/>
  <c r="T1373" i="1"/>
  <c r="T1370" i="1"/>
  <c r="T1331" i="1"/>
  <c r="U1331" i="1" s="1"/>
  <c r="T1378" i="1"/>
  <c r="U1378" i="1" s="1"/>
  <c r="T1353" i="1"/>
  <c r="T1368" i="1"/>
  <c r="T1334" i="1"/>
  <c r="U1334" i="1" s="1"/>
  <c r="T1333" i="1"/>
  <c r="U1333" i="1" s="1"/>
  <c r="T1375" i="1"/>
  <c r="U1375" i="1" s="1"/>
  <c r="T1332" i="1"/>
  <c r="T1348" i="1"/>
  <c r="U1348" i="1" s="1"/>
  <c r="T1346" i="1"/>
  <c r="U1346" i="1" s="1"/>
  <c r="U1368" i="1"/>
  <c r="U1344" i="1"/>
  <c r="U1343" i="1"/>
  <c r="T1341" i="1"/>
  <c r="T1335" i="1"/>
  <c r="T1363" i="1"/>
  <c r="V1275" i="1"/>
  <c r="U1274" i="1"/>
  <c r="U1374" i="1" s="1"/>
  <c r="U1329" i="1"/>
  <c r="T1357" i="1"/>
  <c r="U1357" i="1" s="1"/>
  <c r="U1364" i="1"/>
  <c r="T1339" i="1"/>
  <c r="T1361" i="1"/>
  <c r="U1361" i="1" s="1"/>
  <c r="T1345" i="1"/>
  <c r="U1345" i="1" s="1"/>
  <c r="T1371" i="1"/>
  <c r="U1371" i="1" s="1"/>
  <c r="T1365" i="1"/>
  <c r="U1365" i="1" s="1"/>
  <c r="T1350" i="1"/>
  <c r="U1350" i="1" s="1"/>
  <c r="T1377" i="1"/>
  <c r="U1377" i="1" s="1"/>
  <c r="T1367" i="1"/>
  <c r="U1367" i="1" s="1"/>
  <c r="U1354" i="1"/>
  <c r="U1342" i="1"/>
  <c r="U1369" i="1"/>
  <c r="T1359" i="1"/>
  <c r="U1359" i="1" s="1"/>
  <c r="T1356" i="1"/>
  <c r="U1356" i="1" s="1"/>
  <c r="T1372" i="1"/>
  <c r="T1376" i="1"/>
  <c r="T1347" i="1"/>
  <c r="U1341" i="1" l="1"/>
  <c r="U1352" i="1"/>
  <c r="U1363" i="1"/>
  <c r="U1347" i="1"/>
  <c r="U1349" i="1"/>
  <c r="U1335" i="1"/>
  <c r="U1376" i="1"/>
  <c r="U1372" i="1"/>
  <c r="U1353" i="1"/>
  <c r="U1366" i="1"/>
  <c r="U1358" i="1"/>
  <c r="U1351" i="1"/>
  <c r="U1373" i="1"/>
  <c r="U1340" i="1"/>
  <c r="U1338" i="1"/>
  <c r="U1370" i="1"/>
  <c r="U1332" i="1"/>
  <c r="U1339" i="1"/>
  <c r="W1275" i="1"/>
  <c r="V1274" i="1"/>
  <c r="V1374" i="1" s="1"/>
  <c r="V1329" i="1"/>
  <c r="U1360" i="1"/>
  <c r="U1355" i="1"/>
  <c r="V1357" i="1" l="1"/>
  <c r="V1331" i="1"/>
  <c r="V1347" i="1"/>
  <c r="V1359" i="1"/>
  <c r="V1352" i="1"/>
  <c r="V1348" i="1"/>
  <c r="X1275" i="1"/>
  <c r="W1274" i="1"/>
  <c r="W1374" i="1" s="1"/>
  <c r="W1329" i="1"/>
  <c r="V1332" i="1"/>
  <c r="V1341" i="1"/>
  <c r="V1377" i="1"/>
  <c r="V1367" i="1"/>
  <c r="V1349" i="1"/>
  <c r="V1375" i="1"/>
  <c r="V1373" i="1"/>
  <c r="W1373" i="1" s="1"/>
  <c r="V1366" i="1"/>
  <c r="V1365" i="1"/>
  <c r="V1353" i="1"/>
  <c r="V1371" i="1"/>
  <c r="V1364" i="1"/>
  <c r="V1369" i="1"/>
  <c r="V1343" i="1"/>
  <c r="V1351" i="1"/>
  <c r="W1351" i="1" s="1"/>
  <c r="V1344" i="1"/>
  <c r="V1333" i="1"/>
  <c r="V1335" i="1"/>
  <c r="V1339" i="1"/>
  <c r="V1378" i="1"/>
  <c r="V1355" i="1"/>
  <c r="V1334" i="1"/>
  <c r="V1340" i="1"/>
  <c r="V1342" i="1"/>
  <c r="V1363" i="1"/>
  <c r="V1336" i="1"/>
  <c r="V1346" i="1"/>
  <c r="V1337" i="1"/>
  <c r="V1350" i="1"/>
  <c r="V1372" i="1"/>
  <c r="V1370" i="1"/>
  <c r="W1370" i="1" s="1"/>
  <c r="V1338" i="1"/>
  <c r="V1360" i="1"/>
  <c r="V1376" i="1"/>
  <c r="V1358" i="1"/>
  <c r="V1356" i="1"/>
  <c r="V1354" i="1"/>
  <c r="V1361" i="1"/>
  <c r="V1345" i="1"/>
  <c r="W1345" i="1" s="1"/>
  <c r="V1362" i="1"/>
  <c r="V1368" i="1"/>
  <c r="W1340" i="1" l="1"/>
  <c r="W1372" i="1"/>
  <c r="W1334" i="1"/>
  <c r="W1343" i="1"/>
  <c r="W1375" i="1"/>
  <c r="W1349" i="1"/>
  <c r="W1378" i="1"/>
  <c r="W1364" i="1"/>
  <c r="W1367" i="1"/>
  <c r="W1352" i="1"/>
  <c r="W1354" i="1"/>
  <c r="W1348" i="1"/>
  <c r="W1339" i="1"/>
  <c r="W1371" i="1"/>
  <c r="W1377" i="1"/>
  <c r="X1377" i="1" s="1"/>
  <c r="W1359" i="1"/>
  <c r="W1361" i="1"/>
  <c r="W1350" i="1"/>
  <c r="W1337" i="1"/>
  <c r="W1376" i="1"/>
  <c r="W1336" i="1"/>
  <c r="X1336" i="1" s="1"/>
  <c r="W1335" i="1"/>
  <c r="W1353" i="1"/>
  <c r="X1353" i="1" s="1"/>
  <c r="W1341" i="1"/>
  <c r="X1341" i="1" s="1"/>
  <c r="W1347" i="1"/>
  <c r="X1347" i="1" s="1"/>
  <c r="W1369" i="1"/>
  <c r="X1369" i="1" s="1"/>
  <c r="W1358" i="1"/>
  <c r="X1358" i="1" s="1"/>
  <c r="W1368" i="1"/>
  <c r="X1368" i="1" s="1"/>
  <c r="W1363" i="1"/>
  <c r="W1333" i="1"/>
  <c r="W1365" i="1"/>
  <c r="W1332" i="1"/>
  <c r="W1331" i="1"/>
  <c r="W1355" i="1"/>
  <c r="W1356" i="1"/>
  <c r="W1346" i="1"/>
  <c r="W1360" i="1"/>
  <c r="W1362" i="1"/>
  <c r="W1338" i="1"/>
  <c r="W1342" i="1"/>
  <c r="W1344" i="1"/>
  <c r="W1366" i="1"/>
  <c r="W1357" i="1"/>
  <c r="X1329" i="1"/>
  <c r="X1274" i="1"/>
  <c r="X1374" i="1" s="1"/>
  <c r="Y1275" i="1"/>
  <c r="X1363" i="1"/>
  <c r="X1345" i="1"/>
  <c r="X1370" i="1"/>
  <c r="X1365" i="1" l="1"/>
  <c r="X1349" i="1"/>
  <c r="X1360" i="1"/>
  <c r="X1331" i="1"/>
  <c r="X1338" i="1"/>
  <c r="X1367" i="1"/>
  <c r="Y1367" i="1" s="1"/>
  <c r="X1343" i="1"/>
  <c r="X1333" i="1"/>
  <c r="X1375" i="1"/>
  <c r="X1335" i="1"/>
  <c r="X1362" i="1"/>
  <c r="X1346" i="1"/>
  <c r="X1332" i="1"/>
  <c r="X1376" i="1"/>
  <c r="X1371" i="1"/>
  <c r="X1348" i="1"/>
  <c r="X1342" i="1"/>
  <c r="X1373" i="1"/>
  <c r="X1356" i="1"/>
  <c r="X1339" i="1"/>
  <c r="X1355" i="1"/>
  <c r="X1357" i="1"/>
  <c r="X1354" i="1"/>
  <c r="X1352" i="1"/>
  <c r="X1350" i="1"/>
  <c r="Z1275" i="1"/>
  <c r="Y1329" i="1"/>
  <c r="Y1274" i="1"/>
  <c r="Y1374" i="1" s="1"/>
  <c r="X1337" i="1"/>
  <c r="X1372" i="1"/>
  <c r="X1364" i="1"/>
  <c r="X1361" i="1"/>
  <c r="X1351" i="1"/>
  <c r="X1366" i="1"/>
  <c r="X1340" i="1"/>
  <c r="X1344" i="1"/>
  <c r="X1334" i="1"/>
  <c r="X1359" i="1"/>
  <c r="X1378" i="1"/>
  <c r="Y1378" i="1" l="1"/>
  <c r="Y1366" i="1"/>
  <c r="Y1359" i="1"/>
  <c r="Y1372" i="1"/>
  <c r="Y1340" i="1"/>
  <c r="Y1351" i="1"/>
  <c r="Y1361" i="1"/>
  <c r="Y1346" i="1"/>
  <c r="Y1343" i="1"/>
  <c r="Y1337" i="1"/>
  <c r="Y1333" i="1"/>
  <c r="Y1350" i="1"/>
  <c r="Y1364" i="1"/>
  <c r="Y1365" i="1"/>
  <c r="Y1354" i="1"/>
  <c r="Y1357" i="1"/>
  <c r="Y1348" i="1"/>
  <c r="Y1335" i="1"/>
  <c r="Y1353" i="1"/>
  <c r="Y1369" i="1"/>
  <c r="Y1334" i="1"/>
  <c r="Y1332" i="1"/>
  <c r="Y1344" i="1"/>
  <c r="Y1375" i="1"/>
  <c r="Y1373" i="1"/>
  <c r="Y1339" i="1"/>
  <c r="AA1275" i="1"/>
  <c r="Z1274" i="1"/>
  <c r="Z1374" i="1" s="1"/>
  <c r="Z1329" i="1"/>
  <c r="Y1368" i="1"/>
  <c r="Y1377" i="1"/>
  <c r="Y1362" i="1"/>
  <c r="Y1356" i="1"/>
  <c r="Y1363" i="1"/>
  <c r="Y1360" i="1"/>
  <c r="Y1371" i="1"/>
  <c r="Y1376" i="1"/>
  <c r="Y1347" i="1"/>
  <c r="Y1345" i="1"/>
  <c r="Y1341" i="1"/>
  <c r="Y1336" i="1"/>
  <c r="Y1358" i="1"/>
  <c r="Y1331" i="1"/>
  <c r="Y1355" i="1"/>
  <c r="Y1370" i="1"/>
  <c r="Y1338" i="1"/>
  <c r="Y1342" i="1"/>
  <c r="Y1352" i="1"/>
  <c r="Y1349" i="1"/>
  <c r="Z1335" i="1" l="1"/>
  <c r="Z1336" i="1"/>
  <c r="Z1354" i="1"/>
  <c r="Z1344" i="1"/>
  <c r="Z1331" i="1"/>
  <c r="Z1364" i="1"/>
  <c r="Z1334" i="1"/>
  <c r="Z1348" i="1"/>
  <c r="Z1358" i="1"/>
  <c r="Z1345" i="1"/>
  <c r="Z1368" i="1"/>
  <c r="Z1362" i="1"/>
  <c r="Z1377" i="1"/>
  <c r="Z1340" i="1"/>
  <c r="Z1357" i="1"/>
  <c r="Z1353" i="1"/>
  <c r="Z1378" i="1"/>
  <c r="Z1341" i="1"/>
  <c r="Z1376" i="1"/>
  <c r="Z1337" i="1"/>
  <c r="Z1360" i="1"/>
  <c r="Z1352" i="1"/>
  <c r="Z1365" i="1"/>
  <c r="AA1365" i="1" s="1"/>
  <c r="Z1369" i="1"/>
  <c r="AA1369" i="1" s="1"/>
  <c r="Z1347" i="1"/>
  <c r="Z1363" i="1"/>
  <c r="Z1349" i="1"/>
  <c r="AA1349" i="1" s="1"/>
  <c r="Z1342" i="1"/>
  <c r="AA1342" i="1" s="1"/>
  <c r="Z1333" i="1"/>
  <c r="Z1359" i="1"/>
  <c r="Z1373" i="1"/>
  <c r="Z1375" i="1"/>
  <c r="Z1346" i="1"/>
  <c r="Z1367" i="1"/>
  <c r="Z1343" i="1"/>
  <c r="Z1370" i="1"/>
  <c r="Z1351" i="1"/>
  <c r="Z1339" i="1"/>
  <c r="Z1332" i="1"/>
  <c r="Z1371" i="1"/>
  <c r="Z1356" i="1"/>
  <c r="Z1372" i="1"/>
  <c r="Z1361" i="1"/>
  <c r="Z1366" i="1"/>
  <c r="Z1338" i="1"/>
  <c r="AA1338" i="1" s="1"/>
  <c r="Z1355" i="1"/>
  <c r="AB1275" i="1"/>
  <c r="AA1274" i="1"/>
  <c r="AA1374" i="1" s="1"/>
  <c r="AA1329" i="1"/>
  <c r="AA1366" i="1"/>
  <c r="AA1334" i="1"/>
  <c r="AA1352" i="1"/>
  <c r="Z1350" i="1"/>
  <c r="AA1376" i="1" l="1"/>
  <c r="AA1339" i="1"/>
  <c r="AA1343" i="1"/>
  <c r="AA1346" i="1"/>
  <c r="AA1355" i="1"/>
  <c r="AA1370" i="1"/>
  <c r="AA1367" i="1"/>
  <c r="AA1373" i="1"/>
  <c r="AA1333" i="1"/>
  <c r="AA1337" i="1"/>
  <c r="AA1331" i="1"/>
  <c r="AA1378" i="1"/>
  <c r="AA1348" i="1"/>
  <c r="AA1360" i="1"/>
  <c r="AA1357" i="1"/>
  <c r="AA1345" i="1"/>
  <c r="AA1377" i="1"/>
  <c r="AA1335" i="1"/>
  <c r="AA1350" i="1"/>
  <c r="AA1372" i="1"/>
  <c r="AA1364" i="1"/>
  <c r="AA1361" i="1"/>
  <c r="AA1332" i="1"/>
  <c r="AA1375" i="1"/>
  <c r="AA1363" i="1"/>
  <c r="AA1358" i="1"/>
  <c r="AA1362" i="1"/>
  <c r="AA1351" i="1"/>
  <c r="AA1347" i="1"/>
  <c r="AA1356" i="1"/>
  <c r="AA1359" i="1"/>
  <c r="AA1340" i="1"/>
  <c r="AA1336" i="1"/>
  <c r="AA1353" i="1"/>
  <c r="AA1341" i="1"/>
  <c r="AA1371" i="1"/>
  <c r="AA1368" i="1"/>
  <c r="AC1275" i="1"/>
  <c r="AB1274" i="1"/>
  <c r="AB1374" i="1" s="1"/>
  <c r="AB1329" i="1"/>
  <c r="AA1354" i="1"/>
  <c r="AA1344" i="1"/>
  <c r="AB1375" i="1" l="1"/>
  <c r="AB1368" i="1"/>
  <c r="AB1370" i="1"/>
  <c r="AB1350" i="1"/>
  <c r="AB1365" i="1"/>
  <c r="AB1337" i="1"/>
  <c r="AB1377" i="1"/>
  <c r="AB1359" i="1"/>
  <c r="AD1275" i="1"/>
  <c r="AC1274" i="1"/>
  <c r="AC1374" i="1" s="1"/>
  <c r="AC1329" i="1"/>
  <c r="AB1360" i="1"/>
  <c r="AC1360" i="1" s="1"/>
  <c r="AB1371" i="1"/>
  <c r="AC1371" i="1" s="1"/>
  <c r="AB1349" i="1"/>
  <c r="AC1349" i="1" s="1"/>
  <c r="AB1366" i="1"/>
  <c r="AC1366" i="1" s="1"/>
  <c r="AB1351" i="1"/>
  <c r="AC1351" i="1" s="1"/>
  <c r="AB1333" i="1"/>
  <c r="AC1333" i="1" s="1"/>
  <c r="AB1369" i="1"/>
  <c r="AC1369" i="1" s="1"/>
  <c r="AB1348" i="1"/>
  <c r="AC1348" i="1" s="1"/>
  <c r="AB1335" i="1"/>
  <c r="AC1335" i="1" s="1"/>
  <c r="AB1378" i="1"/>
  <c r="AC1378" i="1" s="1"/>
  <c r="AB1355" i="1"/>
  <c r="AC1355" i="1" s="1"/>
  <c r="AB1363" i="1"/>
  <c r="AC1363" i="1" s="1"/>
  <c r="AB1338" i="1"/>
  <c r="AC1338" i="1" s="1"/>
  <c r="AB1362" i="1"/>
  <c r="AC1362" i="1" s="1"/>
  <c r="AB1343" i="1"/>
  <c r="AC1343" i="1" s="1"/>
  <c r="AB1341" i="1"/>
  <c r="AC1341" i="1" s="1"/>
  <c r="AB1357" i="1"/>
  <c r="AC1357" i="1" s="1"/>
  <c r="AB1353" i="1"/>
  <c r="AB1345" i="1"/>
  <c r="AB1364" i="1"/>
  <c r="AB1334" i="1"/>
  <c r="AB1376" i="1"/>
  <c r="AB1342" i="1"/>
  <c r="AB1356" i="1"/>
  <c r="AB1367" i="1"/>
  <c r="AB1354" i="1"/>
  <c r="AB1361" i="1"/>
  <c r="AC1361" i="1" s="1"/>
  <c r="AB1336" i="1"/>
  <c r="AC1336" i="1" s="1"/>
  <c r="AB1339" i="1"/>
  <c r="AC1339" i="1" s="1"/>
  <c r="AB1352" i="1"/>
  <c r="AC1352" i="1" s="1"/>
  <c r="AB1372" i="1"/>
  <c r="AC1372" i="1" s="1"/>
  <c r="AB1373" i="1"/>
  <c r="AC1373" i="1" s="1"/>
  <c r="AB1347" i="1"/>
  <c r="AC1347" i="1" s="1"/>
  <c r="AB1344" i="1"/>
  <c r="AC1344" i="1" s="1"/>
  <c r="AB1358" i="1"/>
  <c r="AC1358" i="1" s="1"/>
  <c r="AB1340" i="1"/>
  <c r="AC1340" i="1" s="1"/>
  <c r="AB1332" i="1"/>
  <c r="AC1332" i="1" s="1"/>
  <c r="AB1346" i="1"/>
  <c r="AC1346" i="1" s="1"/>
  <c r="AB1331" i="1"/>
  <c r="AC1331" i="1" s="1"/>
  <c r="AC1365" i="1" l="1"/>
  <c r="AC1350" i="1"/>
  <c r="AC1356" i="1"/>
  <c r="AC1342" i="1"/>
  <c r="AC1370" i="1"/>
  <c r="AC1354" i="1"/>
  <c r="AC1377" i="1"/>
  <c r="AC1376" i="1"/>
  <c r="AC1345" i="1"/>
  <c r="AC1367" i="1"/>
  <c r="AC1337" i="1"/>
  <c r="AC1334" i="1"/>
  <c r="AC1364" i="1"/>
  <c r="AC1353" i="1"/>
  <c r="AC1368" i="1"/>
  <c r="AE1275" i="1"/>
  <c r="AD1274" i="1"/>
  <c r="AD1374" i="1" s="1"/>
  <c r="AD1329" i="1"/>
  <c r="AC1375" i="1"/>
  <c r="AC1359" i="1"/>
  <c r="AD1359" i="1" s="1"/>
  <c r="AD1351" i="1" l="1"/>
  <c r="AD1368" i="1"/>
  <c r="AD1365" i="1"/>
  <c r="AD1343" i="1"/>
  <c r="AD1356" i="1"/>
  <c r="AD1338" i="1"/>
  <c r="AD1373" i="1"/>
  <c r="AD1366" i="1"/>
  <c r="AD1342" i="1"/>
  <c r="AD1331" i="1"/>
  <c r="AD1369" i="1"/>
  <c r="AD1371" i="1"/>
  <c r="AD1334" i="1"/>
  <c r="AD1358" i="1"/>
  <c r="AD1339" i="1"/>
  <c r="AD1333" i="1"/>
  <c r="AE1333" i="1" s="1"/>
  <c r="AD1350" i="1"/>
  <c r="AE1350" i="1" s="1"/>
  <c r="AD1337" i="1"/>
  <c r="AD1332" i="1"/>
  <c r="AD1362" i="1"/>
  <c r="AE1362" i="1" s="1"/>
  <c r="AD1372" i="1"/>
  <c r="AE1372" i="1" s="1"/>
  <c r="AD1357" i="1"/>
  <c r="AD1349" i="1"/>
  <c r="AE1349" i="1" s="1"/>
  <c r="AD1347" i="1"/>
  <c r="AD1376" i="1"/>
  <c r="AE1376" i="1" s="1"/>
  <c r="AD1367" i="1"/>
  <c r="AE1367" i="1" s="1"/>
  <c r="AD1355" i="1"/>
  <c r="AD1363" i="1"/>
  <c r="AD1352" i="1"/>
  <c r="AD1348" i="1"/>
  <c r="AD1354" i="1"/>
  <c r="AD1345" i="1"/>
  <c r="AD1375" i="1"/>
  <c r="AD1346" i="1"/>
  <c r="AD1341" i="1"/>
  <c r="AD1364" i="1"/>
  <c r="AD1361" i="1"/>
  <c r="AF1275" i="1"/>
  <c r="AE1274" i="1"/>
  <c r="AE1374" i="1" s="1"/>
  <c r="AE1329" i="1"/>
  <c r="AE1354" i="1"/>
  <c r="AE1345" i="1"/>
  <c r="AE1368" i="1"/>
  <c r="AE1373" i="1"/>
  <c r="AE1358" i="1"/>
  <c r="AE1375" i="1"/>
  <c r="AD1344" i="1"/>
  <c r="AD1377" i="1"/>
  <c r="AD1360" i="1"/>
  <c r="AE1360" i="1" s="1"/>
  <c r="AD1378" i="1"/>
  <c r="AE1378" i="1" s="1"/>
  <c r="AD1336" i="1"/>
  <c r="AE1336" i="1" s="1"/>
  <c r="AE1334" i="1"/>
  <c r="AE1339" i="1"/>
  <c r="AE1338" i="1"/>
  <c r="AD1340" i="1"/>
  <c r="AD1370" i="1"/>
  <c r="AD1335" i="1"/>
  <c r="AD1353" i="1"/>
  <c r="AE1343" i="1" l="1"/>
  <c r="AE1346" i="1"/>
  <c r="AE1331" i="1"/>
  <c r="AE1370" i="1"/>
  <c r="AE1342" i="1"/>
  <c r="AE1340" i="1"/>
  <c r="AE1371" i="1"/>
  <c r="AE1377" i="1"/>
  <c r="AE1364" i="1"/>
  <c r="AE1359" i="1"/>
  <c r="AE1348" i="1"/>
  <c r="AE1353" i="1"/>
  <c r="AE1352" i="1"/>
  <c r="AE1356" i="1"/>
  <c r="AE1341" i="1"/>
  <c r="AE1355" i="1"/>
  <c r="AE1369" i="1"/>
  <c r="AE1335" i="1"/>
  <c r="AE1347" i="1"/>
  <c r="AE1344" i="1"/>
  <c r="AE1366" i="1"/>
  <c r="AE1365" i="1"/>
  <c r="AE1337" i="1"/>
  <c r="AF1329" i="1"/>
  <c r="AG1275" i="1"/>
  <c r="AF1274" i="1"/>
  <c r="AF1374" i="1" s="1"/>
  <c r="AE1332" i="1"/>
  <c r="AF1332" i="1" s="1"/>
  <c r="AE1351" i="1"/>
  <c r="AF1351" i="1" s="1"/>
  <c r="AE1361" i="1"/>
  <c r="AE1363" i="1"/>
  <c r="AE1357" i="1"/>
  <c r="AF1335" i="1" l="1"/>
  <c r="AF1339" i="1"/>
  <c r="AF1359" i="1"/>
  <c r="AF1333" i="1"/>
  <c r="AG1329" i="1"/>
  <c r="AG1274" i="1"/>
  <c r="AG1374" i="1" s="1"/>
  <c r="AH1275" i="1"/>
  <c r="AF1342" i="1"/>
  <c r="AF1345" i="1"/>
  <c r="AF1336" i="1"/>
  <c r="AF1349" i="1"/>
  <c r="AF1367" i="1"/>
  <c r="AF1337" i="1"/>
  <c r="AF1352" i="1"/>
  <c r="AG1352" i="1" s="1"/>
  <c r="AF1371" i="1"/>
  <c r="AF1369" i="1"/>
  <c r="AF1348" i="1"/>
  <c r="AF1365" i="1"/>
  <c r="AF1375" i="1"/>
  <c r="AF1355" i="1"/>
  <c r="AF1356" i="1"/>
  <c r="AG1351" i="1"/>
  <c r="AF1343" i="1"/>
  <c r="AF1376" i="1"/>
  <c r="AF1354" i="1"/>
  <c r="AF1331" i="1"/>
  <c r="AF1341" i="1"/>
  <c r="AF1372" i="1"/>
  <c r="AF1370" i="1"/>
  <c r="AF1362" i="1"/>
  <c r="AF1357" i="1"/>
  <c r="AF1363" i="1"/>
  <c r="AF1344" i="1"/>
  <c r="AF1358" i="1"/>
  <c r="AF1364" i="1"/>
  <c r="AF1373" i="1"/>
  <c r="AF1346" i="1"/>
  <c r="AF1353" i="1"/>
  <c r="AG1353" i="1" s="1"/>
  <c r="AF1377" i="1"/>
  <c r="AF1360" i="1"/>
  <c r="AF1366" i="1"/>
  <c r="AF1350" i="1"/>
  <c r="AF1338" i="1"/>
  <c r="AF1361" i="1"/>
  <c r="AF1340" i="1"/>
  <c r="AF1347" i="1"/>
  <c r="AG1347" i="1" s="1"/>
  <c r="AF1334" i="1"/>
  <c r="AF1368" i="1"/>
  <c r="AF1378" i="1"/>
  <c r="AG1362" i="1" l="1"/>
  <c r="AG1346" i="1"/>
  <c r="AG1361" i="1"/>
  <c r="AG1372" i="1"/>
  <c r="AG1355" i="1"/>
  <c r="AG1373" i="1"/>
  <c r="AG1340" i="1"/>
  <c r="AG1370" i="1"/>
  <c r="AG1356" i="1"/>
  <c r="AG1337" i="1"/>
  <c r="AG1367" i="1"/>
  <c r="AG1332" i="1"/>
  <c r="AG1364" i="1"/>
  <c r="AG1341" i="1"/>
  <c r="AG1375" i="1"/>
  <c r="AG1349" i="1"/>
  <c r="AG1333" i="1"/>
  <c r="AG1350" i="1"/>
  <c r="AG1358" i="1"/>
  <c r="AG1331" i="1"/>
  <c r="AG1365" i="1"/>
  <c r="AG1336" i="1"/>
  <c r="AH1336" i="1" s="1"/>
  <c r="AG1359" i="1"/>
  <c r="AH1359" i="1" s="1"/>
  <c r="AG1366" i="1"/>
  <c r="AH1366" i="1" s="1"/>
  <c r="AG1344" i="1"/>
  <c r="AG1354" i="1"/>
  <c r="AG1348" i="1"/>
  <c r="AG1345" i="1"/>
  <c r="AG1339" i="1"/>
  <c r="AG1378" i="1"/>
  <c r="AG1368" i="1"/>
  <c r="AG1360" i="1"/>
  <c r="AG1363" i="1"/>
  <c r="AG1376" i="1"/>
  <c r="AG1369" i="1"/>
  <c r="AG1342" i="1"/>
  <c r="AG1335" i="1"/>
  <c r="AG1338" i="1"/>
  <c r="AG1334" i="1"/>
  <c r="AG1377" i="1"/>
  <c r="AG1357" i="1"/>
  <c r="AG1343" i="1"/>
  <c r="AG1371" i="1"/>
  <c r="AI1275" i="1"/>
  <c r="AH1274" i="1"/>
  <c r="AH1374" i="1" s="1"/>
  <c r="AH1329" i="1"/>
  <c r="AH1375" i="1" l="1"/>
  <c r="AH1341" i="1"/>
  <c r="AH1334" i="1"/>
  <c r="AH1338" i="1"/>
  <c r="AH1373" i="1"/>
  <c r="AH1377" i="1"/>
  <c r="AH1360" i="1"/>
  <c r="AH1368" i="1"/>
  <c r="AH1339" i="1"/>
  <c r="AH1349" i="1"/>
  <c r="AH1356" i="1"/>
  <c r="AH1370" i="1"/>
  <c r="AH1364" i="1"/>
  <c r="AH1342" i="1"/>
  <c r="AH1345" i="1"/>
  <c r="AH1331" i="1"/>
  <c r="AH1371" i="1"/>
  <c r="AH1369" i="1"/>
  <c r="AH1348" i="1"/>
  <c r="AH1358" i="1"/>
  <c r="AH1343" i="1"/>
  <c r="AI1343" i="1" s="1"/>
  <c r="AH1354" i="1"/>
  <c r="AH1350" i="1"/>
  <c r="AH1365" i="1"/>
  <c r="AH1376" i="1"/>
  <c r="AI1376" i="1" s="1"/>
  <c r="AH1357" i="1"/>
  <c r="AH1363" i="1"/>
  <c r="AH1344" i="1"/>
  <c r="AH1333" i="1"/>
  <c r="AH1337" i="1"/>
  <c r="AH1346" i="1"/>
  <c r="AH1352" i="1"/>
  <c r="AH1362" i="1"/>
  <c r="AH1340" i="1"/>
  <c r="AH1378" i="1"/>
  <c r="AH1372" i="1"/>
  <c r="AH1361" i="1"/>
  <c r="AH1332" i="1"/>
  <c r="AH1351" i="1"/>
  <c r="AJ1275" i="1"/>
  <c r="AI1274" i="1"/>
  <c r="AI1374" i="1" s="1"/>
  <c r="AI1329" i="1"/>
  <c r="AH1335" i="1"/>
  <c r="AI1335" i="1" s="1"/>
  <c r="AH1355" i="1"/>
  <c r="AI1355" i="1" s="1"/>
  <c r="AH1353" i="1"/>
  <c r="AH1347" i="1"/>
  <c r="AH1367" i="1"/>
  <c r="AI1339" i="1" l="1"/>
  <c r="AI1368" i="1"/>
  <c r="AI1351" i="1"/>
  <c r="AI1332" i="1"/>
  <c r="AI1338" i="1"/>
  <c r="AI1333" i="1"/>
  <c r="AI1361" i="1"/>
  <c r="AI1360" i="1"/>
  <c r="AI1375" i="1"/>
  <c r="AI1334" i="1"/>
  <c r="AI1346" i="1"/>
  <c r="AI1357" i="1"/>
  <c r="AI1354" i="1"/>
  <c r="AI1365" i="1"/>
  <c r="AI1370" i="1"/>
  <c r="AI1337" i="1"/>
  <c r="AI1348" i="1"/>
  <c r="AI1369" i="1"/>
  <c r="AI1341" i="1"/>
  <c r="AI1349" i="1"/>
  <c r="AI1336" i="1"/>
  <c r="AK1275" i="1"/>
  <c r="AJ1274" i="1"/>
  <c r="AJ1374" i="1" s="1"/>
  <c r="AJ1329" i="1"/>
  <c r="AI1372" i="1"/>
  <c r="AI1362" i="1"/>
  <c r="AI1364" i="1"/>
  <c r="AI1373" i="1"/>
  <c r="AI1345" i="1"/>
  <c r="AI1367" i="1"/>
  <c r="AI1347" i="1"/>
  <c r="AI1358" i="1"/>
  <c r="AI1378" i="1"/>
  <c r="AI1352" i="1"/>
  <c r="AI1344" i="1"/>
  <c r="AI1342" i="1"/>
  <c r="AI1371" i="1"/>
  <c r="AI1359" i="1"/>
  <c r="AI1377" i="1"/>
  <c r="AI1366" i="1"/>
  <c r="AI1353" i="1"/>
  <c r="AI1331" i="1"/>
  <c r="AI1340" i="1"/>
  <c r="AI1350" i="1"/>
  <c r="AI1363" i="1"/>
  <c r="AI1356" i="1"/>
  <c r="AJ1339" i="1" l="1"/>
  <c r="AJ1368" i="1"/>
  <c r="AJ1371" i="1"/>
  <c r="AJ1342" i="1"/>
  <c r="AJ1340" i="1"/>
  <c r="AJ1367" i="1"/>
  <c r="AJ1337" i="1"/>
  <c r="AJ1375" i="1"/>
  <c r="AJ1353" i="1"/>
  <c r="AJ1331" i="1"/>
  <c r="AJ1372" i="1"/>
  <c r="AJ1346" i="1"/>
  <c r="AJ1376" i="1"/>
  <c r="AJ1370" i="1"/>
  <c r="AJ1334" i="1"/>
  <c r="AJ1357" i="1"/>
  <c r="AJ1349" i="1"/>
  <c r="AJ1365" i="1"/>
  <c r="AJ1341" i="1"/>
  <c r="AJ1354" i="1"/>
  <c r="AJ1344" i="1"/>
  <c r="AJ1352" i="1"/>
  <c r="AJ1359" i="1"/>
  <c r="AJ1373" i="1"/>
  <c r="AJ1360" i="1"/>
  <c r="AJ1369" i="1"/>
  <c r="AJ1351" i="1"/>
  <c r="AJ1366" i="1"/>
  <c r="AL1275" i="1"/>
  <c r="AK1274" i="1"/>
  <c r="AK1374" i="1" s="1"/>
  <c r="AK1329" i="1"/>
  <c r="AJ1345" i="1"/>
  <c r="AJ1356" i="1"/>
  <c r="AJ1363" i="1"/>
  <c r="AJ1361" i="1"/>
  <c r="AJ1358" i="1"/>
  <c r="AJ1364" i="1"/>
  <c r="AJ1338" i="1"/>
  <c r="AK1338" i="1" s="1"/>
  <c r="AJ1348" i="1"/>
  <c r="AJ1335" i="1"/>
  <c r="AJ1355" i="1"/>
  <c r="AJ1377" i="1"/>
  <c r="AJ1343" i="1"/>
  <c r="AJ1378" i="1"/>
  <c r="AJ1350" i="1"/>
  <c r="AJ1333" i="1"/>
  <c r="AK1333" i="1" s="1"/>
  <c r="AJ1347" i="1"/>
  <c r="AJ1362" i="1"/>
  <c r="AJ1336" i="1"/>
  <c r="AJ1332" i="1"/>
  <c r="AK1365" i="1" l="1"/>
  <c r="AK1360" i="1"/>
  <c r="AK1341" i="1"/>
  <c r="AK1335" i="1"/>
  <c r="AK1345" i="1"/>
  <c r="AK1373" i="1"/>
  <c r="AK1350" i="1"/>
  <c r="AK1347" i="1"/>
  <c r="AK1348" i="1"/>
  <c r="AK1359" i="1"/>
  <c r="AK1370" i="1"/>
  <c r="AK1371" i="1"/>
  <c r="AK1342" i="1"/>
  <c r="AK1337" i="1"/>
  <c r="AK1378" i="1"/>
  <c r="AM1275" i="1"/>
  <c r="AL1274" i="1"/>
  <c r="AL1374" i="1" s="1"/>
  <c r="AL1329" i="1"/>
  <c r="AK1352" i="1"/>
  <c r="AL1352" i="1" s="1"/>
  <c r="AK1349" i="1"/>
  <c r="AL1349" i="1" s="1"/>
  <c r="AK1376" i="1"/>
  <c r="AK1364" i="1"/>
  <c r="AK1344" i="1"/>
  <c r="AL1344" i="1" s="1"/>
  <c r="AK1357" i="1"/>
  <c r="AL1357" i="1" s="1"/>
  <c r="AK1346" i="1"/>
  <c r="AL1346" i="1" s="1"/>
  <c r="AL1348" i="1"/>
  <c r="AK1343" i="1"/>
  <c r="AK1377" i="1"/>
  <c r="AK1361" i="1"/>
  <c r="AK1331" i="1"/>
  <c r="AK1339" i="1"/>
  <c r="AK1334" i="1"/>
  <c r="AK1372" i="1"/>
  <c r="AK1366" i="1"/>
  <c r="AK1336" i="1"/>
  <c r="AK1355" i="1"/>
  <c r="AK1363" i="1"/>
  <c r="AK1351" i="1"/>
  <c r="AK1368" i="1"/>
  <c r="AK1375" i="1"/>
  <c r="AK1367" i="1"/>
  <c r="AK1358" i="1"/>
  <c r="AK1332" i="1"/>
  <c r="AK1362" i="1"/>
  <c r="AL1362" i="1" s="1"/>
  <c r="AK1353" i="1"/>
  <c r="AL1353" i="1" s="1"/>
  <c r="AK1356" i="1"/>
  <c r="AL1356" i="1" s="1"/>
  <c r="AK1369" i="1"/>
  <c r="AL1369" i="1" s="1"/>
  <c r="AK1354" i="1"/>
  <c r="AL1354" i="1" s="1"/>
  <c r="AK1340" i="1"/>
  <c r="AL1340" i="1" s="1"/>
  <c r="AL1332" i="1" l="1"/>
  <c r="AL1342" i="1"/>
  <c r="AL1368" i="1"/>
  <c r="AL1351" i="1"/>
  <c r="AL1336" i="1"/>
  <c r="AL1335" i="1"/>
  <c r="AL1371" i="1"/>
  <c r="AL1355" i="1"/>
  <c r="AL1334" i="1"/>
  <c r="AL1338" i="1"/>
  <c r="AL1359" i="1"/>
  <c r="AL1363" i="1"/>
  <c r="AL1372" i="1"/>
  <c r="AL1331" i="1"/>
  <c r="AL1358" i="1"/>
  <c r="AL1375" i="1"/>
  <c r="AL1339" i="1"/>
  <c r="AL1361" i="1"/>
  <c r="AL1373" i="1"/>
  <c r="AL1364" i="1"/>
  <c r="AN1275" i="1"/>
  <c r="AM1274" i="1"/>
  <c r="AM1374" i="1" s="1"/>
  <c r="AM1329" i="1"/>
  <c r="AL1370" i="1"/>
  <c r="AM1370" i="1" s="1"/>
  <c r="AM1356" i="1"/>
  <c r="AL1350" i="1"/>
  <c r="AM1350" i="1" s="1"/>
  <c r="AL1378" i="1"/>
  <c r="AL1341" i="1"/>
  <c r="AL1345" i="1"/>
  <c r="AL1366" i="1"/>
  <c r="AL1377" i="1"/>
  <c r="AL1347" i="1"/>
  <c r="AL1333" i="1"/>
  <c r="AL1360" i="1"/>
  <c r="AL1367" i="1"/>
  <c r="AL1365" i="1"/>
  <c r="AL1343" i="1"/>
  <c r="AL1376" i="1"/>
  <c r="AL1337" i="1"/>
  <c r="AM1357" i="1" l="1"/>
  <c r="AM1373" i="1"/>
  <c r="AM1347" i="1"/>
  <c r="AM1332" i="1"/>
  <c r="AM1367" i="1"/>
  <c r="AM1369" i="1"/>
  <c r="AM1333" i="1"/>
  <c r="AM1377" i="1"/>
  <c r="AM1341" i="1"/>
  <c r="AM1353" i="1"/>
  <c r="AM1365" i="1"/>
  <c r="AM1366" i="1"/>
  <c r="AM1349" i="1"/>
  <c r="AM1378" i="1"/>
  <c r="AM1362" i="1"/>
  <c r="AM1335" i="1"/>
  <c r="AM1344" i="1"/>
  <c r="AM1358" i="1"/>
  <c r="AN1329" i="1"/>
  <c r="AN1274" i="1"/>
  <c r="AN1374" i="1" s="1"/>
  <c r="AO1275" i="1"/>
  <c r="AM1352" i="1"/>
  <c r="AM1364" i="1"/>
  <c r="AM1372" i="1"/>
  <c r="AM1346" i="1"/>
  <c r="AN1346" i="1" s="1"/>
  <c r="AN1347" i="1"/>
  <c r="AM1342" i="1"/>
  <c r="AM1337" i="1"/>
  <c r="AN1337" i="1" s="1"/>
  <c r="AM1354" i="1"/>
  <c r="AM1376" i="1"/>
  <c r="AM1348" i="1"/>
  <c r="AM1336" i="1"/>
  <c r="AM1334" i="1"/>
  <c r="AM1331" i="1"/>
  <c r="AM1375" i="1"/>
  <c r="AM1368" i="1"/>
  <c r="AM1338" i="1"/>
  <c r="AM1345" i="1"/>
  <c r="AM1361" i="1"/>
  <c r="AM1339" i="1"/>
  <c r="AM1351" i="1"/>
  <c r="AM1340" i="1"/>
  <c r="AM1343" i="1"/>
  <c r="AM1360" i="1"/>
  <c r="AM1363" i="1"/>
  <c r="AM1359" i="1"/>
  <c r="AM1355" i="1"/>
  <c r="AM1371" i="1"/>
  <c r="AN1371" i="1" s="1"/>
  <c r="AN1360" i="1" l="1"/>
  <c r="AN1333" i="1"/>
  <c r="AN1358" i="1"/>
  <c r="AN1373" i="1"/>
  <c r="AN1351" i="1"/>
  <c r="AN1338" i="1"/>
  <c r="AN1368" i="1"/>
  <c r="AN1363" i="1"/>
  <c r="AN1340" i="1"/>
  <c r="AN1339" i="1"/>
  <c r="AN1354" i="1"/>
  <c r="AN1336" i="1"/>
  <c r="AN1372" i="1"/>
  <c r="AN1365" i="1"/>
  <c r="AN1364" i="1"/>
  <c r="AN1348" i="1"/>
  <c r="AN1343" i="1"/>
  <c r="AN1370" i="1"/>
  <c r="AN1376" i="1"/>
  <c r="AN1335" i="1"/>
  <c r="AO1329" i="1"/>
  <c r="AO1274" i="1"/>
  <c r="AO1374" i="1" s="1"/>
  <c r="AP1275" i="1"/>
  <c r="AN1356" i="1"/>
  <c r="AN1362" i="1"/>
  <c r="AN1350" i="1"/>
  <c r="AN1378" i="1"/>
  <c r="AN1349" i="1"/>
  <c r="AN1375" i="1"/>
  <c r="AN1342" i="1"/>
  <c r="AN1369" i="1"/>
  <c r="AN1367" i="1"/>
  <c r="AN1357" i="1"/>
  <c r="AN1355" i="1"/>
  <c r="AN1361" i="1"/>
  <c r="AN1331" i="1"/>
  <c r="AN1366" i="1"/>
  <c r="AN1341" i="1"/>
  <c r="AN1344" i="1"/>
  <c r="AN1332" i="1"/>
  <c r="AN1359" i="1"/>
  <c r="AN1345" i="1"/>
  <c r="AN1334" i="1"/>
  <c r="AN1353" i="1"/>
  <c r="AN1352" i="1"/>
  <c r="AN1377" i="1"/>
  <c r="AO1362" i="1" l="1"/>
  <c r="AO1334" i="1"/>
  <c r="AO1344" i="1"/>
  <c r="AO1378" i="1"/>
  <c r="AO1340" i="1"/>
  <c r="AO1363" i="1"/>
  <c r="AO1357" i="1"/>
  <c r="AO1358" i="1"/>
  <c r="AO1368" i="1"/>
  <c r="AO1335" i="1"/>
  <c r="AO1366" i="1"/>
  <c r="AO1356" i="1"/>
  <c r="AO1346" i="1"/>
  <c r="AO1360" i="1"/>
  <c r="AO1343" i="1"/>
  <c r="AO1349" i="1"/>
  <c r="AO1331" i="1"/>
  <c r="AO1338" i="1"/>
  <c r="AO1333" i="1"/>
  <c r="AO1377" i="1"/>
  <c r="AO1375" i="1"/>
  <c r="AO1351" i="1"/>
  <c r="AO1372" i="1"/>
  <c r="AO1348" i="1"/>
  <c r="AO1341" i="1"/>
  <c r="AO1359" i="1"/>
  <c r="AO1350" i="1"/>
  <c r="AO1342" i="1"/>
  <c r="AO1337" i="1"/>
  <c r="AO1370" i="1"/>
  <c r="AO1352" i="1"/>
  <c r="AO1365" i="1"/>
  <c r="AO1371" i="1"/>
  <c r="AO1339" i="1"/>
  <c r="AO1373" i="1"/>
  <c r="AO1376" i="1"/>
  <c r="AO1336" i="1"/>
  <c r="AO1345" i="1"/>
  <c r="AO1367" i="1"/>
  <c r="AO1369" i="1"/>
  <c r="AO1361" i="1"/>
  <c r="AO1355" i="1"/>
  <c r="AO1353" i="1"/>
  <c r="AO1332" i="1"/>
  <c r="AO1364" i="1"/>
  <c r="AO1354" i="1"/>
  <c r="AO1347" i="1"/>
  <c r="AQ1275" i="1"/>
  <c r="AP1274" i="1"/>
  <c r="AP1374" i="1" s="1"/>
  <c r="AP1329" i="1"/>
  <c r="AP1347" i="1" l="1"/>
  <c r="AP1345" i="1"/>
  <c r="AP1349" i="1"/>
  <c r="AP1358" i="1"/>
  <c r="AP1367" i="1"/>
  <c r="AP1334" i="1"/>
  <c r="AP1354" i="1"/>
  <c r="AP1364" i="1"/>
  <c r="AP1344" i="1"/>
  <c r="AP1370" i="1"/>
  <c r="AP1372" i="1"/>
  <c r="AP1343" i="1"/>
  <c r="AP1357" i="1"/>
  <c r="AP1368" i="1"/>
  <c r="AP1332" i="1"/>
  <c r="AP1336" i="1"/>
  <c r="AP1337" i="1"/>
  <c r="AP1351" i="1"/>
  <c r="AP1360" i="1"/>
  <c r="AP1363" i="1"/>
  <c r="AP1365" i="1"/>
  <c r="AP1348" i="1"/>
  <c r="AP1342" i="1"/>
  <c r="AP1346" i="1"/>
  <c r="AQ1346" i="1" s="1"/>
  <c r="AP1340" i="1"/>
  <c r="AP1331" i="1"/>
  <c r="AP1352" i="1"/>
  <c r="AQ1352" i="1" s="1"/>
  <c r="AP1353" i="1"/>
  <c r="AQ1353" i="1" s="1"/>
  <c r="AP1376" i="1"/>
  <c r="AP1375" i="1"/>
  <c r="AP1355" i="1"/>
  <c r="AP1373" i="1"/>
  <c r="AP1350" i="1"/>
  <c r="AP1377" i="1"/>
  <c r="AP1356" i="1"/>
  <c r="AP1378" i="1"/>
  <c r="AP1361" i="1"/>
  <c r="AP1359" i="1"/>
  <c r="AP1333" i="1"/>
  <c r="AP1366" i="1"/>
  <c r="AP1362" i="1"/>
  <c r="AP1339" i="1"/>
  <c r="AR1275" i="1"/>
  <c r="AQ1274" i="1"/>
  <c r="AQ1374" i="1" s="1"/>
  <c r="AQ1329" i="1"/>
  <c r="AP1369" i="1"/>
  <c r="AQ1369" i="1" s="1"/>
  <c r="AP1371" i="1"/>
  <c r="AQ1371" i="1" s="1"/>
  <c r="AP1341" i="1"/>
  <c r="AP1338" i="1"/>
  <c r="AP1335" i="1"/>
  <c r="AQ1378" i="1" l="1"/>
  <c r="AQ1332" i="1"/>
  <c r="AQ1356" i="1"/>
  <c r="AQ1357" i="1"/>
  <c r="AQ1373" i="1"/>
  <c r="AQ1343" i="1"/>
  <c r="AQ1361" i="1"/>
  <c r="AQ1360" i="1"/>
  <c r="AQ1364" i="1"/>
  <c r="AS1275" i="1"/>
  <c r="AR1274" i="1"/>
  <c r="AR1374" i="1" s="1"/>
  <c r="AR1329" i="1"/>
  <c r="AQ1337" i="1"/>
  <c r="AR1337" i="1" s="1"/>
  <c r="AQ1363" i="1"/>
  <c r="AR1363" i="1" s="1"/>
  <c r="AQ1358" i="1"/>
  <c r="AR1358" i="1" s="1"/>
  <c r="AR1369" i="1"/>
  <c r="AQ1377" i="1"/>
  <c r="AQ1339" i="1"/>
  <c r="AR1339" i="1" s="1"/>
  <c r="AQ1344" i="1"/>
  <c r="AR1344" i="1" s="1"/>
  <c r="AQ1370" i="1"/>
  <c r="AR1370" i="1" s="1"/>
  <c r="AQ1336" i="1"/>
  <c r="AR1336" i="1" s="1"/>
  <c r="AQ1349" i="1"/>
  <c r="AR1349" i="1" s="1"/>
  <c r="AR1378" i="1"/>
  <c r="AQ1355" i="1"/>
  <c r="AR1355" i="1" s="1"/>
  <c r="AQ1372" i="1"/>
  <c r="AQ1367" i="1"/>
  <c r="AQ1342" i="1"/>
  <c r="AQ1362" i="1"/>
  <c r="AQ1351" i="1"/>
  <c r="AQ1338" i="1"/>
  <c r="AQ1333" i="1"/>
  <c r="AQ1345" i="1"/>
  <c r="AQ1368" i="1"/>
  <c r="AQ1348" i="1"/>
  <c r="AQ1331" i="1"/>
  <c r="AQ1376" i="1"/>
  <c r="AQ1354" i="1"/>
  <c r="AQ1365" i="1"/>
  <c r="AR1365" i="1" s="1"/>
  <c r="AQ1335" i="1"/>
  <c r="AR1335" i="1" s="1"/>
  <c r="AQ1366" i="1"/>
  <c r="AR1366" i="1" s="1"/>
  <c r="AQ1350" i="1"/>
  <c r="AR1350" i="1" s="1"/>
  <c r="AQ1341" i="1"/>
  <c r="AR1341" i="1" s="1"/>
  <c r="AQ1375" i="1"/>
  <c r="AR1375" i="1" s="1"/>
  <c r="AQ1359" i="1"/>
  <c r="AR1359" i="1" s="1"/>
  <c r="AQ1347" i="1"/>
  <c r="AR1347" i="1" s="1"/>
  <c r="AQ1340" i="1"/>
  <c r="AR1340" i="1" s="1"/>
  <c r="AQ1334" i="1"/>
  <c r="AR1334" i="1" s="1"/>
  <c r="AR1376" i="1" l="1"/>
  <c r="AR1354" i="1"/>
  <c r="AR1345" i="1"/>
  <c r="AR1331" i="1"/>
  <c r="AR1356" i="1"/>
  <c r="AR1361" i="1"/>
  <c r="AR1332" i="1"/>
  <c r="AR1360" i="1"/>
  <c r="AR1333" i="1"/>
  <c r="AR1352" i="1"/>
  <c r="AR1368" i="1"/>
  <c r="AR1351" i="1"/>
  <c r="AR1367" i="1"/>
  <c r="AR1348" i="1"/>
  <c r="AR1371" i="1"/>
  <c r="AR1338" i="1"/>
  <c r="AR1362" i="1"/>
  <c r="AR1342" i="1"/>
  <c r="AR1372" i="1"/>
  <c r="AR1357" i="1"/>
  <c r="AR1373" i="1"/>
  <c r="AR1377" i="1"/>
  <c r="AT1275" i="1"/>
  <c r="AS1274" i="1"/>
  <c r="AS1374" i="1" s="1"/>
  <c r="AS1329" i="1"/>
  <c r="AR1346" i="1"/>
  <c r="AR1353" i="1"/>
  <c r="AR1343" i="1"/>
  <c r="AR1364" i="1"/>
  <c r="AS1373" i="1" l="1"/>
  <c r="AS1342" i="1"/>
  <c r="AS1352" i="1"/>
  <c r="AS1339" i="1"/>
  <c r="AS1355" i="1"/>
  <c r="AS1363" i="1"/>
  <c r="AS1378" i="1"/>
  <c r="AS1337" i="1"/>
  <c r="AS1349" i="1"/>
  <c r="AS1351" i="1"/>
  <c r="AU1275" i="1"/>
  <c r="AT1274" i="1"/>
  <c r="AT1374" i="1" s="1"/>
  <c r="AT1329" i="1"/>
  <c r="AS1341" i="1"/>
  <c r="AT1341" i="1" s="1"/>
  <c r="AS1367" i="1"/>
  <c r="AT1367" i="1" s="1"/>
  <c r="AS1364" i="1"/>
  <c r="AS1361" i="1"/>
  <c r="AS1345" i="1"/>
  <c r="AT1345" i="1" s="1"/>
  <c r="AS1368" i="1"/>
  <c r="AS1331" i="1"/>
  <c r="AT1331" i="1" s="1"/>
  <c r="AS1336" i="1"/>
  <c r="AT1336" i="1" s="1"/>
  <c r="AS1338" i="1"/>
  <c r="AT1338" i="1" s="1"/>
  <c r="AS1359" i="1"/>
  <c r="AT1359" i="1" s="1"/>
  <c r="AS1354" i="1"/>
  <c r="AS1377" i="1"/>
  <c r="AT1377" i="1" s="1"/>
  <c r="AS1332" i="1"/>
  <c r="AT1332" i="1" s="1"/>
  <c r="AS1348" i="1"/>
  <c r="AT1348" i="1" s="1"/>
  <c r="AS1343" i="1"/>
  <c r="AT1343" i="1" s="1"/>
  <c r="AS1356" i="1"/>
  <c r="AS1365" i="1"/>
  <c r="AS1334" i="1"/>
  <c r="AS1375" i="1"/>
  <c r="AS1362" i="1"/>
  <c r="AS1376" i="1"/>
  <c r="AS1333" i="1"/>
  <c r="AS1358" i="1"/>
  <c r="AS1357" i="1"/>
  <c r="AS1370" i="1"/>
  <c r="AS1347" i="1"/>
  <c r="AS1344" i="1"/>
  <c r="AT1344" i="1" s="1"/>
  <c r="AS1340" i="1"/>
  <c r="AT1340" i="1" s="1"/>
  <c r="AS1369" i="1"/>
  <c r="AT1369" i="1" s="1"/>
  <c r="AS1366" i="1"/>
  <c r="AT1366" i="1" s="1"/>
  <c r="AS1372" i="1"/>
  <c r="AT1372" i="1" s="1"/>
  <c r="AS1353" i="1"/>
  <c r="AT1353" i="1" s="1"/>
  <c r="AS1346" i="1"/>
  <c r="AT1346" i="1" s="1"/>
  <c r="AS1335" i="1"/>
  <c r="AT1335" i="1" s="1"/>
  <c r="AS1350" i="1"/>
  <c r="AT1350" i="1" s="1"/>
  <c r="AS1371" i="1"/>
  <c r="AT1371" i="1" s="1"/>
  <c r="AS1360" i="1"/>
  <c r="AT1360" i="1" s="1"/>
  <c r="AT1347" i="1" l="1"/>
  <c r="AT1355" i="1"/>
  <c r="AT1370" i="1"/>
  <c r="AT1358" i="1"/>
  <c r="AT1363" i="1"/>
  <c r="AT1357" i="1"/>
  <c r="AT1378" i="1"/>
  <c r="AT1362" i="1"/>
  <c r="AT1365" i="1"/>
  <c r="AT1333" i="1"/>
  <c r="AT1376" i="1"/>
  <c r="AT1375" i="1"/>
  <c r="AT1334" i="1"/>
  <c r="AT1356" i="1"/>
  <c r="AT1339" i="1"/>
  <c r="AT1368" i="1"/>
  <c r="AT1351" i="1"/>
  <c r="AT1373" i="1"/>
  <c r="AV1275" i="1"/>
  <c r="AU1274" i="1"/>
  <c r="AU1374" i="1" s="1"/>
  <c r="AU1329" i="1"/>
  <c r="AT1352" i="1"/>
  <c r="AT1361" i="1"/>
  <c r="AT1349" i="1"/>
  <c r="AT1342" i="1"/>
  <c r="AT1354" i="1"/>
  <c r="AT1364" i="1"/>
  <c r="AT1337" i="1"/>
  <c r="AU1361" i="1" l="1"/>
  <c r="AU1377" i="1"/>
  <c r="AU1332" i="1"/>
  <c r="AU1346" i="1"/>
  <c r="AU1365" i="1"/>
  <c r="AU1344" i="1"/>
  <c r="AU1376" i="1"/>
  <c r="AU1370" i="1"/>
  <c r="AU1375" i="1"/>
  <c r="AV1329" i="1"/>
  <c r="AV1274" i="1"/>
  <c r="AV1374" i="1" s="1"/>
  <c r="AW1275" i="1"/>
  <c r="AU1368" i="1"/>
  <c r="AV1368" i="1" s="1"/>
  <c r="AU1369" i="1"/>
  <c r="AV1369" i="1" s="1"/>
  <c r="AU1371" i="1"/>
  <c r="AV1371" i="1" s="1"/>
  <c r="AU1360" i="1"/>
  <c r="AU1366" i="1"/>
  <c r="AU1336" i="1"/>
  <c r="AU1378" i="1"/>
  <c r="AV1378" i="1" s="1"/>
  <c r="AU1341" i="1"/>
  <c r="AV1341" i="1" s="1"/>
  <c r="AU1373" i="1"/>
  <c r="AV1373" i="1" s="1"/>
  <c r="AU1356" i="1"/>
  <c r="AV1356" i="1" s="1"/>
  <c r="AU1367" i="1"/>
  <c r="AV1367" i="1" s="1"/>
  <c r="AU1351" i="1"/>
  <c r="AU1345" i="1"/>
  <c r="AU1372" i="1"/>
  <c r="AU1362" i="1"/>
  <c r="AV1362" i="1" s="1"/>
  <c r="AU1340" i="1"/>
  <c r="AV1340" i="1" s="1"/>
  <c r="AU1355" i="1"/>
  <c r="AU1357" i="1"/>
  <c r="AU1364" i="1"/>
  <c r="AU1342" i="1"/>
  <c r="AU1334" i="1"/>
  <c r="AU1339" i="1"/>
  <c r="AU1331" i="1"/>
  <c r="AU1359" i="1"/>
  <c r="AU1335" i="1"/>
  <c r="AU1358" i="1"/>
  <c r="AU1338" i="1"/>
  <c r="AV1338" i="1" s="1"/>
  <c r="AU1350" i="1"/>
  <c r="AU1348" i="1"/>
  <c r="AV1348" i="1" s="1"/>
  <c r="AU1337" i="1"/>
  <c r="AV1337" i="1" s="1"/>
  <c r="AU1347" i="1"/>
  <c r="AV1347" i="1" s="1"/>
  <c r="AU1333" i="1"/>
  <c r="AV1333" i="1" s="1"/>
  <c r="AU1353" i="1"/>
  <c r="AV1353" i="1" s="1"/>
  <c r="AU1354" i="1"/>
  <c r="AV1354" i="1" s="1"/>
  <c r="AU1349" i="1"/>
  <c r="AV1349" i="1" s="1"/>
  <c r="AU1352" i="1"/>
  <c r="AV1352" i="1" s="1"/>
  <c r="AU1343" i="1"/>
  <c r="AV1343" i="1" s="1"/>
  <c r="AU1363" i="1"/>
  <c r="AV1363" i="1" s="1"/>
  <c r="AV1365" i="1" l="1"/>
  <c r="AV1358" i="1"/>
  <c r="AV1359" i="1"/>
  <c r="AV1344" i="1"/>
  <c r="AV1376" i="1"/>
  <c r="AV1357" i="1"/>
  <c r="AV1335" i="1"/>
  <c r="AV1331" i="1"/>
  <c r="AV1339" i="1"/>
  <c r="AV1364" i="1"/>
  <c r="AV1355" i="1"/>
  <c r="AW1274" i="1"/>
  <c r="AW1374" i="1" s="1"/>
  <c r="AX1275" i="1"/>
  <c r="AW1329" i="1"/>
  <c r="AV1346" i="1"/>
  <c r="AV1332" i="1"/>
  <c r="AW1332" i="1" s="1"/>
  <c r="AW1338" i="1"/>
  <c r="AV1372" i="1"/>
  <c r="AV1336" i="1"/>
  <c r="AW1336" i="1" s="1"/>
  <c r="AV1377" i="1"/>
  <c r="AW1377" i="1" s="1"/>
  <c r="AW1349" i="1"/>
  <c r="AV1334" i="1"/>
  <c r="AV1345" i="1"/>
  <c r="AW1345" i="1" s="1"/>
  <c r="AV1366" i="1"/>
  <c r="AW1366" i="1" s="1"/>
  <c r="AV1375" i="1"/>
  <c r="AW1375" i="1" s="1"/>
  <c r="AV1361" i="1"/>
  <c r="AV1350" i="1"/>
  <c r="AW1350" i="1" s="1"/>
  <c r="AV1342" i="1"/>
  <c r="AW1342" i="1" s="1"/>
  <c r="AV1351" i="1"/>
  <c r="AV1360" i="1"/>
  <c r="AV1370" i="1"/>
  <c r="AW1373" i="1" l="1"/>
  <c r="AW1358" i="1"/>
  <c r="AW1352" i="1"/>
  <c r="AW1340" i="1"/>
  <c r="AW1378" i="1"/>
  <c r="AW1344" i="1"/>
  <c r="AW1362" i="1"/>
  <c r="AW1331" i="1"/>
  <c r="AW1339" i="1"/>
  <c r="AW1355" i="1"/>
  <c r="AW1333" i="1"/>
  <c r="AW1376" i="1"/>
  <c r="AW1372" i="1"/>
  <c r="AW1370" i="1"/>
  <c r="AW1353" i="1"/>
  <c r="AW1363" i="1"/>
  <c r="AW1337" i="1"/>
  <c r="AW1354" i="1"/>
  <c r="AW1357" i="1"/>
  <c r="AW1371" i="1"/>
  <c r="AY1275" i="1"/>
  <c r="AX1274" i="1"/>
  <c r="AX1374" i="1" s="1"/>
  <c r="AX1329" i="1"/>
  <c r="AW1341" i="1"/>
  <c r="AW1343" i="1"/>
  <c r="AW1360" i="1"/>
  <c r="AW1359" i="1"/>
  <c r="AW1347" i="1"/>
  <c r="AW1346" i="1"/>
  <c r="AW1365" i="1"/>
  <c r="AW1367" i="1"/>
  <c r="AW1334" i="1"/>
  <c r="AW1369" i="1"/>
  <c r="AW1348" i="1"/>
  <c r="AW1364" i="1"/>
  <c r="AW1351" i="1"/>
  <c r="AW1361" i="1"/>
  <c r="AW1356" i="1"/>
  <c r="AW1335" i="1"/>
  <c r="AW1368" i="1"/>
  <c r="AX1361" i="1" l="1"/>
  <c r="AX1365" i="1"/>
  <c r="AX1351" i="1"/>
  <c r="AX1367" i="1"/>
  <c r="AX1346" i="1"/>
  <c r="AX1336" i="1"/>
  <c r="AX1363" i="1"/>
  <c r="AX1353" i="1"/>
  <c r="AX1364" i="1"/>
  <c r="AX1333" i="1"/>
  <c r="AX1352" i="1"/>
  <c r="AX1355" i="1"/>
  <c r="AX1337" i="1"/>
  <c r="AX1376" i="1"/>
  <c r="AX1345" i="1"/>
  <c r="AX1340" i="1"/>
  <c r="AX1347" i="1"/>
  <c r="AX1339" i="1"/>
  <c r="AX1366" i="1"/>
  <c r="AX1359" i="1"/>
  <c r="AX1372" i="1"/>
  <c r="AY1372" i="1" s="1"/>
  <c r="AZ1372" i="1" s="1"/>
  <c r="AX1331" i="1"/>
  <c r="AX1373" i="1"/>
  <c r="AX1348" i="1"/>
  <c r="AX1369" i="1"/>
  <c r="AX1334" i="1"/>
  <c r="AY1334" i="1" s="1"/>
  <c r="AZ1334" i="1" s="1"/>
  <c r="AX1360" i="1"/>
  <c r="AY1360" i="1" s="1"/>
  <c r="AZ1360" i="1" s="1"/>
  <c r="AX1371" i="1"/>
  <c r="AX1332" i="1"/>
  <c r="AX1362" i="1"/>
  <c r="AX1358" i="1"/>
  <c r="AY1274" i="1"/>
  <c r="AY1374" i="1" s="1"/>
  <c r="AZ1374" i="1" s="1"/>
  <c r="AY1329" i="1"/>
  <c r="AX1368" i="1"/>
  <c r="AX1343" i="1"/>
  <c r="AX1338" i="1"/>
  <c r="AX1344" i="1"/>
  <c r="AX1350" i="1"/>
  <c r="AX1370" i="1"/>
  <c r="AY1370" i="1" s="1"/>
  <c r="AZ1370" i="1" s="1"/>
  <c r="AX1375" i="1"/>
  <c r="AX1335" i="1"/>
  <c r="AX1377" i="1"/>
  <c r="AX1357" i="1"/>
  <c r="AX1356" i="1"/>
  <c r="AX1349" i="1"/>
  <c r="AX1341" i="1"/>
  <c r="AY1341" i="1" s="1"/>
  <c r="AZ1341" i="1" s="1"/>
  <c r="AX1354" i="1"/>
  <c r="AY1354" i="1" s="1"/>
  <c r="AZ1354" i="1" s="1"/>
  <c r="AX1342" i="1"/>
  <c r="AX1378" i="1"/>
  <c r="AY1340" i="1" l="1"/>
  <c r="AZ1340" i="1" s="1"/>
  <c r="AY1352" i="1"/>
  <c r="AZ1352" i="1" s="1"/>
  <c r="AY1369" i="1"/>
  <c r="AZ1369" i="1" s="1"/>
  <c r="AY1364" i="1"/>
  <c r="AZ1364" i="1" s="1"/>
  <c r="AY1333" i="1"/>
  <c r="AZ1333" i="1" s="1"/>
  <c r="AY1355" i="1"/>
  <c r="AZ1355" i="1" s="1"/>
  <c r="AY1345" i="1"/>
  <c r="AZ1345" i="1" s="1"/>
  <c r="AY1359" i="1"/>
  <c r="AZ1359" i="1" s="1"/>
  <c r="AY1348" i="1"/>
  <c r="AZ1348" i="1" s="1"/>
  <c r="AY1358" i="1"/>
  <c r="AZ1358" i="1" s="1"/>
  <c r="AY1346" i="1"/>
  <c r="AZ1346" i="1" s="1"/>
  <c r="AY1366" i="1"/>
  <c r="AZ1366" i="1" s="1"/>
  <c r="AY1376" i="1"/>
  <c r="AZ1376" i="1" s="1"/>
  <c r="AY1356" i="1"/>
  <c r="AZ1356" i="1" s="1"/>
  <c r="AY1365" i="1"/>
  <c r="AZ1365" i="1" s="1"/>
  <c r="AY1344" i="1"/>
  <c r="AY1338" i="1"/>
  <c r="AZ1338" i="1" s="1"/>
  <c r="AY1362" i="1"/>
  <c r="AZ1362" i="1" s="1"/>
  <c r="AY1351" i="1"/>
  <c r="AZ1351" i="1" s="1"/>
  <c r="AY1339" i="1"/>
  <c r="AZ1339" i="1" s="1"/>
  <c r="AY1337" i="1"/>
  <c r="AZ1337" i="1" s="1"/>
  <c r="AY1349" i="1"/>
  <c r="AZ1349" i="1" s="1"/>
  <c r="AY1367" i="1"/>
  <c r="AZ1367" i="1" s="1"/>
  <c r="AY1353" i="1"/>
  <c r="AZ1353" i="1" s="1"/>
  <c r="AY1357" i="1"/>
  <c r="AY1378" i="1"/>
  <c r="AZ1378" i="1" s="1"/>
  <c r="AY1335" i="1"/>
  <c r="AZ1335" i="1" s="1"/>
  <c r="AY1343" i="1"/>
  <c r="AZ1343" i="1" s="1"/>
  <c r="AY1332" i="1"/>
  <c r="AZ1332" i="1" s="1"/>
  <c r="AY1373" i="1"/>
  <c r="AZ1373" i="1" s="1"/>
  <c r="AY1347" i="1"/>
  <c r="AZ1347" i="1" s="1"/>
  <c r="AY1336" i="1"/>
  <c r="AZ1336" i="1" s="1"/>
  <c r="AY1350" i="1"/>
  <c r="AZ1350" i="1" s="1"/>
  <c r="AY1361" i="1"/>
  <c r="AZ1361" i="1" s="1"/>
  <c r="AY1377" i="1"/>
  <c r="AZ1377" i="1" s="1"/>
  <c r="AY1342" i="1"/>
  <c r="AZ1342" i="1" s="1"/>
  <c r="AY1375" i="1"/>
  <c r="AZ1375" i="1" s="1"/>
  <c r="AY1368" i="1"/>
  <c r="AZ1368" i="1" s="1"/>
  <c r="AY1371" i="1"/>
  <c r="AZ1371" i="1" s="1"/>
  <c r="AY1331" i="1"/>
  <c r="AY1363" i="1"/>
  <c r="AZ136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Dwyer, Michael (CONTR)</author>
  </authors>
  <commentList>
    <comment ref="T1100" authorId="0" shapeId="0" xr:uid="{00000000-0006-0000-0000-000001000000}">
      <text>
        <r>
          <rPr>
            <b/>
            <sz val="9"/>
            <color indexed="8"/>
            <rFont val="Tahoma"/>
            <family val="3"/>
          </rPr>
          <t>Dwyer, Michael (CONTR):</t>
        </r>
        <r>
          <rPr>
            <sz val="9"/>
            <color indexed="8"/>
            <rFont val="Tahoma"/>
            <family val="3"/>
          </rPr>
          <t xml:space="preserve">
was 0.12</t>
        </r>
      </text>
    </comment>
    <comment ref="G1125" authorId="0" shapeId="0" xr:uid="{00000000-0006-0000-0000-000002000000}">
      <text>
        <r>
          <rPr>
            <b/>
            <sz val="9"/>
            <color indexed="8"/>
            <rFont val="Tahoma"/>
            <family val="3"/>
          </rPr>
          <t>Dwyer, Michael (CONTR):</t>
        </r>
        <r>
          <rPr>
            <sz val="9"/>
            <color indexed="8"/>
            <rFont val="Tahoma"/>
            <family val="3"/>
          </rPr>
          <t xml:space="preserve">
was 0.25</t>
        </r>
      </text>
    </comment>
  </commentList>
</comments>
</file>

<file path=xl/sharedStrings.xml><?xml version="1.0" encoding="utf-8"?>
<sst xmlns="http://schemas.openxmlformats.org/spreadsheetml/2006/main" count="2301" uniqueCount="365">
  <si>
    <t>AIR TRAVEL MODULE (subroutines TAIRT, TAIREFF)</t>
  </si>
  <si>
    <t>When referenced throughout this file:</t>
  </si>
  <si>
    <t>PASSENGER DEMAND</t>
  </si>
  <si>
    <t xml:space="preserve">Total revenue passenger miles (billions) by region and domestic/international (maxreg,domint,mnumyr) </t>
  </si>
  <si>
    <t>RPMT_HIST</t>
  </si>
  <si>
    <t>USA-Dom</t>
  </si>
  <si>
    <t>CAN-Dom</t>
  </si>
  <si>
    <t>MXC-Dom</t>
  </si>
  <si>
    <t>EUR-Dom</t>
  </si>
  <si>
    <t>JPN-Dom</t>
  </si>
  <si>
    <t>ANZ-Dom</t>
  </si>
  <si>
    <t>SKO-Dom</t>
  </si>
  <si>
    <t>RUS-Dom</t>
  </si>
  <si>
    <t>URA-Dom</t>
  </si>
  <si>
    <t>CHI-Dom</t>
  </si>
  <si>
    <t>IND-Dom</t>
  </si>
  <si>
    <t>OAS-Dom</t>
  </si>
  <si>
    <t>MID-Dom</t>
  </si>
  <si>
    <t>AFR-Dom</t>
  </si>
  <si>
    <t>BRZ-Dom</t>
  </si>
  <si>
    <t>CSA-Dom</t>
  </si>
  <si>
    <t>USA-Int</t>
  </si>
  <si>
    <t>CAN-Int</t>
  </si>
  <si>
    <t>MXC-Int</t>
  </si>
  <si>
    <t>EUR-Int</t>
  </si>
  <si>
    <t>JPN-Int</t>
  </si>
  <si>
    <t>ANZ-Int</t>
  </si>
  <si>
    <t>SKO-Int</t>
  </si>
  <si>
    <t>RUS-Int</t>
  </si>
  <si>
    <t>URA-Int</t>
  </si>
  <si>
    <t>CHI-Int</t>
  </si>
  <si>
    <t>IND-Int</t>
  </si>
  <si>
    <t>OAS-Int</t>
  </si>
  <si>
    <t>MID-Int</t>
  </si>
  <si>
    <t>AFR-Int</t>
  </si>
  <si>
    <t>BRZ-Int</t>
  </si>
  <si>
    <t>CSA-Int</t>
  </si>
  <si>
    <t>Source: ICAO TFS history (int'l only). ICAO Forecast module; correspondence with ICAO throughout 2021. See CountryTraffic_1995_2018_Processed.xlsx.</t>
  </si>
  <si>
    <t>"Domestic" and "International" here actually represent intra- and inter-region, respectively. Inter-region RPMs are split evenly between origin and destination.</t>
  </si>
  <si>
    <t>SHR_RPM_BODY</t>
  </si>
  <si>
    <t>Note that the ICAO TFS dataset is missing some aircraft types in older years (primarily pre-2000). Shares in regions with missing (aircraft_typ=NaN) were re-normalized to add to 100%.</t>
  </si>
  <si>
    <t>History</t>
  </si>
  <si>
    <t>Moving average</t>
  </si>
  <si>
    <t>Held constant</t>
  </si>
  <si>
    <t>USA</t>
  </si>
  <si>
    <t>Dom</t>
  </si>
  <si>
    <t>NB</t>
  </si>
  <si>
    <t>CAN</t>
  </si>
  <si>
    <t>MXC</t>
  </si>
  <si>
    <t>EUR</t>
  </si>
  <si>
    <t>JPN</t>
  </si>
  <si>
    <t>ANZ</t>
  </si>
  <si>
    <t>SKO</t>
  </si>
  <si>
    <t>RUS</t>
  </si>
  <si>
    <t>URA</t>
  </si>
  <si>
    <t>CHI</t>
  </si>
  <si>
    <t>IND</t>
  </si>
  <si>
    <t>OAS</t>
  </si>
  <si>
    <t>MID</t>
  </si>
  <si>
    <t>AFR</t>
  </si>
  <si>
    <t>BRZ</t>
  </si>
  <si>
    <t>CSA</t>
  </si>
  <si>
    <t>WB</t>
  </si>
  <si>
    <t>RJ</t>
  </si>
  <si>
    <t>Int</t>
  </si>
  <si>
    <t>Source: ICAO TFS (International [inter-region] and Intra-region). No intra-country shares are available -- therefore, domestic shares are from U.S. BTS Schedule T2 data (weighted, by RPMs, with the intra-region to get total Domestic shares)</t>
  </si>
  <si>
    <t>RPM coefficients</t>
  </si>
  <si>
    <r>
      <t>Developed based on ICAO specification (log-first-diff, file IE</t>
    </r>
    <r>
      <rPr>
        <i/>
        <sz val="10"/>
        <rFont val="Courier"/>
        <family val="3"/>
      </rPr>
      <t>O2021 - OutputAssess - Boeing Compare.xlsx</t>
    </r>
    <r>
      <rPr>
        <sz val="10"/>
        <rFont val="Courier"/>
        <family val="3"/>
      </rPr>
      <t>)</t>
    </r>
  </si>
  <si>
    <t xml:space="preserve">Intercept </t>
  </si>
  <si>
    <t>GDP/cap elasticity</t>
  </si>
  <si>
    <t>Jet fuel price elasticity</t>
  </si>
  <si>
    <t>intercept_rpm</t>
  </si>
  <si>
    <t>beta1_rpm</t>
  </si>
  <si>
    <t>beta2_rpm</t>
  </si>
  <si>
    <t>dom</t>
  </si>
  <si>
    <t>int</t>
  </si>
  <si>
    <t>Estimated using 2015$ GDP/capita (IHS) and 1987$ jet fuel prices (PJFTR)</t>
  </si>
  <si>
    <t>Includes dummies for 9/11 (2002), GFC (2009), Russia '05, and ME GFC 2010</t>
  </si>
  <si>
    <t>Load factor</t>
  </si>
  <si>
    <r>
      <t xml:space="preserve">Historical U.S. load factors are calculated by body type and dom/int using BTS Schedule T100 Segment data. Historical non-U.S. load factors are collected from ICAO and IATA data where available. See InputDev file, </t>
    </r>
    <r>
      <rPr>
        <i/>
        <sz val="10"/>
        <rFont val="Courier"/>
        <family val="3"/>
      </rPr>
      <t>LoadFactor</t>
    </r>
    <r>
      <rPr>
        <sz val="10"/>
        <rFont val="Courier"/>
        <family val="3"/>
      </rPr>
      <t xml:space="preserve"> tab.</t>
    </r>
  </si>
  <si>
    <t>Projected load factors are based on FAA projections of U.S. values.</t>
  </si>
  <si>
    <t>LOAD_FACTOR</t>
  </si>
  <si>
    <t>percent of seats filled</t>
  </si>
  <si>
    <r>
      <t xml:space="preserve">Source: ICAO TFS and BTS T2.  See </t>
    </r>
    <r>
      <rPr>
        <i/>
        <sz val="10"/>
        <rFont val="Courier"/>
        <family val="3"/>
      </rPr>
      <t>LoadFactor</t>
    </r>
    <r>
      <rPr>
        <sz val="10"/>
        <rFont val="Courier"/>
        <family val="3"/>
      </rPr>
      <t xml:space="preserve"> tab in </t>
    </r>
    <r>
      <rPr>
        <i/>
        <sz val="10"/>
        <rFont val="Courier"/>
        <family val="3"/>
      </rPr>
      <t>InputDev</t>
    </r>
    <r>
      <rPr>
        <sz val="10"/>
        <rFont val="Courier"/>
        <family val="3"/>
      </rPr>
      <t xml:space="preserve"> spreadsheet for details - many different sources used to piece together last couple years of history (ICAO,FAA,IATA), first couple projection years (IATA), and rest of projection (FAA)</t>
    </r>
  </si>
  <si>
    <t>FREIGHT DEMAND</t>
  </si>
  <si>
    <t>Updated US, CN, AF, and ME based on IATA. Others are too hard to disaggregate from IATA data.</t>
  </si>
  <si>
    <t>FTM_HIST</t>
  </si>
  <si>
    <t>million freight ton-miles</t>
  </si>
  <si>
    <t>Source: ICAO TFS (International [inter-region] and Intra-region), ICAO annual reports (domestic). USA values are from BTS T100 data.</t>
  </si>
  <si>
    <t>SHR_FTM_BODY</t>
  </si>
  <si>
    <t>Only includes FTMs moved on dedicated freighters</t>
  </si>
  <si>
    <t xml:space="preserve">Source: ICAO TFS (International [inter-region] and Intra-region). No intra-country shares are available -- therefore, domestic shares are either set equal to intra-region from ICAO TFS (EUR, ANZ, URA, OAS, MID, AFR, CSA), USA values from BTS Schedule T2 (CAN,MXC, RUS, CHI, IND, BRZ)) or EUR intra-region (JPN, SKO) </t>
  </si>
  <si>
    <t>FTM coefficients</t>
  </si>
  <si>
    <t>Developed based on log-linear relationship b/w gdp and rtms</t>
  </si>
  <si>
    <t>Intercept</t>
  </si>
  <si>
    <t>beta_gdp</t>
  </si>
  <si>
    <t>AIRCRAFT STOCK</t>
  </si>
  <si>
    <t>ASMAC and RTMAC were derived from BTS Schedule T2. They are adjusted to meet dedicated freighter RTM demand in tranair.f, for the last historical year.</t>
  </si>
  <si>
    <t>Recovery occurs in line with recovery in travel demand (RPMs)</t>
  </si>
  <si>
    <t>After 2029, slow growth</t>
  </si>
  <si>
    <t>ASMAC(maxreg,mnumyr,maxatyp) - Available Seat miles per ac</t>
  </si>
  <si>
    <t>USA_NB</t>
  </si>
  <si>
    <t>CAN_NB</t>
  </si>
  <si>
    <t>MXC_NB</t>
  </si>
  <si>
    <t>EUR_NB</t>
  </si>
  <si>
    <t>JPN_NB</t>
  </si>
  <si>
    <t>ANZ_NB</t>
  </si>
  <si>
    <t>SKO_NB</t>
  </si>
  <si>
    <t>RUS_NB</t>
  </si>
  <si>
    <t>URA_NB</t>
  </si>
  <si>
    <t>CHI_NB</t>
  </si>
  <si>
    <t>IND_NB</t>
  </si>
  <si>
    <t>OAS_NB</t>
  </si>
  <si>
    <t>MID_NB</t>
  </si>
  <si>
    <t>AFR_NB</t>
  </si>
  <si>
    <t>BRZ_NB</t>
  </si>
  <si>
    <t>CSA_NB</t>
  </si>
  <si>
    <t>USA_WB</t>
  </si>
  <si>
    <t>CAN_WB</t>
  </si>
  <si>
    <t>MXC_WB</t>
  </si>
  <si>
    <t>EUR_WB</t>
  </si>
  <si>
    <t>JPN_WB</t>
  </si>
  <si>
    <t>ANZ_WB</t>
  </si>
  <si>
    <t>SKO_WB</t>
  </si>
  <si>
    <t>RUS_WB</t>
  </si>
  <si>
    <t>URA_WB</t>
  </si>
  <si>
    <t>CHI_WB</t>
  </si>
  <si>
    <t>IND_WB</t>
  </si>
  <si>
    <t>OAS_WB</t>
  </si>
  <si>
    <t>MID_WB</t>
  </si>
  <si>
    <t>AFR_WB</t>
  </si>
  <si>
    <t>BRZ_WB</t>
  </si>
  <si>
    <t>CSA_WB</t>
  </si>
  <si>
    <t>USA_RJ</t>
  </si>
  <si>
    <t>CAN_RJ</t>
  </si>
  <si>
    <t>MXC_RJ</t>
  </si>
  <si>
    <t>EUR_RJ</t>
  </si>
  <si>
    <t>JPN_RJ</t>
  </si>
  <si>
    <t>ANZ_RJ</t>
  </si>
  <si>
    <t>SKO_RJ</t>
  </si>
  <si>
    <t>RUS_RJ</t>
  </si>
  <si>
    <t>URA_RJ</t>
  </si>
  <si>
    <t>CHI_RJ</t>
  </si>
  <si>
    <t>IND_RJ</t>
  </si>
  <si>
    <t>OAS_RJ</t>
  </si>
  <si>
    <t>MID_RJ</t>
  </si>
  <si>
    <t>AFR_RJ</t>
  </si>
  <si>
    <t>BRZ_RJ</t>
  </si>
  <si>
    <t>CSA_RJ</t>
  </si>
  <si>
    <t>FTMAC(MAXATYP, MNUMYR) - Revenue Ton miles per ac (dedicated freighters only). Note that there is no CLF (cargo load factor) applied in the model -- it is assumed that historical load factors remain constant.</t>
  </si>
  <si>
    <t>Source: 1995-2021 U.S. values from BTS schedule T2. All other based on ICAO TFS (See Utilization tab in InputDev.xlsx).  2022+ based on historical growth that phases out (see InputDev spreadsheet).</t>
  </si>
  <si>
    <t>Stock supply new(maxreg,mnumyr,maxatyp) - New passenger aircraft stock by region, year, aircraft type</t>
  </si>
  <si>
    <t>STK_SUP_NEW</t>
  </si>
  <si>
    <t>Source: WJI Year-End Data</t>
  </si>
  <si>
    <r>
      <t>Each new WJI dataset only provides one additional year of data (</t>
    </r>
    <r>
      <rPr>
        <u/>
        <sz val="10"/>
        <rFont val="Courier"/>
        <family val="3"/>
      </rPr>
      <t>NEW</t>
    </r>
    <r>
      <rPr>
        <sz val="10"/>
        <rFont val="Courier"/>
        <family val="3"/>
      </rPr>
      <t xml:space="preserve"> stock)</t>
    </r>
  </si>
  <si>
    <t>Stock passenger active total history(maxreg*maxatyp,mnumyr)</t>
  </si>
  <si>
    <t>STKPA</t>
  </si>
  <si>
    <t>Stock passenger parked total history(maxreg*maxatyp,mnumyr)</t>
  </si>
  <si>
    <t>STKPP</t>
  </si>
  <si>
    <t>STKCA</t>
  </si>
  <si>
    <t>STKCP</t>
  </si>
  <si>
    <t>Stock Cargo total history(maxreg*maxatyp,mnumyr)</t>
  </si>
  <si>
    <t>SC_TOT_H</t>
  </si>
  <si>
    <t>Note: Source for stkachist, stkcachist, stkacphist, stkcacphist is WJI Year-End Data</t>
  </si>
  <si>
    <t>STKACHIST</t>
  </si>
  <si>
    <t>Stock aircraft history(maxreg,TOPACAGE,maxatyp) - Last Historical Yr PASSENGER AC Stock by vintage - Active only</t>
  </si>
  <si>
    <t>STKPAVINT</t>
  </si>
  <si>
    <t>Stock cargo aircraft history (maxreg,TOPACAGE,maxatyp) - Last Historical Yr CARGO AC Stock by vintage - Active only</t>
  </si>
  <si>
    <t>STKCACHIST</t>
  </si>
  <si>
    <t>STKCAVINT</t>
  </si>
  <si>
    <t>Stock passenger aircraft parked history(maxreg,TOPACAGE,maxatyp) - Last Historical Yr Parked PASSENGER AC by vintage</t>
  </si>
  <si>
    <t>STKACPHIST</t>
  </si>
  <si>
    <t>STKPPVINT</t>
  </si>
  <si>
    <t>Stock cargo aircraft parked history(maxreg,TOPACAGE,maxatyp) - Last Historical Yr Parked CARGO AC by vintage</t>
  </si>
  <si>
    <t>STKCACPHIST</t>
  </si>
  <si>
    <t>STKCPVINT</t>
  </si>
  <si>
    <t>Airline fleet management parameters</t>
  </si>
  <si>
    <t>The minimum age at which freight aircraft can be parked (due to over capacity). Only freight aircraft older than or equal to this age can be parked.</t>
  </si>
  <si>
    <t>MINAGE_PRK_F</t>
  </si>
  <si>
    <t>The minimum age at which long-term-parked passenger aircraft can be converted to freighters to meet freight demand. Only passenger aircraft [parked] older than or equal to this age can be converted into freighters.</t>
  </si>
  <si>
    <t>MINAGE_C_PPRK</t>
  </si>
  <si>
    <t>The minimum age at which active passenger aircraft can be converted to freighters to meet freight demand. Only passenger aircraft [active] older than or equal to this age can be converted into freighters.</t>
  </si>
  <si>
    <t>MINAGE_C_PACT</t>
  </si>
  <si>
    <t>The minimum age at which passenger aircraft can be parked (due to over capacity). Only passenger aircraft older than or equal to this age can be parked.</t>
  </si>
  <si>
    <t>MINAGE_PRK_P</t>
  </si>
  <si>
    <t>The maximum age at which passenger aircraft can be un-parked to meet excess demand. Only passenger aircraft younger than or equal to this age can be unparked.</t>
  </si>
  <si>
    <t>MAXAGE_UNPRK_P</t>
  </si>
  <si>
    <t>The maximum share of total parked passenger aircraft that can be unparked in a single year (to meet excess demand).</t>
  </si>
  <si>
    <t>MAX_UNPRK_SHR</t>
  </si>
  <si>
    <t>Minimum share of total passenger fleet (active + parked) that must remain parked throughout the projection</t>
  </si>
  <si>
    <t>MIN_PARK_SHR</t>
  </si>
  <si>
    <t>Source: World Jet Inventory, 2000-2021. Based on 2012-2019 average park rates</t>
  </si>
  <si>
    <t>Aircraft survival curves(MAXATYP,  TOPACAGE)</t>
  </si>
  <si>
    <t>SURVAC</t>
  </si>
  <si>
    <t>Passenger</t>
  </si>
  <si>
    <t>Narrow Body</t>
  </si>
  <si>
    <t>Wide Body</t>
  </si>
  <si>
    <t>Regional Jet</t>
  </si>
  <si>
    <t>Freight</t>
  </si>
  <si>
    <t>Source: Dray - 2013 - An analysis of the impact of aircraft lifecycles on aviation emissions</t>
  </si>
  <si>
    <t>Adjusted values to scrap passenger more quickly, and freight less, based on industry trends.</t>
  </si>
  <si>
    <t>AIRCRAFT EFFICIENCY</t>
  </si>
  <si>
    <t>PCT_PASS_MTOW</t>
  </si>
  <si>
    <t>Percent of max take-off weight that is passengers (not including plane structure, freight, crew, fuel, etc), assuming a load factor of 100%. Assumes fuel tanks are half-full on average.</t>
  </si>
  <si>
    <t>BTS data</t>
  </si>
  <si>
    <t>Extrapolated</t>
  </si>
  <si>
    <t>Source: 2004 - 2021 from BTS Schedule T2 data. Remaining years are equal to closest historical</t>
  </si>
  <si>
    <t>PASS_WEIGHT</t>
  </si>
  <si>
    <t>Source: BTS Schedule T2</t>
  </si>
  <si>
    <t>PCT_BELLY_PLOAD</t>
  </si>
  <si>
    <t>Percent of total payload (passenger + freight) that is freight (aka "belly freight")</t>
  </si>
  <si>
    <t>Dom - NB</t>
  </si>
  <si>
    <t>Dom - WB</t>
  </si>
  <si>
    <t>Dom - RJ</t>
  </si>
  <si>
    <t>Int - NB</t>
  </si>
  <si>
    <t>Int - WB</t>
  </si>
  <si>
    <t>Int - RJ</t>
  </si>
  <si>
    <t>Highlighted; Adjusted down to match trend (BTS had it high)</t>
  </si>
  <si>
    <t>PCT_BELLY_FRT</t>
  </si>
  <si>
    <t>Percent of total freight (belly + dedicated) that is belly</t>
  </si>
  <si>
    <t>Gallons per ton-mile, international passenger (incl. belly freight)</t>
  </si>
  <si>
    <t>STOCK, includes belly freight</t>
  </si>
  <si>
    <t>GPTMI_PASS</t>
  </si>
  <si>
    <t>Gallons per ton-mile, domestic passenger (incl. belly freight)</t>
  </si>
  <si>
    <t>BTS US WB:</t>
  </si>
  <si>
    <t>GPTMD_PASS</t>
  </si>
  <si>
    <r>
      <t xml:space="preserve">Passenger fuel consumption values assume </t>
    </r>
    <r>
      <rPr>
        <i/>
        <sz val="10"/>
        <rFont val="Courier"/>
        <family val="3"/>
      </rPr>
      <t>full flights</t>
    </r>
    <r>
      <rPr>
        <sz val="10"/>
        <rFont val="Courier"/>
        <family val="3"/>
      </rPr>
      <t xml:space="preserve"> (load factor = 100%).  These are scaled up from the non-full-flight numbers in BTS Schedule T2 (scales up fuel use based on percent increase in aircraft weight due to additional passengers (200lb each))</t>
    </r>
  </si>
  <si>
    <t>Non-US values are adjusted based on stock distributions by age for latest historical year (compared to US). InputDev file, GPTM tab.</t>
  </si>
  <si>
    <t>Additional adjustments were made based on the fleet mix (plane model/series) and seat density from WJI stock data, and to align with historical jet fuel consumption data from IES.</t>
  </si>
  <si>
    <t>NOT USED (currently use GPTMD/I_PASS for freight)</t>
  </si>
  <si>
    <t>Gallons per ton-mile, international freight</t>
  </si>
  <si>
    <t>STOCK</t>
  </si>
  <si>
    <t>GPTMI_FRT</t>
  </si>
  <si>
    <t>US_NB</t>
  </si>
  <si>
    <t>US</t>
  </si>
  <si>
    <t>Cn_NB</t>
  </si>
  <si>
    <t>Cn</t>
  </si>
  <si>
    <t>CA_NB</t>
  </si>
  <si>
    <t>CA</t>
  </si>
  <si>
    <t>SA_NB</t>
  </si>
  <si>
    <t>SA</t>
  </si>
  <si>
    <t>Eu_NB</t>
  </si>
  <si>
    <t>Eu</t>
  </si>
  <si>
    <t>Af_NB</t>
  </si>
  <si>
    <t>Af</t>
  </si>
  <si>
    <t>ME_NB</t>
  </si>
  <si>
    <t>ME</t>
  </si>
  <si>
    <t>Ru_NB</t>
  </si>
  <si>
    <t>Ru</t>
  </si>
  <si>
    <t>Ch_NB</t>
  </si>
  <si>
    <t>Ch</t>
  </si>
  <si>
    <t>NE_NB</t>
  </si>
  <si>
    <t>NE</t>
  </si>
  <si>
    <t>SE_NB</t>
  </si>
  <si>
    <t>SE</t>
  </si>
  <si>
    <t>SW_NB</t>
  </si>
  <si>
    <t>SW</t>
  </si>
  <si>
    <t>Oc_NB</t>
  </si>
  <si>
    <t>Oc</t>
  </si>
  <si>
    <t>US_WB</t>
  </si>
  <si>
    <t>Cn_WB</t>
  </si>
  <si>
    <t>CA_WB</t>
  </si>
  <si>
    <t>SA_WB</t>
  </si>
  <si>
    <t>Eu_WB</t>
  </si>
  <si>
    <t>Af_WB</t>
  </si>
  <si>
    <t>ME_WB</t>
  </si>
  <si>
    <t>Ru_WB</t>
  </si>
  <si>
    <t>Ch_WB</t>
  </si>
  <si>
    <t>NE_WB</t>
  </si>
  <si>
    <t>SE_WB</t>
  </si>
  <si>
    <t>SW_WB</t>
  </si>
  <si>
    <t>Oc_WB</t>
  </si>
  <si>
    <t>US_RJ</t>
  </si>
  <si>
    <t>Cn_RJ</t>
  </si>
  <si>
    <t>CA_RJ</t>
  </si>
  <si>
    <t>SA_RJ</t>
  </si>
  <si>
    <t>Eu_RJ</t>
  </si>
  <si>
    <t>Af_RJ</t>
  </si>
  <si>
    <t>ME_RJ</t>
  </si>
  <si>
    <t>Ru_RJ</t>
  </si>
  <si>
    <t>Ch_RJ</t>
  </si>
  <si>
    <t>NE_RJ</t>
  </si>
  <si>
    <t>SE_RJ</t>
  </si>
  <si>
    <t>SW_RJ</t>
  </si>
  <si>
    <t>Oc_RJ</t>
  </si>
  <si>
    <t>Gallons per ton-mile, domestic freight</t>
  </si>
  <si>
    <t>GPTMD_FRT</t>
  </si>
  <si>
    <t>Source: GPTMD_FRT and GPTMI_FRT are from BTS Schedule T2 data</t>
  </si>
  <si>
    <t>Assumption of improvement within an aircraft type (Annual average fuel burn reduction in)</t>
  </si>
  <si>
    <t>1960s</t>
  </si>
  <si>
    <t>1970s</t>
  </si>
  <si>
    <t>1980s</t>
  </si>
  <si>
    <t>1990s</t>
  </si>
  <si>
    <t>2000s</t>
  </si>
  <si>
    <t>2010+</t>
  </si>
  <si>
    <t>No improvements</t>
  </si>
  <si>
    <t>ICCT g/pkm</t>
  </si>
  <si>
    <t>&lt;-- NOT USED</t>
  </si>
  <si>
    <t>ICAO MV</t>
  </si>
  <si>
    <t>&lt;-- Currently used</t>
  </si>
  <si>
    <t>SA = single-aisle, TA = twin-aisle, RJ = regional jet; Source: "Fuel burn of new commercial jet aircraft: 1960 to 2019", Zheng and Rutherford 2020 (ICCT)</t>
  </si>
  <si>
    <t>Projection annual fuel burn reduction</t>
  </si>
  <si>
    <t>Fuel consumption per ton mile</t>
  </si>
  <si>
    <t>Note: Pre-2019 values are backcasted using ICCT study. 2019 values from calibrated GPTM. 2020+ values are projected based on 2010+ ICCT trend</t>
  </si>
  <si>
    <t>Domestic NEW gallons per ton mile by aircraft type by vintage(MAXATYP, TOPACAGE)</t>
  </si>
  <si>
    <t>Can change each AEO/IEO as seat count mixes changes</t>
  </si>
  <si>
    <t>GPTMD_PASS_VINT</t>
  </si>
  <si>
    <t>Highlighted rows are based on the latest BTS T2 data (stock GPTM) and WJI (stock distribution by vintage). See Input_Dev, GPTM_HIST_NEW tab</t>
  </si>
  <si>
    <t>International NEW gallons per ton  mile by aircraft type by vintage(MAXATYP, TOPACAGE)</t>
  </si>
  <si>
    <t>GPTMI_PASS_VINT</t>
  </si>
  <si>
    <r>
      <t xml:space="preserve">International values are adjusted based on the ratio of int/dom </t>
    </r>
    <r>
      <rPr>
        <b/>
        <i/>
        <sz val="10"/>
        <rFont val="Courier"/>
        <family val="3"/>
      </rPr>
      <t>stock</t>
    </r>
    <r>
      <rPr>
        <sz val="10"/>
        <rFont val="Courier"/>
        <family val="3"/>
      </rPr>
      <t xml:space="preserve"> fuel consumption (GPTMD/I_PASS)</t>
    </r>
  </si>
  <si>
    <t>STK_ALIGN_MULT</t>
  </si>
  <si>
    <t>Calibration factor to align vintaged GPTM (based on ICCT study of new aircraft efficiency improvements) to total stock GPTM (from BTS for US and IES for non-US). Phases out by 2025 ("back to normal")</t>
  </si>
  <si>
    <t>Accounts for changes in seating configurations, route assignments, and other operational parameters that could change an aircraft's fuel consumption from it's "as sold" value</t>
  </si>
  <si>
    <t>See Input_Dev, Covid_RPM tab.</t>
  </si>
  <si>
    <t>OTHER</t>
  </si>
  <si>
    <t>DOMESTIC YIELD</t>
  </si>
  <si>
    <t>INTERNATIONAL YIELD</t>
  </si>
  <si>
    <t>ALPHAYD</t>
  </si>
  <si>
    <t>ALPHAYI</t>
  </si>
  <si>
    <t>RHOYD</t>
  </si>
  <si>
    <t>RHOYI</t>
  </si>
  <si>
    <t>BETAFUELD</t>
  </si>
  <si>
    <t>BETAFUELI</t>
  </si>
  <si>
    <t>Dummy</t>
  </si>
  <si>
    <t>BETATIMED</t>
  </si>
  <si>
    <t>BETATIMEI</t>
  </si>
  <si>
    <t>Historic yield (ticket price or revenue per mile) in 1996 cents per mile</t>
  </si>
  <si>
    <t xml:space="preserve">YIELD (96c/mile) </t>
  </si>
  <si>
    <t>domestic</t>
  </si>
  <si>
    <t>international</t>
  </si>
  <si>
    <t xml:space="preserve">source: US DOT Form 41 via BTS, schedules P12 &amp; T2. </t>
  </si>
  <si>
    <t>Aviation gas consumption (BTU)</t>
  </si>
  <si>
    <t>QAGTR_US</t>
  </si>
  <si>
    <t>U.S.</t>
  </si>
  <si>
    <t>Source: MER Table 3.7c</t>
  </si>
  <si>
    <t>AIR_MGMT_ADJ - "percent extra miles flown" due to mgmt inefficiencies</t>
  </si>
  <si>
    <t>From ICAO</t>
  </si>
  <si>
    <t>See Input_Dev, AIR_MGMT_ADJ tab.</t>
  </si>
  <si>
    <t>COVID_MULT -- multiplier to adjust for impacts of covid on RPMs -- Applied to 2019 value</t>
  </si>
  <si>
    <t>rpm/capita projection takes over again when COVID_MULT = 0</t>
  </si>
  <si>
    <t>Allow changes in rpm/capita to take over (actual projection equation) when value is 0</t>
  </si>
  <si>
    <t>Reference Case</t>
  </si>
  <si>
    <t>Low Macro</t>
  </si>
  <si>
    <t>High Macro</t>
  </si>
  <si>
    <t>Based primarily on IATA's 2022 projection; IATA Airline Passenger Monthly Analysis from December 2021 and 02/2022 (included data through Jan 2022)</t>
  </si>
  <si>
    <t>World population(maxreg,mnumyr) in millions</t>
  </si>
  <si>
    <t>pop growth grows at prev yrs growth rate, except US</t>
  </si>
  <si>
    <t xml:space="preserve">WLD_POP </t>
  </si>
  <si>
    <t>US values replaced with NEMS macro in code</t>
  </si>
  <si>
    <t>World GDP(maxreg,mnumyr) - U.S. billion 2015 dollars (PPP)</t>
  </si>
  <si>
    <t>gdp growth grows at prev yrs growth rate, except US</t>
  </si>
  <si>
    <t xml:space="preserve">WLD_GDP </t>
  </si>
  <si>
    <t>&lt;-- history</t>
  </si>
  <si>
    <t>held constant --&gt;</t>
  </si>
  <si>
    <t>held constant</t>
  </si>
  <si>
    <t>Temporary; based on change in US b/w 2022 and 2021</t>
  </si>
  <si>
    <t>Updated for AEO2025</t>
  </si>
  <si>
    <t>Input_Dev file: L:\mid\Transportation_team\AEO2024\air\AEO2022 - InputDev.xlsx</t>
  </si>
  <si>
    <t>WJI Year-End Data: \\PRDFSH502\nems_archive\trandata\air_data\World Jet Inventory</t>
  </si>
  <si>
    <t>BTS Schedule T2 data: \\PRDFSH502\nems_archive\trandata\air_data\BTS_T2</t>
  </si>
  <si>
    <t>Stock cargo active total history(maxreg*maxatyp,mnumyr)</t>
  </si>
  <si>
    <t>mean reversion</t>
  </si>
  <si>
    <t>long-term trend</t>
  </si>
  <si>
    <t>Source: Oxford, pulled 11/7/2024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</si>
</sst>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"/>
    <numFmt numFmtId="167" formatCode="0.0%"/>
  </numFmts>
  <fonts count="31" x14ac:knownFonts="1">
    <font>
      <sz val="10"/>
      <name val="Courier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name val="Courier"/>
    </font>
    <font>
      <b/>
      <sz val="11"/>
      <name val="Courier"/>
    </font>
    <font>
      <sz val="10"/>
      <name val="Courier"/>
    </font>
    <font>
      <i/>
      <sz val="10"/>
      <name val="Courier"/>
      <family val="3"/>
    </font>
    <font>
      <u/>
      <sz val="10"/>
      <name val="Courier"/>
      <family val="3"/>
    </font>
    <font>
      <b/>
      <sz val="9"/>
      <color indexed="8"/>
      <name val="Tahoma"/>
      <family val="3"/>
    </font>
    <font>
      <sz val="9"/>
      <color indexed="8"/>
      <name val="Tahoma"/>
      <family val="3"/>
    </font>
    <font>
      <b/>
      <i/>
      <sz val="10"/>
      <name val="Courier"/>
      <family val="3"/>
    </font>
    <font>
      <sz val="11"/>
      <color rgb="FF9C65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9">
    <xf numFmtId="0" fontId="0" fillId="0" borderId="0"/>
    <xf numFmtId="9" fontId="1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20" fillId="0" borderId="0"/>
    <xf numFmtId="0" fontId="21" fillId="0" borderId="0"/>
    <xf numFmtId="0" fontId="21" fillId="0" borderId="0"/>
    <xf numFmtId="0" fontId="1" fillId="0" borderId="0"/>
    <xf numFmtId="9" fontId="1" fillId="0" borderId="0" applyFont="0" applyFill="0" applyBorder="0" applyAlignment="0" applyProtection="0"/>
    <xf numFmtId="0" fontId="30" fillId="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4" borderId="10" xfId="0" applyFill="1" applyBorder="1"/>
    <xf numFmtId="0" fontId="0" fillId="0" borderId="11" xfId="0" applyBorder="1"/>
    <xf numFmtId="0" fontId="22" fillId="0" borderId="11" xfId="0" applyFont="1" applyBorder="1"/>
    <xf numFmtId="1" fontId="0" fillId="0" borderId="0" xfId="0" applyNumberFormat="1"/>
    <xf numFmtId="1" fontId="20" fillId="0" borderId="0" xfId="43" applyNumberFormat="1"/>
    <xf numFmtId="0" fontId="0" fillId="34" borderId="0" xfId="0" applyFill="1" applyAlignment="1">
      <alignment horizontal="left"/>
    </xf>
    <xf numFmtId="164" fontId="0" fillId="0" borderId="0" xfId="0" applyNumberFormat="1"/>
    <xf numFmtId="164" fontId="0" fillId="0" borderId="12" xfId="0" applyNumberFormat="1" applyBorder="1"/>
    <xf numFmtId="1" fontId="0" fillId="0" borderId="12" xfId="0" applyNumberFormat="1" applyBorder="1"/>
    <xf numFmtId="9" fontId="19" fillId="0" borderId="0" xfId="1" applyFont="1" applyFill="1"/>
    <xf numFmtId="9" fontId="19" fillId="0" borderId="0" xfId="1" applyFont="1" applyFill="1" applyBorder="1"/>
    <xf numFmtId="9" fontId="19" fillId="0" borderId="12" xfId="1" applyFont="1" applyFill="1" applyBorder="1"/>
    <xf numFmtId="2" fontId="0" fillId="0" borderId="0" xfId="0" applyNumberFormat="1"/>
    <xf numFmtId="0" fontId="0" fillId="0" borderId="13" xfId="0" applyBorder="1"/>
    <xf numFmtId="0" fontId="22" fillId="0" borderId="13" xfId="0" applyFont="1" applyBorder="1"/>
    <xf numFmtId="0" fontId="0" fillId="34" borderId="0" xfId="0" applyFill="1"/>
    <xf numFmtId="0" fontId="0" fillId="0" borderId="12" xfId="0" applyBorder="1"/>
    <xf numFmtId="1" fontId="0" fillId="33" borderId="12" xfId="0" applyNumberFormat="1" applyFill="1" applyBorder="1"/>
    <xf numFmtId="1" fontId="0" fillId="0" borderId="14" xfId="0" applyNumberFormat="1" applyBorder="1"/>
    <xf numFmtId="1" fontId="19" fillId="0" borderId="0" xfId="1" applyNumberFormat="1" applyFont="1" applyFill="1"/>
    <xf numFmtId="1" fontId="19" fillId="0" borderId="0" xfId="1" applyNumberFormat="1" applyFont="1" applyFill="1" applyBorder="1"/>
    <xf numFmtId="9" fontId="19" fillId="0" borderId="14" xfId="1" applyFont="1" applyFill="1" applyBorder="1"/>
    <xf numFmtId="0" fontId="20" fillId="0" borderId="0" xfId="44"/>
    <xf numFmtId="2" fontId="0" fillId="0" borderId="12" xfId="0" applyNumberFormat="1" applyBorder="1"/>
    <xf numFmtId="0" fontId="0" fillId="0" borderId="14" xfId="0" applyBorder="1"/>
    <xf numFmtId="0" fontId="0" fillId="35" borderId="0" xfId="0" applyFill="1"/>
    <xf numFmtId="1" fontId="0" fillId="35" borderId="0" xfId="0" applyNumberFormat="1" applyFill="1"/>
    <xf numFmtId="1" fontId="0" fillId="35" borderId="14" xfId="0" applyNumberFormat="1" applyFill="1" applyBorder="1"/>
    <xf numFmtId="1" fontId="0" fillId="35" borderId="12" xfId="0" applyNumberFormat="1" applyFill="1" applyBorder="1"/>
    <xf numFmtId="0" fontId="19" fillId="0" borderId="0" xfId="46" applyFont="1"/>
    <xf numFmtId="165" fontId="19" fillId="0" borderId="0" xfId="45" applyNumberFormat="1" applyFont="1"/>
    <xf numFmtId="1" fontId="19" fillId="0" borderId="0" xfId="45" applyNumberFormat="1" applyFont="1"/>
    <xf numFmtId="165" fontId="0" fillId="0" borderId="0" xfId="0" applyNumberFormat="1"/>
    <xf numFmtId="165" fontId="0" fillId="0" borderId="14" xfId="0" applyNumberFormat="1" applyBorder="1"/>
    <xf numFmtId="9" fontId="0" fillId="0" borderId="0" xfId="0" applyNumberFormat="1"/>
    <xf numFmtId="0" fontId="0" fillId="34" borderId="14" xfId="0" applyFill="1" applyBorder="1"/>
    <xf numFmtId="2" fontId="0" fillId="36" borderId="0" xfId="0" applyNumberFormat="1" applyFill="1"/>
    <xf numFmtId="2" fontId="0" fillId="33" borderId="0" xfId="0" applyNumberFormat="1" applyFill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36" borderId="12" xfId="0" applyNumberFormat="1" applyFill="1" applyBorder="1"/>
    <xf numFmtId="2" fontId="0" fillId="36" borderId="14" xfId="0" applyNumberFormat="1" applyFill="1" applyBorder="1"/>
    <xf numFmtId="2" fontId="0" fillId="37" borderId="0" xfId="0" applyNumberFormat="1" applyFill="1"/>
    <xf numFmtId="2" fontId="0" fillId="37" borderId="12" xfId="0" applyNumberFormat="1" applyFill="1" applyBorder="1"/>
    <xf numFmtId="2" fontId="0" fillId="37" borderId="14" xfId="0" applyNumberFormat="1" applyFill="1" applyBorder="1"/>
    <xf numFmtId="2" fontId="0" fillId="0" borderId="18" xfId="0" applyNumberFormat="1" applyBorder="1"/>
    <xf numFmtId="2" fontId="0" fillId="0" borderId="13" xfId="0" applyNumberFormat="1" applyBorder="1"/>
    <xf numFmtId="0" fontId="0" fillId="38" borderId="0" xfId="0" applyFill="1"/>
    <xf numFmtId="166" fontId="0" fillId="0" borderId="0" xfId="0" applyNumberFormat="1"/>
    <xf numFmtId="0" fontId="23" fillId="0" borderId="0" xfId="0" applyFont="1"/>
    <xf numFmtId="0" fontId="24" fillId="0" borderId="0" xfId="0" applyFont="1"/>
    <xf numFmtId="165" fontId="0" fillId="34" borderId="10" xfId="0" applyNumberFormat="1" applyFill="1" applyBorder="1"/>
    <xf numFmtId="2" fontId="19" fillId="0" borderId="0" xfId="1" applyNumberFormat="1" applyFont="1" applyFill="1"/>
    <xf numFmtId="0" fontId="0" fillId="0" borderId="19" xfId="0" applyBorder="1"/>
    <xf numFmtId="165" fontId="0" fillId="0" borderId="20" xfId="0" applyNumberFormat="1" applyBorder="1"/>
    <xf numFmtId="165" fontId="0" fillId="0" borderId="21" xfId="0" applyNumberFormat="1" applyBorder="1"/>
    <xf numFmtId="167" fontId="19" fillId="0" borderId="0" xfId="1" applyNumberFormat="1" applyFont="1" applyFill="1"/>
    <xf numFmtId="0" fontId="0" fillId="39" borderId="0" xfId="0" applyFill="1"/>
    <xf numFmtId="2" fontId="0" fillId="39" borderId="22" xfId="0" applyNumberFormat="1" applyFill="1" applyBorder="1"/>
    <xf numFmtId="2" fontId="0" fillId="39" borderId="14" xfId="0" applyNumberFormat="1" applyFill="1" applyBorder="1"/>
    <xf numFmtId="2" fontId="0" fillId="39" borderId="0" xfId="0" applyNumberFormat="1" applyFill="1"/>
    <xf numFmtId="0" fontId="0" fillId="0" borderId="14" xfId="0" applyBorder="1" applyAlignment="1">
      <alignment horizontal="right"/>
    </xf>
    <xf numFmtId="0" fontId="0" fillId="40" borderId="0" xfId="0" applyFill="1"/>
    <xf numFmtId="1" fontId="19" fillId="0" borderId="14" xfId="45" applyNumberFormat="1" applyFont="1" applyBorder="1"/>
    <xf numFmtId="9" fontId="1" fillId="0" borderId="0" xfId="48" applyFont="1" applyBorder="1"/>
  </cellXfs>
  <cellStyles count="69">
    <cellStyle name="20% - Accent1" xfId="20" builtinId="30" customBuiltin="1"/>
    <cellStyle name="20% - Accent1 2" xfId="51" xr:uid="{32C2BE41-155A-416E-876B-6C5459BB8AE0}"/>
    <cellStyle name="20% - Accent2" xfId="24" builtinId="34" customBuiltin="1"/>
    <cellStyle name="20% - Accent2 2" xfId="54" xr:uid="{4D2C9734-A1E5-4D58-ADFA-997D3877981B}"/>
    <cellStyle name="20% - Accent3" xfId="28" builtinId="38" customBuiltin="1"/>
    <cellStyle name="20% - Accent3 2" xfId="57" xr:uid="{6214BC73-8F6C-4480-A056-BF63036A8834}"/>
    <cellStyle name="20% - Accent4" xfId="32" builtinId="42" customBuiltin="1"/>
    <cellStyle name="20% - Accent4 2" xfId="60" xr:uid="{5F896366-3FB8-4FF6-B3AE-30F5BA6F1E8C}"/>
    <cellStyle name="20% - Accent5" xfId="36" builtinId="46" customBuiltin="1"/>
    <cellStyle name="20% - Accent5 2" xfId="63" xr:uid="{3AF3E67B-907C-4104-B2D3-5A966AB510AB}"/>
    <cellStyle name="20% - Accent6" xfId="40" builtinId="50" customBuiltin="1"/>
    <cellStyle name="20% - Accent6 2" xfId="66" xr:uid="{B22851DF-95B1-4E79-80B2-87B67980529F}"/>
    <cellStyle name="40% - Accent1" xfId="21" builtinId="31" customBuiltin="1"/>
    <cellStyle name="40% - Accent1 2" xfId="52" xr:uid="{65E44005-B605-4035-AB90-BA6100B099DD}"/>
    <cellStyle name="40% - Accent2" xfId="25" builtinId="35" customBuiltin="1"/>
    <cellStyle name="40% - Accent2 2" xfId="55" xr:uid="{E396D5C9-CA2A-4DDE-A628-202DA0AB3303}"/>
    <cellStyle name="40% - Accent3" xfId="29" builtinId="39" customBuiltin="1"/>
    <cellStyle name="40% - Accent3 2" xfId="58" xr:uid="{8A4FF576-7EBC-4CD4-9D68-8BABFDACCADA}"/>
    <cellStyle name="40% - Accent4" xfId="33" builtinId="43" customBuiltin="1"/>
    <cellStyle name="40% - Accent4 2" xfId="61" xr:uid="{C8DE5036-F367-4F4D-8681-6592732E3B43}"/>
    <cellStyle name="40% - Accent5" xfId="37" builtinId="47" customBuiltin="1"/>
    <cellStyle name="40% - Accent5 2" xfId="64" xr:uid="{60564C0D-041B-4DF2-8B8D-8706DFDD78DC}"/>
    <cellStyle name="40% - Accent6" xfId="41" builtinId="51" customBuiltin="1"/>
    <cellStyle name="40% - Accent6 2" xfId="67" xr:uid="{8C5A184E-D8A2-45D8-BEF0-D4C02D9E5A22}"/>
    <cellStyle name="60% - Accent1" xfId="22" builtinId="32" customBuiltin="1"/>
    <cellStyle name="60% - Accent1 2" xfId="53" xr:uid="{AF853AF7-D034-4D5C-BA2C-C664C0B49BF2}"/>
    <cellStyle name="60% - Accent2" xfId="26" builtinId="36" customBuiltin="1"/>
    <cellStyle name="60% - Accent2 2" xfId="56" xr:uid="{11A5BE20-E503-4433-B78B-833813F7AE51}"/>
    <cellStyle name="60% - Accent3" xfId="30" builtinId="40" customBuiltin="1"/>
    <cellStyle name="60% - Accent3 2" xfId="59" xr:uid="{1F45560E-4506-4446-A195-84404F401A62}"/>
    <cellStyle name="60% - Accent4" xfId="34" builtinId="44" customBuiltin="1"/>
    <cellStyle name="60% - Accent4 2" xfId="62" xr:uid="{C9F52042-C4CA-413C-8B4E-002061DBEA4C}"/>
    <cellStyle name="60% - Accent5" xfId="38" builtinId="48" customBuiltin="1"/>
    <cellStyle name="60% - Accent5 2" xfId="65" xr:uid="{470A1A81-ACD7-48AC-8899-19E5F55B10B8}"/>
    <cellStyle name="60% - Accent6" xfId="42" builtinId="52" customBuiltin="1"/>
    <cellStyle name="60% - Accent6 2" xfId="68" xr:uid="{B5530194-363B-4ADB-AF44-7F2C5BC1034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9" xr:uid="{AFD664C1-39DB-4FBF-AA69-9236F18FE689}"/>
    <cellStyle name="Normal" xfId="0" builtinId="0" customBuiltin="1"/>
    <cellStyle name="Normal 2" xfId="47" xr:uid="{34F6F387-6883-48AA-A8F0-C8E4897FF48A}"/>
    <cellStyle name="Normal 2 2" xfId="43" xr:uid="{00000000-0005-0000-0000-000025000000}"/>
    <cellStyle name="Normal 3" xfId="44" xr:uid="{00000000-0005-0000-0000-000026000000}"/>
    <cellStyle name="Normal_trnair_4" xfId="45" xr:uid="{00000000-0005-0000-0000-000027000000}"/>
    <cellStyle name="Normal_trnair_5" xfId="46" xr:uid="{00000000-0005-0000-0000-000028000000}"/>
    <cellStyle name="Note" xfId="16" builtinId="10" customBuiltin="1"/>
    <cellStyle name="Note 2" xfId="50" xr:uid="{12311E3B-473C-46CD-B33E-0ECDD7261254}"/>
    <cellStyle name="Output" xfId="11" builtinId="21" customBuiltin="1"/>
    <cellStyle name="Percent" xfId="1" builtinId="5" customBuiltin="1"/>
    <cellStyle name="Percent 2" xfId="48" xr:uid="{18007402-129C-4BF7-A16B-F1CE92C777D6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BI1569"/>
  <sheetViews>
    <sheetView showGridLines="0" tabSelected="1" topLeftCell="A1065" zoomScale="85" zoomScaleNormal="85" workbookViewId="0">
      <pane xSplit="1" topLeftCell="R1" activePane="topRight" state="frozen"/>
      <selection activeCell="A23" sqref="A23"/>
      <selection pane="topRight" activeCell="AE1087" sqref="AE1087"/>
    </sheetView>
  </sheetViews>
  <sheetFormatPr defaultColWidth="9" defaultRowHeight="12" customHeight="1" x14ac:dyDescent="0.2"/>
  <cols>
    <col min="1" max="1" width="16.77734375" customWidth="1"/>
    <col min="2" max="2" width="16.21875" customWidth="1"/>
    <col min="3" max="13" width="11.77734375" customWidth="1"/>
    <col min="14" max="14" width="11.77734375" bestFit="1" customWidth="1"/>
    <col min="15" max="57" width="11.77734375" customWidth="1"/>
    <col min="58" max="58" width="8.77734375" customWidth="1"/>
    <col min="59" max="59" width="15.33203125" customWidth="1"/>
    <col min="60" max="68" width="8.77734375" customWidth="1"/>
    <col min="69" max="182" width="7.77734375" customWidth="1"/>
  </cols>
  <sheetData>
    <row r="1" spans="1:52" ht="12" customHeight="1" x14ac:dyDescent="0.2">
      <c r="A1" t="s">
        <v>0</v>
      </c>
      <c r="B1" s="1"/>
    </row>
    <row r="2" spans="1:52" ht="12" customHeight="1" x14ac:dyDescent="0.2">
      <c r="B2" s="1"/>
    </row>
    <row r="3" spans="1:52" ht="12" customHeight="1" x14ac:dyDescent="0.2">
      <c r="A3" t="s">
        <v>1</v>
      </c>
      <c r="B3" s="1"/>
    </row>
    <row r="4" spans="1:52" ht="12" customHeight="1" x14ac:dyDescent="0.2">
      <c r="A4" s="2" t="s">
        <v>360</v>
      </c>
      <c r="B4" s="3"/>
      <c r="C4" s="2"/>
      <c r="D4" s="2"/>
      <c r="E4" s="2"/>
      <c r="F4" s="2"/>
      <c r="L4" s="4"/>
      <c r="M4" t="s">
        <v>357</v>
      </c>
    </row>
    <row r="5" spans="1:52" ht="12" customHeight="1" x14ac:dyDescent="0.2">
      <c r="A5" s="2" t="s">
        <v>358</v>
      </c>
      <c r="B5" s="3"/>
      <c r="C5" s="2"/>
      <c r="D5" s="2"/>
      <c r="E5" s="2"/>
      <c r="F5" s="2"/>
    </row>
    <row r="6" spans="1:52" ht="12" customHeight="1" x14ac:dyDescent="0.2">
      <c r="A6" s="2" t="s">
        <v>359</v>
      </c>
      <c r="B6" s="3"/>
      <c r="C6" s="2"/>
      <c r="D6" s="2"/>
      <c r="E6" s="2"/>
      <c r="F6" s="2"/>
    </row>
    <row r="8" spans="1:52" s="5" customFormat="1" ht="12" customHeight="1" thickBot="1" x14ac:dyDescent="0.3">
      <c r="A8" s="6" t="s">
        <v>2</v>
      </c>
    </row>
    <row r="9" spans="1:52" ht="12" customHeight="1" thickTop="1" x14ac:dyDescent="0.2">
      <c r="A9" t="s">
        <v>3</v>
      </c>
    </row>
    <row r="10" spans="1:52" ht="12" customHeight="1" x14ac:dyDescent="0.2">
      <c r="A10" s="4" t="s">
        <v>4</v>
      </c>
      <c r="B10">
        <v>1995</v>
      </c>
      <c r="C10">
        <v>1996</v>
      </c>
      <c r="D10">
        <v>1997</v>
      </c>
      <c r="E10">
        <v>1998</v>
      </c>
      <c r="F10">
        <v>1999</v>
      </c>
      <c r="G10">
        <v>2000</v>
      </c>
      <c r="H10">
        <v>2001</v>
      </c>
      <c r="I10">
        <v>2002</v>
      </c>
      <c r="J10">
        <v>2003</v>
      </c>
      <c r="K10">
        <v>2004</v>
      </c>
      <c r="L10">
        <v>2005</v>
      </c>
      <c r="M10">
        <v>2006</v>
      </c>
      <c r="N10">
        <v>2007</v>
      </c>
      <c r="O10">
        <v>2008</v>
      </c>
      <c r="P10">
        <v>2009</v>
      </c>
      <c r="Q10">
        <v>2010</v>
      </c>
      <c r="R10">
        <v>2011</v>
      </c>
      <c r="S10">
        <v>2012</v>
      </c>
      <c r="T10">
        <v>2013</v>
      </c>
      <c r="U10">
        <v>2014</v>
      </c>
      <c r="V10">
        <v>2015</v>
      </c>
      <c r="W10">
        <v>2016</v>
      </c>
      <c r="X10">
        <v>2017</v>
      </c>
      <c r="Y10">
        <v>2018</v>
      </c>
      <c r="Z10">
        <v>2019</v>
      </c>
      <c r="AA10">
        <v>2020</v>
      </c>
      <c r="AB10">
        <v>2021</v>
      </c>
      <c r="AC10">
        <v>2022</v>
      </c>
    </row>
    <row r="11" spans="1:52" ht="12" customHeight="1" x14ac:dyDescent="0.3">
      <c r="A11" t="s">
        <v>5</v>
      </c>
      <c r="B11" s="7">
        <v>381.02416475962133</v>
      </c>
      <c r="C11" s="7">
        <v>414.18615527675587</v>
      </c>
      <c r="D11" s="7">
        <v>433.72607732757785</v>
      </c>
      <c r="E11" s="7">
        <v>443.20116306882659</v>
      </c>
      <c r="F11" s="7">
        <v>471.3766665315465</v>
      </c>
      <c r="G11" s="7">
        <v>498.72175156529369</v>
      </c>
      <c r="H11" s="7">
        <v>471.50933871851379</v>
      </c>
      <c r="I11" s="7">
        <v>460.96522978874077</v>
      </c>
      <c r="J11" s="7">
        <v>472.02276793967752</v>
      </c>
      <c r="K11" s="7">
        <v>534.84206085556502</v>
      </c>
      <c r="L11" s="7">
        <v>565.32869151436455</v>
      </c>
      <c r="M11" s="7">
        <v>569.91466395960163</v>
      </c>
      <c r="N11" s="7">
        <v>583.85393602991792</v>
      </c>
      <c r="O11" s="7">
        <v>551.74957093627813</v>
      </c>
      <c r="P11" s="7">
        <v>532.66079979602307</v>
      </c>
      <c r="Q11" s="7">
        <v>554.25817030025883</v>
      </c>
      <c r="R11" s="7">
        <v>564.46231930379861</v>
      </c>
      <c r="S11" s="7">
        <v>569.44104428624269</v>
      </c>
      <c r="T11" s="7">
        <v>580.18748195365913</v>
      </c>
      <c r="U11" s="7">
        <v>597.50352759758971</v>
      </c>
      <c r="V11" s="7">
        <v>632.62936664587812</v>
      </c>
      <c r="W11" s="7">
        <v>661.75977739666121</v>
      </c>
      <c r="X11" s="7">
        <v>685.64138113814317</v>
      </c>
      <c r="Y11" s="7">
        <v>722.7605586347014</v>
      </c>
      <c r="Z11" s="7">
        <v>754.96897213518309</v>
      </c>
      <c r="AA11" s="7">
        <v>305.15040397762579</v>
      </c>
      <c r="AB11" s="7">
        <v>574.07271597265378</v>
      </c>
      <c r="AC11" s="7">
        <v>709.64698570540713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ht="12" customHeight="1" x14ac:dyDescent="0.3">
      <c r="A12" t="s">
        <v>6</v>
      </c>
      <c r="B12" s="7">
        <v>10.783067143567434</v>
      </c>
      <c r="C12" s="7">
        <v>11.934584101305159</v>
      </c>
      <c r="D12" s="7">
        <v>12.981357513983841</v>
      </c>
      <c r="E12" s="7">
        <v>13.48770454630205</v>
      </c>
      <c r="F12" s="7">
        <v>13.39100229832194</v>
      </c>
      <c r="G12" s="7">
        <v>14.121443449347421</v>
      </c>
      <c r="H12" s="7">
        <v>13.88035738781852</v>
      </c>
      <c r="I12" s="7">
        <v>13.195809417650715</v>
      </c>
      <c r="J12" s="7">
        <v>19.583993442510874</v>
      </c>
      <c r="K12" s="7">
        <v>22.27037337973897</v>
      </c>
      <c r="L12" s="7">
        <v>24.222186909260412</v>
      </c>
      <c r="M12" s="7">
        <v>24.004829042883781</v>
      </c>
      <c r="N12" s="7">
        <v>28.765652299564945</v>
      </c>
      <c r="O12" s="7">
        <v>29.668201213175887</v>
      </c>
      <c r="P12" s="7">
        <v>28.793560192666252</v>
      </c>
      <c r="Q12" s="7">
        <v>29.034007460534497</v>
      </c>
      <c r="R12" s="7">
        <v>30.093080160969546</v>
      </c>
      <c r="S12" s="7">
        <v>30.655398991920446</v>
      </c>
      <c r="T12" s="7">
        <v>29.927021357986327</v>
      </c>
      <c r="U12" s="7">
        <v>31.185343019266625</v>
      </c>
      <c r="V12" s="7">
        <v>32.793691609695465</v>
      </c>
      <c r="W12" s="7">
        <v>34.028379241765073</v>
      </c>
      <c r="X12" s="7">
        <v>35.826392890615288</v>
      </c>
      <c r="Y12" s="7">
        <v>36.028132952324079</v>
      </c>
      <c r="Z12" s="7">
        <v>37</v>
      </c>
      <c r="AA12" s="7">
        <v>12.281541330018644</v>
      </c>
      <c r="AB12" s="7">
        <v>15.286513362336855</v>
      </c>
      <c r="AC12" s="7">
        <v>30.482908638906153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ht="12" customHeight="1" x14ac:dyDescent="0.3">
      <c r="A13" t="s">
        <v>7</v>
      </c>
      <c r="B13" s="7">
        <v>7.2226933304229783</v>
      </c>
      <c r="C13" s="7">
        <v>6.5919537942719781</v>
      </c>
      <c r="D13" s="7">
        <v>7.5466349571813689</v>
      </c>
      <c r="E13" s="7">
        <v>8.8535308148461933</v>
      </c>
      <c r="F13" s="7">
        <v>10.035149659448944</v>
      </c>
      <c r="G13" s="7">
        <v>9.4005067432692346</v>
      </c>
      <c r="H13" s="7">
        <v>9.2762440771768748</v>
      </c>
      <c r="I13" s="7">
        <v>9.2691295269867133</v>
      </c>
      <c r="J13" s="7">
        <v>9.5730555734778573</v>
      </c>
      <c r="K13" s="7">
        <v>10.177954627570742</v>
      </c>
      <c r="L13" s="7">
        <v>10.193905662255023</v>
      </c>
      <c r="M13" s="7">
        <v>10.432649428111446</v>
      </c>
      <c r="N13" s="7">
        <v>9.9947948029236109</v>
      </c>
      <c r="O13" s="7">
        <v>11.003751781431864</v>
      </c>
      <c r="P13" s="7">
        <v>10.812390582818592</v>
      </c>
      <c r="Q13" s="7">
        <v>12.001488526800109</v>
      </c>
      <c r="R13" s="7">
        <v>15.720724256569031</v>
      </c>
      <c r="S13" s="7">
        <v>17.304178278714133</v>
      </c>
      <c r="T13" s="7">
        <v>19.247148462527552</v>
      </c>
      <c r="U13" s="7">
        <v>20.001108187760661</v>
      </c>
      <c r="V13" s="7">
        <v>22.457066074440693</v>
      </c>
      <c r="W13" s="7">
        <v>27.048376514554427</v>
      </c>
      <c r="X13" s="7">
        <v>30.005950080538621</v>
      </c>
      <c r="Y13" s="7">
        <v>32.937428223914047</v>
      </c>
      <c r="Z13" s="7">
        <v>36.011881358810932</v>
      </c>
      <c r="AA13" s="7">
        <v>20.687383467992547</v>
      </c>
      <c r="AB13" s="7">
        <v>32.745804847731513</v>
      </c>
      <c r="AC13" s="7">
        <v>41.561839651957733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ht="12" customHeight="1" x14ac:dyDescent="0.3">
      <c r="A14" t="s">
        <v>8</v>
      </c>
      <c r="B14" s="7">
        <v>125.61448071600367</v>
      </c>
      <c r="C14" s="7">
        <v>135.5824798307419</v>
      </c>
      <c r="D14" s="7">
        <v>149.35784964820581</v>
      </c>
      <c r="E14" s="7">
        <v>168.61536883641372</v>
      </c>
      <c r="F14" s="7">
        <v>181.4385397299877</v>
      </c>
      <c r="G14" s="7">
        <v>202.48678367620181</v>
      </c>
      <c r="H14" s="7">
        <v>208.62058429941288</v>
      </c>
      <c r="I14" s="7">
        <v>203.99420973266371</v>
      </c>
      <c r="J14" s="7">
        <v>224.7827791106134</v>
      </c>
      <c r="K14" s="7">
        <v>251.25788656945878</v>
      </c>
      <c r="L14" s="7">
        <v>277.92593165606809</v>
      </c>
      <c r="M14" s="7">
        <v>298.12365249398545</v>
      </c>
      <c r="N14" s="7">
        <v>330.89447434553654</v>
      </c>
      <c r="O14" s="7">
        <v>348.20080584379599</v>
      </c>
      <c r="P14" s="7">
        <v>336.357175947744</v>
      </c>
      <c r="Q14" s="7">
        <v>368.41352140818509</v>
      </c>
      <c r="R14" s="7">
        <v>391.5346161889355</v>
      </c>
      <c r="S14" s="7">
        <v>402.98437733917956</v>
      </c>
      <c r="T14" s="7">
        <v>430.185574884282</v>
      </c>
      <c r="U14" s="7">
        <v>462.47009647159143</v>
      </c>
      <c r="V14" s="7">
        <v>501.68405525494791</v>
      </c>
      <c r="W14" s="7">
        <v>538.15422204639583</v>
      </c>
      <c r="X14" s="7">
        <v>604.48148764195287</v>
      </c>
      <c r="Y14" s="7">
        <v>633.65388406422358</v>
      </c>
      <c r="Z14" s="7">
        <v>687.1341684203411</v>
      </c>
      <c r="AA14" s="7">
        <v>222.63528083649481</v>
      </c>
      <c r="AB14" s="7">
        <v>292.7351618589542</v>
      </c>
      <c r="AC14" s="7">
        <v>629.90602048607479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ht="12" customHeight="1" x14ac:dyDescent="0.3">
      <c r="A15" t="s">
        <v>9</v>
      </c>
      <c r="B15" s="7">
        <v>40.907444538844004</v>
      </c>
      <c r="C15" s="7">
        <v>43.177214697327528</v>
      </c>
      <c r="D15" s="7">
        <v>45.632631871348664</v>
      </c>
      <c r="E15" s="7">
        <v>47.129458201367314</v>
      </c>
      <c r="F15" s="7">
        <v>48.651705773151029</v>
      </c>
      <c r="G15" s="7">
        <v>49.004068520198885</v>
      </c>
      <c r="H15" s="7">
        <v>50.369945886264766</v>
      </c>
      <c r="I15" s="7">
        <v>51.714185533250465</v>
      </c>
      <c r="J15" s="7">
        <v>51.204202132380367</v>
      </c>
      <c r="K15" s="7">
        <v>50.428545755748914</v>
      </c>
      <c r="L15" s="7">
        <v>51.09761837103791</v>
      </c>
      <c r="M15" s="7">
        <v>52.736650130515848</v>
      </c>
      <c r="N15" s="7">
        <v>52.020296323803606</v>
      </c>
      <c r="O15" s="7">
        <v>49.862069916096956</v>
      </c>
      <c r="P15" s="7">
        <v>46.088442035425729</v>
      </c>
      <c r="Q15" s="7">
        <v>45.612019288999377</v>
      </c>
      <c r="R15" s="7">
        <v>43.651833948415167</v>
      </c>
      <c r="S15" s="7">
        <v>48.381023313859544</v>
      </c>
      <c r="T15" s="7">
        <v>53.139737061528905</v>
      </c>
      <c r="U15" s="7">
        <v>53.552190270975757</v>
      </c>
      <c r="V15" s="7">
        <v>54.639185175264139</v>
      </c>
      <c r="W15" s="7">
        <v>55.679925419515229</v>
      </c>
      <c r="X15" s="7">
        <v>58.433188315724053</v>
      </c>
      <c r="Y15" s="7">
        <v>59.285520198881287</v>
      </c>
      <c r="Z15" s="7">
        <v>62</v>
      </c>
      <c r="AA15" s="7">
        <v>27.152268489745182</v>
      </c>
      <c r="AB15" s="7">
        <v>25.637041640770665</v>
      </c>
      <c r="AC15" s="7">
        <v>47.058421379738967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ht="12" customHeight="1" x14ac:dyDescent="0.3">
      <c r="A16" t="s">
        <v>10</v>
      </c>
      <c r="B16" s="7">
        <v>24.235169339494199</v>
      </c>
      <c r="C16" s="7">
        <v>23.908747476846592</v>
      </c>
      <c r="D16" s="7">
        <v>24.578455703695568</v>
      </c>
      <c r="E16" s="7">
        <v>24.044586456622209</v>
      </c>
      <c r="F16" s="7">
        <v>25.983956091514088</v>
      </c>
      <c r="G16" s="7">
        <v>26.973246056709861</v>
      </c>
      <c r="H16" s="7">
        <v>28.139318123832297</v>
      </c>
      <c r="I16" s="7">
        <v>26.987292281358069</v>
      </c>
      <c r="J16" s="7">
        <v>34.228711902576855</v>
      </c>
      <c r="K16" s="7">
        <v>34.524411415032439</v>
      </c>
      <c r="L16" s="7">
        <v>37.710730338923689</v>
      </c>
      <c r="M16" s="7">
        <v>43.319826599333886</v>
      </c>
      <c r="N16" s="7">
        <v>40.704549726742208</v>
      </c>
      <c r="O16" s="7">
        <v>45.063175694760254</v>
      </c>
      <c r="P16" s="7">
        <v>48.17057653627672</v>
      </c>
      <c r="Q16" s="7">
        <v>49.722694702503553</v>
      </c>
      <c r="R16" s="7">
        <v>42.930979317998549</v>
      </c>
      <c r="S16" s="7">
        <v>51.483267476406773</v>
      </c>
      <c r="T16" s="7">
        <v>52.286432029984311</v>
      </c>
      <c r="U16" s="7">
        <v>52.877104413407864</v>
      </c>
      <c r="V16" s="7">
        <v>55.421330348207547</v>
      </c>
      <c r="W16" s="7">
        <v>57.691861906199591</v>
      </c>
      <c r="X16" s="7">
        <v>58.515710045173876</v>
      </c>
      <c r="Y16" s="7">
        <v>59.175756602655781</v>
      </c>
      <c r="Z16" s="7">
        <v>59.701064593055456</v>
      </c>
      <c r="AA16" s="7">
        <v>21.531018847988573</v>
      </c>
      <c r="AB16" s="7">
        <v>20.707752564939931</v>
      </c>
      <c r="AC16" s="7">
        <v>46.236638765400862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ht="12" customHeight="1" x14ac:dyDescent="0.3">
      <c r="A17" t="s">
        <v>11</v>
      </c>
      <c r="B17" s="7">
        <v>4.8935423448532287</v>
      </c>
      <c r="C17" s="7">
        <v>5.2412450452626294</v>
      </c>
      <c r="D17" s="7">
        <v>6.1782745639937158</v>
      </c>
      <c r="E17" s="7">
        <v>4.6137102239240644</v>
      </c>
      <c r="F17" s="7">
        <v>4.8961434950274176</v>
      </c>
      <c r="G17" s="7">
        <v>5.449768186249786</v>
      </c>
      <c r="H17" s="7">
        <v>5.071770865419877</v>
      </c>
      <c r="I17" s="7">
        <v>5.190649655324604</v>
      </c>
      <c r="J17" s="7">
        <v>5.2519576423709706</v>
      </c>
      <c r="K17" s="7">
        <v>4.7736463584177224</v>
      </c>
      <c r="L17" s="7">
        <v>4.6028793124485041</v>
      </c>
      <c r="M17" s="7">
        <v>4.634775008136681</v>
      </c>
      <c r="N17" s="7">
        <v>4.3756660494223443</v>
      </c>
      <c r="O17" s="7">
        <v>4.0181822905527689</v>
      </c>
      <c r="P17" s="7">
        <v>3.7543025560105763</v>
      </c>
      <c r="Q17" s="7">
        <v>3.2144010469217719</v>
      </c>
      <c r="R17" s="7">
        <v>3.6307396379914287</v>
      </c>
      <c r="S17" s="7">
        <v>3.0296599524096219</v>
      </c>
      <c r="T17" s="7">
        <v>3.0585395804660629</v>
      </c>
      <c r="U17" s="7">
        <v>4.11539077222504</v>
      </c>
      <c r="V17" s="7">
        <v>4.5909551178945041</v>
      </c>
      <c r="W17" s="7">
        <v>7.490550902741731</v>
      </c>
      <c r="X17" s="7">
        <v>7.6995763005426614</v>
      </c>
      <c r="Y17" s="7">
        <v>7.4661952158583977</v>
      </c>
      <c r="Z17" s="7">
        <v>8.0043603164778467</v>
      </c>
      <c r="AA17" s="7">
        <v>5.0118085767557483</v>
      </c>
      <c r="AB17" s="7">
        <v>7.9080174021131153</v>
      </c>
      <c r="AC17" s="7">
        <v>8.602237414543195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ht="12" customHeight="1" x14ac:dyDescent="0.3">
      <c r="A18" t="s">
        <v>12</v>
      </c>
      <c r="B18" s="7">
        <v>37.202751991601495</v>
      </c>
      <c r="C18" s="7">
        <v>30.447100808656522</v>
      </c>
      <c r="D18" s="7">
        <v>26.675948617169894</v>
      </c>
      <c r="E18" s="7">
        <v>18.903688775151267</v>
      </c>
      <c r="F18" s="7">
        <v>19.680584548900502</v>
      </c>
      <c r="G18" s="7">
        <v>17.24678850151378</v>
      </c>
      <c r="H18" s="7">
        <v>19.505745222145677</v>
      </c>
      <c r="I18" s="7">
        <v>20.566519836591077</v>
      </c>
      <c r="J18" s="7">
        <v>22.500046525566937</v>
      </c>
      <c r="K18" s="7">
        <v>24.920565446383318</v>
      </c>
      <c r="L18" s="7">
        <v>25.505278799234361</v>
      </c>
      <c r="M18" s="7">
        <v>27.104273992415905</v>
      </c>
      <c r="N18" s="7">
        <v>27.377543241642563</v>
      </c>
      <c r="O18" s="7">
        <v>33.606412765355614</v>
      </c>
      <c r="P18" s="7">
        <v>35.9421949596464</v>
      </c>
      <c r="Q18" s="7">
        <v>41.624162656351757</v>
      </c>
      <c r="R18" s="7">
        <v>48.239720659352415</v>
      </c>
      <c r="S18" s="7">
        <v>47.954402419264476</v>
      </c>
      <c r="T18" s="7">
        <v>51.51269292359445</v>
      </c>
      <c r="U18" s="7">
        <v>52.943234165345537</v>
      </c>
      <c r="V18" s="7">
        <v>61.100096475333359</v>
      </c>
      <c r="W18" s="7">
        <v>62.658730965342123</v>
      </c>
      <c r="X18" s="7">
        <v>69.496156404213608</v>
      </c>
      <c r="Y18" s="7">
        <v>76.863621071781125</v>
      </c>
      <c r="Z18" s="7">
        <v>83.209962672873289</v>
      </c>
      <c r="AA18" s="7">
        <v>65.385332504661278</v>
      </c>
      <c r="AB18" s="7">
        <v>103.40770665009323</v>
      </c>
      <c r="AC18" s="7">
        <v>75.533871970167809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ht="12" customHeight="1" x14ac:dyDescent="0.3">
      <c r="A19" t="s">
        <v>13</v>
      </c>
      <c r="B19" s="7">
        <v>0.34823039959810387</v>
      </c>
      <c r="C19" s="7">
        <v>0.60213964062474823</v>
      </c>
      <c r="D19" s="7">
        <v>0.40508859269888448</v>
      </c>
      <c r="E19" s="7">
        <v>7.8457701647487426</v>
      </c>
      <c r="F19" s="7">
        <v>1.9849294395756183</v>
      </c>
      <c r="G19" s="7">
        <v>1.4430055112395446</v>
      </c>
      <c r="H19" s="7">
        <v>1.9948959437371614</v>
      </c>
      <c r="I19" s="7">
        <v>2.0641748702534835</v>
      </c>
      <c r="J19" s="7">
        <v>3.8592788944700542</v>
      </c>
      <c r="K19" s="7">
        <v>4.2970771557967957</v>
      </c>
      <c r="L19" s="7">
        <v>4.5869374205437676</v>
      </c>
      <c r="M19" s="7">
        <v>4.4072063214286192</v>
      </c>
      <c r="N19" s="7">
        <v>4.8480781062989289</v>
      </c>
      <c r="O19" s="7">
        <v>5.7150951899667284</v>
      </c>
      <c r="P19" s="7">
        <v>4.7765230165471344</v>
      </c>
      <c r="Q19" s="7">
        <v>5.2026368165581571</v>
      </c>
      <c r="R19" s="7">
        <v>7.3361435869834022</v>
      </c>
      <c r="S19" s="7">
        <v>7.701250369730916</v>
      </c>
      <c r="T19" s="7">
        <v>7.9054231520634044</v>
      </c>
      <c r="U19" s="7">
        <v>8.0829186963268249</v>
      </c>
      <c r="V19" s="7">
        <v>7.9107195458236008</v>
      </c>
      <c r="W19" s="7">
        <v>10.297397403328532</v>
      </c>
      <c r="X19" s="7">
        <v>11.325875555097793</v>
      </c>
      <c r="Y19" s="7">
        <v>13.87023322492648</v>
      </c>
      <c r="Z19" s="7">
        <v>11.051963076433559</v>
      </c>
      <c r="AA19" s="7">
        <v>9.1983712431584426</v>
      </c>
      <c r="AB19" s="7">
        <v>8.9389334286192863</v>
      </c>
      <c r="AC19" s="7">
        <v>10.108599432420661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ht="12" customHeight="1" x14ac:dyDescent="0.3">
      <c r="A20" t="s">
        <v>14</v>
      </c>
      <c r="B20" s="7">
        <v>31.293669106985071</v>
      </c>
      <c r="C20" s="7">
        <v>33.889655135465254</v>
      </c>
      <c r="D20" s="7">
        <v>35.573033566459102</v>
      </c>
      <c r="E20" s="7">
        <v>36.480664435264714</v>
      </c>
      <c r="F20" s="7">
        <v>37.759683671992804</v>
      </c>
      <c r="G20" s="7">
        <v>42.755074951974862</v>
      </c>
      <c r="H20" s="7">
        <v>51.117845184796444</v>
      </c>
      <c r="I20" s="7">
        <v>59.152773424874155</v>
      </c>
      <c r="J20" s="7">
        <v>62.612055717652225</v>
      </c>
      <c r="K20" s="7">
        <v>85.549145435735227</v>
      </c>
      <c r="L20" s="7">
        <v>97.94757231079501</v>
      </c>
      <c r="M20" s="7">
        <v>114.0655272480617</v>
      </c>
      <c r="N20" s="7">
        <v>133.86650423744962</v>
      </c>
      <c r="O20" s="7">
        <v>142.53059046766398</v>
      </c>
      <c r="P20" s="7">
        <v>174.19789759007989</v>
      </c>
      <c r="Q20" s="7">
        <v>203.33420074600383</v>
      </c>
      <c r="R20" s="7">
        <v>227.5744032332619</v>
      </c>
      <c r="S20" s="7">
        <v>250.58601405177973</v>
      </c>
      <c r="T20" s="7">
        <v>280.38738736333516</v>
      </c>
      <c r="U20" s="7">
        <v>311.9628439996323</v>
      </c>
      <c r="V20" s="7">
        <v>345.88730913921688</v>
      </c>
      <c r="W20" s="7">
        <v>386.56145167864116</v>
      </c>
      <c r="X20" s="7">
        <v>437.45834587955778</v>
      </c>
      <c r="Y20" s="7">
        <v>490.55824085642274</v>
      </c>
      <c r="Z20" s="7">
        <v>529.31794285406534</v>
      </c>
      <c r="AA20" s="7">
        <v>364.75264139216904</v>
      </c>
      <c r="AB20" s="7">
        <v>400.19453076444989</v>
      </c>
      <c r="AC20" s="7">
        <v>236.48290863890614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ht="12" customHeight="1" x14ac:dyDescent="0.3">
      <c r="A21" t="s">
        <v>15</v>
      </c>
      <c r="B21" s="7">
        <v>5.0469135673896375</v>
      </c>
      <c r="C21" s="7">
        <v>6.1597485269307741</v>
      </c>
      <c r="D21" s="7">
        <v>7.0944049285409561</v>
      </c>
      <c r="E21" s="7">
        <v>5.4881722912745179</v>
      </c>
      <c r="F21" s="7">
        <v>7.612007101373246</v>
      </c>
      <c r="G21" s="7">
        <v>7.2973172149961378</v>
      </c>
      <c r="H21" s="7">
        <v>7.6547946582896982</v>
      </c>
      <c r="I21" s="7">
        <v>8.0393613586937445</v>
      </c>
      <c r="J21" s="7">
        <v>8.9526745411854662</v>
      </c>
      <c r="K21" s="7">
        <v>10.986798270907123</v>
      </c>
      <c r="L21" s="7">
        <v>13.164870515395881</v>
      </c>
      <c r="M21" s="7">
        <v>17.221984350511036</v>
      </c>
      <c r="N21" s="7">
        <v>22.610824373969162</v>
      </c>
      <c r="O21" s="7">
        <v>23.965794952768704</v>
      </c>
      <c r="P21" s="7">
        <v>27.322201880446219</v>
      </c>
      <c r="Q21" s="7">
        <v>32.055936169620772</v>
      </c>
      <c r="R21" s="7">
        <v>36.983143239793741</v>
      </c>
      <c r="S21" s="7">
        <v>35.806126801258635</v>
      </c>
      <c r="T21" s="7">
        <v>37.053201713280387</v>
      </c>
      <c r="U21" s="7">
        <v>39.930737375349494</v>
      </c>
      <c r="V21" s="7">
        <v>47.358051077439342</v>
      </c>
      <c r="W21" s="7">
        <v>58.812599450070316</v>
      </c>
      <c r="X21" s="7">
        <v>69.194181379916074</v>
      </c>
      <c r="Y21" s="7">
        <v>82.367476456561292</v>
      </c>
      <c r="Z21" s="7">
        <v>86.18248377496549</v>
      </c>
      <c r="AA21" s="7">
        <v>38.520198881292728</v>
      </c>
      <c r="AB21" s="7">
        <v>50.403356121814795</v>
      </c>
      <c r="AC21" s="7">
        <v>74.540087010565557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2" customHeight="1" x14ac:dyDescent="0.3">
      <c r="A22" t="s">
        <v>16</v>
      </c>
      <c r="B22" s="7">
        <v>48.656704614328007</v>
      </c>
      <c r="C22" s="7">
        <v>53.324233871996867</v>
      </c>
      <c r="D22" s="7">
        <v>54.140207208443179</v>
      </c>
      <c r="E22" s="7">
        <v>49.423410654692837</v>
      </c>
      <c r="F22" s="7">
        <v>50.747264763990522</v>
      </c>
      <c r="G22" s="7">
        <v>57.200068717695515</v>
      </c>
      <c r="H22" s="7">
        <v>55.333972749553077</v>
      </c>
      <c r="I22" s="7">
        <v>56.294222237446348</v>
      </c>
      <c r="J22" s="7">
        <v>53.319824272597231</v>
      </c>
      <c r="K22" s="7">
        <v>70.199497586352493</v>
      </c>
      <c r="L22" s="7">
        <v>73.129668909155981</v>
      </c>
      <c r="M22" s="7">
        <v>82.964034444097123</v>
      </c>
      <c r="N22" s="7">
        <v>87.329694615446698</v>
      </c>
      <c r="O22" s="7">
        <v>95.257372092695562</v>
      </c>
      <c r="P22" s="7">
        <v>97.354109321563882</v>
      </c>
      <c r="Q22" s="7">
        <v>117.07534136779431</v>
      </c>
      <c r="R22" s="7">
        <v>142.02043326574369</v>
      </c>
      <c r="S22" s="7">
        <v>146.65986584168817</v>
      </c>
      <c r="T22" s="7">
        <v>158.8601444212976</v>
      </c>
      <c r="U22" s="7">
        <v>168.62579413386203</v>
      </c>
      <c r="V22" s="7">
        <v>179.93268970581488</v>
      </c>
      <c r="W22" s="7">
        <v>199.46340930901627</v>
      </c>
      <c r="X22" s="7">
        <v>218.0271642507881</v>
      </c>
      <c r="Y22" s="7">
        <v>232.29702567375909</v>
      </c>
      <c r="Z22" s="7">
        <v>209.78641642490575</v>
      </c>
      <c r="AA22" s="7">
        <v>70.600099482336802</v>
      </c>
      <c r="AB22" s="7">
        <v>48.214450647664002</v>
      </c>
      <c r="AC22" s="7">
        <v>121.99810295707229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2" customHeight="1" x14ac:dyDescent="0.3">
      <c r="A23" t="s">
        <v>17</v>
      </c>
      <c r="B23" s="7">
        <v>10.073630300516601</v>
      </c>
      <c r="C23" s="7">
        <v>10.820151709371249</v>
      </c>
      <c r="D23" s="7">
        <v>11.860509972173729</v>
      </c>
      <c r="E23" s="7">
        <v>12.62923837478338</v>
      </c>
      <c r="F23" s="7">
        <v>12.366166490586494</v>
      </c>
      <c r="G23" s="7">
        <v>13.423708894939743</v>
      </c>
      <c r="H23" s="7">
        <v>13.838094202417107</v>
      </c>
      <c r="I23" s="7">
        <v>14.157045316758266</v>
      </c>
      <c r="J23" s="7">
        <v>15.747637911286111</v>
      </c>
      <c r="K23" s="7">
        <v>18.257644474550702</v>
      </c>
      <c r="L23" s="7">
        <v>19.778544994744763</v>
      </c>
      <c r="M23" s="7">
        <v>21.273717708125901</v>
      </c>
      <c r="N23" s="7">
        <v>22.615409611758309</v>
      </c>
      <c r="O23" s="7">
        <v>22.634732518937611</v>
      </c>
      <c r="P23" s="7">
        <v>25.982299686630775</v>
      </c>
      <c r="Q23" s="7">
        <v>30.013421654613143</v>
      </c>
      <c r="R23" s="7">
        <v>32.766849439762886</v>
      </c>
      <c r="S23" s="7">
        <v>35.851724335753289</v>
      </c>
      <c r="T23" s="7">
        <v>37.727362669778657</v>
      </c>
      <c r="U23" s="7">
        <v>41.347295904980434</v>
      </c>
      <c r="V23" s="7">
        <v>46.300557049703151</v>
      </c>
      <c r="W23" s="7">
        <v>49.611099501030651</v>
      </c>
      <c r="X23" s="7">
        <v>51.099723290324775</v>
      </c>
      <c r="Y23" s="7">
        <v>50.358127684423685</v>
      </c>
      <c r="Z23" s="7">
        <v>51.095794275306943</v>
      </c>
      <c r="AA23" s="7">
        <v>24.322381592824538</v>
      </c>
      <c r="AB23" s="7">
        <v>29.387291888138975</v>
      </c>
      <c r="AC23" s="7">
        <v>43.8391879228055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ht="12" customHeight="1" x14ac:dyDescent="0.3">
      <c r="A24" t="s">
        <v>18</v>
      </c>
      <c r="B24" s="7">
        <v>13.210503584738685</v>
      </c>
      <c r="C24" s="7">
        <v>14.404216825017357</v>
      </c>
      <c r="D24" s="7">
        <v>14.233631179504679</v>
      </c>
      <c r="E24" s="7">
        <v>13.495573119912592</v>
      </c>
      <c r="F24" s="7">
        <v>14.624628898103648</v>
      </c>
      <c r="G24" s="7">
        <v>15.470678676900306</v>
      </c>
      <c r="H24" s="7">
        <v>16.138878072251256</v>
      </c>
      <c r="I24" s="7">
        <v>15.987552094013934</v>
      </c>
      <c r="J24" s="7">
        <v>18.031442185286867</v>
      </c>
      <c r="K24" s="7">
        <v>19.683260425450513</v>
      </c>
      <c r="L24" s="7">
        <v>23.096952165870672</v>
      </c>
      <c r="M24" s="7">
        <v>23.929245035000445</v>
      </c>
      <c r="N24" s="7">
        <v>27.481495254284823</v>
      </c>
      <c r="O24" s="7">
        <v>29.544258728137034</v>
      </c>
      <c r="P24" s="7">
        <v>28.811015588556785</v>
      </c>
      <c r="Q24" s="7">
        <v>30.702378804736774</v>
      </c>
      <c r="R24" s="7">
        <v>33.269862225218603</v>
      </c>
      <c r="S24" s="7">
        <v>35.106968161751965</v>
      </c>
      <c r="T24" s="7">
        <v>37.327978368290204</v>
      </c>
      <c r="U24" s="7">
        <v>37.481536321821991</v>
      </c>
      <c r="V24" s="7">
        <v>37.46685183268373</v>
      </c>
      <c r="W24" s="7">
        <v>37.790842438402322</v>
      </c>
      <c r="X24" s="7">
        <v>43.120442548940083</v>
      </c>
      <c r="Y24" s="7">
        <v>47.724343169310572</v>
      </c>
      <c r="Z24" s="7">
        <v>51.921013482788346</v>
      </c>
      <c r="AA24" s="7">
        <v>17.927822125321441</v>
      </c>
      <c r="AB24" s="7">
        <v>22.195608017721305</v>
      </c>
      <c r="AC24" s="7">
        <v>35.445555962855508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ht="12" customHeight="1" x14ac:dyDescent="0.3">
      <c r="A25" t="s">
        <v>19</v>
      </c>
      <c r="B25" s="7">
        <v>9.5412522948242504</v>
      </c>
      <c r="C25" s="7">
        <v>10.44682280855109</v>
      </c>
      <c r="D25" s="7">
        <v>11.315195397235147</v>
      </c>
      <c r="E25" s="7">
        <v>13.74036409885586</v>
      </c>
      <c r="F25" s="7">
        <v>13.04636829693815</v>
      </c>
      <c r="G25" s="7">
        <v>14.747756608684911</v>
      </c>
      <c r="H25" s="7">
        <v>16.477977653355548</v>
      </c>
      <c r="I25" s="7">
        <v>16.514467669746431</v>
      </c>
      <c r="J25" s="7">
        <v>15.402816815537102</v>
      </c>
      <c r="K25" s="7">
        <v>17.199155782775836</v>
      </c>
      <c r="L25" s="7">
        <v>18.144956718046242</v>
      </c>
      <c r="M25" s="7">
        <v>22.470008932990684</v>
      </c>
      <c r="N25" s="7">
        <v>27.085858153797574</v>
      </c>
      <c r="O25" s="7">
        <v>29.917943519685824</v>
      </c>
      <c r="P25" s="7">
        <v>34.897581677852195</v>
      </c>
      <c r="Q25" s="7">
        <v>46.940317541418999</v>
      </c>
      <c r="R25" s="7">
        <v>54.658038772627798</v>
      </c>
      <c r="S25" s="7">
        <v>55.19378844798063</v>
      </c>
      <c r="T25" s="7">
        <v>56.549525608594777</v>
      </c>
      <c r="U25" s="7">
        <v>58.33441861036772</v>
      </c>
      <c r="V25" s="7">
        <v>58.41533058827212</v>
      </c>
      <c r="W25" s="7">
        <v>54.519249427718513</v>
      </c>
      <c r="X25" s="7">
        <v>55.96623369911574</v>
      </c>
      <c r="Y25" s="7">
        <v>59.311041805962674</v>
      </c>
      <c r="Z25" s="7">
        <v>58.646985791944822</v>
      </c>
      <c r="AA25" s="7">
        <v>30.756991920447483</v>
      </c>
      <c r="AB25" s="7">
        <v>43.294592914853936</v>
      </c>
      <c r="AC25" s="7">
        <v>57.56805469235551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ht="12" customHeight="1" x14ac:dyDescent="0.3">
      <c r="A26" t="s">
        <v>20</v>
      </c>
      <c r="B26" s="7">
        <v>15.794717734077265</v>
      </c>
      <c r="C26" s="7">
        <v>16.53033709370721</v>
      </c>
      <c r="D26" s="7">
        <v>19.129110526705325</v>
      </c>
      <c r="E26" s="7">
        <v>20.049897750954578</v>
      </c>
      <c r="F26" s="7">
        <v>19.638577183211481</v>
      </c>
      <c r="G26" s="7">
        <v>20.524037457068179</v>
      </c>
      <c r="H26" s="7">
        <v>19.519143508303635</v>
      </c>
      <c r="I26" s="7">
        <v>18.416462961749204</v>
      </c>
      <c r="J26" s="7">
        <v>19.446300018672652</v>
      </c>
      <c r="K26" s="7">
        <v>20.641664286167249</v>
      </c>
      <c r="L26" s="7">
        <v>22.982141573310493</v>
      </c>
      <c r="M26" s="7">
        <v>24.47844521525068</v>
      </c>
      <c r="N26" s="7">
        <v>26.852102929179495</v>
      </c>
      <c r="O26" s="7">
        <v>28.531482541989845</v>
      </c>
      <c r="P26" s="7">
        <v>28.241792985622951</v>
      </c>
      <c r="Q26" s="7">
        <v>32.606747038871816</v>
      </c>
      <c r="R26" s="7">
        <v>35.897703319053278</v>
      </c>
      <c r="S26" s="7">
        <v>43.021134786574919</v>
      </c>
      <c r="T26" s="7">
        <v>45.908929187260057</v>
      </c>
      <c r="U26" s="7">
        <v>47.177436487544668</v>
      </c>
      <c r="V26" s="7">
        <v>53.99744003352248</v>
      </c>
      <c r="W26" s="7">
        <v>60.537652650722308</v>
      </c>
      <c r="X26" s="7">
        <v>62.685633851494757</v>
      </c>
      <c r="Y26" s="7">
        <v>66.343755535045474</v>
      </c>
      <c r="Z26" s="7">
        <v>68.52328716640389</v>
      </c>
      <c r="AA26" s="7">
        <v>20.396915000748862</v>
      </c>
      <c r="AB26" s="7">
        <v>33.239032691345585</v>
      </c>
      <c r="AC26" s="7">
        <v>63.88562096529769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ht="12" customHeight="1" x14ac:dyDescent="0.3">
      <c r="A27" t="s">
        <v>21</v>
      </c>
      <c r="B27" s="7">
        <v>156.57787710816839</v>
      </c>
      <c r="C27" s="7">
        <v>170.99952368392076</v>
      </c>
      <c r="D27" s="7">
        <v>183.36093503456561</v>
      </c>
      <c r="E27" s="7">
        <v>191.60187593499555</v>
      </c>
      <c r="F27" s="7">
        <v>204.99340489819414</v>
      </c>
      <c r="G27" s="7">
        <v>223.53552192416146</v>
      </c>
      <c r="H27" s="7">
        <v>201.90305206053293</v>
      </c>
      <c r="I27" s="7">
        <v>192.63199354754929</v>
      </c>
      <c r="J27" s="7">
        <v>188.51152309733433</v>
      </c>
      <c r="K27" s="7">
        <v>214.26446341117781</v>
      </c>
      <c r="L27" s="7">
        <v>229.71622759948389</v>
      </c>
      <c r="M27" s="7">
        <v>240.0174037250213</v>
      </c>
      <c r="N27" s="7">
        <v>252.37881507566615</v>
      </c>
      <c r="O27" s="7">
        <v>255.4691679133274</v>
      </c>
      <c r="P27" s="7">
        <v>245.16799178778999</v>
      </c>
      <c r="Q27" s="7">
        <v>260.61975597609609</v>
      </c>
      <c r="R27" s="7">
        <v>273.11383727406496</v>
      </c>
      <c r="S27" s="7">
        <v>284.17441824182737</v>
      </c>
      <c r="T27" s="7">
        <v>299.32801339182453</v>
      </c>
      <c r="U27" s="7">
        <v>315.47985704569066</v>
      </c>
      <c r="V27" s="7">
        <v>337.80557558192277</v>
      </c>
      <c r="W27" s="7">
        <v>364.70735304658058</v>
      </c>
      <c r="X27" s="7">
        <v>384.24792281332179</v>
      </c>
      <c r="Y27" s="7">
        <v>404.43804234495104</v>
      </c>
      <c r="Z27" s="7">
        <v>420.92340770460055</v>
      </c>
      <c r="AA27" s="7">
        <v>105.18234482529357</v>
      </c>
      <c r="AB27" s="7">
        <v>135.29211682869754</v>
      </c>
      <c r="AC27" s="7">
        <v>300.30014279279561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ht="12" customHeight="1" x14ac:dyDescent="0.3">
      <c r="A28" t="s">
        <v>22</v>
      </c>
      <c r="B28" s="7">
        <v>20</v>
      </c>
      <c r="C28" s="7">
        <v>24</v>
      </c>
      <c r="D28" s="7">
        <v>26</v>
      </c>
      <c r="E28" s="7">
        <v>27</v>
      </c>
      <c r="F28" s="7">
        <v>28</v>
      </c>
      <c r="G28" s="7">
        <v>31</v>
      </c>
      <c r="H28" s="7">
        <v>31</v>
      </c>
      <c r="I28" s="7">
        <v>31</v>
      </c>
      <c r="J28" s="7">
        <v>28</v>
      </c>
      <c r="K28" s="7">
        <v>34</v>
      </c>
      <c r="L28" s="7">
        <v>37</v>
      </c>
      <c r="M28" s="7">
        <v>39</v>
      </c>
      <c r="N28" s="7">
        <v>42</v>
      </c>
      <c r="O28" s="7">
        <v>43</v>
      </c>
      <c r="P28" s="7">
        <v>42</v>
      </c>
      <c r="Q28" s="7">
        <v>46</v>
      </c>
      <c r="R28" s="7">
        <v>50</v>
      </c>
      <c r="S28" s="7">
        <v>52</v>
      </c>
      <c r="T28" s="7">
        <v>53</v>
      </c>
      <c r="U28" s="7">
        <v>61</v>
      </c>
      <c r="V28" s="7">
        <v>65</v>
      </c>
      <c r="W28" s="7">
        <v>67</v>
      </c>
      <c r="X28" s="7">
        <v>78</v>
      </c>
      <c r="Y28" s="7">
        <v>89</v>
      </c>
      <c r="Z28" s="7">
        <v>92.40026672197483</v>
      </c>
      <c r="AA28" s="7">
        <v>20.398100712317678</v>
      </c>
      <c r="AB28" s="7">
        <v>17.196823439173212</v>
      </c>
      <c r="AC28" s="7">
        <v>51.520483169360745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ht="12" customHeight="1" x14ac:dyDescent="0.3">
      <c r="A29" t="s">
        <v>23</v>
      </c>
      <c r="B29" s="7">
        <v>8.0851998551800079</v>
      </c>
      <c r="C29" s="7">
        <v>9.0958498370775089</v>
      </c>
      <c r="D29" s="7">
        <v>10.10649981897501</v>
      </c>
      <c r="E29" s="7">
        <v>11.117149800872511</v>
      </c>
      <c r="F29" s="7">
        <v>12.127799782770012</v>
      </c>
      <c r="G29" s="7">
        <v>13.138449764667513</v>
      </c>
      <c r="H29" s="7">
        <v>13.138449764667513</v>
      </c>
      <c r="I29" s="7">
        <v>12.127799782770012</v>
      </c>
      <c r="J29" s="7">
        <v>14.149099746565014</v>
      </c>
      <c r="K29" s="7">
        <v>16.170399710360016</v>
      </c>
      <c r="L29" s="7">
        <v>18.191699674155018</v>
      </c>
      <c r="M29" s="7">
        <v>19.202349656052519</v>
      </c>
      <c r="N29" s="7">
        <v>21.223649619847521</v>
      </c>
      <c r="O29" s="7">
        <v>21.223649619847521</v>
      </c>
      <c r="P29" s="7">
        <v>19.202349656052519</v>
      </c>
      <c r="Q29" s="7">
        <v>21.223649619847521</v>
      </c>
      <c r="R29" s="7">
        <v>22.238119530300381</v>
      </c>
      <c r="S29" s="7">
        <v>24.2514338021371</v>
      </c>
      <c r="T29" s="7">
        <v>27.273494887353564</v>
      </c>
      <c r="U29" s="7">
        <v>29.283698599223207</v>
      </c>
      <c r="V29" s="7">
        <v>32.268741361886647</v>
      </c>
      <c r="W29" s="7">
        <v>36.240221490805432</v>
      </c>
      <c r="X29" s="7">
        <v>41.280648620192899</v>
      </c>
      <c r="Y29" s="7">
        <v>44.293604044317746</v>
      </c>
      <c r="Z29" s="7">
        <v>45.403944010491941</v>
      </c>
      <c r="AA29" s="7">
        <v>17.216676935930352</v>
      </c>
      <c r="AB29" s="7">
        <v>31.790585202231867</v>
      </c>
      <c r="AC29" s="7">
        <v>50.188054243676717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ht="12" customHeight="1" x14ac:dyDescent="0.3">
      <c r="A30" t="s">
        <v>24</v>
      </c>
      <c r="B30" s="7">
        <v>192.35794165717388</v>
      </c>
      <c r="C30" s="7">
        <v>209.9449534658298</v>
      </c>
      <c r="D30" s="7">
        <v>234.12709470273165</v>
      </c>
      <c r="E30" s="7">
        <v>247.31735355922356</v>
      </c>
      <c r="F30" s="7">
        <v>268.20193008200243</v>
      </c>
      <c r="G30" s="7">
        <v>292.38407131890432</v>
      </c>
      <c r="H30" s="7">
        <v>282.49137717653537</v>
      </c>
      <c r="I30" s="7">
        <v>275.8962477482894</v>
      </c>
      <c r="J30" s="7">
        <v>275.8962477482894</v>
      </c>
      <c r="K30" s="7">
        <v>315.46702431776515</v>
      </c>
      <c r="L30" s="7">
        <v>337.45078907858505</v>
      </c>
      <c r="M30" s="7">
        <v>357.23617736332295</v>
      </c>
      <c r="N30" s="7">
        <v>380.31913036218378</v>
      </c>
      <c r="O30" s="7">
        <v>389.11263626651174</v>
      </c>
      <c r="P30" s="7">
        <v>375.92237741001981</v>
      </c>
      <c r="Q30" s="7">
        <v>395.70776569475771</v>
      </c>
      <c r="R30" s="7">
        <v>419.46177796267762</v>
      </c>
      <c r="S30" s="7">
        <v>431.29099377985295</v>
      </c>
      <c r="T30" s="7">
        <v>446.32668703952589</v>
      </c>
      <c r="U30" s="7">
        <v>468.90018564542851</v>
      </c>
      <c r="V30" s="7">
        <v>480.24993981872097</v>
      </c>
      <c r="W30" s="7">
        <v>490.86255400962705</v>
      </c>
      <c r="X30" s="7">
        <v>544.71197790189899</v>
      </c>
      <c r="Y30" s="7">
        <v>610.66270218044315</v>
      </c>
      <c r="Z30" s="7">
        <v>661.56284020969474</v>
      </c>
      <c r="AA30" s="7">
        <v>168.6368828092476</v>
      </c>
      <c r="AB30" s="7">
        <v>183.01598370376416</v>
      </c>
      <c r="AC30" s="7">
        <v>458.53857595687748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ht="12" customHeight="1" x14ac:dyDescent="0.3">
      <c r="A31" t="s">
        <v>25</v>
      </c>
      <c r="B31" s="7">
        <v>63</v>
      </c>
      <c r="C31" s="7">
        <v>70</v>
      </c>
      <c r="D31" s="7">
        <v>73</v>
      </c>
      <c r="E31" s="7">
        <v>70</v>
      </c>
      <c r="F31" s="7">
        <v>74</v>
      </c>
      <c r="G31" s="7">
        <v>79</v>
      </c>
      <c r="H31" s="7">
        <v>71</v>
      </c>
      <c r="I31" s="7">
        <v>69</v>
      </c>
      <c r="J31" s="7">
        <v>65</v>
      </c>
      <c r="K31" s="7">
        <v>76</v>
      </c>
      <c r="L31" s="7">
        <v>78</v>
      </c>
      <c r="M31" s="7">
        <v>79</v>
      </c>
      <c r="N31" s="7">
        <v>77</v>
      </c>
      <c r="O31" s="7">
        <v>73</v>
      </c>
      <c r="P31" s="7">
        <v>66</v>
      </c>
      <c r="Q31" s="7">
        <v>70</v>
      </c>
      <c r="R31" s="7">
        <v>64</v>
      </c>
      <c r="S31" s="7">
        <v>74</v>
      </c>
      <c r="T31" s="7">
        <v>77</v>
      </c>
      <c r="U31" s="7">
        <v>82</v>
      </c>
      <c r="V31" s="7">
        <v>88</v>
      </c>
      <c r="W31" s="7">
        <v>93</v>
      </c>
      <c r="X31" s="7">
        <v>98</v>
      </c>
      <c r="Y31" s="7">
        <v>107</v>
      </c>
      <c r="Z31" s="7">
        <v>112.32374069513477</v>
      </c>
      <c r="AA31" s="7">
        <v>23.539396784372734</v>
      </c>
      <c r="AB31" s="7">
        <v>6.636594547840426</v>
      </c>
      <c r="AC31" s="7">
        <v>27.917464741005251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ht="12" customHeight="1" x14ac:dyDescent="0.3">
      <c r="A32" t="s">
        <v>26</v>
      </c>
      <c r="B32" s="7">
        <v>26.051361320116037</v>
      </c>
      <c r="C32" s="7">
        <v>29.057287626283273</v>
      </c>
      <c r="D32" s="7">
        <v>30.059263061672354</v>
      </c>
      <c r="E32" s="7">
        <v>29.057287626283273</v>
      </c>
      <c r="F32" s="7">
        <v>31.061238497061431</v>
      </c>
      <c r="G32" s="7">
        <v>35.069140238617742</v>
      </c>
      <c r="H32" s="7">
        <v>34.067164803228664</v>
      </c>
      <c r="I32" s="7">
        <v>34.067164803228664</v>
      </c>
      <c r="J32" s="7">
        <v>34.067164803228664</v>
      </c>
      <c r="K32" s="7">
        <v>40.079017415563136</v>
      </c>
      <c r="L32" s="7">
        <v>44.086919157119453</v>
      </c>
      <c r="M32" s="7">
        <v>46.090870027897608</v>
      </c>
      <c r="N32" s="7">
        <v>46.090870027897608</v>
      </c>
      <c r="O32" s="7">
        <v>49.096796334064841</v>
      </c>
      <c r="P32" s="7">
        <v>51.100747204842996</v>
      </c>
      <c r="Q32" s="7">
        <v>54.106673511010236</v>
      </c>
      <c r="R32" s="7">
        <v>59.118434311298948</v>
      </c>
      <c r="S32" s="7">
        <v>61.118554207848121</v>
      </c>
      <c r="T32" s="7">
        <v>67.125937899136758</v>
      </c>
      <c r="U32" s="7">
        <v>70.127108576266508</v>
      </c>
      <c r="V32" s="7">
        <v>75.11704385953702</v>
      </c>
      <c r="W32" s="7">
        <v>83.103061318741823</v>
      </c>
      <c r="X32" s="7">
        <v>93.118443099357904</v>
      </c>
      <c r="Y32" s="7">
        <v>101.12541196617981</v>
      </c>
      <c r="Z32" s="7">
        <v>98.330358415451599</v>
      </c>
      <c r="AA32" s="7">
        <v>31.560422582773324</v>
      </c>
      <c r="AB32" s="7">
        <v>5.787331267521294</v>
      </c>
      <c r="AC32" s="7">
        <v>39.053077491096424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9" ht="12" customHeight="1" x14ac:dyDescent="0.3">
      <c r="A33" t="s">
        <v>27</v>
      </c>
      <c r="B33" s="7">
        <v>16.266337357578255</v>
      </c>
      <c r="C33" s="7">
        <v>19.316275612124176</v>
      </c>
      <c r="D33" s="7">
        <v>20.332921696972818</v>
      </c>
      <c r="E33" s="7">
        <v>14.233045187880974</v>
      </c>
      <c r="F33" s="7">
        <v>16.266337357578255</v>
      </c>
      <c r="G33" s="7">
        <v>19.316275612124176</v>
      </c>
      <c r="H33" s="7">
        <v>20.332921696972818</v>
      </c>
      <c r="I33" s="7">
        <v>20.332921696972818</v>
      </c>
      <c r="J33" s="7">
        <v>22.366213866670101</v>
      </c>
      <c r="K33" s="7">
        <v>25.416152121216022</v>
      </c>
      <c r="L33" s="7">
        <v>27.449444290913306</v>
      </c>
      <c r="M33" s="7">
        <v>30.499382545459227</v>
      </c>
      <c r="N33" s="7">
        <v>33.549320800005148</v>
      </c>
      <c r="O33" s="7">
        <v>34.565966884853793</v>
      </c>
      <c r="P33" s="7">
        <v>32.53267471515651</v>
      </c>
      <c r="Q33" s="7">
        <v>36.599259054551077</v>
      </c>
      <c r="R33" s="7">
        <v>41.693683617425705</v>
      </c>
      <c r="S33" s="7">
        <v>44.720420960408362</v>
      </c>
      <c r="T33" s="7">
        <v>47.743910382246021</v>
      </c>
      <c r="U33" s="7">
        <v>51.779440250198441</v>
      </c>
      <c r="V33" s="7">
        <v>55.721051030176085</v>
      </c>
      <c r="W33" s="7">
        <v>63.6556196767012</v>
      </c>
      <c r="X33" s="7">
        <v>70.74734435019316</v>
      </c>
      <c r="Y33" s="7">
        <v>79.822126261260237</v>
      </c>
      <c r="Z33" s="7">
        <v>88.739069030863419</v>
      </c>
      <c r="AA33" s="7">
        <v>17.674167241840802</v>
      </c>
      <c r="AB33" s="7">
        <v>8.8209937303858315</v>
      </c>
      <c r="AC33" s="7">
        <v>29.812969949821213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9" ht="12" customHeight="1" x14ac:dyDescent="0.3">
      <c r="A34" t="s">
        <v>28</v>
      </c>
      <c r="B34" s="7">
        <v>11.820555144693637</v>
      </c>
      <c r="C34" s="7">
        <v>13.298124537780343</v>
      </c>
      <c r="D34" s="7">
        <v>13.298124537780343</v>
      </c>
      <c r="E34" s="7">
        <v>14.775693930867046</v>
      </c>
      <c r="F34" s="7">
        <v>13.298124537780343</v>
      </c>
      <c r="G34" s="7">
        <v>13.298124537780343</v>
      </c>
      <c r="H34" s="7">
        <v>13.298124537780343</v>
      </c>
      <c r="I34" s="7">
        <v>13.298124537780343</v>
      </c>
      <c r="J34" s="7">
        <v>14.775693930867046</v>
      </c>
      <c r="K34" s="7">
        <v>19.20840211012716</v>
      </c>
      <c r="L34" s="7">
        <v>19.20840211012716</v>
      </c>
      <c r="M34" s="7">
        <v>23.641110289387274</v>
      </c>
      <c r="N34" s="7">
        <v>26.596249075560685</v>
      </c>
      <c r="O34" s="7">
        <v>31.028957254820799</v>
      </c>
      <c r="P34" s="7">
        <v>31.028957254820799</v>
      </c>
      <c r="Q34" s="7">
        <v>38.416804220254321</v>
      </c>
      <c r="R34" s="7">
        <v>46.160210926281692</v>
      </c>
      <c r="S34" s="7">
        <v>52.785902483179022</v>
      </c>
      <c r="T34" s="7">
        <v>57.767864561285222</v>
      </c>
      <c r="U34" s="7">
        <v>61.17924713469462</v>
      </c>
      <c r="V34" s="7">
        <v>55.066256957055124</v>
      </c>
      <c r="W34" s="7">
        <v>46.442230178983628</v>
      </c>
      <c r="X34" s="7">
        <v>54.328902294519686</v>
      </c>
      <c r="Y34" s="7">
        <v>62.759770512140022</v>
      </c>
      <c r="Z34" s="7">
        <v>84.114900530857426</v>
      </c>
      <c r="AA34" s="7">
        <v>24.700934726946365</v>
      </c>
      <c r="AB34" s="7">
        <v>27.989145984921954</v>
      </c>
      <c r="AC34" s="7">
        <v>19.95973631157981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9" ht="12" customHeight="1" x14ac:dyDescent="0.3">
      <c r="A35" t="s">
        <v>29</v>
      </c>
      <c r="B35" s="7">
        <v>5.0297449802091512</v>
      </c>
      <c r="C35" s="7">
        <v>6.2871812252614392</v>
      </c>
      <c r="D35" s="7">
        <v>6.2871812252614392</v>
      </c>
      <c r="E35" s="7">
        <v>6.2871812252614392</v>
      </c>
      <c r="F35" s="7">
        <v>7.5446174703137263</v>
      </c>
      <c r="G35" s="7">
        <v>7.5446174703137263</v>
      </c>
      <c r="H35" s="7">
        <v>7.5446174703137263</v>
      </c>
      <c r="I35" s="7">
        <v>7.5446174703137263</v>
      </c>
      <c r="J35" s="7">
        <v>8.8020537153660143</v>
      </c>
      <c r="K35" s="7">
        <v>10.059489960418302</v>
      </c>
      <c r="L35" s="7">
        <v>11.31692620547059</v>
      </c>
      <c r="M35" s="7">
        <v>12.574362450522878</v>
      </c>
      <c r="N35" s="7">
        <v>13.831798695575166</v>
      </c>
      <c r="O35" s="7">
        <v>15.089234940627453</v>
      </c>
      <c r="P35" s="7">
        <v>15.089234940627453</v>
      </c>
      <c r="Q35" s="7">
        <v>16.346671185679742</v>
      </c>
      <c r="R35" s="7">
        <v>18.940187073215228</v>
      </c>
      <c r="S35" s="7">
        <v>21.288024085483254</v>
      </c>
      <c r="T35" s="7">
        <v>22.355380545250014</v>
      </c>
      <c r="U35" s="7">
        <v>24.637231642771678</v>
      </c>
      <c r="V35" s="7">
        <v>25.053793274428578</v>
      </c>
      <c r="W35" s="7">
        <v>27.547653980938637</v>
      </c>
      <c r="X35" s="7">
        <v>31.10902103015933</v>
      </c>
      <c r="Y35" s="7">
        <v>36.730205307918183</v>
      </c>
      <c r="Z35" s="7">
        <v>47.590520941058031</v>
      </c>
      <c r="AA35" s="7">
        <v>14.478259295338036</v>
      </c>
      <c r="AB35" s="7">
        <v>29.120365128011162</v>
      </c>
      <c r="AC35" s="7">
        <v>32.125270256044189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9" ht="12" customHeight="1" x14ac:dyDescent="0.3">
      <c r="A36" t="s">
        <v>30</v>
      </c>
      <c r="B36" s="7">
        <v>6.0934370672296065</v>
      </c>
      <c r="C36" s="7">
        <v>8.1245827563061415</v>
      </c>
      <c r="D36" s="7">
        <v>9.1401556008444089</v>
      </c>
      <c r="E36" s="7">
        <v>11.171301289920944</v>
      </c>
      <c r="F36" s="7">
        <v>13.202446978997481</v>
      </c>
      <c r="G36" s="7">
        <v>16.249165512612283</v>
      </c>
      <c r="H36" s="7">
        <v>18.280311201688818</v>
      </c>
      <c r="I36" s="7">
        <v>20.311456890765353</v>
      </c>
      <c r="J36" s="7">
        <v>17.264738357150552</v>
      </c>
      <c r="K36" s="7">
        <v>28.436039647071496</v>
      </c>
      <c r="L36" s="7">
        <v>34.529476714301104</v>
      </c>
      <c r="M36" s="7">
        <v>40.622913781530706</v>
      </c>
      <c r="N36" s="7">
        <v>46.716350848760314</v>
      </c>
      <c r="O36" s="7">
        <v>45.700778004222045</v>
      </c>
      <c r="P36" s="7">
        <v>44.685205159683775</v>
      </c>
      <c r="Q36" s="7">
        <v>54.840933605066454</v>
      </c>
      <c r="R36" s="7">
        <v>66.028819677953365</v>
      </c>
      <c r="S36" s="7">
        <v>75.133518840855658</v>
      </c>
      <c r="T36" s="7">
        <v>83.214269241899089</v>
      </c>
      <c r="U36" s="7">
        <v>92.301210111388926</v>
      </c>
      <c r="V36" s="7">
        <v>108.31262398634746</v>
      </c>
      <c r="W36" s="7">
        <v>129.24666315853491</v>
      </c>
      <c r="X36" s="7">
        <v>149.47878394310658</v>
      </c>
      <c r="Y36" s="7">
        <v>174.68494317520734</v>
      </c>
      <c r="Z36" s="7">
        <v>183.07022062470611</v>
      </c>
      <c r="AA36" s="7">
        <v>21.658517468914397</v>
      </c>
      <c r="AB36" s="7">
        <v>4.7987486867902334</v>
      </c>
      <c r="AC36" s="7">
        <v>6.790190818493322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9" ht="12" customHeight="1" x14ac:dyDescent="0.3">
      <c r="A37" t="s">
        <v>31</v>
      </c>
      <c r="B37" s="7">
        <v>11.869888663452441</v>
      </c>
      <c r="C37" s="7">
        <v>13.056877529797685</v>
      </c>
      <c r="D37" s="7">
        <v>13.056877529797685</v>
      </c>
      <c r="E37" s="7">
        <v>14.243866396142931</v>
      </c>
      <c r="F37" s="7">
        <v>14.243866396142931</v>
      </c>
      <c r="G37" s="7">
        <v>15.430855262488175</v>
      </c>
      <c r="H37" s="7">
        <v>16.617844128833418</v>
      </c>
      <c r="I37" s="7">
        <v>15.430855262488175</v>
      </c>
      <c r="J37" s="7">
        <v>17.804832995178661</v>
      </c>
      <c r="K37" s="7">
        <v>22.55278846055964</v>
      </c>
      <c r="L37" s="7">
        <v>26.11375505959537</v>
      </c>
      <c r="M37" s="7">
        <v>32.048699391321591</v>
      </c>
      <c r="N37" s="7">
        <v>36.796654856702567</v>
      </c>
      <c r="O37" s="7">
        <v>41.544610322083543</v>
      </c>
      <c r="P37" s="7">
        <v>42.731599188428788</v>
      </c>
      <c r="Q37" s="7">
        <v>46.292565787464518</v>
      </c>
      <c r="R37" s="7">
        <v>52.385502145952003</v>
      </c>
      <c r="S37" s="7">
        <v>52.070468218830989</v>
      </c>
      <c r="T37" s="7">
        <v>52.935546190142709</v>
      </c>
      <c r="U37" s="7">
        <v>54.95969835610672</v>
      </c>
      <c r="V37" s="7">
        <v>59.394712199716388</v>
      </c>
      <c r="W37" s="7">
        <v>61.049571913681334</v>
      </c>
      <c r="X37" s="7">
        <v>70.127290573122977</v>
      </c>
      <c r="Y37" s="7">
        <v>78.809447379479536</v>
      </c>
      <c r="Z37" s="7">
        <v>81.259911286952857</v>
      </c>
      <c r="AA37" s="7">
        <v>27.742587190253264</v>
      </c>
      <c r="AB37" s="7">
        <v>34.161571679334756</v>
      </c>
      <c r="AC37" s="7">
        <v>67.754740571005627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9" ht="12" customHeight="1" x14ac:dyDescent="0.3">
      <c r="A38" t="s">
        <v>32</v>
      </c>
      <c r="B38" s="7">
        <v>93.761172082295914</v>
      </c>
      <c r="C38" s="7">
        <v>102.93346065556399</v>
      </c>
      <c r="D38" s="7">
        <v>112.10574922883208</v>
      </c>
      <c r="E38" s="7">
        <v>109.04831970440938</v>
      </c>
      <c r="F38" s="7">
        <v>118.22060827767746</v>
      </c>
      <c r="G38" s="7">
        <v>128.4120400257531</v>
      </c>
      <c r="H38" s="7">
        <v>127.39289685094555</v>
      </c>
      <c r="I38" s="7">
        <v>128.4120400257531</v>
      </c>
      <c r="J38" s="7">
        <v>122.29718097690773</v>
      </c>
      <c r="K38" s="7">
        <v>150.83318987151952</v>
      </c>
      <c r="L38" s="7">
        <v>161.02462161959517</v>
      </c>
      <c r="M38" s="7">
        <v>173.25433971728594</v>
      </c>
      <c r="N38" s="7">
        <v>177.33091241651618</v>
      </c>
      <c r="O38" s="7">
        <v>183.44577146536159</v>
      </c>
      <c r="P38" s="7">
        <v>175.29262606690108</v>
      </c>
      <c r="Q38" s="7">
        <v>191.5989168638221</v>
      </c>
      <c r="R38" s="7">
        <v>207.96942048285493</v>
      </c>
      <c r="S38" s="7">
        <v>217.01049188270176</v>
      </c>
      <c r="T38" s="7">
        <v>229.09500760050668</v>
      </c>
      <c r="U38" s="7">
        <v>247.2700548745978</v>
      </c>
      <c r="V38" s="7">
        <v>266.96309408239847</v>
      </c>
      <c r="W38" s="7">
        <v>291.44354789250775</v>
      </c>
      <c r="X38" s="7">
        <v>331.0113443456525</v>
      </c>
      <c r="Y38" s="7">
        <v>370.37617544672861</v>
      </c>
      <c r="Z38" s="7">
        <v>365.50813095081855</v>
      </c>
      <c r="AA38" s="7">
        <v>86.686617411531572</v>
      </c>
      <c r="AB38" s="7">
        <v>62.643070584862457</v>
      </c>
      <c r="AC38" s="7">
        <v>145.79682776474328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9" ht="12" customHeight="1" x14ac:dyDescent="0.3">
      <c r="A39" t="s">
        <v>33</v>
      </c>
      <c r="B39" s="7">
        <v>30.125237990497062</v>
      </c>
      <c r="C39" s="7">
        <v>30.125237990497062</v>
      </c>
      <c r="D39" s="7">
        <v>31.129412590180298</v>
      </c>
      <c r="E39" s="7">
        <v>33.137761789546772</v>
      </c>
      <c r="F39" s="7">
        <v>36.150285588596475</v>
      </c>
      <c r="G39" s="7">
        <v>39.162809387646178</v>
      </c>
      <c r="H39" s="7">
        <v>39.162809387646178</v>
      </c>
      <c r="I39" s="7">
        <v>40.166983987329417</v>
      </c>
      <c r="J39" s="7">
        <v>43.179507786379119</v>
      </c>
      <c r="K39" s="7">
        <v>55.229602982577944</v>
      </c>
      <c r="L39" s="7">
        <v>64.267174379727066</v>
      </c>
      <c r="M39" s="7">
        <v>74.308920376559428</v>
      </c>
      <c r="N39" s="7">
        <v>84.350666373391775</v>
      </c>
      <c r="O39" s="7">
        <v>97.404936169273839</v>
      </c>
      <c r="P39" s="7">
        <v>105.43833296673972</v>
      </c>
      <c r="Q39" s="7">
        <v>123.51347576103795</v>
      </c>
      <c r="R39" s="7">
        <v>138.58542602524756</v>
      </c>
      <c r="S39" s="7">
        <v>155.63658358908614</v>
      </c>
      <c r="T39" s="7">
        <v>171.67917790833096</v>
      </c>
      <c r="U39" s="7">
        <v>194.74430947301232</v>
      </c>
      <c r="V39" s="7">
        <v>215.70872492428882</v>
      </c>
      <c r="W39" s="7">
        <v>239.62663349895635</v>
      </c>
      <c r="X39" s="7">
        <v>262.70459828279689</v>
      </c>
      <c r="Y39" s="7">
        <v>279.7315093983633</v>
      </c>
      <c r="Z39" s="7">
        <v>276.93838118398048</v>
      </c>
      <c r="AA39" s="7">
        <v>85.992620253781993</v>
      </c>
      <c r="AB39" s="7">
        <v>92.863770973494283</v>
      </c>
      <c r="AC39" s="7">
        <v>212.45289060318004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9" ht="12" customHeight="1" x14ac:dyDescent="0.3">
      <c r="A40" t="s">
        <v>34</v>
      </c>
      <c r="B40" s="7">
        <v>25.493669595669758</v>
      </c>
      <c r="C40" s="7">
        <v>27.710510430075825</v>
      </c>
      <c r="D40" s="7">
        <v>29.927351264481889</v>
      </c>
      <c r="E40" s="7">
        <v>32.144192098887956</v>
      </c>
      <c r="F40" s="7">
        <v>36.57787376770009</v>
      </c>
      <c r="G40" s="7">
        <v>39.90313501930919</v>
      </c>
      <c r="H40" s="7">
        <v>39.90313501930919</v>
      </c>
      <c r="I40" s="7">
        <v>41.011555436512218</v>
      </c>
      <c r="J40" s="7">
        <v>42.119975853715253</v>
      </c>
      <c r="K40" s="7">
        <v>46.553657522527388</v>
      </c>
      <c r="L40" s="7">
        <v>50.987339191339515</v>
      </c>
      <c r="M40" s="7">
        <v>55.42102086015165</v>
      </c>
      <c r="N40" s="7">
        <v>63.179963780572876</v>
      </c>
      <c r="O40" s="7">
        <v>66.505225032181983</v>
      </c>
      <c r="P40" s="7">
        <v>68.722065866588039</v>
      </c>
      <c r="Q40" s="7">
        <v>77.589429204212308</v>
      </c>
      <c r="R40" s="7">
        <v>77.725348796854348</v>
      </c>
      <c r="S40" s="7">
        <v>81.879926102885264</v>
      </c>
      <c r="T40" s="7">
        <v>84.902958534981849</v>
      </c>
      <c r="U40" s="7">
        <v>89.003841404913942</v>
      </c>
      <c r="V40" s="7">
        <v>89.953943450221033</v>
      </c>
      <c r="W40" s="7">
        <v>86.310600251026443</v>
      </c>
      <c r="X40" s="7">
        <v>98.196871805236427</v>
      </c>
      <c r="Y40" s="7">
        <v>106.55629660620549</v>
      </c>
      <c r="Z40" s="7">
        <v>116.64726861153252</v>
      </c>
      <c r="AA40" s="7">
        <v>42.464823867396582</v>
      </c>
      <c r="AB40" s="7">
        <v>49.334976530450319</v>
      </c>
      <c r="AC40" s="7">
        <v>93.850496730658662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9" ht="12" customHeight="1" x14ac:dyDescent="0.3">
      <c r="A41" t="s">
        <v>35</v>
      </c>
      <c r="B41" s="7">
        <v>13.245542988835615</v>
      </c>
      <c r="C41" s="7">
        <v>15.283318833271863</v>
      </c>
      <c r="D41" s="7">
        <v>18.339982599926234</v>
      </c>
      <c r="E41" s="7">
        <v>17.321094677708111</v>
      </c>
      <c r="F41" s="7">
        <v>16.302206755489987</v>
      </c>
      <c r="G41" s="7">
        <v>17.321094677708111</v>
      </c>
      <c r="H41" s="7">
        <v>16.302206755489987</v>
      </c>
      <c r="I41" s="7">
        <v>14.264430911053738</v>
      </c>
      <c r="J41" s="7">
        <v>15.283318833271863</v>
      </c>
      <c r="K41" s="7">
        <v>17.321094677708111</v>
      </c>
      <c r="L41" s="7">
        <v>20.377758444362485</v>
      </c>
      <c r="M41" s="7">
        <v>20.377758444362485</v>
      </c>
      <c r="N41" s="7">
        <v>22.415534288798732</v>
      </c>
      <c r="O41" s="7">
        <v>24.453310133234979</v>
      </c>
      <c r="P41" s="7">
        <v>24.453310133234979</v>
      </c>
      <c r="Q41" s="7">
        <v>28.528861822107476</v>
      </c>
      <c r="R41" s="7">
        <v>32.614349273758641</v>
      </c>
      <c r="S41" s="7">
        <v>35.65021665635588</v>
      </c>
      <c r="T41" s="7">
        <v>37.664430404399546</v>
      </c>
      <c r="U41" s="7">
        <v>41.71086999899218</v>
      </c>
      <c r="V41" s="7">
        <v>40.594746639999002</v>
      </c>
      <c r="W41" s="7">
        <v>38.448340830842518</v>
      </c>
      <c r="X41" s="7">
        <v>38.459975903413856</v>
      </c>
      <c r="Y41" s="7">
        <v>44.519131488343973</v>
      </c>
      <c r="Z41" s="7">
        <v>44.534188147667777</v>
      </c>
      <c r="AA41" s="7">
        <v>13.082720639251049</v>
      </c>
      <c r="AB41" s="7">
        <v>11.601743346697551</v>
      </c>
      <c r="AC41" s="7">
        <v>35.214266029354036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9" ht="12" customHeight="1" x14ac:dyDescent="0.3">
      <c r="A42" t="s">
        <v>36</v>
      </c>
      <c r="B42" s="7">
        <v>25.216952279343889</v>
      </c>
      <c r="C42" s="7">
        <v>27.234308461691402</v>
      </c>
      <c r="D42" s="7">
        <v>30.260342735212667</v>
      </c>
      <c r="E42" s="7">
        <v>33.286377008733936</v>
      </c>
      <c r="F42" s="7">
        <v>36.312411282255205</v>
      </c>
      <c r="G42" s="7">
        <v>40.347123646950223</v>
      </c>
      <c r="H42" s="7">
        <v>39.338445555776467</v>
      </c>
      <c r="I42" s="7">
        <v>37.321089373428961</v>
      </c>
      <c r="J42" s="7">
        <v>38.32976746460271</v>
      </c>
      <c r="K42" s="7">
        <v>44.381836011645248</v>
      </c>
      <c r="L42" s="7">
        <v>49.425226467514022</v>
      </c>
      <c r="M42" s="7">
        <v>53.459938832209048</v>
      </c>
      <c r="N42" s="7">
        <v>58.503329288077829</v>
      </c>
      <c r="O42" s="7">
        <v>61.529363561599091</v>
      </c>
      <c r="P42" s="7">
        <v>60.520685470425335</v>
      </c>
      <c r="Q42" s="7">
        <v>65.564075926294109</v>
      </c>
      <c r="R42" s="7">
        <v>68.599712047487017</v>
      </c>
      <c r="S42" s="7">
        <v>73.623195674965288</v>
      </c>
      <c r="T42" s="7">
        <v>79.652122668080068</v>
      </c>
      <c r="U42" s="7">
        <v>83.661731234243902</v>
      </c>
      <c r="V42" s="7">
        <v>88.602451024472572</v>
      </c>
      <c r="W42" s="7">
        <v>94.511480527837776</v>
      </c>
      <c r="X42" s="7">
        <v>101.56373968203347</v>
      </c>
      <c r="Y42" s="7">
        <v>108.58765847879233</v>
      </c>
      <c r="Z42" s="7">
        <v>112.26559528413699</v>
      </c>
      <c r="AA42" s="7">
        <v>36.555285328014179</v>
      </c>
      <c r="AB42" s="7">
        <v>55.165666069691547</v>
      </c>
      <c r="AC42" s="7">
        <v>101.56990389112137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9" ht="12" customHeight="1" x14ac:dyDescent="0.3">
      <c r="A43" t="s">
        <v>37</v>
      </c>
      <c r="B43" s="7">
        <f t="shared" ref="B43:AA43" si="0">SUM(B11:B42)</f>
        <v>1470.8438538573098</v>
      </c>
      <c r="C43" s="7">
        <f t="shared" si="0"/>
        <v>1593.7142792883137</v>
      </c>
      <c r="D43" s="7">
        <f t="shared" si="0"/>
        <v>1700.9603032021516</v>
      </c>
      <c r="E43" s="7">
        <f t="shared" si="0"/>
        <v>1749.7448020446752</v>
      </c>
      <c r="F43" s="7">
        <f t="shared" si="0"/>
        <v>1859.7365256462301</v>
      </c>
      <c r="G43" s="7">
        <f t="shared" si="0"/>
        <v>2007.3784291313204</v>
      </c>
      <c r="H43" s="7">
        <f t="shared" si="0"/>
        <v>1960.2222629630094</v>
      </c>
      <c r="I43" s="7">
        <f t="shared" si="0"/>
        <v>1935.326367180337</v>
      </c>
      <c r="J43" s="7">
        <f t="shared" si="0"/>
        <v>1984.3668638013889</v>
      </c>
      <c r="K43" s="7">
        <f t="shared" si="0"/>
        <v>2295.9828460458889</v>
      </c>
      <c r="L43" s="7">
        <f t="shared" si="0"/>
        <v>2478.5646271637443</v>
      </c>
      <c r="M43" s="7">
        <f t="shared" si="0"/>
        <v>2637.8367373715346</v>
      </c>
      <c r="N43" s="7">
        <f t="shared" si="0"/>
        <v>2812.9601256112946</v>
      </c>
      <c r="O43" s="7">
        <f t="shared" si="0"/>
        <v>2883.4398443553036</v>
      </c>
      <c r="P43" s="7">
        <f t="shared" si="0"/>
        <v>2864.0510221752234</v>
      </c>
      <c r="Q43" s="7">
        <f t="shared" si="0"/>
        <v>3128.760283762374</v>
      </c>
      <c r="R43" s="7">
        <f t="shared" si="0"/>
        <v>3349.4054197018481</v>
      </c>
      <c r="S43" s="7">
        <f t="shared" si="0"/>
        <v>3517.7943733809329</v>
      </c>
      <c r="T43" s="7">
        <f t="shared" si="0"/>
        <v>3718.3293819928922</v>
      </c>
      <c r="U43" s="7">
        <f t="shared" si="0"/>
        <v>3955.6294607755776</v>
      </c>
      <c r="V43" s="7">
        <f t="shared" si="0"/>
        <v>4226.397393865308</v>
      </c>
      <c r="W43" s="7">
        <f t="shared" si="0"/>
        <v>4515.3010580278715</v>
      </c>
      <c r="X43" s="7">
        <f t="shared" si="0"/>
        <v>4946.0643079171459</v>
      </c>
      <c r="Y43" s="7">
        <f t="shared" si="0"/>
        <v>5370.0983659610829</v>
      </c>
      <c r="Z43" s="7">
        <f t="shared" si="0"/>
        <v>5626.1690406934786</v>
      </c>
      <c r="AA43" s="7">
        <f t="shared" si="0"/>
        <v>1993.8808177427857</v>
      </c>
      <c r="AB43" s="7">
        <f>SUM(AB11:AB42)</f>
        <v>2464.5879984780699</v>
      </c>
      <c r="AC43" s="7">
        <f>SUM(AC11:AC42)</f>
        <v>3905.7421329152889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9" ht="12" customHeight="1" x14ac:dyDescent="0.2">
      <c r="A44" t="s">
        <v>38</v>
      </c>
    </row>
    <row r="46" spans="1:59" ht="12" customHeight="1" x14ac:dyDescent="0.2">
      <c r="A46" s="9" t="s">
        <v>39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</row>
    <row r="47" spans="1:59" ht="12" customHeight="1" x14ac:dyDescent="0.2">
      <c r="A47" s="1" t="s">
        <v>40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 t="s">
        <v>353</v>
      </c>
      <c r="AF47" s="11" t="s">
        <v>354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</row>
    <row r="48" spans="1:59" ht="12" customHeight="1" x14ac:dyDescent="0.2">
      <c r="A48" s="1"/>
      <c r="C48" s="10"/>
      <c r="D48" s="7">
        <v>1995</v>
      </c>
      <c r="E48" s="7">
        <v>1996</v>
      </c>
      <c r="F48" s="7">
        <v>1997</v>
      </c>
      <c r="G48" s="7">
        <v>1998</v>
      </c>
      <c r="H48" s="7">
        <v>1999</v>
      </c>
      <c r="I48" s="7">
        <v>2000</v>
      </c>
      <c r="J48" s="7">
        <v>2001</v>
      </c>
      <c r="K48" s="7">
        <v>2002</v>
      </c>
      <c r="L48" s="7">
        <v>2003</v>
      </c>
      <c r="M48" s="7">
        <v>2004</v>
      </c>
      <c r="N48" s="7">
        <v>2005</v>
      </c>
      <c r="O48" s="7">
        <v>2006</v>
      </c>
      <c r="P48" s="7">
        <v>2007</v>
      </c>
      <c r="Q48" s="7">
        <v>2008</v>
      </c>
      <c r="R48" s="7">
        <v>2009</v>
      </c>
      <c r="S48" s="7">
        <v>2010</v>
      </c>
      <c r="T48" s="7">
        <v>2011</v>
      </c>
      <c r="U48" s="7">
        <v>2012</v>
      </c>
      <c r="V48" s="7">
        <v>2013</v>
      </c>
      <c r="W48" s="7">
        <v>2014</v>
      </c>
      <c r="X48" s="7">
        <v>2015</v>
      </c>
      <c r="Y48" s="7">
        <v>2016</v>
      </c>
      <c r="Z48" s="7">
        <v>2017</v>
      </c>
      <c r="AA48" s="7">
        <v>2018</v>
      </c>
      <c r="AB48" s="7">
        <v>2019</v>
      </c>
      <c r="AC48" s="7">
        <v>2020</v>
      </c>
      <c r="AD48" s="7">
        <v>2021</v>
      </c>
      <c r="AE48" s="7">
        <v>2022</v>
      </c>
      <c r="AF48" s="12">
        <v>2023</v>
      </c>
      <c r="AG48" s="7">
        <v>2024</v>
      </c>
      <c r="AH48" s="7">
        <v>2025</v>
      </c>
      <c r="AI48" s="7">
        <v>2026</v>
      </c>
      <c r="AJ48" s="7">
        <v>2027</v>
      </c>
      <c r="AK48" s="7">
        <v>2028</v>
      </c>
      <c r="AL48" s="7">
        <v>2029</v>
      </c>
      <c r="AM48" s="7">
        <v>2030</v>
      </c>
      <c r="AN48" s="7">
        <v>2031</v>
      </c>
      <c r="AO48" s="7">
        <v>2032</v>
      </c>
      <c r="AP48" s="7">
        <v>2033</v>
      </c>
      <c r="AQ48" s="7">
        <v>2034</v>
      </c>
      <c r="AR48" s="7">
        <v>2035</v>
      </c>
      <c r="AS48" s="7">
        <v>2036</v>
      </c>
      <c r="AT48" s="7">
        <v>2037</v>
      </c>
      <c r="AU48" s="7">
        <v>2038</v>
      </c>
      <c r="AV48" s="7">
        <v>2039</v>
      </c>
      <c r="AW48" s="7">
        <v>2040</v>
      </c>
      <c r="AX48" s="7">
        <v>2041</v>
      </c>
      <c r="AY48" s="7">
        <v>2042</v>
      </c>
      <c r="AZ48" s="7">
        <v>2043</v>
      </c>
      <c r="BA48" s="7">
        <v>2044</v>
      </c>
      <c r="BB48" s="7">
        <v>2045</v>
      </c>
      <c r="BC48" s="7">
        <v>2046</v>
      </c>
      <c r="BD48" s="7">
        <v>2047</v>
      </c>
      <c r="BE48" s="7">
        <v>2048</v>
      </c>
      <c r="BF48" s="7">
        <v>2049</v>
      </c>
      <c r="BG48" s="7">
        <v>2050</v>
      </c>
    </row>
    <row r="49" spans="1:59" ht="12" customHeight="1" x14ac:dyDescent="0.2">
      <c r="A49" s="1" t="s">
        <v>44</v>
      </c>
      <c r="B49" t="s">
        <v>45</v>
      </c>
      <c r="C49" s="10" t="s">
        <v>46</v>
      </c>
      <c r="D49" s="13">
        <v>0.75247524752475248</v>
      </c>
      <c r="E49" s="13">
        <v>0.75</v>
      </c>
      <c r="F49" s="13">
        <v>0.76</v>
      </c>
      <c r="G49" s="13">
        <v>0.77</v>
      </c>
      <c r="H49" s="13">
        <v>0.76999999999999991</v>
      </c>
      <c r="I49" s="13">
        <v>0.78</v>
      </c>
      <c r="J49" s="13">
        <v>0.79999999999999993</v>
      </c>
      <c r="K49" s="13">
        <v>0.78999999999999992</v>
      </c>
      <c r="L49" s="14">
        <v>0.77999999999999992</v>
      </c>
      <c r="M49" s="13">
        <v>0.77777777777777779</v>
      </c>
      <c r="N49" s="13">
        <v>0.77</v>
      </c>
      <c r="O49" s="13">
        <v>0.77227722772277241</v>
      </c>
      <c r="P49" s="13">
        <v>0.77227722772277219</v>
      </c>
      <c r="Q49" s="13">
        <v>0.77227722772277219</v>
      </c>
      <c r="R49" s="13">
        <v>0.77777777777777779</v>
      </c>
      <c r="S49" s="13">
        <v>0.77777777777777768</v>
      </c>
      <c r="T49" s="13">
        <v>0.79</v>
      </c>
      <c r="U49" s="13">
        <v>0.78999999999999992</v>
      </c>
      <c r="V49" s="13">
        <v>0.8</v>
      </c>
      <c r="W49" s="13">
        <v>0.80999999999999994</v>
      </c>
      <c r="X49" s="13">
        <v>0.82000000000000006</v>
      </c>
      <c r="Y49" s="13">
        <v>0.82</v>
      </c>
      <c r="Z49" s="14">
        <v>0.83000000000000007</v>
      </c>
      <c r="AA49" s="14">
        <v>0.82999999999999985</v>
      </c>
      <c r="AB49" s="14">
        <v>0.83</v>
      </c>
      <c r="AC49" s="14">
        <v>0.80999999999999994</v>
      </c>
      <c r="AD49" s="14">
        <v>0.81</v>
      </c>
      <c r="AE49" s="14">
        <v>0.85</v>
      </c>
      <c r="AF49" s="15">
        <v>0.85</v>
      </c>
      <c r="AG49" s="14">
        <v>0.85</v>
      </c>
      <c r="AH49" s="14">
        <v>0.85</v>
      </c>
      <c r="AI49" s="13">
        <v>0.85</v>
      </c>
      <c r="AJ49" s="13">
        <v>0.85</v>
      </c>
      <c r="AK49" s="13">
        <v>0.85</v>
      </c>
      <c r="AL49" s="13">
        <v>0.85</v>
      </c>
      <c r="AM49" s="13">
        <v>0.85</v>
      </c>
      <c r="AN49" s="13">
        <v>0.85</v>
      </c>
      <c r="AO49" s="13">
        <v>0.85</v>
      </c>
      <c r="AP49" s="13">
        <v>0.85</v>
      </c>
      <c r="AQ49" s="13">
        <v>0.85</v>
      </c>
      <c r="AR49" s="13">
        <v>0.85</v>
      </c>
      <c r="AS49" s="13">
        <v>0.85</v>
      </c>
      <c r="AT49" s="13">
        <v>0.85</v>
      </c>
      <c r="AU49" s="13">
        <v>0.85</v>
      </c>
      <c r="AV49" s="13">
        <v>0.85</v>
      </c>
      <c r="AW49" s="13">
        <v>0.85</v>
      </c>
      <c r="AX49" s="13">
        <v>0.85</v>
      </c>
      <c r="AY49" s="13">
        <v>0.85</v>
      </c>
      <c r="AZ49" s="13">
        <v>0.85</v>
      </c>
      <c r="BA49" s="13">
        <v>0.85</v>
      </c>
      <c r="BB49" s="13">
        <v>0.85</v>
      </c>
      <c r="BC49" s="13">
        <v>0.85</v>
      </c>
      <c r="BD49" s="13">
        <v>0.85</v>
      </c>
      <c r="BE49" s="13">
        <v>0.85</v>
      </c>
      <c r="BF49" s="13">
        <v>0.85</v>
      </c>
      <c r="BG49" s="13">
        <v>0.85</v>
      </c>
    </row>
    <row r="50" spans="1:59" ht="12" customHeight="1" x14ac:dyDescent="0.2">
      <c r="A50" s="1" t="s">
        <v>47</v>
      </c>
      <c r="B50" t="s">
        <v>45</v>
      </c>
      <c r="C50" s="10" t="s">
        <v>46</v>
      </c>
      <c r="D50" s="13">
        <v>0.75247524752475259</v>
      </c>
      <c r="E50" s="13">
        <v>0.75</v>
      </c>
      <c r="F50" s="13">
        <v>0.76000000000000012</v>
      </c>
      <c r="G50" s="13">
        <v>0.77</v>
      </c>
      <c r="H50" s="13">
        <v>0.77</v>
      </c>
      <c r="I50" s="13">
        <v>0.78</v>
      </c>
      <c r="J50" s="13">
        <v>0.8</v>
      </c>
      <c r="K50" s="13">
        <v>0.78999999999999992</v>
      </c>
      <c r="L50" s="14">
        <v>0.77999999999999992</v>
      </c>
      <c r="M50" s="13">
        <v>0.7777777777777779</v>
      </c>
      <c r="N50" s="13">
        <v>0.77</v>
      </c>
      <c r="O50" s="13">
        <v>0.7722772277227723</v>
      </c>
      <c r="P50" s="13">
        <v>0.7722772277227723</v>
      </c>
      <c r="Q50" s="13">
        <v>0.7722772277227723</v>
      </c>
      <c r="R50" s="13">
        <v>0.77777777777777779</v>
      </c>
      <c r="S50" s="13">
        <v>0.77777777777777779</v>
      </c>
      <c r="T50" s="13">
        <v>0.79</v>
      </c>
      <c r="U50" s="13">
        <v>0.79</v>
      </c>
      <c r="V50" s="13">
        <v>0.8</v>
      </c>
      <c r="W50" s="13">
        <v>0.80999999999999994</v>
      </c>
      <c r="X50" s="13">
        <v>0.82</v>
      </c>
      <c r="Y50" s="13">
        <v>0.82</v>
      </c>
      <c r="Z50" s="14">
        <v>0.83</v>
      </c>
      <c r="AA50" s="14">
        <v>0.83</v>
      </c>
      <c r="AB50" s="14">
        <v>0.83000000000000007</v>
      </c>
      <c r="AC50" s="14">
        <v>0.80999999999999994</v>
      </c>
      <c r="AD50" s="14">
        <v>0.81</v>
      </c>
      <c r="AE50" s="14">
        <v>0.85</v>
      </c>
      <c r="AF50" s="15">
        <v>0.85</v>
      </c>
      <c r="AG50" s="14">
        <v>0.85</v>
      </c>
      <c r="AH50" s="14">
        <v>0.85</v>
      </c>
      <c r="AI50" s="13">
        <v>0.85</v>
      </c>
      <c r="AJ50" s="13">
        <v>0.85</v>
      </c>
      <c r="AK50" s="13">
        <v>0.85</v>
      </c>
      <c r="AL50" s="13">
        <v>0.85</v>
      </c>
      <c r="AM50" s="13">
        <v>0.85</v>
      </c>
      <c r="AN50" s="13">
        <v>0.85</v>
      </c>
      <c r="AO50" s="13">
        <v>0.85</v>
      </c>
      <c r="AP50" s="13">
        <v>0.85</v>
      </c>
      <c r="AQ50" s="13">
        <v>0.85</v>
      </c>
      <c r="AR50" s="13">
        <v>0.85</v>
      </c>
      <c r="AS50" s="13">
        <v>0.85</v>
      </c>
      <c r="AT50" s="13">
        <v>0.85</v>
      </c>
      <c r="AU50" s="13">
        <v>0.85</v>
      </c>
      <c r="AV50" s="13">
        <v>0.85</v>
      </c>
      <c r="AW50" s="13">
        <v>0.85</v>
      </c>
      <c r="AX50" s="13">
        <v>0.85</v>
      </c>
      <c r="AY50" s="13">
        <v>0.85</v>
      </c>
      <c r="AZ50" s="13">
        <v>0.85</v>
      </c>
      <c r="BA50" s="13">
        <v>0.85</v>
      </c>
      <c r="BB50" s="13">
        <v>0.85</v>
      </c>
      <c r="BC50" s="13">
        <v>0.85</v>
      </c>
      <c r="BD50" s="13">
        <v>0.85</v>
      </c>
      <c r="BE50" s="13">
        <v>0.85</v>
      </c>
      <c r="BF50" s="13">
        <v>0.85</v>
      </c>
      <c r="BG50" s="13">
        <v>0.85</v>
      </c>
    </row>
    <row r="51" spans="1:59" ht="12" customHeight="1" x14ac:dyDescent="0.2">
      <c r="A51" s="1" t="s">
        <v>48</v>
      </c>
      <c r="B51" t="s">
        <v>45</v>
      </c>
      <c r="C51" s="10" t="s">
        <v>46</v>
      </c>
      <c r="D51" s="13">
        <v>0.75247524752475248</v>
      </c>
      <c r="E51" s="13">
        <v>0.75</v>
      </c>
      <c r="F51" s="13">
        <v>0.76</v>
      </c>
      <c r="G51" s="13">
        <v>0.77</v>
      </c>
      <c r="H51" s="13">
        <v>0.76999999999999991</v>
      </c>
      <c r="I51" s="13">
        <v>0.78</v>
      </c>
      <c r="J51" s="13">
        <v>0.8</v>
      </c>
      <c r="K51" s="13">
        <v>0.79</v>
      </c>
      <c r="L51" s="14">
        <v>0.77999999999999992</v>
      </c>
      <c r="M51" s="13">
        <v>0.77777777777777779</v>
      </c>
      <c r="N51" s="13">
        <v>0.77000000000000013</v>
      </c>
      <c r="O51" s="13">
        <v>0.7722772277227723</v>
      </c>
      <c r="P51" s="13">
        <v>0.7722772277227723</v>
      </c>
      <c r="Q51" s="13">
        <v>0.77227722772277219</v>
      </c>
      <c r="R51" s="13">
        <v>0.77777777777777779</v>
      </c>
      <c r="S51" s="13">
        <v>0.7777777777777779</v>
      </c>
      <c r="T51" s="13">
        <v>0.79</v>
      </c>
      <c r="U51" s="13">
        <v>0.79</v>
      </c>
      <c r="V51" s="13">
        <v>0.8</v>
      </c>
      <c r="W51" s="13">
        <v>0.81</v>
      </c>
      <c r="X51" s="13">
        <v>0.82</v>
      </c>
      <c r="Y51" s="13">
        <v>0.82000000000000006</v>
      </c>
      <c r="Z51" s="14">
        <v>0.83000000000000007</v>
      </c>
      <c r="AA51" s="14">
        <v>0.83</v>
      </c>
      <c r="AB51" s="14">
        <v>0.83</v>
      </c>
      <c r="AC51" s="14">
        <v>0.81</v>
      </c>
      <c r="AD51" s="14">
        <v>0.81</v>
      </c>
      <c r="AE51" s="14">
        <v>0.85</v>
      </c>
      <c r="AF51" s="15">
        <v>0.85</v>
      </c>
      <c r="AG51" s="14">
        <v>0.85</v>
      </c>
      <c r="AH51" s="14">
        <v>0.85</v>
      </c>
      <c r="AI51" s="13">
        <v>0.85</v>
      </c>
      <c r="AJ51" s="13">
        <v>0.85</v>
      </c>
      <c r="AK51" s="13">
        <v>0.85</v>
      </c>
      <c r="AL51" s="13">
        <v>0.85</v>
      </c>
      <c r="AM51" s="13">
        <v>0.85</v>
      </c>
      <c r="AN51" s="13">
        <v>0.85</v>
      </c>
      <c r="AO51" s="13">
        <v>0.85</v>
      </c>
      <c r="AP51" s="13">
        <v>0.85</v>
      </c>
      <c r="AQ51" s="13">
        <v>0.85</v>
      </c>
      <c r="AR51" s="13">
        <v>0.85</v>
      </c>
      <c r="AS51" s="13">
        <v>0.85</v>
      </c>
      <c r="AT51" s="13">
        <v>0.85</v>
      </c>
      <c r="AU51" s="13">
        <v>0.85</v>
      </c>
      <c r="AV51" s="13">
        <v>0.85</v>
      </c>
      <c r="AW51" s="13">
        <v>0.85</v>
      </c>
      <c r="AX51" s="13">
        <v>0.85</v>
      </c>
      <c r="AY51" s="13">
        <v>0.85</v>
      </c>
      <c r="AZ51" s="13">
        <v>0.85</v>
      </c>
      <c r="BA51" s="13">
        <v>0.85</v>
      </c>
      <c r="BB51" s="13">
        <v>0.85</v>
      </c>
      <c r="BC51" s="13">
        <v>0.85</v>
      </c>
      <c r="BD51" s="13">
        <v>0.85</v>
      </c>
      <c r="BE51" s="13">
        <v>0.85</v>
      </c>
      <c r="BF51" s="13">
        <v>0.85</v>
      </c>
      <c r="BG51" s="13">
        <v>0.85</v>
      </c>
    </row>
    <row r="52" spans="1:59" ht="12" customHeight="1" x14ac:dyDescent="0.2">
      <c r="A52" s="1" t="s">
        <v>49</v>
      </c>
      <c r="B52" t="s">
        <v>45</v>
      </c>
      <c r="C52" s="10" t="s">
        <v>46</v>
      </c>
      <c r="D52" s="13">
        <v>0.76164521168488808</v>
      </c>
      <c r="E52" s="13">
        <v>0.74430291248356917</v>
      </c>
      <c r="F52" s="13">
        <v>0.73028709132892689</v>
      </c>
      <c r="G52" s="13">
        <v>0.7453490811112502</v>
      </c>
      <c r="H52" s="13">
        <v>0.74451104105940269</v>
      </c>
      <c r="I52" s="13">
        <v>0.76766721054598064</v>
      </c>
      <c r="J52" s="13">
        <v>0.79099519993176171</v>
      </c>
      <c r="K52" s="13">
        <v>0.79628357755767887</v>
      </c>
      <c r="L52" s="14">
        <v>0.79531938562157567</v>
      </c>
      <c r="M52" s="13">
        <v>0.80188004463625862</v>
      </c>
      <c r="N52" s="13">
        <v>0.81543861919091332</v>
      </c>
      <c r="O52" s="13">
        <v>0.82508766000125822</v>
      </c>
      <c r="P52" s="13">
        <v>0.849701525334985</v>
      </c>
      <c r="Q52" s="13">
        <v>0.85950668238657213</v>
      </c>
      <c r="R52" s="13">
        <v>0.83181574424802962</v>
      </c>
      <c r="S52" s="13">
        <v>0.84653227713946089</v>
      </c>
      <c r="T52" s="13">
        <v>0.84309647187978132</v>
      </c>
      <c r="U52" s="13">
        <v>0.84988932077977597</v>
      </c>
      <c r="V52" s="13">
        <v>0.86226588733477649</v>
      </c>
      <c r="W52" s="13">
        <v>0.87781351605958047</v>
      </c>
      <c r="X52" s="13">
        <v>0.90433286152065551</v>
      </c>
      <c r="Y52" s="13">
        <v>0.90555619734695292</v>
      </c>
      <c r="Z52" s="14">
        <v>0.90997551973797475</v>
      </c>
      <c r="AA52" s="14">
        <v>0.9106146896858488</v>
      </c>
      <c r="AB52" s="14">
        <v>0.9119999622509487</v>
      </c>
      <c r="AC52" s="14">
        <v>0.87565088191404805</v>
      </c>
      <c r="AD52" s="14">
        <v>0.89053947840219516</v>
      </c>
      <c r="AE52" s="14">
        <v>0.89354767336326923</v>
      </c>
      <c r="AF52" s="15">
        <v>0.89354767336326923</v>
      </c>
      <c r="AG52" s="14">
        <v>0.89354767336326923</v>
      </c>
      <c r="AH52" s="14">
        <v>0.89354767336326923</v>
      </c>
      <c r="AI52" s="13">
        <v>0.89354767336326923</v>
      </c>
      <c r="AJ52" s="13">
        <v>0.89354767336326923</v>
      </c>
      <c r="AK52" s="13">
        <v>0.89354767336326923</v>
      </c>
      <c r="AL52" s="13">
        <v>0.89354767336326923</v>
      </c>
      <c r="AM52" s="13">
        <v>0.89354767336326923</v>
      </c>
      <c r="AN52" s="13">
        <v>0.89354767336326923</v>
      </c>
      <c r="AO52" s="13">
        <v>0.89354767336326923</v>
      </c>
      <c r="AP52" s="13">
        <v>0.89354767336326923</v>
      </c>
      <c r="AQ52" s="13">
        <v>0.89354767336326923</v>
      </c>
      <c r="AR52" s="13">
        <v>0.89354767336326923</v>
      </c>
      <c r="AS52" s="13">
        <v>0.89354767336326923</v>
      </c>
      <c r="AT52" s="13">
        <v>0.89354767336326923</v>
      </c>
      <c r="AU52" s="13">
        <v>0.89354767336326923</v>
      </c>
      <c r="AV52" s="13">
        <v>0.89354767336326923</v>
      </c>
      <c r="AW52" s="13">
        <v>0.89354767336326923</v>
      </c>
      <c r="AX52" s="13">
        <v>0.89354767336326923</v>
      </c>
      <c r="AY52" s="13">
        <v>0.89354767336326923</v>
      </c>
      <c r="AZ52" s="13">
        <v>0.89354767336326923</v>
      </c>
      <c r="BA52" s="13">
        <v>0.89354767336326923</v>
      </c>
      <c r="BB52" s="13">
        <v>0.89354767336326923</v>
      </c>
      <c r="BC52" s="13">
        <v>0.89354767336326923</v>
      </c>
      <c r="BD52" s="13">
        <v>0.89354767336326923</v>
      </c>
      <c r="BE52" s="13">
        <v>0.89354767336326923</v>
      </c>
      <c r="BF52" s="13">
        <v>0.89354767336326923</v>
      </c>
      <c r="BG52" s="13">
        <v>0.89354767336326923</v>
      </c>
    </row>
    <row r="53" spans="1:59" ht="12" customHeight="1" x14ac:dyDescent="0.2">
      <c r="A53" s="1" t="s">
        <v>50</v>
      </c>
      <c r="B53" t="s">
        <v>45</v>
      </c>
      <c r="C53" s="10" t="s">
        <v>46</v>
      </c>
      <c r="D53" s="13">
        <v>0.75247524752475248</v>
      </c>
      <c r="E53" s="13">
        <v>0.74999999999999989</v>
      </c>
      <c r="F53" s="13">
        <v>0.76000000000000012</v>
      </c>
      <c r="G53" s="13">
        <v>0.76999999999999991</v>
      </c>
      <c r="H53" s="13">
        <v>0.77</v>
      </c>
      <c r="I53" s="13">
        <v>0.78</v>
      </c>
      <c r="J53" s="13">
        <v>0.80000000000000016</v>
      </c>
      <c r="K53" s="13">
        <v>0.79</v>
      </c>
      <c r="L53" s="14">
        <v>0.78</v>
      </c>
      <c r="M53" s="13">
        <v>0.77777777777777779</v>
      </c>
      <c r="N53" s="13">
        <v>0.76999999999999991</v>
      </c>
      <c r="O53" s="13">
        <v>0.77227722772277219</v>
      </c>
      <c r="P53" s="13">
        <v>0.7722772277227723</v>
      </c>
      <c r="Q53" s="13">
        <v>0.77227722772277219</v>
      </c>
      <c r="R53" s="13">
        <v>0.77777777777777768</v>
      </c>
      <c r="S53" s="13">
        <v>0.77777777777777779</v>
      </c>
      <c r="T53" s="13">
        <v>0.79</v>
      </c>
      <c r="U53" s="13">
        <v>0.78999999999999992</v>
      </c>
      <c r="V53" s="13">
        <v>0.8</v>
      </c>
      <c r="W53" s="13">
        <v>0.81</v>
      </c>
      <c r="X53" s="13">
        <v>0.82000000000000006</v>
      </c>
      <c r="Y53" s="13">
        <v>0.82000000000000006</v>
      </c>
      <c r="Z53" s="14">
        <v>0.83000000000000007</v>
      </c>
      <c r="AA53" s="14">
        <v>0.83</v>
      </c>
      <c r="AB53" s="14">
        <v>0.83</v>
      </c>
      <c r="AC53" s="14">
        <v>0.81</v>
      </c>
      <c r="AD53" s="14">
        <v>0.80999999999999994</v>
      </c>
      <c r="AE53" s="14">
        <v>0.85</v>
      </c>
      <c r="AF53" s="15">
        <v>0.85</v>
      </c>
      <c r="AG53" s="14">
        <v>0.85</v>
      </c>
      <c r="AH53" s="14">
        <v>0.85</v>
      </c>
      <c r="AI53" s="13">
        <v>0.85</v>
      </c>
      <c r="AJ53" s="13">
        <v>0.85</v>
      </c>
      <c r="AK53" s="13">
        <v>0.85</v>
      </c>
      <c r="AL53" s="13">
        <v>0.85</v>
      </c>
      <c r="AM53" s="13">
        <v>0.85</v>
      </c>
      <c r="AN53" s="13">
        <v>0.85</v>
      </c>
      <c r="AO53" s="13">
        <v>0.85</v>
      </c>
      <c r="AP53" s="13">
        <v>0.85</v>
      </c>
      <c r="AQ53" s="13">
        <v>0.85</v>
      </c>
      <c r="AR53" s="13">
        <v>0.85</v>
      </c>
      <c r="AS53" s="13">
        <v>0.85</v>
      </c>
      <c r="AT53" s="13">
        <v>0.85</v>
      </c>
      <c r="AU53" s="13">
        <v>0.85</v>
      </c>
      <c r="AV53" s="13">
        <v>0.85</v>
      </c>
      <c r="AW53" s="13">
        <v>0.85</v>
      </c>
      <c r="AX53" s="13">
        <v>0.85</v>
      </c>
      <c r="AY53" s="13">
        <v>0.85</v>
      </c>
      <c r="AZ53" s="13">
        <v>0.85</v>
      </c>
      <c r="BA53" s="13">
        <v>0.85</v>
      </c>
      <c r="BB53" s="13">
        <v>0.85</v>
      </c>
      <c r="BC53" s="13">
        <v>0.85</v>
      </c>
      <c r="BD53" s="13">
        <v>0.85</v>
      </c>
      <c r="BE53" s="13">
        <v>0.85</v>
      </c>
      <c r="BF53" s="13">
        <v>0.85</v>
      </c>
      <c r="BG53" s="13">
        <v>0.85</v>
      </c>
    </row>
    <row r="54" spans="1:59" ht="12" customHeight="1" x14ac:dyDescent="0.2">
      <c r="A54" s="1" t="s">
        <v>51</v>
      </c>
      <c r="B54" t="s">
        <v>45</v>
      </c>
      <c r="C54" s="10" t="s">
        <v>46</v>
      </c>
      <c r="D54" s="13">
        <v>0.72880310594213138</v>
      </c>
      <c r="E54" s="13">
        <v>0.66852304176016519</v>
      </c>
      <c r="F54" s="13">
        <v>0.68088725375892922</v>
      </c>
      <c r="G54" s="13">
        <v>0.68388753415660053</v>
      </c>
      <c r="H54" s="13">
        <v>0.6788453875845436</v>
      </c>
      <c r="I54" s="13">
        <v>0.77179037452763422</v>
      </c>
      <c r="J54" s="13">
        <v>0.710046968478935</v>
      </c>
      <c r="K54" s="13">
        <v>0.69624323859575543</v>
      </c>
      <c r="L54" s="14">
        <v>0.70734562284513847</v>
      </c>
      <c r="M54" s="13">
        <v>0.69425271970810132</v>
      </c>
      <c r="N54" s="13">
        <v>0.70107446944610396</v>
      </c>
      <c r="O54" s="13">
        <v>0.72418703583365229</v>
      </c>
      <c r="P54" s="13">
        <v>0.71937862606377867</v>
      </c>
      <c r="Q54" s="13">
        <v>0.74250762638428047</v>
      </c>
      <c r="R54" s="13">
        <v>0.76623297491283571</v>
      </c>
      <c r="S54" s="13">
        <v>0.77864279659440805</v>
      </c>
      <c r="T54" s="13">
        <v>0.79416422842644074</v>
      </c>
      <c r="U54" s="13">
        <v>0.79443670781488496</v>
      </c>
      <c r="V54" s="13">
        <v>0.80703580690489318</v>
      </c>
      <c r="W54" s="13">
        <v>0.81578619422920873</v>
      </c>
      <c r="X54" s="13">
        <v>0.78692582803783762</v>
      </c>
      <c r="Y54" s="13">
        <v>0.78146251608307526</v>
      </c>
      <c r="Z54" s="14">
        <v>0.78988792702158028</v>
      </c>
      <c r="AA54" s="14">
        <v>0.78966303186530695</v>
      </c>
      <c r="AB54" s="14">
        <v>0.78509971033428849</v>
      </c>
      <c r="AC54" s="14">
        <v>0.7705187085502524</v>
      </c>
      <c r="AD54" s="14">
        <v>0.79992961205111135</v>
      </c>
      <c r="AE54" s="14">
        <v>0.83012003648777422</v>
      </c>
      <c r="AF54" s="15">
        <v>0.83012003648777422</v>
      </c>
      <c r="AG54" s="14">
        <v>0.83012003648777422</v>
      </c>
      <c r="AH54" s="14">
        <v>0.83012003648777422</v>
      </c>
      <c r="AI54" s="13">
        <v>0.83012003648777422</v>
      </c>
      <c r="AJ54" s="13">
        <v>0.83012003648777422</v>
      </c>
      <c r="AK54" s="13">
        <v>0.83012003648777422</v>
      </c>
      <c r="AL54" s="13">
        <v>0.83012003648777422</v>
      </c>
      <c r="AM54" s="13">
        <v>0.83012003648777422</v>
      </c>
      <c r="AN54" s="13">
        <v>0.83012003648777422</v>
      </c>
      <c r="AO54" s="13">
        <v>0.83012003648777422</v>
      </c>
      <c r="AP54" s="13">
        <v>0.83012003648777422</v>
      </c>
      <c r="AQ54" s="13">
        <v>0.83012003648777422</v>
      </c>
      <c r="AR54" s="13">
        <v>0.83012003648777422</v>
      </c>
      <c r="AS54" s="13">
        <v>0.83012003648777422</v>
      </c>
      <c r="AT54" s="13">
        <v>0.83012003648777422</v>
      </c>
      <c r="AU54" s="13">
        <v>0.83012003648777422</v>
      </c>
      <c r="AV54" s="13">
        <v>0.83012003648777422</v>
      </c>
      <c r="AW54" s="13">
        <v>0.83012003648777422</v>
      </c>
      <c r="AX54" s="13">
        <v>0.83012003648777422</v>
      </c>
      <c r="AY54" s="13">
        <v>0.83012003648777422</v>
      </c>
      <c r="AZ54" s="13">
        <v>0.83012003648777422</v>
      </c>
      <c r="BA54" s="13">
        <v>0.83012003648777422</v>
      </c>
      <c r="BB54" s="13">
        <v>0.83012003648777422</v>
      </c>
      <c r="BC54" s="13">
        <v>0.83012003648777422</v>
      </c>
      <c r="BD54" s="13">
        <v>0.83012003648777422</v>
      </c>
      <c r="BE54" s="13">
        <v>0.83012003648777422</v>
      </c>
      <c r="BF54" s="13">
        <v>0.83012003648777422</v>
      </c>
      <c r="BG54" s="13">
        <v>0.83012003648777422</v>
      </c>
    </row>
    <row r="55" spans="1:59" ht="12" customHeight="1" x14ac:dyDescent="0.2">
      <c r="A55" s="1" t="s">
        <v>52</v>
      </c>
      <c r="B55" t="s">
        <v>45</v>
      </c>
      <c r="C55" s="10" t="s">
        <v>46</v>
      </c>
      <c r="D55" s="13">
        <v>0.75247524752475248</v>
      </c>
      <c r="E55" s="13">
        <v>0.75</v>
      </c>
      <c r="F55" s="13">
        <v>0.76</v>
      </c>
      <c r="G55" s="13">
        <v>0.77</v>
      </c>
      <c r="H55" s="13">
        <v>0.77</v>
      </c>
      <c r="I55" s="13">
        <v>0.78</v>
      </c>
      <c r="J55" s="13">
        <v>0.8</v>
      </c>
      <c r="K55" s="13">
        <v>0.79</v>
      </c>
      <c r="L55" s="14">
        <v>0.78</v>
      </c>
      <c r="M55" s="13">
        <v>0.77777777777777779</v>
      </c>
      <c r="N55" s="13">
        <v>0.77</v>
      </c>
      <c r="O55" s="13">
        <v>0.77227722772277219</v>
      </c>
      <c r="P55" s="13">
        <v>0.7722772277227723</v>
      </c>
      <c r="Q55" s="13">
        <v>0.77227722772277241</v>
      </c>
      <c r="R55" s="13">
        <v>0.77777777777777779</v>
      </c>
      <c r="S55" s="13">
        <v>0.77777777777777779</v>
      </c>
      <c r="T55" s="13">
        <v>0.79</v>
      </c>
      <c r="U55" s="13">
        <v>0.79</v>
      </c>
      <c r="V55" s="13">
        <v>0.8</v>
      </c>
      <c r="W55" s="13">
        <v>0.81</v>
      </c>
      <c r="X55" s="13">
        <v>0.82</v>
      </c>
      <c r="Y55" s="13">
        <v>0.82</v>
      </c>
      <c r="Z55" s="14">
        <v>0.83000000000000007</v>
      </c>
      <c r="AA55" s="14">
        <v>0.83</v>
      </c>
      <c r="AB55" s="14">
        <v>0.83</v>
      </c>
      <c r="AC55" s="14">
        <v>0.81</v>
      </c>
      <c r="AD55" s="14">
        <v>0.81</v>
      </c>
      <c r="AE55" s="14">
        <v>0.85</v>
      </c>
      <c r="AF55" s="15">
        <v>0.85</v>
      </c>
      <c r="AG55" s="14">
        <v>0.85</v>
      </c>
      <c r="AH55" s="14">
        <v>0.85</v>
      </c>
      <c r="AI55" s="13">
        <v>0.85</v>
      </c>
      <c r="AJ55" s="13">
        <v>0.85</v>
      </c>
      <c r="AK55" s="13">
        <v>0.85</v>
      </c>
      <c r="AL55" s="13">
        <v>0.85</v>
      </c>
      <c r="AM55" s="13">
        <v>0.85</v>
      </c>
      <c r="AN55" s="13">
        <v>0.85</v>
      </c>
      <c r="AO55" s="13">
        <v>0.85</v>
      </c>
      <c r="AP55" s="13">
        <v>0.85</v>
      </c>
      <c r="AQ55" s="13">
        <v>0.85</v>
      </c>
      <c r="AR55" s="13">
        <v>0.85</v>
      </c>
      <c r="AS55" s="13">
        <v>0.85</v>
      </c>
      <c r="AT55" s="13">
        <v>0.85</v>
      </c>
      <c r="AU55" s="13">
        <v>0.85</v>
      </c>
      <c r="AV55" s="13">
        <v>0.85</v>
      </c>
      <c r="AW55" s="13">
        <v>0.85</v>
      </c>
      <c r="AX55" s="13">
        <v>0.85</v>
      </c>
      <c r="AY55" s="13">
        <v>0.85</v>
      </c>
      <c r="AZ55" s="13">
        <v>0.85</v>
      </c>
      <c r="BA55" s="13">
        <v>0.85</v>
      </c>
      <c r="BB55" s="13">
        <v>0.85</v>
      </c>
      <c r="BC55" s="13">
        <v>0.85</v>
      </c>
      <c r="BD55" s="13">
        <v>0.85</v>
      </c>
      <c r="BE55" s="13">
        <v>0.85</v>
      </c>
      <c r="BF55" s="13">
        <v>0.85</v>
      </c>
      <c r="BG55" s="13">
        <v>0.85</v>
      </c>
    </row>
    <row r="56" spans="1:59" ht="12" customHeight="1" x14ac:dyDescent="0.2">
      <c r="A56" s="1" t="s">
        <v>53</v>
      </c>
      <c r="B56" t="s">
        <v>45</v>
      </c>
      <c r="C56" s="10" t="s">
        <v>46</v>
      </c>
      <c r="D56" s="13">
        <v>0.75247524752475248</v>
      </c>
      <c r="E56" s="13">
        <v>0.75</v>
      </c>
      <c r="F56" s="13">
        <v>0.76</v>
      </c>
      <c r="G56" s="13">
        <v>0.77000000000000013</v>
      </c>
      <c r="H56" s="13">
        <v>0.77</v>
      </c>
      <c r="I56" s="13">
        <v>0.78</v>
      </c>
      <c r="J56" s="13">
        <v>0.8</v>
      </c>
      <c r="K56" s="13">
        <v>0.78999999999999992</v>
      </c>
      <c r="L56" s="14">
        <v>0.77999999999999992</v>
      </c>
      <c r="M56" s="13">
        <v>0.77777777777777768</v>
      </c>
      <c r="N56" s="13">
        <v>0.77</v>
      </c>
      <c r="O56" s="13">
        <v>0.7722772277227723</v>
      </c>
      <c r="P56" s="13">
        <v>0.7722772277227723</v>
      </c>
      <c r="Q56" s="13">
        <v>0.7722772277227723</v>
      </c>
      <c r="R56" s="13">
        <v>0.77777777777777768</v>
      </c>
      <c r="S56" s="13">
        <v>0.77777777777777779</v>
      </c>
      <c r="T56" s="13">
        <v>0.78999999999999992</v>
      </c>
      <c r="U56" s="13">
        <v>0.79</v>
      </c>
      <c r="V56" s="13">
        <v>0.8</v>
      </c>
      <c r="W56" s="13">
        <v>0.80999999999999994</v>
      </c>
      <c r="X56" s="13">
        <v>0.82</v>
      </c>
      <c r="Y56" s="13">
        <v>0.82</v>
      </c>
      <c r="Z56" s="14">
        <v>0.83</v>
      </c>
      <c r="AA56" s="14">
        <v>0.83</v>
      </c>
      <c r="AB56" s="14">
        <v>0.83000000000000007</v>
      </c>
      <c r="AC56" s="14">
        <v>0.81</v>
      </c>
      <c r="AD56" s="14">
        <v>0.81</v>
      </c>
      <c r="AE56" s="14">
        <v>0.85</v>
      </c>
      <c r="AF56" s="15">
        <v>0.85</v>
      </c>
      <c r="AG56" s="14">
        <v>0.85</v>
      </c>
      <c r="AH56" s="14">
        <v>0.85</v>
      </c>
      <c r="AI56" s="13">
        <v>0.85</v>
      </c>
      <c r="AJ56" s="13">
        <v>0.85</v>
      </c>
      <c r="AK56" s="13">
        <v>0.85</v>
      </c>
      <c r="AL56" s="13">
        <v>0.85</v>
      </c>
      <c r="AM56" s="13">
        <v>0.85</v>
      </c>
      <c r="AN56" s="13">
        <v>0.85</v>
      </c>
      <c r="AO56" s="13">
        <v>0.85</v>
      </c>
      <c r="AP56" s="13">
        <v>0.85</v>
      </c>
      <c r="AQ56" s="13">
        <v>0.85</v>
      </c>
      <c r="AR56" s="13">
        <v>0.85</v>
      </c>
      <c r="AS56" s="13">
        <v>0.85</v>
      </c>
      <c r="AT56" s="13">
        <v>0.85</v>
      </c>
      <c r="AU56" s="13">
        <v>0.85</v>
      </c>
      <c r="AV56" s="13">
        <v>0.85</v>
      </c>
      <c r="AW56" s="13">
        <v>0.85</v>
      </c>
      <c r="AX56" s="13">
        <v>0.85</v>
      </c>
      <c r="AY56" s="13">
        <v>0.85</v>
      </c>
      <c r="AZ56" s="13">
        <v>0.85</v>
      </c>
      <c r="BA56" s="13">
        <v>0.85</v>
      </c>
      <c r="BB56" s="13">
        <v>0.85</v>
      </c>
      <c r="BC56" s="13">
        <v>0.85</v>
      </c>
      <c r="BD56" s="13">
        <v>0.85</v>
      </c>
      <c r="BE56" s="13">
        <v>0.85</v>
      </c>
      <c r="BF56" s="13">
        <v>0.85</v>
      </c>
      <c r="BG56" s="13">
        <v>0.85</v>
      </c>
    </row>
    <row r="57" spans="1:59" ht="12" customHeight="1" x14ac:dyDescent="0.2">
      <c r="A57" s="1" t="s">
        <v>54</v>
      </c>
      <c r="B57" t="s">
        <v>45</v>
      </c>
      <c r="C57" s="10" t="s">
        <v>46</v>
      </c>
      <c r="D57" s="13">
        <v>0.74894722753367715</v>
      </c>
      <c r="E57" s="13">
        <v>0.62465189899088958</v>
      </c>
      <c r="F57" s="13">
        <v>0.66324812063732219</v>
      </c>
      <c r="G57" s="13">
        <v>0.75326112771939058</v>
      </c>
      <c r="H57" s="13">
        <v>0.71058568699782076</v>
      </c>
      <c r="I57" s="13">
        <v>0.65351736729164911</v>
      </c>
      <c r="J57" s="13">
        <v>0.75534773546403644</v>
      </c>
      <c r="K57" s="13">
        <v>0.74012144884912112</v>
      </c>
      <c r="L57" s="14">
        <v>0.73469243692838249</v>
      </c>
      <c r="M57" s="13">
        <v>0.74832668551772796</v>
      </c>
      <c r="N57" s="13">
        <v>0.71829508847544898</v>
      </c>
      <c r="O57" s="13">
        <v>0.71392204675395332</v>
      </c>
      <c r="P57" s="13">
        <v>0.74333328349198946</v>
      </c>
      <c r="Q57" s="13">
        <v>0.74897765582054554</v>
      </c>
      <c r="R57" s="13">
        <v>0.75525406191320066</v>
      </c>
      <c r="S57" s="13">
        <v>0.67499257247147815</v>
      </c>
      <c r="T57" s="13">
        <v>0.72291938706056835</v>
      </c>
      <c r="U57" s="13">
        <v>0.7143824496220269</v>
      </c>
      <c r="V57" s="13">
        <v>0.78007927783900743</v>
      </c>
      <c r="W57" s="13">
        <v>0.70867665371949495</v>
      </c>
      <c r="X57" s="13">
        <v>0.74851778083871634</v>
      </c>
      <c r="Y57" s="13">
        <v>0.81041079500143931</v>
      </c>
      <c r="Z57" s="14">
        <v>0.79065805501920361</v>
      </c>
      <c r="AA57" s="14">
        <v>0.78127072404700248</v>
      </c>
      <c r="AB57" s="14">
        <v>0.72971486299985144</v>
      </c>
      <c r="AC57" s="14">
        <v>0.77718736035550051</v>
      </c>
      <c r="AD57" s="14">
        <v>0.748990819511549</v>
      </c>
      <c r="AE57" s="14">
        <v>0.77103854455349674</v>
      </c>
      <c r="AF57" s="15">
        <v>0.77103854455349674</v>
      </c>
      <c r="AG57" s="14">
        <v>0.77103854455349674</v>
      </c>
      <c r="AH57" s="14">
        <v>0.77103854455349674</v>
      </c>
      <c r="AI57" s="13">
        <v>0.77103854455349674</v>
      </c>
      <c r="AJ57" s="13">
        <v>0.77103854455349674</v>
      </c>
      <c r="AK57" s="13">
        <v>0.77103854455349674</v>
      </c>
      <c r="AL57" s="13">
        <v>0.77103854455349674</v>
      </c>
      <c r="AM57" s="13">
        <v>0.77103854455349674</v>
      </c>
      <c r="AN57" s="13">
        <v>0.77103854455349674</v>
      </c>
      <c r="AO57" s="13">
        <v>0.77103854455349674</v>
      </c>
      <c r="AP57" s="13">
        <v>0.77103854455349674</v>
      </c>
      <c r="AQ57" s="13">
        <v>0.77103854455349674</v>
      </c>
      <c r="AR57" s="13">
        <v>0.77103854455349674</v>
      </c>
      <c r="AS57" s="13">
        <v>0.77103854455349674</v>
      </c>
      <c r="AT57" s="13">
        <v>0.77103854455349674</v>
      </c>
      <c r="AU57" s="13">
        <v>0.77103854455349674</v>
      </c>
      <c r="AV57" s="13">
        <v>0.77103854455349674</v>
      </c>
      <c r="AW57" s="13">
        <v>0.77103854455349674</v>
      </c>
      <c r="AX57" s="13">
        <v>0.77103854455349674</v>
      </c>
      <c r="AY57" s="13">
        <v>0.77103854455349674</v>
      </c>
      <c r="AZ57" s="13">
        <v>0.77103854455349674</v>
      </c>
      <c r="BA57" s="13">
        <v>0.77103854455349674</v>
      </c>
      <c r="BB57" s="13">
        <v>0.77103854455349674</v>
      </c>
      <c r="BC57" s="13">
        <v>0.77103854455349674</v>
      </c>
      <c r="BD57" s="13">
        <v>0.77103854455349674</v>
      </c>
      <c r="BE57" s="13">
        <v>0.77103854455349674</v>
      </c>
      <c r="BF57" s="13">
        <v>0.77103854455349674</v>
      </c>
      <c r="BG57" s="13">
        <v>0.77103854455349674</v>
      </c>
    </row>
    <row r="58" spans="1:59" ht="12" customHeight="1" x14ac:dyDescent="0.2">
      <c r="A58" s="1" t="s">
        <v>55</v>
      </c>
      <c r="B58" t="s">
        <v>45</v>
      </c>
      <c r="C58" s="10" t="s">
        <v>46</v>
      </c>
      <c r="D58" s="13">
        <v>0.75247524752475248</v>
      </c>
      <c r="E58" s="13">
        <v>0.75</v>
      </c>
      <c r="F58" s="13">
        <v>0.7599999999999999</v>
      </c>
      <c r="G58" s="13">
        <v>0.77</v>
      </c>
      <c r="H58" s="13">
        <v>0.77</v>
      </c>
      <c r="I58" s="13">
        <v>0.77999999999999992</v>
      </c>
      <c r="J58" s="13">
        <v>0.8</v>
      </c>
      <c r="K58" s="13">
        <v>0.79</v>
      </c>
      <c r="L58" s="14">
        <v>0.78</v>
      </c>
      <c r="M58" s="13">
        <v>0.7777777777777779</v>
      </c>
      <c r="N58" s="13">
        <v>0.77</v>
      </c>
      <c r="O58" s="13">
        <v>0.7722772277227723</v>
      </c>
      <c r="P58" s="13">
        <v>0.7722772277227723</v>
      </c>
      <c r="Q58" s="13">
        <v>0.77227722772277219</v>
      </c>
      <c r="R58" s="13">
        <v>0.7777777777777779</v>
      </c>
      <c r="S58" s="13">
        <v>0.77777777777777779</v>
      </c>
      <c r="T58" s="13">
        <v>0.78999999999999992</v>
      </c>
      <c r="U58" s="13">
        <v>0.78999999999999992</v>
      </c>
      <c r="V58" s="13">
        <v>0.8</v>
      </c>
      <c r="W58" s="13">
        <v>0.81</v>
      </c>
      <c r="X58" s="13">
        <v>0.82</v>
      </c>
      <c r="Y58" s="13">
        <v>0.81999999999999984</v>
      </c>
      <c r="Z58" s="14">
        <v>0.83</v>
      </c>
      <c r="AA58" s="14">
        <v>0.83</v>
      </c>
      <c r="AB58" s="14">
        <v>0.83</v>
      </c>
      <c r="AC58" s="14">
        <v>0.81</v>
      </c>
      <c r="AD58" s="14">
        <v>0.81000000000000016</v>
      </c>
      <c r="AE58" s="14">
        <v>0.85</v>
      </c>
      <c r="AF58" s="15">
        <v>0.85</v>
      </c>
      <c r="AG58" s="14">
        <v>0.85</v>
      </c>
      <c r="AH58" s="14">
        <v>0.85</v>
      </c>
      <c r="AI58" s="13">
        <v>0.85</v>
      </c>
      <c r="AJ58" s="13">
        <v>0.85</v>
      </c>
      <c r="AK58" s="13">
        <v>0.85</v>
      </c>
      <c r="AL58" s="13">
        <v>0.85</v>
      </c>
      <c r="AM58" s="13">
        <v>0.85</v>
      </c>
      <c r="AN58" s="13">
        <v>0.85</v>
      </c>
      <c r="AO58" s="13">
        <v>0.85</v>
      </c>
      <c r="AP58" s="13">
        <v>0.85</v>
      </c>
      <c r="AQ58" s="13">
        <v>0.85</v>
      </c>
      <c r="AR58" s="13">
        <v>0.85</v>
      </c>
      <c r="AS58" s="13">
        <v>0.85</v>
      </c>
      <c r="AT58" s="13">
        <v>0.85</v>
      </c>
      <c r="AU58" s="13">
        <v>0.85</v>
      </c>
      <c r="AV58" s="13">
        <v>0.85</v>
      </c>
      <c r="AW58" s="13">
        <v>0.85</v>
      </c>
      <c r="AX58" s="13">
        <v>0.85</v>
      </c>
      <c r="AY58" s="13">
        <v>0.85</v>
      </c>
      <c r="AZ58" s="13">
        <v>0.85</v>
      </c>
      <c r="BA58" s="13">
        <v>0.85</v>
      </c>
      <c r="BB58" s="13">
        <v>0.85</v>
      </c>
      <c r="BC58" s="13">
        <v>0.85</v>
      </c>
      <c r="BD58" s="13">
        <v>0.85</v>
      </c>
      <c r="BE58" s="13">
        <v>0.85</v>
      </c>
      <c r="BF58" s="13">
        <v>0.85</v>
      </c>
      <c r="BG58" s="13">
        <v>0.85</v>
      </c>
    </row>
    <row r="59" spans="1:59" ht="12" customHeight="1" x14ac:dyDescent="0.2">
      <c r="A59" s="1" t="s">
        <v>56</v>
      </c>
      <c r="B59" t="s">
        <v>45</v>
      </c>
      <c r="C59" s="10" t="s">
        <v>46</v>
      </c>
      <c r="D59" s="13">
        <v>0.75247524752475248</v>
      </c>
      <c r="E59" s="13">
        <v>0.75</v>
      </c>
      <c r="F59" s="13">
        <v>0.76</v>
      </c>
      <c r="G59" s="13">
        <v>0.77000000000000013</v>
      </c>
      <c r="H59" s="13">
        <v>0.77</v>
      </c>
      <c r="I59" s="13">
        <v>0.77999999999999992</v>
      </c>
      <c r="J59" s="13">
        <v>0.8</v>
      </c>
      <c r="K59" s="13">
        <v>0.79</v>
      </c>
      <c r="L59" s="14">
        <v>0.78</v>
      </c>
      <c r="M59" s="13">
        <v>0.77777777777777768</v>
      </c>
      <c r="N59" s="13">
        <v>0.77</v>
      </c>
      <c r="O59" s="13">
        <v>0.7722772277227723</v>
      </c>
      <c r="P59" s="13">
        <v>0.7722772277227723</v>
      </c>
      <c r="Q59" s="13">
        <v>0.7722772277227723</v>
      </c>
      <c r="R59" s="13">
        <v>0.77777777777777779</v>
      </c>
      <c r="S59" s="13">
        <v>0.77777777777777768</v>
      </c>
      <c r="T59" s="13">
        <v>0.79</v>
      </c>
      <c r="U59" s="13">
        <v>0.79</v>
      </c>
      <c r="V59" s="13">
        <v>0.8</v>
      </c>
      <c r="W59" s="13">
        <v>0.81</v>
      </c>
      <c r="X59" s="13">
        <v>0.82000000000000006</v>
      </c>
      <c r="Y59" s="13">
        <v>0.82</v>
      </c>
      <c r="Z59" s="14">
        <v>0.83</v>
      </c>
      <c r="AA59" s="14">
        <v>0.83</v>
      </c>
      <c r="AB59" s="14">
        <v>0.83</v>
      </c>
      <c r="AC59" s="14">
        <v>0.80999999999999994</v>
      </c>
      <c r="AD59" s="14">
        <v>0.80999999999999994</v>
      </c>
      <c r="AE59" s="14">
        <v>0.85000000000000009</v>
      </c>
      <c r="AF59" s="15">
        <v>0.85000000000000009</v>
      </c>
      <c r="AG59" s="14">
        <v>0.85000000000000009</v>
      </c>
      <c r="AH59" s="14">
        <v>0.85000000000000009</v>
      </c>
      <c r="AI59" s="13">
        <v>0.85000000000000009</v>
      </c>
      <c r="AJ59" s="13">
        <v>0.85000000000000009</v>
      </c>
      <c r="AK59" s="13">
        <v>0.85000000000000009</v>
      </c>
      <c r="AL59" s="13">
        <v>0.85000000000000009</v>
      </c>
      <c r="AM59" s="13">
        <v>0.85000000000000009</v>
      </c>
      <c r="AN59" s="13">
        <v>0.85000000000000009</v>
      </c>
      <c r="AO59" s="13">
        <v>0.85000000000000009</v>
      </c>
      <c r="AP59" s="13">
        <v>0.85000000000000009</v>
      </c>
      <c r="AQ59" s="13">
        <v>0.85000000000000009</v>
      </c>
      <c r="AR59" s="13">
        <v>0.85000000000000009</v>
      </c>
      <c r="AS59" s="13">
        <v>0.85000000000000009</v>
      </c>
      <c r="AT59" s="13">
        <v>0.85000000000000009</v>
      </c>
      <c r="AU59" s="13">
        <v>0.85000000000000009</v>
      </c>
      <c r="AV59" s="13">
        <v>0.85000000000000009</v>
      </c>
      <c r="AW59" s="13">
        <v>0.85000000000000009</v>
      </c>
      <c r="AX59" s="13">
        <v>0.85000000000000009</v>
      </c>
      <c r="AY59" s="13">
        <v>0.85000000000000009</v>
      </c>
      <c r="AZ59" s="13">
        <v>0.85000000000000009</v>
      </c>
      <c r="BA59" s="13">
        <v>0.85000000000000009</v>
      </c>
      <c r="BB59" s="13">
        <v>0.85000000000000009</v>
      </c>
      <c r="BC59" s="13">
        <v>0.85000000000000009</v>
      </c>
      <c r="BD59" s="13">
        <v>0.85000000000000009</v>
      </c>
      <c r="BE59" s="13">
        <v>0.85000000000000009</v>
      </c>
      <c r="BF59" s="13">
        <v>0.85000000000000009</v>
      </c>
      <c r="BG59" s="13">
        <v>0.85000000000000009</v>
      </c>
    </row>
    <row r="60" spans="1:59" ht="12" customHeight="1" x14ac:dyDescent="0.2">
      <c r="A60" s="1" t="s">
        <v>57</v>
      </c>
      <c r="B60" t="s">
        <v>45</v>
      </c>
      <c r="C60" s="10" t="s">
        <v>46</v>
      </c>
      <c r="D60" s="13">
        <v>0.39441916092232626</v>
      </c>
      <c r="E60" s="13">
        <v>0.37528975926433078</v>
      </c>
      <c r="F60" s="13">
        <v>0.40772450407156902</v>
      </c>
      <c r="G60" s="13">
        <v>0.39710683554007148</v>
      </c>
      <c r="H60" s="13">
        <v>0.38671995715234608</v>
      </c>
      <c r="I60" s="13">
        <v>0.41604246688686258</v>
      </c>
      <c r="J60" s="13">
        <v>0.38741463688798661</v>
      </c>
      <c r="K60" s="13">
        <v>0.37425686368714728</v>
      </c>
      <c r="L60" s="14">
        <v>0.42030903925636298</v>
      </c>
      <c r="M60" s="13">
        <v>0.45778050478688009</v>
      </c>
      <c r="N60" s="13">
        <v>0.46239318137923796</v>
      </c>
      <c r="O60" s="13">
        <v>0.47569610591250722</v>
      </c>
      <c r="P60" s="13">
        <v>0.5651748566520145</v>
      </c>
      <c r="Q60" s="13">
        <v>0.54489492200868506</v>
      </c>
      <c r="R60" s="13">
        <v>0.51717059569341639</v>
      </c>
      <c r="S60" s="13">
        <v>0.57789670373080593</v>
      </c>
      <c r="T60" s="13">
        <v>0.63180425689836994</v>
      </c>
      <c r="U60" s="13">
        <v>0.63434497321928018</v>
      </c>
      <c r="V60" s="13">
        <v>0.67006088069254544</v>
      </c>
      <c r="W60" s="13">
        <v>0.65891141093991967</v>
      </c>
      <c r="X60" s="13">
        <v>0.71787178882291769</v>
      </c>
      <c r="Y60" s="13">
        <v>0.72364522996898639</v>
      </c>
      <c r="Z60" s="14">
        <v>0.72125301590726509</v>
      </c>
      <c r="AA60" s="14">
        <v>0.73181299032066216</v>
      </c>
      <c r="AB60" s="14">
        <v>0.71818503868608652</v>
      </c>
      <c r="AC60" s="14">
        <v>0.77489700670946471</v>
      </c>
      <c r="AD60" s="14">
        <v>0.78878976166171877</v>
      </c>
      <c r="AE60" s="14">
        <v>0.79783819811466739</v>
      </c>
      <c r="AF60" s="15">
        <v>0.79783819811466739</v>
      </c>
      <c r="AG60" s="14">
        <v>0.79783819811466739</v>
      </c>
      <c r="AH60" s="14">
        <v>0.79783819811466739</v>
      </c>
      <c r="AI60" s="13">
        <v>0.79783819811466739</v>
      </c>
      <c r="AJ60" s="13">
        <v>0.79783819811466739</v>
      </c>
      <c r="AK60" s="13">
        <v>0.79783819811466739</v>
      </c>
      <c r="AL60" s="13">
        <v>0.79783819811466739</v>
      </c>
      <c r="AM60" s="13">
        <v>0.79783819811466739</v>
      </c>
      <c r="AN60" s="13">
        <v>0.79783819811466739</v>
      </c>
      <c r="AO60" s="13">
        <v>0.79783819811466739</v>
      </c>
      <c r="AP60" s="13">
        <v>0.79783819811466739</v>
      </c>
      <c r="AQ60" s="13">
        <v>0.79783819811466739</v>
      </c>
      <c r="AR60" s="13">
        <v>0.79783819811466739</v>
      </c>
      <c r="AS60" s="13">
        <v>0.79783819811466739</v>
      </c>
      <c r="AT60" s="13">
        <v>0.79783819811466739</v>
      </c>
      <c r="AU60" s="13">
        <v>0.79783819811466739</v>
      </c>
      <c r="AV60" s="13">
        <v>0.79783819811466739</v>
      </c>
      <c r="AW60" s="13">
        <v>0.79783819811466739</v>
      </c>
      <c r="AX60" s="13">
        <v>0.79783819811466739</v>
      </c>
      <c r="AY60" s="13">
        <v>0.79783819811466739</v>
      </c>
      <c r="AZ60" s="13">
        <v>0.79783819811466739</v>
      </c>
      <c r="BA60" s="13">
        <v>0.79783819811466739</v>
      </c>
      <c r="BB60" s="13">
        <v>0.79783819811466739</v>
      </c>
      <c r="BC60" s="13">
        <v>0.79783819811466739</v>
      </c>
      <c r="BD60" s="13">
        <v>0.79783819811466739</v>
      </c>
      <c r="BE60" s="13">
        <v>0.79783819811466739</v>
      </c>
      <c r="BF60" s="13">
        <v>0.79783819811466739</v>
      </c>
      <c r="BG60" s="13">
        <v>0.79783819811466739</v>
      </c>
    </row>
    <row r="61" spans="1:59" ht="12" customHeight="1" x14ac:dyDescent="0.2">
      <c r="A61" s="1" t="s">
        <v>58</v>
      </c>
      <c r="B61" t="s">
        <v>45</v>
      </c>
      <c r="C61" s="10" t="s">
        <v>46</v>
      </c>
      <c r="D61" s="13">
        <v>0.65996199194374838</v>
      </c>
      <c r="E61" s="13">
        <v>0.66040071488770735</v>
      </c>
      <c r="F61" s="13">
        <v>0.68599930510176943</v>
      </c>
      <c r="G61" s="13">
        <v>0.67939596529946178</v>
      </c>
      <c r="H61" s="13">
        <v>0.75108208559805756</v>
      </c>
      <c r="I61" s="13">
        <v>0.72984962353353533</v>
      </c>
      <c r="J61" s="13">
        <v>0.77646013330281727</v>
      </c>
      <c r="K61" s="13">
        <v>0.77236276867504916</v>
      </c>
      <c r="L61" s="14">
        <v>0.74275477080083363</v>
      </c>
      <c r="M61" s="13">
        <v>0.72625863561548598</v>
      </c>
      <c r="N61" s="13">
        <v>0.74600017155249476</v>
      </c>
      <c r="O61" s="13">
        <v>0.75026723479365631</v>
      </c>
      <c r="P61" s="13">
        <v>0.63375097674728542</v>
      </c>
      <c r="Q61" s="13">
        <v>0.72234832720181641</v>
      </c>
      <c r="R61" s="13">
        <v>0.74521807548887586</v>
      </c>
      <c r="S61" s="13">
        <v>0.72700576646626802</v>
      </c>
      <c r="T61" s="13">
        <v>0.73426480455959264</v>
      </c>
      <c r="U61" s="13">
        <v>0.74868655470739431</v>
      </c>
      <c r="V61" s="13">
        <v>0.7868613473200663</v>
      </c>
      <c r="W61" s="13">
        <v>0.78951049079272806</v>
      </c>
      <c r="X61" s="13">
        <v>0.69213509759061242</v>
      </c>
      <c r="Y61" s="13">
        <v>0.70167371502259168</v>
      </c>
      <c r="Z61" s="14">
        <v>0.68147577766797474</v>
      </c>
      <c r="AA61" s="14">
        <v>0.69766151538958332</v>
      </c>
      <c r="AB61" s="14">
        <v>0.70678110547923556</v>
      </c>
      <c r="AC61" s="14">
        <v>0.74543621061305521</v>
      </c>
      <c r="AD61" s="14">
        <v>0.73803287763775383</v>
      </c>
      <c r="AE61" s="14">
        <v>0.73412300965158728</v>
      </c>
      <c r="AF61" s="15">
        <v>0.73412300965158728</v>
      </c>
      <c r="AG61" s="14">
        <v>0.73412300965158728</v>
      </c>
      <c r="AH61" s="14">
        <v>0.73412300965158728</v>
      </c>
      <c r="AI61" s="13">
        <v>0.73412300965158728</v>
      </c>
      <c r="AJ61" s="13">
        <v>0.73412300965158728</v>
      </c>
      <c r="AK61" s="13">
        <v>0.73412300965158728</v>
      </c>
      <c r="AL61" s="13">
        <v>0.73412300965158728</v>
      </c>
      <c r="AM61" s="13">
        <v>0.73412300965158728</v>
      </c>
      <c r="AN61" s="13">
        <v>0.73412300965158728</v>
      </c>
      <c r="AO61" s="13">
        <v>0.73412300965158728</v>
      </c>
      <c r="AP61" s="13">
        <v>0.73412300965158728</v>
      </c>
      <c r="AQ61" s="13">
        <v>0.73412300965158728</v>
      </c>
      <c r="AR61" s="13">
        <v>0.73412300965158728</v>
      </c>
      <c r="AS61" s="13">
        <v>0.73412300965158728</v>
      </c>
      <c r="AT61" s="13">
        <v>0.73412300965158728</v>
      </c>
      <c r="AU61" s="13">
        <v>0.73412300965158728</v>
      </c>
      <c r="AV61" s="13">
        <v>0.73412300965158728</v>
      </c>
      <c r="AW61" s="13">
        <v>0.73412300965158728</v>
      </c>
      <c r="AX61" s="13">
        <v>0.73412300965158728</v>
      </c>
      <c r="AY61" s="13">
        <v>0.73412300965158728</v>
      </c>
      <c r="AZ61" s="13">
        <v>0.73412300965158728</v>
      </c>
      <c r="BA61" s="13">
        <v>0.73412300965158728</v>
      </c>
      <c r="BB61" s="13">
        <v>0.73412300965158728</v>
      </c>
      <c r="BC61" s="13">
        <v>0.73412300965158728</v>
      </c>
      <c r="BD61" s="13">
        <v>0.73412300965158728</v>
      </c>
      <c r="BE61" s="13">
        <v>0.73412300965158728</v>
      </c>
      <c r="BF61" s="13">
        <v>0.73412300965158728</v>
      </c>
      <c r="BG61" s="13">
        <v>0.73412300965158728</v>
      </c>
    </row>
    <row r="62" spans="1:59" ht="12" customHeight="1" x14ac:dyDescent="0.2">
      <c r="A62" s="1" t="s">
        <v>59</v>
      </c>
      <c r="B62" t="s">
        <v>45</v>
      </c>
      <c r="C62" s="10" t="s">
        <v>46</v>
      </c>
      <c r="D62" s="13">
        <v>0.62703388474322552</v>
      </c>
      <c r="E62" s="13">
        <v>0.63177847281978505</v>
      </c>
      <c r="F62" s="13">
        <v>0.63883062877510666</v>
      </c>
      <c r="G62" s="13">
        <v>0.66899039400456228</v>
      </c>
      <c r="H62" s="13">
        <v>0.65169191376303326</v>
      </c>
      <c r="I62" s="13">
        <v>0.69907420511910889</v>
      </c>
      <c r="J62" s="13">
        <v>0.70854841830493231</v>
      </c>
      <c r="K62" s="13">
        <v>0.70726859444754808</v>
      </c>
      <c r="L62" s="14">
        <v>0.72527270103966845</v>
      </c>
      <c r="M62" s="13">
        <v>0.74549872769006253</v>
      </c>
      <c r="N62" s="13">
        <v>0.73725210610340275</v>
      </c>
      <c r="O62" s="13">
        <v>0.76088993823052098</v>
      </c>
      <c r="P62" s="13">
        <v>0.69692072263434079</v>
      </c>
      <c r="Q62" s="13">
        <v>0.68692131900147979</v>
      </c>
      <c r="R62" s="13">
        <v>0.7107814838226415</v>
      </c>
      <c r="S62" s="13">
        <v>0.71124266650686774</v>
      </c>
      <c r="T62" s="13">
        <v>0.70524444722490565</v>
      </c>
      <c r="U62" s="13">
        <v>0.69156438072145665</v>
      </c>
      <c r="V62" s="13">
        <v>0.68319266090038577</v>
      </c>
      <c r="W62" s="13">
        <v>0.66643703926704689</v>
      </c>
      <c r="X62" s="13">
        <v>0.69997681047079752</v>
      </c>
      <c r="Y62" s="13">
        <v>0.69464040811373307</v>
      </c>
      <c r="Z62" s="14">
        <v>0.67264273833225652</v>
      </c>
      <c r="AA62" s="14">
        <v>0.66700821730041482</v>
      </c>
      <c r="AB62" s="14">
        <v>0.62551101925257657</v>
      </c>
      <c r="AC62" s="14">
        <v>0.64970642829379666</v>
      </c>
      <c r="AD62" s="14">
        <v>0.61546698200176309</v>
      </c>
      <c r="AE62" s="14">
        <v>0.59293892121124925</v>
      </c>
      <c r="AF62" s="15">
        <v>0.59293892121124925</v>
      </c>
      <c r="AG62" s="14">
        <v>0.59293892121124925</v>
      </c>
      <c r="AH62" s="14">
        <v>0.59293892121124925</v>
      </c>
      <c r="AI62" s="13">
        <v>0.59293892121124925</v>
      </c>
      <c r="AJ62" s="13">
        <v>0.59293892121124925</v>
      </c>
      <c r="AK62" s="13">
        <v>0.59293892121124925</v>
      </c>
      <c r="AL62" s="13">
        <v>0.59293892121124925</v>
      </c>
      <c r="AM62" s="13">
        <v>0.59293892121124925</v>
      </c>
      <c r="AN62" s="13">
        <v>0.59293892121124925</v>
      </c>
      <c r="AO62" s="13">
        <v>0.59293892121124925</v>
      </c>
      <c r="AP62" s="13">
        <v>0.59293892121124925</v>
      </c>
      <c r="AQ62" s="13">
        <v>0.59293892121124925</v>
      </c>
      <c r="AR62" s="13">
        <v>0.59293892121124925</v>
      </c>
      <c r="AS62" s="13">
        <v>0.59293892121124925</v>
      </c>
      <c r="AT62" s="13">
        <v>0.59293892121124925</v>
      </c>
      <c r="AU62" s="13">
        <v>0.59293892121124925</v>
      </c>
      <c r="AV62" s="13">
        <v>0.59293892121124925</v>
      </c>
      <c r="AW62" s="13">
        <v>0.59293892121124925</v>
      </c>
      <c r="AX62" s="13">
        <v>0.59293892121124925</v>
      </c>
      <c r="AY62" s="13">
        <v>0.59293892121124925</v>
      </c>
      <c r="AZ62" s="13">
        <v>0.59293892121124925</v>
      </c>
      <c r="BA62" s="13">
        <v>0.59293892121124925</v>
      </c>
      <c r="BB62" s="13">
        <v>0.59293892121124925</v>
      </c>
      <c r="BC62" s="13">
        <v>0.59293892121124925</v>
      </c>
      <c r="BD62" s="13">
        <v>0.59293892121124925</v>
      </c>
      <c r="BE62" s="13">
        <v>0.59293892121124925</v>
      </c>
      <c r="BF62" s="13">
        <v>0.59293892121124925</v>
      </c>
      <c r="BG62" s="13">
        <v>0.59293892121124925</v>
      </c>
    </row>
    <row r="63" spans="1:59" ht="12" customHeight="1" x14ac:dyDescent="0.2">
      <c r="A63" s="1" t="s">
        <v>60</v>
      </c>
      <c r="B63" t="s">
        <v>45</v>
      </c>
      <c r="C63" s="10" t="s">
        <v>46</v>
      </c>
      <c r="D63" s="13">
        <v>0.75247524752475248</v>
      </c>
      <c r="E63" s="13">
        <v>0.75</v>
      </c>
      <c r="F63" s="13">
        <v>0.76</v>
      </c>
      <c r="G63" s="13">
        <v>0.77</v>
      </c>
      <c r="H63" s="13">
        <v>0.76999999999999991</v>
      </c>
      <c r="I63" s="13">
        <v>0.78</v>
      </c>
      <c r="J63" s="13">
        <v>0.79999999999999993</v>
      </c>
      <c r="K63" s="13">
        <v>0.78999999999999992</v>
      </c>
      <c r="L63" s="14">
        <v>0.78</v>
      </c>
      <c r="M63" s="13">
        <v>0.77777777777777779</v>
      </c>
      <c r="N63" s="13">
        <v>0.77</v>
      </c>
      <c r="O63" s="13">
        <v>0.7722772277227723</v>
      </c>
      <c r="P63" s="13">
        <v>0.7722772277227723</v>
      </c>
      <c r="Q63" s="13">
        <v>0.7722772277227723</v>
      </c>
      <c r="R63" s="13">
        <v>0.77777777777777768</v>
      </c>
      <c r="S63" s="13">
        <v>0.77777777777777779</v>
      </c>
      <c r="T63" s="13">
        <v>0.79</v>
      </c>
      <c r="U63" s="13">
        <v>0.79</v>
      </c>
      <c r="V63" s="13">
        <v>0.8</v>
      </c>
      <c r="W63" s="13">
        <v>0.81</v>
      </c>
      <c r="X63" s="13">
        <v>0.82</v>
      </c>
      <c r="Y63" s="13">
        <v>0.82</v>
      </c>
      <c r="Z63" s="14">
        <v>0.83</v>
      </c>
      <c r="AA63" s="14">
        <v>0.83</v>
      </c>
      <c r="AB63" s="14">
        <v>0.83</v>
      </c>
      <c r="AC63" s="14">
        <v>0.81</v>
      </c>
      <c r="AD63" s="14">
        <v>0.81</v>
      </c>
      <c r="AE63" s="14">
        <v>0.85000000000000009</v>
      </c>
      <c r="AF63" s="15">
        <v>0.85000000000000009</v>
      </c>
      <c r="AG63" s="14">
        <v>0.85000000000000009</v>
      </c>
      <c r="AH63" s="14">
        <v>0.85000000000000009</v>
      </c>
      <c r="AI63" s="13">
        <v>0.85000000000000009</v>
      </c>
      <c r="AJ63" s="13">
        <v>0.85000000000000009</v>
      </c>
      <c r="AK63" s="13">
        <v>0.85000000000000009</v>
      </c>
      <c r="AL63" s="13">
        <v>0.85000000000000009</v>
      </c>
      <c r="AM63" s="13">
        <v>0.85000000000000009</v>
      </c>
      <c r="AN63" s="13">
        <v>0.85000000000000009</v>
      </c>
      <c r="AO63" s="13">
        <v>0.85000000000000009</v>
      </c>
      <c r="AP63" s="13">
        <v>0.85000000000000009</v>
      </c>
      <c r="AQ63" s="13">
        <v>0.85000000000000009</v>
      </c>
      <c r="AR63" s="13">
        <v>0.85000000000000009</v>
      </c>
      <c r="AS63" s="13">
        <v>0.85000000000000009</v>
      </c>
      <c r="AT63" s="13">
        <v>0.85000000000000009</v>
      </c>
      <c r="AU63" s="13">
        <v>0.85000000000000009</v>
      </c>
      <c r="AV63" s="13">
        <v>0.85000000000000009</v>
      </c>
      <c r="AW63" s="13">
        <v>0.85000000000000009</v>
      </c>
      <c r="AX63" s="13">
        <v>0.85000000000000009</v>
      </c>
      <c r="AY63" s="13">
        <v>0.85000000000000009</v>
      </c>
      <c r="AZ63" s="13">
        <v>0.85000000000000009</v>
      </c>
      <c r="BA63" s="13">
        <v>0.85000000000000009</v>
      </c>
      <c r="BB63" s="13">
        <v>0.85000000000000009</v>
      </c>
      <c r="BC63" s="13">
        <v>0.85000000000000009</v>
      </c>
      <c r="BD63" s="13">
        <v>0.85000000000000009</v>
      </c>
      <c r="BE63" s="13">
        <v>0.85000000000000009</v>
      </c>
      <c r="BF63" s="13">
        <v>0.85000000000000009</v>
      </c>
      <c r="BG63" s="13">
        <v>0.85000000000000009</v>
      </c>
    </row>
    <row r="64" spans="1:59" ht="12" customHeight="1" x14ac:dyDescent="0.2">
      <c r="A64" s="1" t="s">
        <v>61</v>
      </c>
      <c r="B64" t="s">
        <v>45</v>
      </c>
      <c r="C64" s="10" t="s">
        <v>46</v>
      </c>
      <c r="D64" s="13">
        <v>0.67890778001790086</v>
      </c>
      <c r="E64" s="13">
        <v>0.66570751415718743</v>
      </c>
      <c r="F64" s="13">
        <v>0.69762386299086376</v>
      </c>
      <c r="G64" s="13">
        <v>0.73179931668317777</v>
      </c>
      <c r="H64" s="13">
        <v>0.73514028594472181</v>
      </c>
      <c r="I64" s="13">
        <v>0.74046137627260966</v>
      </c>
      <c r="J64" s="13">
        <v>0.72772597574929032</v>
      </c>
      <c r="K64" s="13">
        <v>0.74081069699453173</v>
      </c>
      <c r="L64" s="14">
        <v>0.72176195710182089</v>
      </c>
      <c r="M64" s="13">
        <v>0.72428896267126519</v>
      </c>
      <c r="N64" s="13">
        <v>0.69589545667549824</v>
      </c>
      <c r="O64" s="13">
        <v>0.68812927619602093</v>
      </c>
      <c r="P64" s="13">
        <v>0.73239982632610123</v>
      </c>
      <c r="Q64" s="13">
        <v>0.72397034395971271</v>
      </c>
      <c r="R64" s="13">
        <v>0.73348819728274195</v>
      </c>
      <c r="S64" s="13">
        <v>0.69333927513645</v>
      </c>
      <c r="T64" s="13">
        <v>0.70405603505648084</v>
      </c>
      <c r="U64" s="13">
        <v>0.69730464063586028</v>
      </c>
      <c r="V64" s="13">
        <v>0.70013086873947861</v>
      </c>
      <c r="W64" s="13">
        <v>0.74681778708449242</v>
      </c>
      <c r="X64" s="13">
        <v>0.77650846511121496</v>
      </c>
      <c r="Y64" s="13">
        <v>0.77598886099971687</v>
      </c>
      <c r="Z64" s="14">
        <v>0.79901464700048452</v>
      </c>
      <c r="AA64" s="14">
        <v>0.80808497529644363</v>
      </c>
      <c r="AB64" s="14">
        <v>0.80587110284608232</v>
      </c>
      <c r="AC64" s="14">
        <v>0.80504622982699992</v>
      </c>
      <c r="AD64" s="14">
        <v>0.83516439526331165</v>
      </c>
      <c r="AE64" s="14">
        <v>0.86147357476823716</v>
      </c>
      <c r="AF64" s="15">
        <v>0.86147357476823716</v>
      </c>
      <c r="AG64" s="14">
        <v>0.86147357476823716</v>
      </c>
      <c r="AH64" s="14">
        <v>0.86147357476823716</v>
      </c>
      <c r="AI64" s="13">
        <v>0.86147357476823716</v>
      </c>
      <c r="AJ64" s="13">
        <v>0.86147357476823716</v>
      </c>
      <c r="AK64" s="13">
        <v>0.86147357476823716</v>
      </c>
      <c r="AL64" s="13">
        <v>0.86147357476823716</v>
      </c>
      <c r="AM64" s="13">
        <v>0.86147357476823716</v>
      </c>
      <c r="AN64" s="13">
        <v>0.86147357476823716</v>
      </c>
      <c r="AO64" s="13">
        <v>0.86147357476823716</v>
      </c>
      <c r="AP64" s="13">
        <v>0.86147357476823716</v>
      </c>
      <c r="AQ64" s="13">
        <v>0.86147357476823716</v>
      </c>
      <c r="AR64" s="13">
        <v>0.86147357476823716</v>
      </c>
      <c r="AS64" s="13">
        <v>0.86147357476823716</v>
      </c>
      <c r="AT64" s="13">
        <v>0.86147357476823716</v>
      </c>
      <c r="AU64" s="13">
        <v>0.86147357476823716</v>
      </c>
      <c r="AV64" s="13">
        <v>0.86147357476823716</v>
      </c>
      <c r="AW64" s="13">
        <v>0.86147357476823716</v>
      </c>
      <c r="AX64" s="13">
        <v>0.86147357476823716</v>
      </c>
      <c r="AY64" s="13">
        <v>0.86147357476823716</v>
      </c>
      <c r="AZ64" s="13">
        <v>0.86147357476823716</v>
      </c>
      <c r="BA64" s="13">
        <v>0.86147357476823716</v>
      </c>
      <c r="BB64" s="13">
        <v>0.86147357476823716</v>
      </c>
      <c r="BC64" s="13">
        <v>0.86147357476823716</v>
      </c>
      <c r="BD64" s="13">
        <v>0.86147357476823716</v>
      </c>
      <c r="BE64" s="13">
        <v>0.86147357476823716</v>
      </c>
      <c r="BF64" s="13">
        <v>0.86147357476823716</v>
      </c>
      <c r="BG64" s="13">
        <v>0.86147357476823716</v>
      </c>
    </row>
    <row r="65" spans="1:59" ht="12" customHeight="1" x14ac:dyDescent="0.2">
      <c r="A65" s="1" t="s">
        <v>44</v>
      </c>
      <c r="B65" t="s">
        <v>45</v>
      </c>
      <c r="C65" s="10" t="s">
        <v>62</v>
      </c>
      <c r="D65" s="13">
        <v>0.19801980198019803</v>
      </c>
      <c r="E65" s="13">
        <v>0.19</v>
      </c>
      <c r="F65" s="13">
        <v>0.18</v>
      </c>
      <c r="G65" s="13">
        <v>0.16999999999999998</v>
      </c>
      <c r="H65" s="13">
        <v>0.16999999999999998</v>
      </c>
      <c r="I65" s="13">
        <v>0.16</v>
      </c>
      <c r="J65" s="13">
        <v>0.14000000000000001</v>
      </c>
      <c r="K65" s="13">
        <v>0.14000000000000001</v>
      </c>
      <c r="L65" s="14">
        <v>0.11999999999999998</v>
      </c>
      <c r="M65" s="13">
        <v>0.11111111111111112</v>
      </c>
      <c r="N65" s="13">
        <v>0.1</v>
      </c>
      <c r="O65" s="13">
        <v>8.9108910891089105E-2</v>
      </c>
      <c r="P65" s="13">
        <v>8.9108910891089105E-2</v>
      </c>
      <c r="Q65" s="13">
        <v>7.9207920792079195E-2</v>
      </c>
      <c r="R65" s="13">
        <v>7.0707070707070704E-2</v>
      </c>
      <c r="S65" s="13">
        <v>7.0707070707070704E-2</v>
      </c>
      <c r="T65" s="13">
        <v>6.0000000000000005E-2</v>
      </c>
      <c r="U65" s="13">
        <v>5.9999999999999984E-2</v>
      </c>
      <c r="V65" s="13">
        <v>0.06</v>
      </c>
      <c r="W65" s="13">
        <v>4.9999999999999989E-2</v>
      </c>
      <c r="X65" s="13">
        <v>5.000000000000001E-2</v>
      </c>
      <c r="Y65" s="13">
        <v>0.05</v>
      </c>
      <c r="Z65" s="14">
        <v>0.05</v>
      </c>
      <c r="AA65" s="14">
        <v>0.05</v>
      </c>
      <c r="AB65" s="14">
        <v>4.9999999999999996E-2</v>
      </c>
      <c r="AC65" s="14">
        <v>6.9999999999999993E-2</v>
      </c>
      <c r="AD65" s="14">
        <v>7.0000000000000007E-2</v>
      </c>
      <c r="AE65" s="14">
        <v>5.9999999999999991E-2</v>
      </c>
      <c r="AF65" s="15">
        <v>5.9999999999999991E-2</v>
      </c>
      <c r="AG65" s="14">
        <v>5.9999999999999991E-2</v>
      </c>
      <c r="AH65" s="14">
        <v>5.9999999999999991E-2</v>
      </c>
      <c r="AI65" s="13">
        <v>5.9999999999999991E-2</v>
      </c>
      <c r="AJ65" s="13">
        <v>5.9999999999999991E-2</v>
      </c>
      <c r="AK65" s="13">
        <v>5.9999999999999991E-2</v>
      </c>
      <c r="AL65" s="13">
        <v>5.9999999999999991E-2</v>
      </c>
      <c r="AM65" s="13">
        <v>5.9999999999999991E-2</v>
      </c>
      <c r="AN65" s="13">
        <v>5.9999999999999991E-2</v>
      </c>
      <c r="AO65" s="13">
        <v>5.9999999999999991E-2</v>
      </c>
      <c r="AP65" s="13">
        <v>5.9999999999999991E-2</v>
      </c>
      <c r="AQ65" s="13">
        <v>5.9999999999999991E-2</v>
      </c>
      <c r="AR65" s="13">
        <v>5.9999999999999991E-2</v>
      </c>
      <c r="AS65" s="13">
        <v>5.9999999999999991E-2</v>
      </c>
      <c r="AT65" s="13">
        <v>5.9999999999999991E-2</v>
      </c>
      <c r="AU65" s="13">
        <v>5.9999999999999991E-2</v>
      </c>
      <c r="AV65" s="13">
        <v>5.9999999999999991E-2</v>
      </c>
      <c r="AW65" s="13">
        <v>5.9999999999999991E-2</v>
      </c>
      <c r="AX65" s="13">
        <v>5.9999999999999991E-2</v>
      </c>
      <c r="AY65" s="13">
        <v>5.9999999999999991E-2</v>
      </c>
      <c r="AZ65" s="13">
        <v>5.9999999999999991E-2</v>
      </c>
      <c r="BA65" s="13">
        <v>5.9999999999999991E-2</v>
      </c>
      <c r="BB65" s="13">
        <v>5.9999999999999991E-2</v>
      </c>
      <c r="BC65" s="13">
        <v>5.9999999999999991E-2</v>
      </c>
      <c r="BD65" s="13">
        <v>5.9999999999999991E-2</v>
      </c>
      <c r="BE65" s="13">
        <v>5.9999999999999991E-2</v>
      </c>
      <c r="BF65" s="13">
        <v>5.9999999999999991E-2</v>
      </c>
      <c r="BG65" s="13">
        <v>5.9999999999999991E-2</v>
      </c>
    </row>
    <row r="66" spans="1:59" ht="12" customHeight="1" x14ac:dyDescent="0.2">
      <c r="A66" s="1" t="s">
        <v>47</v>
      </c>
      <c r="B66" t="s">
        <v>45</v>
      </c>
      <c r="C66" s="10" t="s">
        <v>62</v>
      </c>
      <c r="D66" s="13">
        <v>0.19801980198019806</v>
      </c>
      <c r="E66" s="13">
        <v>0.19000000000000003</v>
      </c>
      <c r="F66" s="13">
        <v>0.18</v>
      </c>
      <c r="G66" s="13">
        <v>0.17</v>
      </c>
      <c r="H66" s="13">
        <v>0.17</v>
      </c>
      <c r="I66" s="13">
        <v>0.16000000000000003</v>
      </c>
      <c r="J66" s="13">
        <v>0.14000000000000001</v>
      </c>
      <c r="K66" s="13">
        <v>0.14000000000000001</v>
      </c>
      <c r="L66" s="14">
        <v>0.11999999999999997</v>
      </c>
      <c r="M66" s="13">
        <v>0.11111111111111112</v>
      </c>
      <c r="N66" s="13">
        <v>0.1</v>
      </c>
      <c r="O66" s="13">
        <v>8.9108910891089105E-2</v>
      </c>
      <c r="P66" s="13">
        <v>8.9108910891089105E-2</v>
      </c>
      <c r="Q66" s="13">
        <v>7.9207920792079209E-2</v>
      </c>
      <c r="R66" s="13">
        <v>7.0707070707070704E-2</v>
      </c>
      <c r="S66" s="13">
        <v>7.0707070707070718E-2</v>
      </c>
      <c r="T66" s="13">
        <v>0.06</v>
      </c>
      <c r="U66" s="13">
        <v>0.06</v>
      </c>
      <c r="V66" s="13">
        <v>0.06</v>
      </c>
      <c r="W66" s="13">
        <v>4.9999999999999996E-2</v>
      </c>
      <c r="X66" s="13">
        <v>0.05</v>
      </c>
      <c r="Y66" s="13">
        <v>0.05</v>
      </c>
      <c r="Z66" s="14">
        <v>0.05</v>
      </c>
      <c r="AA66" s="14">
        <v>0.05</v>
      </c>
      <c r="AB66" s="14">
        <v>5.000000000000001E-2</v>
      </c>
      <c r="AC66" s="14">
        <v>6.9999999999999993E-2</v>
      </c>
      <c r="AD66" s="14">
        <v>7.0000000000000007E-2</v>
      </c>
      <c r="AE66" s="14">
        <v>0.06</v>
      </c>
      <c r="AF66" s="15">
        <v>0.06</v>
      </c>
      <c r="AG66" s="14">
        <v>0.06</v>
      </c>
      <c r="AH66" s="14">
        <v>0.06</v>
      </c>
      <c r="AI66" s="13">
        <v>0.06</v>
      </c>
      <c r="AJ66" s="13">
        <v>0.06</v>
      </c>
      <c r="AK66" s="13">
        <v>0.06</v>
      </c>
      <c r="AL66" s="13">
        <v>0.06</v>
      </c>
      <c r="AM66" s="13">
        <v>0.06</v>
      </c>
      <c r="AN66" s="13">
        <v>0.06</v>
      </c>
      <c r="AO66" s="13">
        <v>0.06</v>
      </c>
      <c r="AP66" s="13">
        <v>0.06</v>
      </c>
      <c r="AQ66" s="13">
        <v>0.06</v>
      </c>
      <c r="AR66" s="13">
        <v>0.06</v>
      </c>
      <c r="AS66" s="13">
        <v>0.06</v>
      </c>
      <c r="AT66" s="13">
        <v>0.06</v>
      </c>
      <c r="AU66" s="13">
        <v>0.06</v>
      </c>
      <c r="AV66" s="13">
        <v>0.06</v>
      </c>
      <c r="AW66" s="13">
        <v>0.06</v>
      </c>
      <c r="AX66" s="13">
        <v>0.06</v>
      </c>
      <c r="AY66" s="13">
        <v>0.06</v>
      </c>
      <c r="AZ66" s="13">
        <v>0.06</v>
      </c>
      <c r="BA66" s="13">
        <v>0.06</v>
      </c>
      <c r="BB66" s="13">
        <v>0.06</v>
      </c>
      <c r="BC66" s="13">
        <v>0.06</v>
      </c>
      <c r="BD66" s="13">
        <v>0.06</v>
      </c>
      <c r="BE66" s="13">
        <v>0.06</v>
      </c>
      <c r="BF66" s="13">
        <v>0.06</v>
      </c>
      <c r="BG66" s="13">
        <v>0.06</v>
      </c>
    </row>
    <row r="67" spans="1:59" ht="12" customHeight="1" x14ac:dyDescent="0.2">
      <c r="A67" s="1" t="s">
        <v>48</v>
      </c>
      <c r="B67" t="s">
        <v>45</v>
      </c>
      <c r="C67" s="10" t="s">
        <v>62</v>
      </c>
      <c r="D67" s="13">
        <v>0.19801980198019806</v>
      </c>
      <c r="E67" s="13">
        <v>0.19</v>
      </c>
      <c r="F67" s="13">
        <v>0.18</v>
      </c>
      <c r="G67" s="13">
        <v>0.17</v>
      </c>
      <c r="H67" s="13">
        <v>0.16999999999999998</v>
      </c>
      <c r="I67" s="13">
        <v>0.16</v>
      </c>
      <c r="J67" s="13">
        <v>0.14000000000000001</v>
      </c>
      <c r="K67" s="13">
        <v>0.14000000000000001</v>
      </c>
      <c r="L67" s="14">
        <v>0.11999999999999997</v>
      </c>
      <c r="M67" s="13">
        <v>0.1111111111111111</v>
      </c>
      <c r="N67" s="13">
        <v>0.10000000000000002</v>
      </c>
      <c r="O67" s="13">
        <v>8.9108910891089091E-2</v>
      </c>
      <c r="P67" s="13">
        <v>8.9108910891089105E-2</v>
      </c>
      <c r="Q67" s="13">
        <v>7.9207920792079209E-2</v>
      </c>
      <c r="R67" s="13">
        <v>7.0707070707070704E-2</v>
      </c>
      <c r="S67" s="13">
        <v>7.0707070707070718E-2</v>
      </c>
      <c r="T67" s="13">
        <v>0.06</v>
      </c>
      <c r="U67" s="13">
        <v>0.06</v>
      </c>
      <c r="V67" s="13">
        <v>5.9999999999999991E-2</v>
      </c>
      <c r="W67" s="13">
        <v>0.05</v>
      </c>
      <c r="X67" s="13">
        <v>0.05</v>
      </c>
      <c r="Y67" s="13">
        <v>5.000000000000001E-2</v>
      </c>
      <c r="Z67" s="14">
        <v>5.000000000000001E-2</v>
      </c>
      <c r="AA67" s="14">
        <v>0.05</v>
      </c>
      <c r="AB67" s="14">
        <v>0.05</v>
      </c>
      <c r="AC67" s="14">
        <v>7.0000000000000021E-2</v>
      </c>
      <c r="AD67" s="14">
        <v>7.0000000000000007E-2</v>
      </c>
      <c r="AE67" s="14">
        <v>6.0000000000000005E-2</v>
      </c>
      <c r="AF67" s="15">
        <v>6.0000000000000005E-2</v>
      </c>
      <c r="AG67" s="14">
        <v>6.0000000000000005E-2</v>
      </c>
      <c r="AH67" s="14">
        <v>6.0000000000000005E-2</v>
      </c>
      <c r="AI67" s="13">
        <v>6.0000000000000005E-2</v>
      </c>
      <c r="AJ67" s="13">
        <v>6.0000000000000005E-2</v>
      </c>
      <c r="AK67" s="13">
        <v>6.0000000000000005E-2</v>
      </c>
      <c r="AL67" s="13">
        <v>6.0000000000000005E-2</v>
      </c>
      <c r="AM67" s="13">
        <v>6.0000000000000005E-2</v>
      </c>
      <c r="AN67" s="13">
        <v>6.0000000000000005E-2</v>
      </c>
      <c r="AO67" s="13">
        <v>6.0000000000000005E-2</v>
      </c>
      <c r="AP67" s="13">
        <v>6.0000000000000005E-2</v>
      </c>
      <c r="AQ67" s="13">
        <v>6.0000000000000005E-2</v>
      </c>
      <c r="AR67" s="13">
        <v>6.0000000000000005E-2</v>
      </c>
      <c r="AS67" s="13">
        <v>6.0000000000000005E-2</v>
      </c>
      <c r="AT67" s="13">
        <v>6.0000000000000005E-2</v>
      </c>
      <c r="AU67" s="13">
        <v>6.0000000000000005E-2</v>
      </c>
      <c r="AV67" s="13">
        <v>6.0000000000000005E-2</v>
      </c>
      <c r="AW67" s="13">
        <v>6.0000000000000005E-2</v>
      </c>
      <c r="AX67" s="13">
        <v>6.0000000000000005E-2</v>
      </c>
      <c r="AY67" s="13">
        <v>6.0000000000000005E-2</v>
      </c>
      <c r="AZ67" s="13">
        <v>6.0000000000000005E-2</v>
      </c>
      <c r="BA67" s="13">
        <v>6.0000000000000005E-2</v>
      </c>
      <c r="BB67" s="13">
        <v>6.0000000000000005E-2</v>
      </c>
      <c r="BC67" s="13">
        <v>6.0000000000000005E-2</v>
      </c>
      <c r="BD67" s="13">
        <v>6.0000000000000005E-2</v>
      </c>
      <c r="BE67" s="13">
        <v>6.0000000000000005E-2</v>
      </c>
      <c r="BF67" s="13">
        <v>6.0000000000000005E-2</v>
      </c>
      <c r="BG67" s="13">
        <v>6.0000000000000005E-2</v>
      </c>
    </row>
    <row r="68" spans="1:59" ht="12" customHeight="1" x14ac:dyDescent="0.2">
      <c r="A68" s="1" t="s">
        <v>49</v>
      </c>
      <c r="B68" t="s">
        <v>45</v>
      </c>
      <c r="C68" s="10" t="s">
        <v>62</v>
      </c>
      <c r="D68" s="13">
        <v>0.16689757447588688</v>
      </c>
      <c r="E68" s="13">
        <v>0.16173809885919649</v>
      </c>
      <c r="F68" s="13">
        <v>0.16863028653972245</v>
      </c>
      <c r="G68" s="13">
        <v>0.15524366853576449</v>
      </c>
      <c r="H68" s="13">
        <v>0.15624664506705863</v>
      </c>
      <c r="I68" s="13">
        <v>0.14683875947146696</v>
      </c>
      <c r="J68" s="13">
        <v>0.10725607431741438</v>
      </c>
      <c r="K68" s="13">
        <v>9.5656448664998187E-2</v>
      </c>
      <c r="L68" s="14">
        <v>8.3252759450761493E-2</v>
      </c>
      <c r="M68" s="13">
        <v>7.3100661870027242E-2</v>
      </c>
      <c r="N68" s="13">
        <v>6.4691641512877276E-2</v>
      </c>
      <c r="O68" s="13">
        <v>4.9516014919972054E-2</v>
      </c>
      <c r="P68" s="13">
        <v>4.1759423571210347E-2</v>
      </c>
      <c r="Q68" s="13">
        <v>3.4779382495282903E-2</v>
      </c>
      <c r="R68" s="13">
        <v>3.3288497992517103E-2</v>
      </c>
      <c r="S68" s="13">
        <v>3.5052229728233179E-2</v>
      </c>
      <c r="T68" s="13">
        <v>3.0113932805364764E-2</v>
      </c>
      <c r="U68" s="13">
        <v>3.1133241557899163E-2</v>
      </c>
      <c r="V68" s="13">
        <v>2.9326273371537179E-2</v>
      </c>
      <c r="W68" s="13">
        <v>2.6673486559948025E-2</v>
      </c>
      <c r="X68" s="13">
        <v>2.2821160966561681E-2</v>
      </c>
      <c r="Y68" s="13">
        <v>2.3640388108743658E-2</v>
      </c>
      <c r="Z68" s="14">
        <v>2.3262210922097324E-2</v>
      </c>
      <c r="AA68" s="14">
        <v>2.5278862806822372E-2</v>
      </c>
      <c r="AB68" s="14">
        <v>2.4965928032704553E-2</v>
      </c>
      <c r="AC68" s="14">
        <v>3.6842709395114741E-2</v>
      </c>
      <c r="AD68" s="14">
        <v>3.4363456014428334E-2</v>
      </c>
      <c r="AE68" s="14">
        <v>3.6749755216965406E-2</v>
      </c>
      <c r="AF68" s="15">
        <v>3.6749755216965406E-2</v>
      </c>
      <c r="AG68" s="14">
        <v>3.6749755216965406E-2</v>
      </c>
      <c r="AH68" s="14">
        <v>3.6749755216965406E-2</v>
      </c>
      <c r="AI68" s="13">
        <v>3.6749755216965406E-2</v>
      </c>
      <c r="AJ68" s="13">
        <v>3.6749755216965406E-2</v>
      </c>
      <c r="AK68" s="13">
        <v>3.6749755216965406E-2</v>
      </c>
      <c r="AL68" s="13">
        <v>3.6749755216965406E-2</v>
      </c>
      <c r="AM68" s="13">
        <v>3.6749755216965406E-2</v>
      </c>
      <c r="AN68" s="13">
        <v>3.6749755216965406E-2</v>
      </c>
      <c r="AO68" s="13">
        <v>3.6749755216965406E-2</v>
      </c>
      <c r="AP68" s="13">
        <v>3.6749755216965406E-2</v>
      </c>
      <c r="AQ68" s="13">
        <v>3.6749755216965406E-2</v>
      </c>
      <c r="AR68" s="13">
        <v>3.6749755216965406E-2</v>
      </c>
      <c r="AS68" s="13">
        <v>3.6749755216965406E-2</v>
      </c>
      <c r="AT68" s="13">
        <v>3.6749755216965406E-2</v>
      </c>
      <c r="AU68" s="13">
        <v>3.6749755216965406E-2</v>
      </c>
      <c r="AV68" s="13">
        <v>3.6749755216965406E-2</v>
      </c>
      <c r="AW68" s="13">
        <v>3.6749755216965406E-2</v>
      </c>
      <c r="AX68" s="13">
        <v>3.6749755216965406E-2</v>
      </c>
      <c r="AY68" s="13">
        <v>3.6749755216965406E-2</v>
      </c>
      <c r="AZ68" s="13">
        <v>3.6749755216965406E-2</v>
      </c>
      <c r="BA68" s="13">
        <v>3.6749755216965406E-2</v>
      </c>
      <c r="BB68" s="13">
        <v>3.6749755216965406E-2</v>
      </c>
      <c r="BC68" s="13">
        <v>3.6749755216965406E-2</v>
      </c>
      <c r="BD68" s="13">
        <v>3.6749755216965406E-2</v>
      </c>
      <c r="BE68" s="13">
        <v>3.6749755216965406E-2</v>
      </c>
      <c r="BF68" s="13">
        <v>3.6749755216965406E-2</v>
      </c>
      <c r="BG68" s="13">
        <v>3.6749755216965406E-2</v>
      </c>
    </row>
    <row r="69" spans="1:59" ht="12" customHeight="1" x14ac:dyDescent="0.2">
      <c r="A69" s="1" t="s">
        <v>50</v>
      </c>
      <c r="B69" t="s">
        <v>45</v>
      </c>
      <c r="C69" s="10" t="s">
        <v>62</v>
      </c>
      <c r="D69" s="13">
        <v>0.198019801980198</v>
      </c>
      <c r="E69" s="13">
        <v>0.19</v>
      </c>
      <c r="F69" s="13">
        <v>0.18</v>
      </c>
      <c r="G69" s="13">
        <v>0.16999999999999998</v>
      </c>
      <c r="H69" s="13">
        <v>0.16999999999999998</v>
      </c>
      <c r="I69" s="13">
        <v>0.16</v>
      </c>
      <c r="J69" s="13">
        <v>0.14000000000000001</v>
      </c>
      <c r="K69" s="13">
        <v>0.14000000000000001</v>
      </c>
      <c r="L69" s="14">
        <v>0.12</v>
      </c>
      <c r="M69" s="13">
        <v>0.11111111111111112</v>
      </c>
      <c r="N69" s="13">
        <v>0.1</v>
      </c>
      <c r="O69" s="13">
        <v>8.9108910891089105E-2</v>
      </c>
      <c r="P69" s="13">
        <v>8.9108910891089119E-2</v>
      </c>
      <c r="Q69" s="13">
        <v>7.9207920792079209E-2</v>
      </c>
      <c r="R69" s="13">
        <v>7.0707070707070704E-2</v>
      </c>
      <c r="S69" s="13">
        <v>7.0707070707070704E-2</v>
      </c>
      <c r="T69" s="13">
        <v>0.06</v>
      </c>
      <c r="U69" s="13">
        <v>5.9999999999999984E-2</v>
      </c>
      <c r="V69" s="13">
        <v>0.06</v>
      </c>
      <c r="W69" s="13">
        <v>0.05</v>
      </c>
      <c r="X69" s="13">
        <v>5.000000000000001E-2</v>
      </c>
      <c r="Y69" s="13">
        <v>0.05</v>
      </c>
      <c r="Z69" s="14">
        <v>5.000000000000001E-2</v>
      </c>
      <c r="AA69" s="14">
        <v>0.05</v>
      </c>
      <c r="AB69" s="14">
        <v>0.05</v>
      </c>
      <c r="AC69" s="14">
        <v>7.0000000000000007E-2</v>
      </c>
      <c r="AD69" s="14">
        <v>6.9999999999999993E-2</v>
      </c>
      <c r="AE69" s="14">
        <v>6.0000000000000005E-2</v>
      </c>
      <c r="AF69" s="15">
        <v>6.0000000000000005E-2</v>
      </c>
      <c r="AG69" s="14">
        <v>6.0000000000000005E-2</v>
      </c>
      <c r="AH69" s="14">
        <v>6.0000000000000005E-2</v>
      </c>
      <c r="AI69" s="13">
        <v>6.0000000000000005E-2</v>
      </c>
      <c r="AJ69" s="13">
        <v>6.0000000000000005E-2</v>
      </c>
      <c r="AK69" s="13">
        <v>6.0000000000000005E-2</v>
      </c>
      <c r="AL69" s="13">
        <v>6.0000000000000005E-2</v>
      </c>
      <c r="AM69" s="13">
        <v>6.0000000000000005E-2</v>
      </c>
      <c r="AN69" s="13">
        <v>6.0000000000000005E-2</v>
      </c>
      <c r="AO69" s="13">
        <v>6.0000000000000005E-2</v>
      </c>
      <c r="AP69" s="13">
        <v>6.0000000000000005E-2</v>
      </c>
      <c r="AQ69" s="13">
        <v>6.0000000000000005E-2</v>
      </c>
      <c r="AR69" s="13">
        <v>6.0000000000000005E-2</v>
      </c>
      <c r="AS69" s="13">
        <v>6.0000000000000005E-2</v>
      </c>
      <c r="AT69" s="13">
        <v>6.0000000000000005E-2</v>
      </c>
      <c r="AU69" s="13">
        <v>6.0000000000000005E-2</v>
      </c>
      <c r="AV69" s="13">
        <v>6.0000000000000005E-2</v>
      </c>
      <c r="AW69" s="13">
        <v>6.0000000000000005E-2</v>
      </c>
      <c r="AX69" s="13">
        <v>6.0000000000000005E-2</v>
      </c>
      <c r="AY69" s="13">
        <v>6.0000000000000005E-2</v>
      </c>
      <c r="AZ69" s="13">
        <v>6.0000000000000005E-2</v>
      </c>
      <c r="BA69" s="13">
        <v>6.0000000000000005E-2</v>
      </c>
      <c r="BB69" s="13">
        <v>6.0000000000000005E-2</v>
      </c>
      <c r="BC69" s="13">
        <v>6.0000000000000005E-2</v>
      </c>
      <c r="BD69" s="13">
        <v>6.0000000000000005E-2</v>
      </c>
      <c r="BE69" s="13">
        <v>6.0000000000000005E-2</v>
      </c>
      <c r="BF69" s="13">
        <v>6.0000000000000005E-2</v>
      </c>
      <c r="BG69" s="13">
        <v>6.0000000000000005E-2</v>
      </c>
    </row>
    <row r="70" spans="1:59" ht="12" customHeight="1" x14ac:dyDescent="0.2">
      <c r="A70" s="1" t="s">
        <v>51</v>
      </c>
      <c r="B70" t="s">
        <v>45</v>
      </c>
      <c r="C70" s="10" t="s">
        <v>62</v>
      </c>
      <c r="D70" s="13">
        <v>0.22324932129851771</v>
      </c>
      <c r="E70" s="13">
        <v>0.27813732024367949</v>
      </c>
      <c r="F70" s="13">
        <v>0.2657864173341466</v>
      </c>
      <c r="G70" s="13">
        <v>0.26331100265558388</v>
      </c>
      <c r="H70" s="13">
        <v>0.26915134663226398</v>
      </c>
      <c r="I70" s="13">
        <v>0.16882983456113354</v>
      </c>
      <c r="J70" s="13">
        <v>0.23810926644571642</v>
      </c>
      <c r="K70" s="13">
        <v>0.24400696678903785</v>
      </c>
      <c r="L70" s="14">
        <v>0.2049771848061708</v>
      </c>
      <c r="M70" s="13">
        <v>0.20966161722651738</v>
      </c>
      <c r="N70" s="13">
        <v>0.18435137670553192</v>
      </c>
      <c r="O70" s="13">
        <v>0.14851121417627325</v>
      </c>
      <c r="P70" s="13">
        <v>0.15623546098002994</v>
      </c>
      <c r="Q70" s="13">
        <v>0.11992895966327848</v>
      </c>
      <c r="R70" s="13">
        <v>9.0629823128769729E-2</v>
      </c>
      <c r="S70" s="13">
        <v>7.9124643795360161E-2</v>
      </c>
      <c r="T70" s="13">
        <v>6.5410229908802534E-2</v>
      </c>
      <c r="U70" s="13">
        <v>6.2450286879859991E-2</v>
      </c>
      <c r="V70" s="13">
        <v>5.9160207452706122E-2</v>
      </c>
      <c r="W70" s="13">
        <v>5.0471128817430939E-2</v>
      </c>
      <c r="X70" s="13">
        <v>0.10073136058505557</v>
      </c>
      <c r="Y70" s="13">
        <v>0.10666893766696073</v>
      </c>
      <c r="Z70" s="14">
        <v>0.10775908965139261</v>
      </c>
      <c r="AA70" s="14">
        <v>0.10735677558775654</v>
      </c>
      <c r="AB70" s="14">
        <v>0.11277963873008674</v>
      </c>
      <c r="AC70" s="14">
        <v>0.13120610150101039</v>
      </c>
      <c r="AD70" s="14">
        <v>8.4228966488959597E-2</v>
      </c>
      <c r="AE70" s="14">
        <v>8.9538333667018757E-2</v>
      </c>
      <c r="AF70" s="15">
        <v>8.9538333667018757E-2</v>
      </c>
      <c r="AG70" s="14">
        <v>8.9538333667018757E-2</v>
      </c>
      <c r="AH70" s="14">
        <v>8.9538333667018757E-2</v>
      </c>
      <c r="AI70" s="13">
        <v>8.9538333667018757E-2</v>
      </c>
      <c r="AJ70" s="13">
        <v>8.9538333667018757E-2</v>
      </c>
      <c r="AK70" s="13">
        <v>8.9538333667018757E-2</v>
      </c>
      <c r="AL70" s="13">
        <v>8.9538333667018757E-2</v>
      </c>
      <c r="AM70" s="13">
        <v>8.9538333667018757E-2</v>
      </c>
      <c r="AN70" s="13">
        <v>8.9538333667018757E-2</v>
      </c>
      <c r="AO70" s="13">
        <v>8.9538333667018757E-2</v>
      </c>
      <c r="AP70" s="13">
        <v>8.9538333667018757E-2</v>
      </c>
      <c r="AQ70" s="13">
        <v>8.9538333667018757E-2</v>
      </c>
      <c r="AR70" s="13">
        <v>8.9538333667018757E-2</v>
      </c>
      <c r="AS70" s="13">
        <v>8.9538333667018757E-2</v>
      </c>
      <c r="AT70" s="13">
        <v>8.9538333667018757E-2</v>
      </c>
      <c r="AU70" s="13">
        <v>8.9538333667018757E-2</v>
      </c>
      <c r="AV70" s="13">
        <v>8.9538333667018757E-2</v>
      </c>
      <c r="AW70" s="13">
        <v>8.9538333667018757E-2</v>
      </c>
      <c r="AX70" s="13">
        <v>8.9538333667018757E-2</v>
      </c>
      <c r="AY70" s="13">
        <v>8.9538333667018757E-2</v>
      </c>
      <c r="AZ70" s="13">
        <v>8.9538333667018757E-2</v>
      </c>
      <c r="BA70" s="13">
        <v>8.9538333667018757E-2</v>
      </c>
      <c r="BB70" s="13">
        <v>8.9538333667018757E-2</v>
      </c>
      <c r="BC70" s="13">
        <v>8.9538333667018757E-2</v>
      </c>
      <c r="BD70" s="13">
        <v>8.9538333667018757E-2</v>
      </c>
      <c r="BE70" s="13">
        <v>8.9538333667018757E-2</v>
      </c>
      <c r="BF70" s="13">
        <v>8.9538333667018757E-2</v>
      </c>
      <c r="BG70" s="13">
        <v>8.9538333667018757E-2</v>
      </c>
    </row>
    <row r="71" spans="1:59" ht="12" customHeight="1" x14ac:dyDescent="0.2">
      <c r="A71" s="1" t="s">
        <v>52</v>
      </c>
      <c r="B71" t="s">
        <v>45</v>
      </c>
      <c r="C71" s="10" t="s">
        <v>62</v>
      </c>
      <c r="D71" s="13">
        <v>0.19801980198019803</v>
      </c>
      <c r="E71" s="13">
        <v>0.19</v>
      </c>
      <c r="F71" s="13">
        <v>0.18</v>
      </c>
      <c r="G71" s="13">
        <v>0.17</v>
      </c>
      <c r="H71" s="13">
        <v>0.17</v>
      </c>
      <c r="I71" s="13">
        <v>0.16</v>
      </c>
      <c r="J71" s="13">
        <v>0.14000000000000001</v>
      </c>
      <c r="K71" s="13">
        <v>0.13999999999999999</v>
      </c>
      <c r="L71" s="14">
        <v>0.12</v>
      </c>
      <c r="M71" s="13">
        <v>0.1111111111111111</v>
      </c>
      <c r="N71" s="13">
        <v>0.1</v>
      </c>
      <c r="O71" s="13">
        <v>8.9108910891089091E-2</v>
      </c>
      <c r="P71" s="13">
        <v>8.9108910891089105E-2</v>
      </c>
      <c r="Q71" s="13">
        <v>7.9207920792079209E-2</v>
      </c>
      <c r="R71" s="13">
        <v>7.0707070707070718E-2</v>
      </c>
      <c r="S71" s="13">
        <v>7.0707070707070704E-2</v>
      </c>
      <c r="T71" s="13">
        <v>0.06</v>
      </c>
      <c r="U71" s="13">
        <v>0.06</v>
      </c>
      <c r="V71" s="13">
        <v>0.06</v>
      </c>
      <c r="W71" s="13">
        <v>0.05</v>
      </c>
      <c r="X71" s="13">
        <v>0.05</v>
      </c>
      <c r="Y71" s="13">
        <v>0.05</v>
      </c>
      <c r="Z71" s="14">
        <v>5.000000000000001E-2</v>
      </c>
      <c r="AA71" s="14">
        <v>0.05</v>
      </c>
      <c r="AB71" s="14">
        <v>0.05</v>
      </c>
      <c r="AC71" s="14">
        <v>7.0000000000000007E-2</v>
      </c>
      <c r="AD71" s="14">
        <v>7.0000000000000007E-2</v>
      </c>
      <c r="AE71" s="14">
        <v>6.0000000000000005E-2</v>
      </c>
      <c r="AF71" s="15">
        <v>6.0000000000000005E-2</v>
      </c>
      <c r="AG71" s="14">
        <v>6.0000000000000005E-2</v>
      </c>
      <c r="AH71" s="14">
        <v>6.0000000000000005E-2</v>
      </c>
      <c r="AI71" s="13">
        <v>6.0000000000000005E-2</v>
      </c>
      <c r="AJ71" s="13">
        <v>6.0000000000000005E-2</v>
      </c>
      <c r="AK71" s="13">
        <v>6.0000000000000005E-2</v>
      </c>
      <c r="AL71" s="13">
        <v>6.0000000000000005E-2</v>
      </c>
      <c r="AM71" s="13">
        <v>6.0000000000000005E-2</v>
      </c>
      <c r="AN71" s="13">
        <v>6.0000000000000005E-2</v>
      </c>
      <c r="AO71" s="13">
        <v>6.0000000000000005E-2</v>
      </c>
      <c r="AP71" s="13">
        <v>6.0000000000000005E-2</v>
      </c>
      <c r="AQ71" s="13">
        <v>6.0000000000000005E-2</v>
      </c>
      <c r="AR71" s="13">
        <v>6.0000000000000005E-2</v>
      </c>
      <c r="AS71" s="13">
        <v>6.0000000000000005E-2</v>
      </c>
      <c r="AT71" s="13">
        <v>6.0000000000000005E-2</v>
      </c>
      <c r="AU71" s="13">
        <v>6.0000000000000005E-2</v>
      </c>
      <c r="AV71" s="13">
        <v>6.0000000000000005E-2</v>
      </c>
      <c r="AW71" s="13">
        <v>6.0000000000000005E-2</v>
      </c>
      <c r="AX71" s="13">
        <v>6.0000000000000005E-2</v>
      </c>
      <c r="AY71" s="13">
        <v>6.0000000000000005E-2</v>
      </c>
      <c r="AZ71" s="13">
        <v>6.0000000000000005E-2</v>
      </c>
      <c r="BA71" s="13">
        <v>6.0000000000000005E-2</v>
      </c>
      <c r="BB71" s="13">
        <v>6.0000000000000005E-2</v>
      </c>
      <c r="BC71" s="13">
        <v>6.0000000000000005E-2</v>
      </c>
      <c r="BD71" s="13">
        <v>6.0000000000000005E-2</v>
      </c>
      <c r="BE71" s="13">
        <v>6.0000000000000005E-2</v>
      </c>
      <c r="BF71" s="13">
        <v>6.0000000000000005E-2</v>
      </c>
      <c r="BG71" s="13">
        <v>6.0000000000000005E-2</v>
      </c>
    </row>
    <row r="72" spans="1:59" ht="12" customHeight="1" x14ac:dyDescent="0.2">
      <c r="A72" s="1" t="s">
        <v>53</v>
      </c>
      <c r="B72" t="s">
        <v>45</v>
      </c>
      <c r="C72" s="10" t="s">
        <v>62</v>
      </c>
      <c r="D72" s="13">
        <v>0.19801980198019803</v>
      </c>
      <c r="E72" s="13">
        <v>0.19</v>
      </c>
      <c r="F72" s="13">
        <v>0.18</v>
      </c>
      <c r="G72" s="13">
        <v>0.17000000000000004</v>
      </c>
      <c r="H72" s="13">
        <v>0.17</v>
      </c>
      <c r="I72" s="13">
        <v>0.16</v>
      </c>
      <c r="J72" s="13">
        <v>0.14000000000000001</v>
      </c>
      <c r="K72" s="13">
        <v>0.13999999999999999</v>
      </c>
      <c r="L72" s="14">
        <v>0.12</v>
      </c>
      <c r="M72" s="13">
        <v>0.11111111111111109</v>
      </c>
      <c r="N72" s="13">
        <v>0.10000000000000002</v>
      </c>
      <c r="O72" s="13">
        <v>8.9108910891089091E-2</v>
      </c>
      <c r="P72" s="13">
        <v>8.9108910891089105E-2</v>
      </c>
      <c r="Q72" s="13">
        <v>7.9207920792079209E-2</v>
      </c>
      <c r="R72" s="13">
        <v>7.0707070707070704E-2</v>
      </c>
      <c r="S72" s="13">
        <v>7.0707070707070704E-2</v>
      </c>
      <c r="T72" s="13">
        <v>5.9999999999999991E-2</v>
      </c>
      <c r="U72" s="13">
        <v>5.9999999999999991E-2</v>
      </c>
      <c r="V72" s="13">
        <v>5.9999999999999991E-2</v>
      </c>
      <c r="W72" s="13">
        <v>0.05</v>
      </c>
      <c r="X72" s="13">
        <v>0.05</v>
      </c>
      <c r="Y72" s="13">
        <v>0.05</v>
      </c>
      <c r="Z72" s="14">
        <v>0.05</v>
      </c>
      <c r="AA72" s="14">
        <v>0.05</v>
      </c>
      <c r="AB72" s="14">
        <v>5.000000000000001E-2</v>
      </c>
      <c r="AC72" s="14">
        <v>6.9999999999999993E-2</v>
      </c>
      <c r="AD72" s="14">
        <v>7.0000000000000007E-2</v>
      </c>
      <c r="AE72" s="14">
        <v>0.06</v>
      </c>
      <c r="AF72" s="15">
        <v>0.06</v>
      </c>
      <c r="AG72" s="14">
        <v>0.06</v>
      </c>
      <c r="AH72" s="14">
        <v>0.06</v>
      </c>
      <c r="AI72" s="13">
        <v>0.06</v>
      </c>
      <c r="AJ72" s="13">
        <v>0.06</v>
      </c>
      <c r="AK72" s="13">
        <v>0.06</v>
      </c>
      <c r="AL72" s="13">
        <v>0.06</v>
      </c>
      <c r="AM72" s="13">
        <v>0.06</v>
      </c>
      <c r="AN72" s="13">
        <v>0.06</v>
      </c>
      <c r="AO72" s="13">
        <v>0.06</v>
      </c>
      <c r="AP72" s="13">
        <v>0.06</v>
      </c>
      <c r="AQ72" s="13">
        <v>0.06</v>
      </c>
      <c r="AR72" s="13">
        <v>0.06</v>
      </c>
      <c r="AS72" s="13">
        <v>0.06</v>
      </c>
      <c r="AT72" s="13">
        <v>0.06</v>
      </c>
      <c r="AU72" s="13">
        <v>0.06</v>
      </c>
      <c r="AV72" s="13">
        <v>0.06</v>
      </c>
      <c r="AW72" s="13">
        <v>0.06</v>
      </c>
      <c r="AX72" s="13">
        <v>0.06</v>
      </c>
      <c r="AY72" s="13">
        <v>0.06</v>
      </c>
      <c r="AZ72" s="13">
        <v>0.06</v>
      </c>
      <c r="BA72" s="13">
        <v>0.06</v>
      </c>
      <c r="BB72" s="13">
        <v>0.06</v>
      </c>
      <c r="BC72" s="13">
        <v>0.06</v>
      </c>
      <c r="BD72" s="13">
        <v>0.06</v>
      </c>
      <c r="BE72" s="13">
        <v>0.06</v>
      </c>
      <c r="BF72" s="13">
        <v>0.06</v>
      </c>
      <c r="BG72" s="13">
        <v>0.06</v>
      </c>
    </row>
    <row r="73" spans="1:59" ht="12" customHeight="1" x14ac:dyDescent="0.2">
      <c r="A73" s="1" t="s">
        <v>54</v>
      </c>
      <c r="B73" t="s">
        <v>45</v>
      </c>
      <c r="C73" s="10" t="s">
        <v>62</v>
      </c>
      <c r="D73" s="13">
        <v>0.20366061095802812</v>
      </c>
      <c r="E73" s="13">
        <v>0.14014430116425453</v>
      </c>
      <c r="F73" s="13">
        <v>0.20256715807949013</v>
      </c>
      <c r="G73" s="13">
        <v>0.17910415008362576</v>
      </c>
      <c r="H73" s="13">
        <v>0.204069046705943</v>
      </c>
      <c r="I73" s="13">
        <v>0.28192528641487824</v>
      </c>
      <c r="J73" s="13">
        <v>0.16887048770191013</v>
      </c>
      <c r="K73" s="13">
        <v>0.15986239785290937</v>
      </c>
      <c r="L73" s="14">
        <v>0.14381775378571696</v>
      </c>
      <c r="M73" s="13">
        <v>0.1319553804569269</v>
      </c>
      <c r="N73" s="13">
        <v>0.12637678013227138</v>
      </c>
      <c r="O73" s="13">
        <v>0.12415797842780699</v>
      </c>
      <c r="P73" s="13">
        <v>0.11136232342109451</v>
      </c>
      <c r="Q73" s="13">
        <v>0.10492552665602067</v>
      </c>
      <c r="R73" s="13">
        <v>8.9892906616792723E-2</v>
      </c>
      <c r="S73" s="13">
        <v>6.3436936184583639E-2</v>
      </c>
      <c r="T73" s="13">
        <v>7.0862951030460655E-2</v>
      </c>
      <c r="U73" s="13">
        <v>6.8927439995221232E-2</v>
      </c>
      <c r="V73" s="13">
        <v>6.0176294914165179E-2</v>
      </c>
      <c r="W73" s="13">
        <v>4.0242635983177261E-2</v>
      </c>
      <c r="X73" s="13">
        <v>3.1265458786606352E-2</v>
      </c>
      <c r="Y73" s="13">
        <v>2.9104087536067975E-2</v>
      </c>
      <c r="Z73" s="14">
        <v>3.1976245088444939E-2</v>
      </c>
      <c r="AA73" s="14">
        <v>3.2457012759176035E-2</v>
      </c>
      <c r="AB73" s="14">
        <v>2.57564536692E-2</v>
      </c>
      <c r="AC73" s="14">
        <v>6.0802392931195118E-2</v>
      </c>
      <c r="AD73" s="14">
        <v>6.316823638210009E-2</v>
      </c>
      <c r="AE73" s="14">
        <v>4.2360217124472292E-2</v>
      </c>
      <c r="AF73" s="15">
        <v>4.2360217124472292E-2</v>
      </c>
      <c r="AG73" s="14">
        <v>4.2360217124472292E-2</v>
      </c>
      <c r="AH73" s="14">
        <v>4.2360217124472292E-2</v>
      </c>
      <c r="AI73" s="13">
        <v>4.2360217124472292E-2</v>
      </c>
      <c r="AJ73" s="13">
        <v>4.2360217124472292E-2</v>
      </c>
      <c r="AK73" s="13">
        <v>4.2360217124472292E-2</v>
      </c>
      <c r="AL73" s="13">
        <v>4.2360217124472292E-2</v>
      </c>
      <c r="AM73" s="13">
        <v>4.2360217124472292E-2</v>
      </c>
      <c r="AN73" s="13">
        <v>4.2360217124472292E-2</v>
      </c>
      <c r="AO73" s="13">
        <v>4.2360217124472292E-2</v>
      </c>
      <c r="AP73" s="13">
        <v>4.2360217124472292E-2</v>
      </c>
      <c r="AQ73" s="13">
        <v>4.2360217124472292E-2</v>
      </c>
      <c r="AR73" s="13">
        <v>4.2360217124472292E-2</v>
      </c>
      <c r="AS73" s="13">
        <v>4.2360217124472292E-2</v>
      </c>
      <c r="AT73" s="13">
        <v>4.2360217124472292E-2</v>
      </c>
      <c r="AU73" s="13">
        <v>4.2360217124472292E-2</v>
      </c>
      <c r="AV73" s="13">
        <v>4.2360217124472292E-2</v>
      </c>
      <c r="AW73" s="13">
        <v>4.2360217124472292E-2</v>
      </c>
      <c r="AX73" s="13">
        <v>4.2360217124472292E-2</v>
      </c>
      <c r="AY73" s="13">
        <v>4.2360217124472292E-2</v>
      </c>
      <c r="AZ73" s="13">
        <v>4.2360217124472292E-2</v>
      </c>
      <c r="BA73" s="13">
        <v>4.2360217124472292E-2</v>
      </c>
      <c r="BB73" s="13">
        <v>4.2360217124472292E-2</v>
      </c>
      <c r="BC73" s="13">
        <v>4.2360217124472292E-2</v>
      </c>
      <c r="BD73" s="13">
        <v>4.2360217124472292E-2</v>
      </c>
      <c r="BE73" s="13">
        <v>4.2360217124472292E-2</v>
      </c>
      <c r="BF73" s="13">
        <v>4.2360217124472292E-2</v>
      </c>
      <c r="BG73" s="13">
        <v>4.2360217124472292E-2</v>
      </c>
    </row>
    <row r="74" spans="1:59" ht="12" customHeight="1" x14ac:dyDescent="0.2">
      <c r="A74" s="1" t="s">
        <v>55</v>
      </c>
      <c r="B74" t="s">
        <v>45</v>
      </c>
      <c r="C74" s="10" t="s">
        <v>62</v>
      </c>
      <c r="D74" s="13">
        <v>0.19801980198019803</v>
      </c>
      <c r="E74" s="13">
        <v>0.19</v>
      </c>
      <c r="F74" s="13">
        <v>0.17999999999999997</v>
      </c>
      <c r="G74" s="13">
        <v>0.17</v>
      </c>
      <c r="H74" s="13">
        <v>0.17</v>
      </c>
      <c r="I74" s="13">
        <v>0.15999999999999998</v>
      </c>
      <c r="J74" s="13">
        <v>0.14000000000000001</v>
      </c>
      <c r="K74" s="13">
        <v>0.14000000000000001</v>
      </c>
      <c r="L74" s="14">
        <v>0.12</v>
      </c>
      <c r="M74" s="13">
        <v>0.11111111111111112</v>
      </c>
      <c r="N74" s="13">
        <v>0.1</v>
      </c>
      <c r="O74" s="13">
        <v>8.9108910891089119E-2</v>
      </c>
      <c r="P74" s="13">
        <v>8.9108910891089091E-2</v>
      </c>
      <c r="Q74" s="13">
        <v>7.9207920792079209E-2</v>
      </c>
      <c r="R74" s="13">
        <v>7.0707070707070718E-2</v>
      </c>
      <c r="S74" s="13">
        <v>7.0707070707070718E-2</v>
      </c>
      <c r="T74" s="13">
        <v>5.9999999999999991E-2</v>
      </c>
      <c r="U74" s="13">
        <v>5.9999999999999991E-2</v>
      </c>
      <c r="V74" s="13">
        <v>5.9999999999999991E-2</v>
      </c>
      <c r="W74" s="13">
        <v>0.05</v>
      </c>
      <c r="X74" s="13">
        <v>4.9999999999999996E-2</v>
      </c>
      <c r="Y74" s="13">
        <v>0.05</v>
      </c>
      <c r="Z74" s="14">
        <v>5.000000000000001E-2</v>
      </c>
      <c r="AA74" s="14">
        <v>0.05</v>
      </c>
      <c r="AB74" s="14">
        <v>0.05</v>
      </c>
      <c r="AC74" s="14">
        <v>6.9999999999999993E-2</v>
      </c>
      <c r="AD74" s="14">
        <v>7.0000000000000007E-2</v>
      </c>
      <c r="AE74" s="14">
        <v>6.0000000000000005E-2</v>
      </c>
      <c r="AF74" s="15">
        <v>6.0000000000000005E-2</v>
      </c>
      <c r="AG74" s="14">
        <v>6.0000000000000005E-2</v>
      </c>
      <c r="AH74" s="14">
        <v>6.0000000000000005E-2</v>
      </c>
      <c r="AI74" s="13">
        <v>6.0000000000000005E-2</v>
      </c>
      <c r="AJ74" s="13">
        <v>6.0000000000000005E-2</v>
      </c>
      <c r="AK74" s="13">
        <v>6.0000000000000005E-2</v>
      </c>
      <c r="AL74" s="13">
        <v>6.0000000000000005E-2</v>
      </c>
      <c r="AM74" s="13">
        <v>6.0000000000000005E-2</v>
      </c>
      <c r="AN74" s="13">
        <v>6.0000000000000005E-2</v>
      </c>
      <c r="AO74" s="13">
        <v>6.0000000000000005E-2</v>
      </c>
      <c r="AP74" s="13">
        <v>6.0000000000000005E-2</v>
      </c>
      <c r="AQ74" s="13">
        <v>6.0000000000000005E-2</v>
      </c>
      <c r="AR74" s="13">
        <v>6.0000000000000005E-2</v>
      </c>
      <c r="AS74" s="13">
        <v>6.0000000000000005E-2</v>
      </c>
      <c r="AT74" s="13">
        <v>6.0000000000000005E-2</v>
      </c>
      <c r="AU74" s="13">
        <v>6.0000000000000005E-2</v>
      </c>
      <c r="AV74" s="13">
        <v>6.0000000000000005E-2</v>
      </c>
      <c r="AW74" s="13">
        <v>6.0000000000000005E-2</v>
      </c>
      <c r="AX74" s="13">
        <v>6.0000000000000005E-2</v>
      </c>
      <c r="AY74" s="13">
        <v>6.0000000000000005E-2</v>
      </c>
      <c r="AZ74" s="13">
        <v>6.0000000000000005E-2</v>
      </c>
      <c r="BA74" s="13">
        <v>6.0000000000000005E-2</v>
      </c>
      <c r="BB74" s="13">
        <v>6.0000000000000005E-2</v>
      </c>
      <c r="BC74" s="13">
        <v>6.0000000000000005E-2</v>
      </c>
      <c r="BD74" s="13">
        <v>6.0000000000000005E-2</v>
      </c>
      <c r="BE74" s="13">
        <v>6.0000000000000005E-2</v>
      </c>
      <c r="BF74" s="13">
        <v>6.0000000000000005E-2</v>
      </c>
      <c r="BG74" s="13">
        <v>6.0000000000000005E-2</v>
      </c>
    </row>
    <row r="75" spans="1:59" ht="12" customHeight="1" x14ac:dyDescent="0.2">
      <c r="A75" s="1" t="s">
        <v>56</v>
      </c>
      <c r="B75" t="s">
        <v>45</v>
      </c>
      <c r="C75" s="10" t="s">
        <v>62</v>
      </c>
      <c r="D75" s="13">
        <v>0.19801980198019806</v>
      </c>
      <c r="E75" s="13">
        <v>0.19</v>
      </c>
      <c r="F75" s="13">
        <v>0.18</v>
      </c>
      <c r="G75" s="13">
        <v>0.17</v>
      </c>
      <c r="H75" s="13">
        <v>0.16999999999999998</v>
      </c>
      <c r="I75" s="13">
        <v>0.15999999999999998</v>
      </c>
      <c r="J75" s="13">
        <v>0.14000000000000001</v>
      </c>
      <c r="K75" s="13">
        <v>0.14000000000000001</v>
      </c>
      <c r="L75" s="14">
        <v>0.11999999999999998</v>
      </c>
      <c r="M75" s="13">
        <v>0.1111111111111111</v>
      </c>
      <c r="N75" s="13">
        <v>0.1</v>
      </c>
      <c r="O75" s="13">
        <v>8.9108910891089105E-2</v>
      </c>
      <c r="P75" s="13">
        <v>8.9108910891089105E-2</v>
      </c>
      <c r="Q75" s="13">
        <v>7.9207920792079209E-2</v>
      </c>
      <c r="R75" s="13">
        <v>7.0707070707070704E-2</v>
      </c>
      <c r="S75" s="13">
        <v>7.0707070707070704E-2</v>
      </c>
      <c r="T75" s="13">
        <v>0.06</v>
      </c>
      <c r="U75" s="13">
        <v>0.06</v>
      </c>
      <c r="V75" s="13">
        <v>0.06</v>
      </c>
      <c r="W75" s="13">
        <v>0.05</v>
      </c>
      <c r="X75" s="13">
        <v>5.000000000000001E-2</v>
      </c>
      <c r="Y75" s="13">
        <v>0.05</v>
      </c>
      <c r="Z75" s="14">
        <v>0.05</v>
      </c>
      <c r="AA75" s="14">
        <v>0.05</v>
      </c>
      <c r="AB75" s="14">
        <v>4.9999999999999996E-2</v>
      </c>
      <c r="AC75" s="14">
        <v>6.9999999999999993E-2</v>
      </c>
      <c r="AD75" s="14">
        <v>6.9999999999999993E-2</v>
      </c>
      <c r="AE75" s="14">
        <v>6.0000000000000005E-2</v>
      </c>
      <c r="AF75" s="15">
        <v>6.0000000000000005E-2</v>
      </c>
      <c r="AG75" s="14">
        <v>6.0000000000000005E-2</v>
      </c>
      <c r="AH75" s="14">
        <v>6.0000000000000005E-2</v>
      </c>
      <c r="AI75" s="13">
        <v>6.0000000000000005E-2</v>
      </c>
      <c r="AJ75" s="13">
        <v>6.0000000000000005E-2</v>
      </c>
      <c r="AK75" s="13">
        <v>6.0000000000000005E-2</v>
      </c>
      <c r="AL75" s="13">
        <v>6.0000000000000005E-2</v>
      </c>
      <c r="AM75" s="13">
        <v>6.0000000000000005E-2</v>
      </c>
      <c r="AN75" s="13">
        <v>6.0000000000000005E-2</v>
      </c>
      <c r="AO75" s="13">
        <v>6.0000000000000005E-2</v>
      </c>
      <c r="AP75" s="13">
        <v>6.0000000000000005E-2</v>
      </c>
      <c r="AQ75" s="13">
        <v>6.0000000000000005E-2</v>
      </c>
      <c r="AR75" s="13">
        <v>6.0000000000000005E-2</v>
      </c>
      <c r="AS75" s="13">
        <v>6.0000000000000005E-2</v>
      </c>
      <c r="AT75" s="13">
        <v>6.0000000000000005E-2</v>
      </c>
      <c r="AU75" s="13">
        <v>6.0000000000000005E-2</v>
      </c>
      <c r="AV75" s="13">
        <v>6.0000000000000005E-2</v>
      </c>
      <c r="AW75" s="13">
        <v>6.0000000000000005E-2</v>
      </c>
      <c r="AX75" s="13">
        <v>6.0000000000000005E-2</v>
      </c>
      <c r="AY75" s="13">
        <v>6.0000000000000005E-2</v>
      </c>
      <c r="AZ75" s="13">
        <v>6.0000000000000005E-2</v>
      </c>
      <c r="BA75" s="13">
        <v>6.0000000000000005E-2</v>
      </c>
      <c r="BB75" s="13">
        <v>6.0000000000000005E-2</v>
      </c>
      <c r="BC75" s="13">
        <v>6.0000000000000005E-2</v>
      </c>
      <c r="BD75" s="13">
        <v>6.0000000000000005E-2</v>
      </c>
      <c r="BE75" s="13">
        <v>6.0000000000000005E-2</v>
      </c>
      <c r="BF75" s="13">
        <v>6.0000000000000005E-2</v>
      </c>
      <c r="BG75" s="13">
        <v>6.0000000000000005E-2</v>
      </c>
    </row>
    <row r="76" spans="1:59" ht="12" customHeight="1" x14ac:dyDescent="0.2">
      <c r="A76" s="1" t="s">
        <v>57</v>
      </c>
      <c r="B76" t="s">
        <v>45</v>
      </c>
      <c r="C76" s="10" t="s">
        <v>62</v>
      </c>
      <c r="D76" s="13">
        <v>0.58538828719149816</v>
      </c>
      <c r="E76" s="13">
        <v>0.60083173299840398</v>
      </c>
      <c r="F76" s="13">
        <v>0.56859759939916954</v>
      </c>
      <c r="G76" s="13">
        <v>0.58156475775464167</v>
      </c>
      <c r="H76" s="13">
        <v>0.59308652263220463</v>
      </c>
      <c r="I76" s="13">
        <v>0.56195928852949895</v>
      </c>
      <c r="J76" s="13">
        <v>0.59167782480555242</v>
      </c>
      <c r="K76" s="13">
        <v>0.59867624779212658</v>
      </c>
      <c r="L76" s="14">
        <v>0.53849230020303962</v>
      </c>
      <c r="M76" s="13">
        <v>0.48958009355744109</v>
      </c>
      <c r="N76" s="13">
        <v>0.47599204332336337</v>
      </c>
      <c r="O76" s="13">
        <v>0.44968938827462202</v>
      </c>
      <c r="P76" s="13">
        <v>0.35641369432738923</v>
      </c>
      <c r="Q76" s="13">
        <v>0.36900927192081362</v>
      </c>
      <c r="R76" s="13">
        <v>0.39592498874757742</v>
      </c>
      <c r="S76" s="13">
        <v>0.32901977191245702</v>
      </c>
      <c r="T76" s="13">
        <v>0.27139950022655174</v>
      </c>
      <c r="U76" s="13">
        <v>0.26673620077722199</v>
      </c>
      <c r="V76" s="13">
        <v>0.22915959617938933</v>
      </c>
      <c r="W76" s="13">
        <v>0.24615500088253339</v>
      </c>
      <c r="X76" s="13">
        <v>0.21068066397025095</v>
      </c>
      <c r="Y76" s="13">
        <v>0.20149884153434686</v>
      </c>
      <c r="Z76" s="14">
        <v>0.20815565436925587</v>
      </c>
      <c r="AA76" s="14">
        <v>0.2021571616379364</v>
      </c>
      <c r="AB76" s="14">
        <v>0.21197998665926329</v>
      </c>
      <c r="AC76" s="14">
        <v>0.13389595701640067</v>
      </c>
      <c r="AD76" s="14">
        <v>9.8398943121865742E-2</v>
      </c>
      <c r="AE76" s="14">
        <v>0.13336089960381048</v>
      </c>
      <c r="AF76" s="15">
        <v>0.13336089960381048</v>
      </c>
      <c r="AG76" s="14">
        <v>0.13336089960381048</v>
      </c>
      <c r="AH76" s="14">
        <v>0.13336089960381048</v>
      </c>
      <c r="AI76" s="13">
        <v>0.13336089960381048</v>
      </c>
      <c r="AJ76" s="13">
        <v>0.13336089960381048</v>
      </c>
      <c r="AK76" s="13">
        <v>0.13336089960381048</v>
      </c>
      <c r="AL76" s="13">
        <v>0.13336089960381048</v>
      </c>
      <c r="AM76" s="13">
        <v>0.13336089960381048</v>
      </c>
      <c r="AN76" s="13">
        <v>0.13336089960381048</v>
      </c>
      <c r="AO76" s="13">
        <v>0.13336089960381048</v>
      </c>
      <c r="AP76" s="13">
        <v>0.13336089960381048</v>
      </c>
      <c r="AQ76" s="13">
        <v>0.13336089960381048</v>
      </c>
      <c r="AR76" s="13">
        <v>0.13336089960381048</v>
      </c>
      <c r="AS76" s="13">
        <v>0.13336089960381048</v>
      </c>
      <c r="AT76" s="13">
        <v>0.13336089960381048</v>
      </c>
      <c r="AU76" s="13">
        <v>0.13336089960381048</v>
      </c>
      <c r="AV76" s="13">
        <v>0.13336089960381048</v>
      </c>
      <c r="AW76" s="13">
        <v>0.13336089960381048</v>
      </c>
      <c r="AX76" s="13">
        <v>0.13336089960381048</v>
      </c>
      <c r="AY76" s="13">
        <v>0.13336089960381048</v>
      </c>
      <c r="AZ76" s="13">
        <v>0.13336089960381048</v>
      </c>
      <c r="BA76" s="13">
        <v>0.13336089960381048</v>
      </c>
      <c r="BB76" s="13">
        <v>0.13336089960381048</v>
      </c>
      <c r="BC76" s="13">
        <v>0.13336089960381048</v>
      </c>
      <c r="BD76" s="13">
        <v>0.13336089960381048</v>
      </c>
      <c r="BE76" s="13">
        <v>0.13336089960381048</v>
      </c>
      <c r="BF76" s="13">
        <v>0.13336089960381048</v>
      </c>
      <c r="BG76" s="13">
        <v>0.13336089960381048</v>
      </c>
    </row>
    <row r="77" spans="1:59" ht="12" customHeight="1" x14ac:dyDescent="0.2">
      <c r="A77" s="1" t="s">
        <v>58</v>
      </c>
      <c r="B77" t="s">
        <v>45</v>
      </c>
      <c r="C77" s="10" t="s">
        <v>62</v>
      </c>
      <c r="D77" s="13">
        <v>0.29844326101777596</v>
      </c>
      <c r="E77" s="13">
        <v>0.28794947777381713</v>
      </c>
      <c r="F77" s="13">
        <v>0.25888509447244024</v>
      </c>
      <c r="G77" s="13">
        <v>0.26678115631355143</v>
      </c>
      <c r="H77" s="13">
        <v>0.1893944835150061</v>
      </c>
      <c r="I77" s="13">
        <v>0.21319185098872734</v>
      </c>
      <c r="J77" s="13">
        <v>0.16241581356822171</v>
      </c>
      <c r="K77" s="13">
        <v>0.15758148503958827</v>
      </c>
      <c r="L77" s="14">
        <v>0.16325466234320207</v>
      </c>
      <c r="M77" s="13">
        <v>0.17153657777255557</v>
      </c>
      <c r="N77" s="13">
        <v>0.12837286736169207</v>
      </c>
      <c r="O77" s="13">
        <v>0.11554789506102005</v>
      </c>
      <c r="P77" s="13">
        <v>0.25271785109752287</v>
      </c>
      <c r="Q77" s="13">
        <v>0.13855516136969584</v>
      </c>
      <c r="R77" s="13">
        <v>9.8912815238301741E-2</v>
      </c>
      <c r="S77" s="13">
        <v>0.13528034902079658</v>
      </c>
      <c r="T77" s="13">
        <v>0.12055940176458289</v>
      </c>
      <c r="U77" s="13">
        <v>0.1084483289783786</v>
      </c>
      <c r="V77" s="13">
        <v>8.3536106540967811E-2</v>
      </c>
      <c r="W77" s="13">
        <v>8.1112033052476176E-2</v>
      </c>
      <c r="X77" s="13">
        <v>0.24472753766220112</v>
      </c>
      <c r="Y77" s="13">
        <v>0.23113795588995398</v>
      </c>
      <c r="Z77" s="14">
        <v>0.25744981404375428</v>
      </c>
      <c r="AA77" s="14">
        <v>0.24233031098124869</v>
      </c>
      <c r="AB77" s="14">
        <v>0.22990042501037519</v>
      </c>
      <c r="AC77" s="14">
        <v>0.17056935552814445</v>
      </c>
      <c r="AD77" s="14">
        <v>0.18186370667035409</v>
      </c>
      <c r="AE77" s="14">
        <v>0.22186365701046656</v>
      </c>
      <c r="AF77" s="15">
        <v>0.22186365701046656</v>
      </c>
      <c r="AG77" s="14">
        <v>0.22186365701046656</v>
      </c>
      <c r="AH77" s="14">
        <v>0.22186365701046656</v>
      </c>
      <c r="AI77" s="13">
        <v>0.22186365701046656</v>
      </c>
      <c r="AJ77" s="13">
        <v>0.22186365701046656</v>
      </c>
      <c r="AK77" s="13">
        <v>0.22186365701046656</v>
      </c>
      <c r="AL77" s="13">
        <v>0.22186365701046656</v>
      </c>
      <c r="AM77" s="13">
        <v>0.22186365701046656</v>
      </c>
      <c r="AN77" s="13">
        <v>0.22186365701046656</v>
      </c>
      <c r="AO77" s="13">
        <v>0.22186365701046656</v>
      </c>
      <c r="AP77" s="13">
        <v>0.22186365701046656</v>
      </c>
      <c r="AQ77" s="13">
        <v>0.22186365701046656</v>
      </c>
      <c r="AR77" s="13">
        <v>0.22186365701046656</v>
      </c>
      <c r="AS77" s="13">
        <v>0.22186365701046656</v>
      </c>
      <c r="AT77" s="13">
        <v>0.22186365701046656</v>
      </c>
      <c r="AU77" s="13">
        <v>0.22186365701046656</v>
      </c>
      <c r="AV77" s="13">
        <v>0.22186365701046656</v>
      </c>
      <c r="AW77" s="13">
        <v>0.22186365701046656</v>
      </c>
      <c r="AX77" s="13">
        <v>0.22186365701046656</v>
      </c>
      <c r="AY77" s="13">
        <v>0.22186365701046656</v>
      </c>
      <c r="AZ77" s="13">
        <v>0.22186365701046656</v>
      </c>
      <c r="BA77" s="13">
        <v>0.22186365701046656</v>
      </c>
      <c r="BB77" s="13">
        <v>0.22186365701046656</v>
      </c>
      <c r="BC77" s="13">
        <v>0.22186365701046656</v>
      </c>
      <c r="BD77" s="13">
        <v>0.22186365701046656</v>
      </c>
      <c r="BE77" s="13">
        <v>0.22186365701046656</v>
      </c>
      <c r="BF77" s="13">
        <v>0.22186365701046656</v>
      </c>
      <c r="BG77" s="13">
        <v>0.22186365701046656</v>
      </c>
    </row>
    <row r="78" spans="1:59" ht="12" customHeight="1" x14ac:dyDescent="0.2">
      <c r="A78" s="1" t="s">
        <v>59</v>
      </c>
      <c r="B78" t="s">
        <v>45</v>
      </c>
      <c r="C78" s="10" t="s">
        <v>62</v>
      </c>
      <c r="D78" s="13">
        <v>0.3326219841215024</v>
      </c>
      <c r="E78" s="13">
        <v>0.31839414733463695</v>
      </c>
      <c r="F78" s="13">
        <v>0.30835790218089898</v>
      </c>
      <c r="G78" s="13">
        <v>0.28144532807174855</v>
      </c>
      <c r="H78" s="13">
        <v>0.2989057932701058</v>
      </c>
      <c r="I78" s="13">
        <v>0.2472643490080409</v>
      </c>
      <c r="J78" s="13">
        <v>0.23541242134885851</v>
      </c>
      <c r="K78" s="13">
        <v>0.22756856067127537</v>
      </c>
      <c r="L78" s="14">
        <v>0.18155659560332693</v>
      </c>
      <c r="M78" s="13">
        <v>0.156925232082085</v>
      </c>
      <c r="N78" s="13">
        <v>0.1495246579375975</v>
      </c>
      <c r="O78" s="13">
        <v>0.10836446876950136</v>
      </c>
      <c r="P78" s="13">
        <v>0.19599824884390071</v>
      </c>
      <c r="Q78" s="13">
        <v>0.19861599915213068</v>
      </c>
      <c r="R78" s="13">
        <v>0.18815686869362508</v>
      </c>
      <c r="S78" s="13">
        <v>0.18836118170266322</v>
      </c>
      <c r="T78" s="13">
        <v>0.19083765224250601</v>
      </c>
      <c r="U78" s="13">
        <v>0.20785524455554039</v>
      </c>
      <c r="V78" s="13">
        <v>0.21400671061297416</v>
      </c>
      <c r="W78" s="13">
        <v>0.22258364630475441</v>
      </c>
      <c r="X78" s="13">
        <v>0.19880228694895213</v>
      </c>
      <c r="Y78" s="13">
        <v>0.2033691403025113</v>
      </c>
      <c r="Z78" s="14">
        <v>0.23114017743521789</v>
      </c>
      <c r="AA78" s="14">
        <v>0.22620560351017649</v>
      </c>
      <c r="AB78" s="14">
        <v>0.27157428650778448</v>
      </c>
      <c r="AC78" s="14">
        <v>0.25317814048864073</v>
      </c>
      <c r="AD78" s="14">
        <v>0.29068167377547333</v>
      </c>
      <c r="AE78" s="14">
        <v>0.32427812443806597</v>
      </c>
      <c r="AF78" s="15">
        <v>0.32427812443806597</v>
      </c>
      <c r="AG78" s="14">
        <v>0.32427812443806597</v>
      </c>
      <c r="AH78" s="14">
        <v>0.32427812443806597</v>
      </c>
      <c r="AI78" s="13">
        <v>0.32427812443806597</v>
      </c>
      <c r="AJ78" s="13">
        <v>0.32427812443806597</v>
      </c>
      <c r="AK78" s="13">
        <v>0.32427812443806597</v>
      </c>
      <c r="AL78" s="13">
        <v>0.32427812443806597</v>
      </c>
      <c r="AM78" s="13">
        <v>0.32427812443806597</v>
      </c>
      <c r="AN78" s="13">
        <v>0.32427812443806597</v>
      </c>
      <c r="AO78" s="13">
        <v>0.32427812443806597</v>
      </c>
      <c r="AP78" s="13">
        <v>0.32427812443806597</v>
      </c>
      <c r="AQ78" s="13">
        <v>0.32427812443806597</v>
      </c>
      <c r="AR78" s="13">
        <v>0.32427812443806597</v>
      </c>
      <c r="AS78" s="13">
        <v>0.32427812443806597</v>
      </c>
      <c r="AT78" s="13">
        <v>0.32427812443806597</v>
      </c>
      <c r="AU78" s="13">
        <v>0.32427812443806597</v>
      </c>
      <c r="AV78" s="13">
        <v>0.32427812443806597</v>
      </c>
      <c r="AW78" s="13">
        <v>0.32427812443806597</v>
      </c>
      <c r="AX78" s="13">
        <v>0.32427812443806597</v>
      </c>
      <c r="AY78" s="13">
        <v>0.32427812443806597</v>
      </c>
      <c r="AZ78" s="13">
        <v>0.32427812443806597</v>
      </c>
      <c r="BA78" s="13">
        <v>0.32427812443806597</v>
      </c>
      <c r="BB78" s="13">
        <v>0.32427812443806597</v>
      </c>
      <c r="BC78" s="13">
        <v>0.32427812443806597</v>
      </c>
      <c r="BD78" s="13">
        <v>0.32427812443806597</v>
      </c>
      <c r="BE78" s="13">
        <v>0.32427812443806597</v>
      </c>
      <c r="BF78" s="13">
        <v>0.32427812443806597</v>
      </c>
      <c r="BG78" s="13">
        <v>0.32427812443806597</v>
      </c>
    </row>
    <row r="79" spans="1:59" ht="12" customHeight="1" x14ac:dyDescent="0.2">
      <c r="A79" s="1" t="s">
        <v>60</v>
      </c>
      <c r="B79" t="s">
        <v>45</v>
      </c>
      <c r="C79" s="10" t="s">
        <v>62</v>
      </c>
      <c r="D79" s="13">
        <v>0.19801980198019803</v>
      </c>
      <c r="E79" s="13">
        <v>0.19</v>
      </c>
      <c r="F79" s="13">
        <v>0.18</v>
      </c>
      <c r="G79" s="13">
        <v>0.17</v>
      </c>
      <c r="H79" s="13">
        <v>0.17</v>
      </c>
      <c r="I79" s="13">
        <v>0.16</v>
      </c>
      <c r="J79" s="13">
        <v>0.14000000000000001</v>
      </c>
      <c r="K79" s="13">
        <v>0.13999999999999999</v>
      </c>
      <c r="L79" s="14">
        <v>0.12</v>
      </c>
      <c r="M79" s="13">
        <v>0.11111111111111112</v>
      </c>
      <c r="N79" s="13">
        <v>0.1</v>
      </c>
      <c r="O79" s="13">
        <v>8.9108910891089091E-2</v>
      </c>
      <c r="P79" s="13">
        <v>8.9108910891089119E-2</v>
      </c>
      <c r="Q79" s="13">
        <v>7.9207920792079195E-2</v>
      </c>
      <c r="R79" s="13">
        <v>7.0707070707070704E-2</v>
      </c>
      <c r="S79" s="13">
        <v>7.0707070707070718E-2</v>
      </c>
      <c r="T79" s="13">
        <v>0.06</v>
      </c>
      <c r="U79" s="13">
        <v>6.0000000000000005E-2</v>
      </c>
      <c r="V79" s="13">
        <v>5.9999999999999991E-2</v>
      </c>
      <c r="W79" s="13">
        <v>4.9999999999999996E-2</v>
      </c>
      <c r="X79" s="13">
        <v>5.000000000000001E-2</v>
      </c>
      <c r="Y79" s="13">
        <v>0.05</v>
      </c>
      <c r="Z79" s="14">
        <v>0.05</v>
      </c>
      <c r="AA79" s="14">
        <v>0.05</v>
      </c>
      <c r="AB79" s="14">
        <v>0.05</v>
      </c>
      <c r="AC79" s="14">
        <v>7.0000000000000021E-2</v>
      </c>
      <c r="AD79" s="14">
        <v>7.0000000000000007E-2</v>
      </c>
      <c r="AE79" s="14">
        <v>6.0000000000000005E-2</v>
      </c>
      <c r="AF79" s="15">
        <v>6.0000000000000005E-2</v>
      </c>
      <c r="AG79" s="14">
        <v>6.0000000000000005E-2</v>
      </c>
      <c r="AH79" s="14">
        <v>6.0000000000000005E-2</v>
      </c>
      <c r="AI79" s="13">
        <v>6.0000000000000005E-2</v>
      </c>
      <c r="AJ79" s="13">
        <v>6.0000000000000005E-2</v>
      </c>
      <c r="AK79" s="13">
        <v>6.0000000000000005E-2</v>
      </c>
      <c r="AL79" s="13">
        <v>6.0000000000000005E-2</v>
      </c>
      <c r="AM79" s="13">
        <v>6.0000000000000005E-2</v>
      </c>
      <c r="AN79" s="13">
        <v>6.0000000000000005E-2</v>
      </c>
      <c r="AO79" s="13">
        <v>6.0000000000000005E-2</v>
      </c>
      <c r="AP79" s="13">
        <v>6.0000000000000005E-2</v>
      </c>
      <c r="AQ79" s="13">
        <v>6.0000000000000005E-2</v>
      </c>
      <c r="AR79" s="13">
        <v>6.0000000000000005E-2</v>
      </c>
      <c r="AS79" s="13">
        <v>6.0000000000000005E-2</v>
      </c>
      <c r="AT79" s="13">
        <v>6.0000000000000005E-2</v>
      </c>
      <c r="AU79" s="13">
        <v>6.0000000000000005E-2</v>
      </c>
      <c r="AV79" s="13">
        <v>6.0000000000000005E-2</v>
      </c>
      <c r="AW79" s="13">
        <v>6.0000000000000005E-2</v>
      </c>
      <c r="AX79" s="13">
        <v>6.0000000000000005E-2</v>
      </c>
      <c r="AY79" s="13">
        <v>6.0000000000000005E-2</v>
      </c>
      <c r="AZ79" s="13">
        <v>6.0000000000000005E-2</v>
      </c>
      <c r="BA79" s="13">
        <v>6.0000000000000005E-2</v>
      </c>
      <c r="BB79" s="13">
        <v>6.0000000000000005E-2</v>
      </c>
      <c r="BC79" s="13">
        <v>6.0000000000000005E-2</v>
      </c>
      <c r="BD79" s="13">
        <v>6.0000000000000005E-2</v>
      </c>
      <c r="BE79" s="13">
        <v>6.0000000000000005E-2</v>
      </c>
      <c r="BF79" s="13">
        <v>6.0000000000000005E-2</v>
      </c>
      <c r="BG79" s="13">
        <v>6.0000000000000005E-2</v>
      </c>
    </row>
    <row r="80" spans="1:59" ht="12" customHeight="1" x14ac:dyDescent="0.2">
      <c r="A80" s="1" t="s">
        <v>61</v>
      </c>
      <c r="B80" t="s">
        <v>45</v>
      </c>
      <c r="C80" s="10" t="s">
        <v>62</v>
      </c>
      <c r="D80" s="13">
        <v>0.28711380438710488</v>
      </c>
      <c r="E80" s="13">
        <v>0.27223167799263409</v>
      </c>
      <c r="F80" s="13">
        <v>0.22869049672816663</v>
      </c>
      <c r="G80" s="13">
        <v>0.20259707295086307</v>
      </c>
      <c r="H80" s="13">
        <v>0.18551178361826628</v>
      </c>
      <c r="I80" s="13">
        <v>0.18525498280090211</v>
      </c>
      <c r="J80" s="13">
        <v>0.19393194589575993</v>
      </c>
      <c r="K80" s="13">
        <v>0.18242852758256575</v>
      </c>
      <c r="L80" s="14">
        <v>0.17898916710324997</v>
      </c>
      <c r="M80" s="13">
        <v>0.16970797088631384</v>
      </c>
      <c r="N80" s="13">
        <v>0.18591357326527636</v>
      </c>
      <c r="O80" s="13">
        <v>0.18280519242560883</v>
      </c>
      <c r="P80" s="13">
        <v>0.14850857782366741</v>
      </c>
      <c r="Q80" s="13">
        <v>0.13690135127679284</v>
      </c>
      <c r="R80" s="13">
        <v>0.1326485026318944</v>
      </c>
      <c r="S80" s="13">
        <v>0.16758323362141628</v>
      </c>
      <c r="T80" s="13">
        <v>0.16448074989678926</v>
      </c>
      <c r="U80" s="13">
        <v>0.17068880701977399</v>
      </c>
      <c r="V80" s="13">
        <v>0.17396023328522597</v>
      </c>
      <c r="W80" s="13">
        <v>0.1171526903168876</v>
      </c>
      <c r="X80" s="13">
        <v>0.10793152080868287</v>
      </c>
      <c r="Y80" s="13">
        <v>0.11286499236219466</v>
      </c>
      <c r="Z80" s="14">
        <v>0.10886426038715344</v>
      </c>
      <c r="AA80" s="14">
        <v>0.10151050407748852</v>
      </c>
      <c r="AB80" s="14">
        <v>0.10549573871603941</v>
      </c>
      <c r="AC80" s="14">
        <v>0.10322303535847736</v>
      </c>
      <c r="AD80" s="14">
        <v>7.5030506567914199E-2</v>
      </c>
      <c r="AE80" s="14">
        <v>7.6026501260066173E-2</v>
      </c>
      <c r="AF80" s="15">
        <v>7.6026501260066173E-2</v>
      </c>
      <c r="AG80" s="14">
        <v>7.6026501260066173E-2</v>
      </c>
      <c r="AH80" s="14">
        <v>7.6026501260066173E-2</v>
      </c>
      <c r="AI80" s="13">
        <v>7.6026501260066173E-2</v>
      </c>
      <c r="AJ80" s="13">
        <v>7.6026501260066173E-2</v>
      </c>
      <c r="AK80" s="13">
        <v>7.6026501260066173E-2</v>
      </c>
      <c r="AL80" s="13">
        <v>7.6026501260066173E-2</v>
      </c>
      <c r="AM80" s="13">
        <v>7.6026501260066173E-2</v>
      </c>
      <c r="AN80" s="13">
        <v>7.6026501260066173E-2</v>
      </c>
      <c r="AO80" s="13">
        <v>7.6026501260066173E-2</v>
      </c>
      <c r="AP80" s="13">
        <v>7.6026501260066173E-2</v>
      </c>
      <c r="AQ80" s="13">
        <v>7.6026501260066173E-2</v>
      </c>
      <c r="AR80" s="13">
        <v>7.6026501260066173E-2</v>
      </c>
      <c r="AS80" s="13">
        <v>7.6026501260066173E-2</v>
      </c>
      <c r="AT80" s="13">
        <v>7.6026501260066173E-2</v>
      </c>
      <c r="AU80" s="13">
        <v>7.6026501260066173E-2</v>
      </c>
      <c r="AV80" s="13">
        <v>7.6026501260066173E-2</v>
      </c>
      <c r="AW80" s="13">
        <v>7.6026501260066173E-2</v>
      </c>
      <c r="AX80" s="13">
        <v>7.6026501260066173E-2</v>
      </c>
      <c r="AY80" s="13">
        <v>7.6026501260066173E-2</v>
      </c>
      <c r="AZ80" s="13">
        <v>7.6026501260066173E-2</v>
      </c>
      <c r="BA80" s="13">
        <v>7.6026501260066173E-2</v>
      </c>
      <c r="BB80" s="13">
        <v>7.6026501260066173E-2</v>
      </c>
      <c r="BC80" s="13">
        <v>7.6026501260066173E-2</v>
      </c>
      <c r="BD80" s="13">
        <v>7.6026501260066173E-2</v>
      </c>
      <c r="BE80" s="13">
        <v>7.6026501260066173E-2</v>
      </c>
      <c r="BF80" s="13">
        <v>7.6026501260066173E-2</v>
      </c>
      <c r="BG80" s="13">
        <v>7.6026501260066173E-2</v>
      </c>
    </row>
    <row r="81" spans="1:59" ht="12" customHeight="1" x14ac:dyDescent="0.2">
      <c r="A81" s="1" t="s">
        <v>44</v>
      </c>
      <c r="B81" t="s">
        <v>45</v>
      </c>
      <c r="C81" s="10" t="s">
        <v>63</v>
      </c>
      <c r="D81" s="13">
        <v>4.9504950495049507E-2</v>
      </c>
      <c r="E81" s="13">
        <v>0.06</v>
      </c>
      <c r="F81" s="13">
        <v>0.06</v>
      </c>
      <c r="G81" s="13">
        <v>0.06</v>
      </c>
      <c r="H81" s="13">
        <v>5.9999999999999991E-2</v>
      </c>
      <c r="I81" s="13">
        <v>0.06</v>
      </c>
      <c r="J81" s="13">
        <v>5.9999999999999991E-2</v>
      </c>
      <c r="K81" s="13">
        <v>7.0000000000000007E-2</v>
      </c>
      <c r="L81" s="14">
        <v>9.9999999999999992E-2</v>
      </c>
      <c r="M81" s="13">
        <v>0.11111111111111112</v>
      </c>
      <c r="N81" s="13">
        <v>0.13</v>
      </c>
      <c r="O81" s="13">
        <v>0.13861386138613863</v>
      </c>
      <c r="P81" s="13">
        <v>0.1386138613861386</v>
      </c>
      <c r="Q81" s="13">
        <v>0.14851485148514851</v>
      </c>
      <c r="R81" s="13">
        <v>0.15151515151515152</v>
      </c>
      <c r="S81" s="13">
        <v>0.15151515151515149</v>
      </c>
      <c r="T81" s="13">
        <v>0.15</v>
      </c>
      <c r="U81" s="13">
        <v>0.15</v>
      </c>
      <c r="V81" s="13">
        <v>0.14000000000000001</v>
      </c>
      <c r="W81" s="13">
        <v>0.14000000000000001</v>
      </c>
      <c r="X81" s="13">
        <v>0.13</v>
      </c>
      <c r="Y81" s="13">
        <v>0.13</v>
      </c>
      <c r="Z81" s="14">
        <v>0.12000000000000002</v>
      </c>
      <c r="AA81" s="14">
        <v>0.12000000000000002</v>
      </c>
      <c r="AB81" s="14">
        <v>0.12</v>
      </c>
      <c r="AC81" s="14">
        <v>0.11999999999999997</v>
      </c>
      <c r="AD81" s="14">
        <v>0.12</v>
      </c>
      <c r="AE81" s="14">
        <v>0.09</v>
      </c>
      <c r="AF81" s="15">
        <v>0.09</v>
      </c>
      <c r="AG81" s="14">
        <v>0.09</v>
      </c>
      <c r="AH81" s="14">
        <v>0.09</v>
      </c>
      <c r="AI81" s="13">
        <v>0.09</v>
      </c>
      <c r="AJ81" s="13">
        <v>0.09</v>
      </c>
      <c r="AK81" s="13">
        <v>0.09</v>
      </c>
      <c r="AL81" s="13">
        <v>0.09</v>
      </c>
      <c r="AM81" s="13">
        <v>0.09</v>
      </c>
      <c r="AN81" s="13">
        <v>0.09</v>
      </c>
      <c r="AO81" s="13">
        <v>0.09</v>
      </c>
      <c r="AP81" s="13">
        <v>0.09</v>
      </c>
      <c r="AQ81" s="13">
        <v>0.09</v>
      </c>
      <c r="AR81" s="13">
        <v>0.09</v>
      </c>
      <c r="AS81" s="13">
        <v>0.09</v>
      </c>
      <c r="AT81" s="13">
        <v>0.09</v>
      </c>
      <c r="AU81" s="13">
        <v>0.09</v>
      </c>
      <c r="AV81" s="13">
        <v>0.09</v>
      </c>
      <c r="AW81" s="13">
        <v>0.09</v>
      </c>
      <c r="AX81" s="13">
        <v>0.09</v>
      </c>
      <c r="AY81" s="13">
        <v>0.09</v>
      </c>
      <c r="AZ81" s="13">
        <v>0.09</v>
      </c>
      <c r="BA81" s="13">
        <v>0.09</v>
      </c>
      <c r="BB81" s="13">
        <v>0.09</v>
      </c>
      <c r="BC81" s="13">
        <v>0.09</v>
      </c>
      <c r="BD81" s="13">
        <v>0.09</v>
      </c>
      <c r="BE81" s="13">
        <v>0.09</v>
      </c>
      <c r="BF81" s="13">
        <v>0.09</v>
      </c>
      <c r="BG81" s="13">
        <v>0.09</v>
      </c>
    </row>
    <row r="82" spans="1:59" ht="12" customHeight="1" x14ac:dyDescent="0.2">
      <c r="A82" s="1" t="s">
        <v>47</v>
      </c>
      <c r="B82" t="s">
        <v>45</v>
      </c>
      <c r="C82" s="10" t="s">
        <v>63</v>
      </c>
      <c r="D82" s="13">
        <v>4.9504950495049507E-2</v>
      </c>
      <c r="E82" s="13">
        <v>0.06</v>
      </c>
      <c r="F82" s="13">
        <v>0.06</v>
      </c>
      <c r="G82" s="13">
        <v>5.9999999999999991E-2</v>
      </c>
      <c r="H82" s="13">
        <v>0.06</v>
      </c>
      <c r="I82" s="13">
        <v>0.06</v>
      </c>
      <c r="J82" s="13">
        <v>0.06</v>
      </c>
      <c r="K82" s="13">
        <v>7.0000000000000007E-2</v>
      </c>
      <c r="L82" s="14">
        <v>0.1</v>
      </c>
      <c r="M82" s="13">
        <v>0.1111111111111111</v>
      </c>
      <c r="N82" s="13">
        <v>0.13</v>
      </c>
      <c r="O82" s="13">
        <v>0.13861386138613863</v>
      </c>
      <c r="P82" s="13">
        <v>0.13861386138613863</v>
      </c>
      <c r="Q82" s="13">
        <v>0.14851485148514848</v>
      </c>
      <c r="R82" s="13">
        <v>0.15151515151515152</v>
      </c>
      <c r="S82" s="13">
        <v>0.15151515151515152</v>
      </c>
      <c r="T82" s="13">
        <v>0.14999999999999997</v>
      </c>
      <c r="U82" s="13">
        <v>0.15</v>
      </c>
      <c r="V82" s="13">
        <v>0.14000000000000001</v>
      </c>
      <c r="W82" s="13">
        <v>0.14000000000000001</v>
      </c>
      <c r="X82" s="13">
        <v>0.13</v>
      </c>
      <c r="Y82" s="13">
        <v>0.13</v>
      </c>
      <c r="Z82" s="14">
        <v>0.12</v>
      </c>
      <c r="AA82" s="14">
        <v>0.12</v>
      </c>
      <c r="AB82" s="14">
        <v>0.11999999999999998</v>
      </c>
      <c r="AC82" s="14">
        <v>0.12</v>
      </c>
      <c r="AD82" s="14">
        <v>0.12</v>
      </c>
      <c r="AE82" s="14">
        <v>0.09</v>
      </c>
      <c r="AF82" s="15">
        <v>0.09</v>
      </c>
      <c r="AG82" s="14">
        <v>0.09</v>
      </c>
      <c r="AH82" s="14">
        <v>0.09</v>
      </c>
      <c r="AI82" s="13">
        <v>0.09</v>
      </c>
      <c r="AJ82" s="13">
        <v>0.09</v>
      </c>
      <c r="AK82" s="13">
        <v>0.09</v>
      </c>
      <c r="AL82" s="13">
        <v>0.09</v>
      </c>
      <c r="AM82" s="13">
        <v>0.09</v>
      </c>
      <c r="AN82" s="13">
        <v>0.09</v>
      </c>
      <c r="AO82" s="13">
        <v>0.09</v>
      </c>
      <c r="AP82" s="13">
        <v>0.09</v>
      </c>
      <c r="AQ82" s="13">
        <v>0.09</v>
      </c>
      <c r="AR82" s="13">
        <v>0.09</v>
      </c>
      <c r="AS82" s="13">
        <v>0.09</v>
      </c>
      <c r="AT82" s="13">
        <v>0.09</v>
      </c>
      <c r="AU82" s="13">
        <v>0.09</v>
      </c>
      <c r="AV82" s="13">
        <v>0.09</v>
      </c>
      <c r="AW82" s="13">
        <v>0.09</v>
      </c>
      <c r="AX82" s="13">
        <v>0.09</v>
      </c>
      <c r="AY82" s="13">
        <v>0.09</v>
      </c>
      <c r="AZ82" s="13">
        <v>0.09</v>
      </c>
      <c r="BA82" s="13">
        <v>0.09</v>
      </c>
      <c r="BB82" s="13">
        <v>0.09</v>
      </c>
      <c r="BC82" s="13">
        <v>0.09</v>
      </c>
      <c r="BD82" s="13">
        <v>0.09</v>
      </c>
      <c r="BE82" s="13">
        <v>0.09</v>
      </c>
      <c r="BF82" s="13">
        <v>0.09</v>
      </c>
      <c r="BG82" s="13">
        <v>0.09</v>
      </c>
    </row>
    <row r="83" spans="1:59" ht="12" customHeight="1" x14ac:dyDescent="0.2">
      <c r="A83" s="1" t="s">
        <v>48</v>
      </c>
      <c r="B83" t="s">
        <v>45</v>
      </c>
      <c r="C83" s="10" t="s">
        <v>63</v>
      </c>
      <c r="D83" s="13">
        <v>4.9504950495049514E-2</v>
      </c>
      <c r="E83" s="13">
        <v>0.06</v>
      </c>
      <c r="F83" s="13">
        <v>5.9999999999999991E-2</v>
      </c>
      <c r="G83" s="13">
        <v>0.06</v>
      </c>
      <c r="H83" s="13">
        <v>5.9999999999999991E-2</v>
      </c>
      <c r="I83" s="13">
        <v>0.06</v>
      </c>
      <c r="J83" s="13">
        <v>0.06</v>
      </c>
      <c r="K83" s="13">
        <v>7.0000000000000007E-2</v>
      </c>
      <c r="L83" s="14">
        <v>0.1</v>
      </c>
      <c r="M83" s="13">
        <v>0.1111111111111111</v>
      </c>
      <c r="N83" s="13">
        <v>0.13</v>
      </c>
      <c r="O83" s="13">
        <v>0.13861386138613863</v>
      </c>
      <c r="P83" s="13">
        <v>0.13861386138613863</v>
      </c>
      <c r="Q83" s="13">
        <v>0.14851485148514851</v>
      </c>
      <c r="R83" s="13">
        <v>0.15151515151515149</v>
      </c>
      <c r="S83" s="13">
        <v>0.15151515151515149</v>
      </c>
      <c r="T83" s="13">
        <v>0.15</v>
      </c>
      <c r="U83" s="13">
        <v>0.15</v>
      </c>
      <c r="V83" s="13">
        <v>0.13999999999999999</v>
      </c>
      <c r="W83" s="13">
        <v>0.14000000000000001</v>
      </c>
      <c r="X83" s="13">
        <v>0.13</v>
      </c>
      <c r="Y83" s="13">
        <v>0.13</v>
      </c>
      <c r="Z83" s="14">
        <v>0.12</v>
      </c>
      <c r="AA83" s="14">
        <v>0.12</v>
      </c>
      <c r="AB83" s="14">
        <v>0.12000000000000001</v>
      </c>
      <c r="AC83" s="14">
        <v>0.12000000000000001</v>
      </c>
      <c r="AD83" s="14">
        <v>0.12</v>
      </c>
      <c r="AE83" s="14">
        <v>0.09</v>
      </c>
      <c r="AF83" s="15">
        <v>0.09</v>
      </c>
      <c r="AG83" s="14">
        <v>0.09</v>
      </c>
      <c r="AH83" s="14">
        <v>0.09</v>
      </c>
      <c r="AI83" s="13">
        <v>0.09</v>
      </c>
      <c r="AJ83" s="13">
        <v>0.09</v>
      </c>
      <c r="AK83" s="13">
        <v>0.09</v>
      </c>
      <c r="AL83" s="13">
        <v>0.09</v>
      </c>
      <c r="AM83" s="13">
        <v>0.09</v>
      </c>
      <c r="AN83" s="13">
        <v>0.09</v>
      </c>
      <c r="AO83" s="13">
        <v>0.09</v>
      </c>
      <c r="AP83" s="13">
        <v>0.09</v>
      </c>
      <c r="AQ83" s="13">
        <v>0.09</v>
      </c>
      <c r="AR83" s="13">
        <v>0.09</v>
      </c>
      <c r="AS83" s="13">
        <v>0.09</v>
      </c>
      <c r="AT83" s="13">
        <v>0.09</v>
      </c>
      <c r="AU83" s="13">
        <v>0.09</v>
      </c>
      <c r="AV83" s="13">
        <v>0.09</v>
      </c>
      <c r="AW83" s="13">
        <v>0.09</v>
      </c>
      <c r="AX83" s="13">
        <v>0.09</v>
      </c>
      <c r="AY83" s="13">
        <v>0.09</v>
      </c>
      <c r="AZ83" s="13">
        <v>0.09</v>
      </c>
      <c r="BA83" s="13">
        <v>0.09</v>
      </c>
      <c r="BB83" s="13">
        <v>0.09</v>
      </c>
      <c r="BC83" s="13">
        <v>0.09</v>
      </c>
      <c r="BD83" s="13">
        <v>0.09</v>
      </c>
      <c r="BE83" s="13">
        <v>0.09</v>
      </c>
      <c r="BF83" s="13">
        <v>0.09</v>
      </c>
      <c r="BG83" s="13">
        <v>0.09</v>
      </c>
    </row>
    <row r="84" spans="1:59" ht="12" customHeight="1" x14ac:dyDescent="0.2">
      <c r="A84" s="1" t="s">
        <v>49</v>
      </c>
      <c r="B84" t="s">
        <v>45</v>
      </c>
      <c r="C84" s="10" t="s">
        <v>63</v>
      </c>
      <c r="D84" s="13">
        <v>7.1457213839225167E-2</v>
      </c>
      <c r="E84" s="13">
        <v>9.3958988657234399E-2</v>
      </c>
      <c r="F84" s="13">
        <v>0.10108262213135072</v>
      </c>
      <c r="G84" s="13">
        <v>9.9407250352985366E-2</v>
      </c>
      <c r="H84" s="13">
        <v>9.9242313873538782E-2</v>
      </c>
      <c r="I84" s="13">
        <v>8.5494029982552344E-2</v>
      </c>
      <c r="J84" s="13">
        <v>0.10174872575082375</v>
      </c>
      <c r="K84" s="13">
        <v>0.1080599737773231</v>
      </c>
      <c r="L84" s="14">
        <v>0.12142785492766286</v>
      </c>
      <c r="M84" s="13">
        <v>0.12501929349371416</v>
      </c>
      <c r="N84" s="13">
        <v>0.11986973929620959</v>
      </c>
      <c r="O84" s="13">
        <v>0.12539632507876969</v>
      </c>
      <c r="P84" s="13">
        <v>0.10853905109380463</v>
      </c>
      <c r="Q84" s="13">
        <v>0.10571393511814502</v>
      </c>
      <c r="R84" s="13">
        <v>0.13489575775945337</v>
      </c>
      <c r="S84" s="13">
        <v>0.11841549313230602</v>
      </c>
      <c r="T84" s="13">
        <v>0.12678959531485404</v>
      </c>
      <c r="U84" s="13">
        <v>0.11897743766232484</v>
      </c>
      <c r="V84" s="13">
        <v>0.10840783929368634</v>
      </c>
      <c r="W84" s="13">
        <v>9.5512997380471462E-2</v>
      </c>
      <c r="X84" s="13">
        <v>7.2845977512782822E-2</v>
      </c>
      <c r="Y84" s="13">
        <v>7.0803414544303514E-2</v>
      </c>
      <c r="Z84" s="14">
        <v>6.6762269339927946E-2</v>
      </c>
      <c r="AA84" s="14">
        <v>6.4106447507328926E-2</v>
      </c>
      <c r="AB84" s="14">
        <v>6.3034109716346626E-2</v>
      </c>
      <c r="AC84" s="14">
        <v>8.750640869083709E-2</v>
      </c>
      <c r="AD84" s="14">
        <v>7.5097065583376518E-2</v>
      </c>
      <c r="AE84" s="14">
        <v>6.9702571419765449E-2</v>
      </c>
      <c r="AF84" s="15">
        <v>6.9702571419765449E-2</v>
      </c>
      <c r="AG84" s="14">
        <v>6.9702571419765449E-2</v>
      </c>
      <c r="AH84" s="14">
        <v>6.9702571419765449E-2</v>
      </c>
      <c r="AI84" s="13">
        <v>6.9702571419765449E-2</v>
      </c>
      <c r="AJ84" s="13">
        <v>6.9702571419765449E-2</v>
      </c>
      <c r="AK84" s="13">
        <v>6.9702571419765449E-2</v>
      </c>
      <c r="AL84" s="13">
        <v>6.9702571419765449E-2</v>
      </c>
      <c r="AM84" s="13">
        <v>6.9702571419765449E-2</v>
      </c>
      <c r="AN84" s="13">
        <v>6.9702571419765449E-2</v>
      </c>
      <c r="AO84" s="13">
        <v>6.9702571419765449E-2</v>
      </c>
      <c r="AP84" s="13">
        <v>6.9702571419765449E-2</v>
      </c>
      <c r="AQ84" s="13">
        <v>6.9702571419765449E-2</v>
      </c>
      <c r="AR84" s="13">
        <v>6.9702571419765449E-2</v>
      </c>
      <c r="AS84" s="13">
        <v>6.9702571419765449E-2</v>
      </c>
      <c r="AT84" s="13">
        <v>6.9702571419765449E-2</v>
      </c>
      <c r="AU84" s="13">
        <v>6.9702571419765449E-2</v>
      </c>
      <c r="AV84" s="13">
        <v>6.9702571419765449E-2</v>
      </c>
      <c r="AW84" s="13">
        <v>6.9702571419765449E-2</v>
      </c>
      <c r="AX84" s="13">
        <v>6.9702571419765449E-2</v>
      </c>
      <c r="AY84" s="13">
        <v>6.9702571419765449E-2</v>
      </c>
      <c r="AZ84" s="13">
        <v>6.9702571419765449E-2</v>
      </c>
      <c r="BA84" s="13">
        <v>6.9702571419765449E-2</v>
      </c>
      <c r="BB84" s="13">
        <v>6.9702571419765449E-2</v>
      </c>
      <c r="BC84" s="13">
        <v>6.9702571419765449E-2</v>
      </c>
      <c r="BD84" s="13">
        <v>6.9702571419765449E-2</v>
      </c>
      <c r="BE84" s="13">
        <v>6.9702571419765449E-2</v>
      </c>
      <c r="BF84" s="13">
        <v>6.9702571419765449E-2</v>
      </c>
      <c r="BG84" s="13">
        <v>6.9702571419765449E-2</v>
      </c>
    </row>
    <row r="85" spans="1:59" ht="12" customHeight="1" x14ac:dyDescent="0.2">
      <c r="A85" s="1" t="s">
        <v>50</v>
      </c>
      <c r="B85" t="s">
        <v>45</v>
      </c>
      <c r="C85" s="10" t="s">
        <v>63</v>
      </c>
      <c r="D85" s="13">
        <v>4.95049504950495E-2</v>
      </c>
      <c r="E85" s="13">
        <v>6.0000000000000005E-2</v>
      </c>
      <c r="F85" s="13">
        <v>0.06</v>
      </c>
      <c r="G85" s="13">
        <v>0.06</v>
      </c>
      <c r="H85" s="13">
        <v>0.06</v>
      </c>
      <c r="I85" s="13">
        <v>0.06</v>
      </c>
      <c r="J85" s="13">
        <v>5.9999999999999991E-2</v>
      </c>
      <c r="K85" s="13">
        <v>7.0000000000000007E-2</v>
      </c>
      <c r="L85" s="14">
        <v>9.9999999999999992E-2</v>
      </c>
      <c r="M85" s="13">
        <v>0.11111111111111112</v>
      </c>
      <c r="N85" s="13">
        <v>0.13</v>
      </c>
      <c r="O85" s="13">
        <v>0.13861386138613863</v>
      </c>
      <c r="P85" s="13">
        <v>0.13861386138613863</v>
      </c>
      <c r="Q85" s="13">
        <v>0.14851485148514851</v>
      </c>
      <c r="R85" s="13">
        <v>0.15151515151515152</v>
      </c>
      <c r="S85" s="13">
        <v>0.15151515151515149</v>
      </c>
      <c r="T85" s="13">
        <v>0.15</v>
      </c>
      <c r="U85" s="13">
        <v>0.15</v>
      </c>
      <c r="V85" s="13">
        <v>0.14000000000000001</v>
      </c>
      <c r="W85" s="13">
        <v>0.14000000000000001</v>
      </c>
      <c r="X85" s="13">
        <v>0.13000000000000003</v>
      </c>
      <c r="Y85" s="13">
        <v>0.13</v>
      </c>
      <c r="Z85" s="14">
        <v>0.12</v>
      </c>
      <c r="AA85" s="14">
        <v>0.12</v>
      </c>
      <c r="AB85" s="14">
        <v>0.12</v>
      </c>
      <c r="AC85" s="14">
        <v>0.11999999999999998</v>
      </c>
      <c r="AD85" s="14">
        <v>0.11999999999999998</v>
      </c>
      <c r="AE85" s="14">
        <v>0.09</v>
      </c>
      <c r="AF85" s="15">
        <v>0.09</v>
      </c>
      <c r="AG85" s="14">
        <v>0.09</v>
      </c>
      <c r="AH85" s="14">
        <v>0.09</v>
      </c>
      <c r="AI85" s="13">
        <v>0.09</v>
      </c>
      <c r="AJ85" s="13">
        <v>0.09</v>
      </c>
      <c r="AK85" s="13">
        <v>0.09</v>
      </c>
      <c r="AL85" s="13">
        <v>0.09</v>
      </c>
      <c r="AM85" s="13">
        <v>0.09</v>
      </c>
      <c r="AN85" s="13">
        <v>0.09</v>
      </c>
      <c r="AO85" s="13">
        <v>0.09</v>
      </c>
      <c r="AP85" s="13">
        <v>0.09</v>
      </c>
      <c r="AQ85" s="13">
        <v>0.09</v>
      </c>
      <c r="AR85" s="13">
        <v>0.09</v>
      </c>
      <c r="AS85" s="13">
        <v>0.09</v>
      </c>
      <c r="AT85" s="13">
        <v>0.09</v>
      </c>
      <c r="AU85" s="13">
        <v>0.09</v>
      </c>
      <c r="AV85" s="13">
        <v>0.09</v>
      </c>
      <c r="AW85" s="13">
        <v>0.09</v>
      </c>
      <c r="AX85" s="13">
        <v>0.09</v>
      </c>
      <c r="AY85" s="13">
        <v>0.09</v>
      </c>
      <c r="AZ85" s="13">
        <v>0.09</v>
      </c>
      <c r="BA85" s="13">
        <v>0.09</v>
      </c>
      <c r="BB85" s="13">
        <v>0.09</v>
      </c>
      <c r="BC85" s="13">
        <v>0.09</v>
      </c>
      <c r="BD85" s="13">
        <v>0.09</v>
      </c>
      <c r="BE85" s="13">
        <v>0.09</v>
      </c>
      <c r="BF85" s="13">
        <v>0.09</v>
      </c>
      <c r="BG85" s="13">
        <v>0.09</v>
      </c>
    </row>
    <row r="86" spans="1:59" ht="12" customHeight="1" x14ac:dyDescent="0.2">
      <c r="A86" s="1" t="s">
        <v>51</v>
      </c>
      <c r="B86" t="s">
        <v>45</v>
      </c>
      <c r="C86" s="10" t="s">
        <v>63</v>
      </c>
      <c r="D86" s="13">
        <v>4.7947572759350764E-2</v>
      </c>
      <c r="E86" s="13">
        <v>5.3339637996155327E-2</v>
      </c>
      <c r="F86" s="13">
        <v>5.3326328906924236E-2</v>
      </c>
      <c r="G86" s="13">
        <v>5.2801463187815596E-2</v>
      </c>
      <c r="H86" s="13">
        <v>5.2003265783192427E-2</v>
      </c>
      <c r="I86" s="13">
        <v>5.9379790911232362E-2</v>
      </c>
      <c r="J86" s="13">
        <v>5.184376507534845E-2</v>
      </c>
      <c r="K86" s="13">
        <v>5.974979461520679E-2</v>
      </c>
      <c r="L86" s="14">
        <v>8.767719234869073E-2</v>
      </c>
      <c r="M86" s="13">
        <v>9.6085663065381272E-2</v>
      </c>
      <c r="N86" s="13">
        <v>0.11457415384836415</v>
      </c>
      <c r="O86" s="13">
        <v>0.12730174999007454</v>
      </c>
      <c r="P86" s="13">
        <v>0.12438591295619131</v>
      </c>
      <c r="Q86" s="13">
        <v>0.13756341395244115</v>
      </c>
      <c r="R86" s="13">
        <v>0.14313720195839447</v>
      </c>
      <c r="S86" s="13">
        <v>0.14223255961023187</v>
      </c>
      <c r="T86" s="13">
        <v>0.14042554166475682</v>
      </c>
      <c r="U86" s="13">
        <v>0.14311300530525506</v>
      </c>
      <c r="V86" s="13">
        <v>0.13380398564240076</v>
      </c>
      <c r="W86" s="13">
        <v>0.13374267695336026</v>
      </c>
      <c r="X86" s="13">
        <v>0.11234281137710686</v>
      </c>
      <c r="Y86" s="13">
        <v>0.11186854624996408</v>
      </c>
      <c r="Z86" s="14">
        <v>0.10235298332702721</v>
      </c>
      <c r="AA86" s="14">
        <v>0.10298019254693647</v>
      </c>
      <c r="AB86" s="14">
        <v>0.10212065093562471</v>
      </c>
      <c r="AC86" s="14">
        <v>9.8275189948737171E-2</v>
      </c>
      <c r="AD86" s="14">
        <v>0.11584142145992898</v>
      </c>
      <c r="AE86" s="14">
        <v>8.0341629845207027E-2</v>
      </c>
      <c r="AF86" s="15">
        <v>8.0341629845207027E-2</v>
      </c>
      <c r="AG86" s="14">
        <v>8.0341629845207027E-2</v>
      </c>
      <c r="AH86" s="14">
        <v>8.0341629845207027E-2</v>
      </c>
      <c r="AI86" s="13">
        <v>8.0341629845207027E-2</v>
      </c>
      <c r="AJ86" s="13">
        <v>8.0341629845207027E-2</v>
      </c>
      <c r="AK86" s="13">
        <v>8.0341629845207027E-2</v>
      </c>
      <c r="AL86" s="13">
        <v>8.0341629845207027E-2</v>
      </c>
      <c r="AM86" s="13">
        <v>8.0341629845207027E-2</v>
      </c>
      <c r="AN86" s="13">
        <v>8.0341629845207027E-2</v>
      </c>
      <c r="AO86" s="13">
        <v>8.0341629845207027E-2</v>
      </c>
      <c r="AP86" s="13">
        <v>8.0341629845207027E-2</v>
      </c>
      <c r="AQ86" s="13">
        <v>8.0341629845207027E-2</v>
      </c>
      <c r="AR86" s="13">
        <v>8.0341629845207027E-2</v>
      </c>
      <c r="AS86" s="13">
        <v>8.0341629845207027E-2</v>
      </c>
      <c r="AT86" s="13">
        <v>8.0341629845207027E-2</v>
      </c>
      <c r="AU86" s="13">
        <v>8.0341629845207027E-2</v>
      </c>
      <c r="AV86" s="13">
        <v>8.0341629845207027E-2</v>
      </c>
      <c r="AW86" s="13">
        <v>8.0341629845207027E-2</v>
      </c>
      <c r="AX86" s="13">
        <v>8.0341629845207027E-2</v>
      </c>
      <c r="AY86" s="13">
        <v>8.0341629845207027E-2</v>
      </c>
      <c r="AZ86" s="13">
        <v>8.0341629845207027E-2</v>
      </c>
      <c r="BA86" s="13">
        <v>8.0341629845207027E-2</v>
      </c>
      <c r="BB86" s="13">
        <v>8.0341629845207027E-2</v>
      </c>
      <c r="BC86" s="13">
        <v>8.0341629845207027E-2</v>
      </c>
      <c r="BD86" s="13">
        <v>8.0341629845207027E-2</v>
      </c>
      <c r="BE86" s="13">
        <v>8.0341629845207027E-2</v>
      </c>
      <c r="BF86" s="13">
        <v>8.0341629845207027E-2</v>
      </c>
      <c r="BG86" s="13">
        <v>8.0341629845207027E-2</v>
      </c>
    </row>
    <row r="87" spans="1:59" ht="12" customHeight="1" x14ac:dyDescent="0.2">
      <c r="A87" s="1" t="s">
        <v>52</v>
      </c>
      <c r="B87" t="s">
        <v>45</v>
      </c>
      <c r="C87" s="10" t="s">
        <v>63</v>
      </c>
      <c r="D87" s="13">
        <v>4.9504950495049507E-2</v>
      </c>
      <c r="E87" s="13">
        <v>0.06</v>
      </c>
      <c r="F87" s="13">
        <v>0.06</v>
      </c>
      <c r="G87" s="13">
        <v>0.06</v>
      </c>
      <c r="H87" s="13">
        <v>5.9999999999999991E-2</v>
      </c>
      <c r="I87" s="13">
        <v>6.0000000000000005E-2</v>
      </c>
      <c r="J87" s="13">
        <v>0.06</v>
      </c>
      <c r="K87" s="13">
        <v>6.9999999999999993E-2</v>
      </c>
      <c r="L87" s="14">
        <v>0.10000000000000002</v>
      </c>
      <c r="M87" s="13">
        <v>0.1111111111111111</v>
      </c>
      <c r="N87" s="13">
        <v>0.13</v>
      </c>
      <c r="O87" s="13">
        <v>0.13861386138613863</v>
      </c>
      <c r="P87" s="13">
        <v>0.13861386138613863</v>
      </c>
      <c r="Q87" s="13">
        <v>0.14851485148514851</v>
      </c>
      <c r="R87" s="13">
        <v>0.15151515151515149</v>
      </c>
      <c r="S87" s="13">
        <v>0.15151515151515149</v>
      </c>
      <c r="T87" s="13">
        <v>0.15</v>
      </c>
      <c r="U87" s="13">
        <v>0.15</v>
      </c>
      <c r="V87" s="13">
        <v>0.14000000000000001</v>
      </c>
      <c r="W87" s="13">
        <v>0.14000000000000001</v>
      </c>
      <c r="X87" s="13">
        <v>0.13</v>
      </c>
      <c r="Y87" s="13">
        <v>0.13</v>
      </c>
      <c r="Z87" s="14">
        <v>0.12000000000000001</v>
      </c>
      <c r="AA87" s="14">
        <v>0.12000000000000001</v>
      </c>
      <c r="AB87" s="14">
        <v>0.12</v>
      </c>
      <c r="AC87" s="14">
        <v>0.12</v>
      </c>
      <c r="AD87" s="14">
        <v>0.11999999999999998</v>
      </c>
      <c r="AE87" s="14">
        <v>0.09</v>
      </c>
      <c r="AF87" s="15">
        <v>0.09</v>
      </c>
      <c r="AG87" s="14">
        <v>0.09</v>
      </c>
      <c r="AH87" s="14">
        <v>0.09</v>
      </c>
      <c r="AI87" s="13">
        <v>0.09</v>
      </c>
      <c r="AJ87" s="13">
        <v>0.09</v>
      </c>
      <c r="AK87" s="13">
        <v>0.09</v>
      </c>
      <c r="AL87" s="13">
        <v>0.09</v>
      </c>
      <c r="AM87" s="13">
        <v>0.09</v>
      </c>
      <c r="AN87" s="13">
        <v>0.09</v>
      </c>
      <c r="AO87" s="13">
        <v>0.09</v>
      </c>
      <c r="AP87" s="13">
        <v>0.09</v>
      </c>
      <c r="AQ87" s="13">
        <v>0.09</v>
      </c>
      <c r="AR87" s="13">
        <v>0.09</v>
      </c>
      <c r="AS87" s="13">
        <v>0.09</v>
      </c>
      <c r="AT87" s="13">
        <v>0.09</v>
      </c>
      <c r="AU87" s="13">
        <v>0.09</v>
      </c>
      <c r="AV87" s="13">
        <v>0.09</v>
      </c>
      <c r="AW87" s="13">
        <v>0.09</v>
      </c>
      <c r="AX87" s="13">
        <v>0.09</v>
      </c>
      <c r="AY87" s="13">
        <v>0.09</v>
      </c>
      <c r="AZ87" s="13">
        <v>0.09</v>
      </c>
      <c r="BA87" s="13">
        <v>0.09</v>
      </c>
      <c r="BB87" s="13">
        <v>0.09</v>
      </c>
      <c r="BC87" s="13">
        <v>0.09</v>
      </c>
      <c r="BD87" s="13">
        <v>0.09</v>
      </c>
      <c r="BE87" s="13">
        <v>0.09</v>
      </c>
      <c r="BF87" s="13">
        <v>0.09</v>
      </c>
      <c r="BG87" s="13">
        <v>0.09</v>
      </c>
    </row>
    <row r="88" spans="1:59" ht="12" customHeight="1" x14ac:dyDescent="0.2">
      <c r="A88" s="1" t="s">
        <v>53</v>
      </c>
      <c r="B88" t="s">
        <v>45</v>
      </c>
      <c r="C88" s="10" t="s">
        <v>63</v>
      </c>
      <c r="D88" s="13">
        <v>4.9504950495049507E-2</v>
      </c>
      <c r="E88" s="13">
        <v>0.06</v>
      </c>
      <c r="F88" s="13">
        <v>0.06</v>
      </c>
      <c r="G88" s="13">
        <v>0.06</v>
      </c>
      <c r="H88" s="13">
        <v>6.0000000000000005E-2</v>
      </c>
      <c r="I88" s="13">
        <v>0.06</v>
      </c>
      <c r="J88" s="13">
        <v>6.0000000000000005E-2</v>
      </c>
      <c r="K88" s="13">
        <v>6.9999999999999993E-2</v>
      </c>
      <c r="L88" s="14">
        <v>0.1</v>
      </c>
      <c r="M88" s="13">
        <v>0.1111111111111111</v>
      </c>
      <c r="N88" s="13">
        <v>0.13</v>
      </c>
      <c r="O88" s="13">
        <v>0.1386138613861386</v>
      </c>
      <c r="P88" s="13">
        <v>0.1386138613861386</v>
      </c>
      <c r="Q88" s="13">
        <v>0.14851485148514851</v>
      </c>
      <c r="R88" s="13">
        <v>0.15151515151515155</v>
      </c>
      <c r="S88" s="13">
        <v>0.15151515151515152</v>
      </c>
      <c r="T88" s="13">
        <v>0.15</v>
      </c>
      <c r="U88" s="13">
        <v>0.15</v>
      </c>
      <c r="V88" s="13">
        <v>0.14000000000000001</v>
      </c>
      <c r="W88" s="13">
        <v>0.14000000000000001</v>
      </c>
      <c r="X88" s="13">
        <v>0.13</v>
      </c>
      <c r="Y88" s="13">
        <v>0.13</v>
      </c>
      <c r="Z88" s="14">
        <v>0.11999999999999998</v>
      </c>
      <c r="AA88" s="14">
        <v>0.12000000000000001</v>
      </c>
      <c r="AB88" s="14">
        <v>0.12</v>
      </c>
      <c r="AC88" s="14">
        <v>0.11999999999999998</v>
      </c>
      <c r="AD88" s="14">
        <v>0.12</v>
      </c>
      <c r="AE88" s="14">
        <v>0.09</v>
      </c>
      <c r="AF88" s="15">
        <v>0.09</v>
      </c>
      <c r="AG88" s="14">
        <v>0.09</v>
      </c>
      <c r="AH88" s="14">
        <v>0.09</v>
      </c>
      <c r="AI88" s="13">
        <v>0.09</v>
      </c>
      <c r="AJ88" s="13">
        <v>0.09</v>
      </c>
      <c r="AK88" s="13">
        <v>0.09</v>
      </c>
      <c r="AL88" s="13">
        <v>0.09</v>
      </c>
      <c r="AM88" s="13">
        <v>0.09</v>
      </c>
      <c r="AN88" s="13">
        <v>0.09</v>
      </c>
      <c r="AO88" s="13">
        <v>0.09</v>
      </c>
      <c r="AP88" s="13">
        <v>0.09</v>
      </c>
      <c r="AQ88" s="13">
        <v>0.09</v>
      </c>
      <c r="AR88" s="13">
        <v>0.09</v>
      </c>
      <c r="AS88" s="13">
        <v>0.09</v>
      </c>
      <c r="AT88" s="13">
        <v>0.09</v>
      </c>
      <c r="AU88" s="13">
        <v>0.09</v>
      </c>
      <c r="AV88" s="13">
        <v>0.09</v>
      </c>
      <c r="AW88" s="13">
        <v>0.09</v>
      </c>
      <c r="AX88" s="13">
        <v>0.09</v>
      </c>
      <c r="AY88" s="13">
        <v>0.09</v>
      </c>
      <c r="AZ88" s="13">
        <v>0.09</v>
      </c>
      <c r="BA88" s="13">
        <v>0.09</v>
      </c>
      <c r="BB88" s="13">
        <v>0.09</v>
      </c>
      <c r="BC88" s="13">
        <v>0.09</v>
      </c>
      <c r="BD88" s="13">
        <v>0.09</v>
      </c>
      <c r="BE88" s="13">
        <v>0.09</v>
      </c>
      <c r="BF88" s="13">
        <v>0.09</v>
      </c>
      <c r="BG88" s="13">
        <v>0.09</v>
      </c>
    </row>
    <row r="89" spans="1:59" ht="12" customHeight="1" x14ac:dyDescent="0.2">
      <c r="A89" s="1" t="s">
        <v>54</v>
      </c>
      <c r="B89" t="s">
        <v>45</v>
      </c>
      <c r="C89" s="10" t="s">
        <v>63</v>
      </c>
      <c r="D89" s="13">
        <v>4.73921615082947E-2</v>
      </c>
      <c r="E89" s="13">
        <v>0.23520379984485579</v>
      </c>
      <c r="F89" s="13">
        <v>0.13418472128318759</v>
      </c>
      <c r="G89" s="13">
        <v>6.763472219698366E-2</v>
      </c>
      <c r="H89" s="13">
        <v>8.5345266296236261E-2</v>
      </c>
      <c r="I89" s="13">
        <v>6.4557346293472567E-2</v>
      </c>
      <c r="J89" s="13">
        <v>7.578177683405353E-2</v>
      </c>
      <c r="K89" s="13">
        <v>0.10001615329796952</v>
      </c>
      <c r="L89" s="14">
        <v>0.12148980928590064</v>
      </c>
      <c r="M89" s="13">
        <v>0.1197179340253451</v>
      </c>
      <c r="N89" s="13">
        <v>0.15532813139227969</v>
      </c>
      <c r="O89" s="13">
        <v>0.16191997481823978</v>
      </c>
      <c r="P89" s="13">
        <v>0.14530439308691603</v>
      </c>
      <c r="Q89" s="13">
        <v>0.14609681752343373</v>
      </c>
      <c r="R89" s="13">
        <v>0.15485303147000651</v>
      </c>
      <c r="S89" s="13">
        <v>0.26157049134393828</v>
      </c>
      <c r="T89" s="13">
        <v>0.20621766190897095</v>
      </c>
      <c r="U89" s="13">
        <v>0.21669011038275196</v>
      </c>
      <c r="V89" s="13">
        <v>0.15974442724682739</v>
      </c>
      <c r="W89" s="13">
        <v>0.25108071029732787</v>
      </c>
      <c r="X89" s="13">
        <v>0.22021676037467727</v>
      </c>
      <c r="Y89" s="13">
        <v>0.16048511746249272</v>
      </c>
      <c r="Z89" s="14">
        <v>0.17736569989235143</v>
      </c>
      <c r="AA89" s="14">
        <v>0.18627226319382137</v>
      </c>
      <c r="AB89" s="14">
        <v>0.24452868333094865</v>
      </c>
      <c r="AC89" s="14">
        <v>0.16201024671330441</v>
      </c>
      <c r="AD89" s="14">
        <v>0.18784094410635091</v>
      </c>
      <c r="AE89" s="14">
        <v>0.18660123832203093</v>
      </c>
      <c r="AF89" s="15">
        <v>0.18660123832203093</v>
      </c>
      <c r="AG89" s="14">
        <v>0.18660123832203093</v>
      </c>
      <c r="AH89" s="14">
        <v>0.18660123832203093</v>
      </c>
      <c r="AI89" s="13">
        <v>0.18660123832203093</v>
      </c>
      <c r="AJ89" s="13">
        <v>0.18660123832203093</v>
      </c>
      <c r="AK89" s="13">
        <v>0.18660123832203093</v>
      </c>
      <c r="AL89" s="13">
        <v>0.18660123832203093</v>
      </c>
      <c r="AM89" s="13">
        <v>0.18660123832203093</v>
      </c>
      <c r="AN89" s="13">
        <v>0.18660123832203093</v>
      </c>
      <c r="AO89" s="13">
        <v>0.18660123832203093</v>
      </c>
      <c r="AP89" s="13">
        <v>0.18660123832203093</v>
      </c>
      <c r="AQ89" s="13">
        <v>0.18660123832203093</v>
      </c>
      <c r="AR89" s="13">
        <v>0.18660123832203093</v>
      </c>
      <c r="AS89" s="13">
        <v>0.18660123832203093</v>
      </c>
      <c r="AT89" s="13">
        <v>0.18660123832203093</v>
      </c>
      <c r="AU89" s="13">
        <v>0.18660123832203093</v>
      </c>
      <c r="AV89" s="13">
        <v>0.18660123832203093</v>
      </c>
      <c r="AW89" s="13">
        <v>0.18660123832203093</v>
      </c>
      <c r="AX89" s="13">
        <v>0.18660123832203093</v>
      </c>
      <c r="AY89" s="13">
        <v>0.18660123832203093</v>
      </c>
      <c r="AZ89" s="13">
        <v>0.18660123832203093</v>
      </c>
      <c r="BA89" s="13">
        <v>0.18660123832203093</v>
      </c>
      <c r="BB89" s="13">
        <v>0.18660123832203093</v>
      </c>
      <c r="BC89" s="13">
        <v>0.18660123832203093</v>
      </c>
      <c r="BD89" s="13">
        <v>0.18660123832203093</v>
      </c>
      <c r="BE89" s="13">
        <v>0.18660123832203093</v>
      </c>
      <c r="BF89" s="13">
        <v>0.18660123832203093</v>
      </c>
      <c r="BG89" s="13">
        <v>0.18660123832203093</v>
      </c>
    </row>
    <row r="90" spans="1:59" ht="12" customHeight="1" x14ac:dyDescent="0.2">
      <c r="A90" s="1" t="s">
        <v>55</v>
      </c>
      <c r="B90" t="s">
        <v>45</v>
      </c>
      <c r="C90" s="10" t="s">
        <v>63</v>
      </c>
      <c r="D90" s="13">
        <v>4.9504950495049507E-2</v>
      </c>
      <c r="E90" s="13">
        <v>6.0000000000000005E-2</v>
      </c>
      <c r="F90" s="13">
        <v>5.9999999999999991E-2</v>
      </c>
      <c r="G90" s="13">
        <v>6.0000000000000005E-2</v>
      </c>
      <c r="H90" s="13">
        <v>0.06</v>
      </c>
      <c r="I90" s="13">
        <v>5.9999999999999991E-2</v>
      </c>
      <c r="J90" s="13">
        <v>0.06</v>
      </c>
      <c r="K90" s="13">
        <v>7.0000000000000007E-2</v>
      </c>
      <c r="L90" s="14">
        <v>0.1</v>
      </c>
      <c r="M90" s="13">
        <v>0.1111111111111111</v>
      </c>
      <c r="N90" s="13">
        <v>0.13</v>
      </c>
      <c r="O90" s="13">
        <v>0.13861386138613863</v>
      </c>
      <c r="P90" s="13">
        <v>0.1386138613861386</v>
      </c>
      <c r="Q90" s="13">
        <v>0.14851485148514851</v>
      </c>
      <c r="R90" s="13">
        <v>0.15151515151515152</v>
      </c>
      <c r="S90" s="13">
        <v>0.15151515151515152</v>
      </c>
      <c r="T90" s="13">
        <v>0.15</v>
      </c>
      <c r="U90" s="13">
        <v>0.15</v>
      </c>
      <c r="V90" s="13">
        <v>0.14000000000000001</v>
      </c>
      <c r="W90" s="13">
        <v>0.14000000000000001</v>
      </c>
      <c r="X90" s="13">
        <v>0.13</v>
      </c>
      <c r="Y90" s="13">
        <v>0.13000000000000003</v>
      </c>
      <c r="Z90" s="14">
        <v>0.12</v>
      </c>
      <c r="AA90" s="14">
        <v>0.12</v>
      </c>
      <c r="AB90" s="14">
        <v>0.12</v>
      </c>
      <c r="AC90" s="14">
        <v>0.11999999999999997</v>
      </c>
      <c r="AD90" s="14">
        <v>0.11999999999999998</v>
      </c>
      <c r="AE90" s="14">
        <v>0.09</v>
      </c>
      <c r="AF90" s="15">
        <v>0.09</v>
      </c>
      <c r="AG90" s="14">
        <v>0.09</v>
      </c>
      <c r="AH90" s="14">
        <v>0.09</v>
      </c>
      <c r="AI90" s="13">
        <v>0.09</v>
      </c>
      <c r="AJ90" s="13">
        <v>0.09</v>
      </c>
      <c r="AK90" s="13">
        <v>0.09</v>
      </c>
      <c r="AL90" s="13">
        <v>0.09</v>
      </c>
      <c r="AM90" s="13">
        <v>0.09</v>
      </c>
      <c r="AN90" s="13">
        <v>0.09</v>
      </c>
      <c r="AO90" s="13">
        <v>0.09</v>
      </c>
      <c r="AP90" s="13">
        <v>0.09</v>
      </c>
      <c r="AQ90" s="13">
        <v>0.09</v>
      </c>
      <c r="AR90" s="13">
        <v>0.09</v>
      </c>
      <c r="AS90" s="13">
        <v>0.09</v>
      </c>
      <c r="AT90" s="13">
        <v>0.09</v>
      </c>
      <c r="AU90" s="13">
        <v>0.09</v>
      </c>
      <c r="AV90" s="13">
        <v>0.09</v>
      </c>
      <c r="AW90" s="13">
        <v>0.09</v>
      </c>
      <c r="AX90" s="13">
        <v>0.09</v>
      </c>
      <c r="AY90" s="13">
        <v>0.09</v>
      </c>
      <c r="AZ90" s="13">
        <v>0.09</v>
      </c>
      <c r="BA90" s="13">
        <v>0.09</v>
      </c>
      <c r="BB90" s="13">
        <v>0.09</v>
      </c>
      <c r="BC90" s="13">
        <v>0.09</v>
      </c>
      <c r="BD90" s="13">
        <v>0.09</v>
      </c>
      <c r="BE90" s="13">
        <v>0.09</v>
      </c>
      <c r="BF90" s="13">
        <v>0.09</v>
      </c>
      <c r="BG90" s="13">
        <v>0.09</v>
      </c>
    </row>
    <row r="91" spans="1:59" ht="12" customHeight="1" x14ac:dyDescent="0.2">
      <c r="A91" s="1" t="s">
        <v>56</v>
      </c>
      <c r="B91" t="s">
        <v>45</v>
      </c>
      <c r="C91" s="10" t="s">
        <v>63</v>
      </c>
      <c r="D91" s="13">
        <v>4.9504950495049514E-2</v>
      </c>
      <c r="E91" s="13">
        <v>0.06</v>
      </c>
      <c r="F91" s="13">
        <v>0.06</v>
      </c>
      <c r="G91" s="13">
        <v>0.06</v>
      </c>
      <c r="H91" s="13">
        <v>0.06</v>
      </c>
      <c r="I91" s="13">
        <v>5.9999999999999991E-2</v>
      </c>
      <c r="J91" s="13">
        <v>0.06</v>
      </c>
      <c r="K91" s="13">
        <v>7.0000000000000007E-2</v>
      </c>
      <c r="L91" s="14">
        <v>0.1</v>
      </c>
      <c r="M91" s="13">
        <v>0.11111111111111112</v>
      </c>
      <c r="N91" s="13">
        <v>0.13</v>
      </c>
      <c r="O91" s="13">
        <v>0.13861386138613863</v>
      </c>
      <c r="P91" s="13">
        <v>0.1386138613861386</v>
      </c>
      <c r="Q91" s="13">
        <v>0.14851485148514851</v>
      </c>
      <c r="R91" s="13">
        <v>0.15151515151515149</v>
      </c>
      <c r="S91" s="13">
        <v>0.15151515151515152</v>
      </c>
      <c r="T91" s="13">
        <v>0.15</v>
      </c>
      <c r="U91" s="13">
        <v>0.15</v>
      </c>
      <c r="V91" s="13">
        <v>0.14000000000000001</v>
      </c>
      <c r="W91" s="13">
        <v>0.14000000000000001</v>
      </c>
      <c r="X91" s="13">
        <v>0.13</v>
      </c>
      <c r="Y91" s="13">
        <v>0.13</v>
      </c>
      <c r="Z91" s="14">
        <v>0.12</v>
      </c>
      <c r="AA91" s="14">
        <v>0.12</v>
      </c>
      <c r="AB91" s="14">
        <v>0.12000000000000001</v>
      </c>
      <c r="AC91" s="14">
        <v>0.12</v>
      </c>
      <c r="AD91" s="14">
        <v>0.12</v>
      </c>
      <c r="AE91" s="14">
        <v>0.09</v>
      </c>
      <c r="AF91" s="15">
        <v>0.09</v>
      </c>
      <c r="AG91" s="14">
        <v>0.09</v>
      </c>
      <c r="AH91" s="14">
        <v>0.09</v>
      </c>
      <c r="AI91" s="13">
        <v>0.09</v>
      </c>
      <c r="AJ91" s="13">
        <v>0.09</v>
      </c>
      <c r="AK91" s="13">
        <v>0.09</v>
      </c>
      <c r="AL91" s="13">
        <v>0.09</v>
      </c>
      <c r="AM91" s="13">
        <v>0.09</v>
      </c>
      <c r="AN91" s="13">
        <v>0.09</v>
      </c>
      <c r="AO91" s="13">
        <v>0.09</v>
      </c>
      <c r="AP91" s="13">
        <v>0.09</v>
      </c>
      <c r="AQ91" s="13">
        <v>0.09</v>
      </c>
      <c r="AR91" s="13">
        <v>0.09</v>
      </c>
      <c r="AS91" s="13">
        <v>0.09</v>
      </c>
      <c r="AT91" s="13">
        <v>0.09</v>
      </c>
      <c r="AU91" s="13">
        <v>0.09</v>
      </c>
      <c r="AV91" s="13">
        <v>0.09</v>
      </c>
      <c r="AW91" s="13">
        <v>0.09</v>
      </c>
      <c r="AX91" s="13">
        <v>0.09</v>
      </c>
      <c r="AY91" s="13">
        <v>0.09</v>
      </c>
      <c r="AZ91" s="13">
        <v>0.09</v>
      </c>
      <c r="BA91" s="13">
        <v>0.09</v>
      </c>
      <c r="BB91" s="13">
        <v>0.09</v>
      </c>
      <c r="BC91" s="13">
        <v>0.09</v>
      </c>
      <c r="BD91" s="13">
        <v>0.09</v>
      </c>
      <c r="BE91" s="13">
        <v>0.09</v>
      </c>
      <c r="BF91" s="13">
        <v>0.09</v>
      </c>
      <c r="BG91" s="13">
        <v>0.09</v>
      </c>
    </row>
    <row r="92" spans="1:59" ht="12" customHeight="1" x14ac:dyDescent="0.2">
      <c r="A92" s="1" t="s">
        <v>57</v>
      </c>
      <c r="B92" t="s">
        <v>45</v>
      </c>
      <c r="C92" s="10" t="s">
        <v>63</v>
      </c>
      <c r="D92" s="13">
        <v>2.0192551886175643E-2</v>
      </c>
      <c r="E92" s="13">
        <v>2.38785077372651E-2</v>
      </c>
      <c r="F92" s="13">
        <v>2.3677896529261361E-2</v>
      </c>
      <c r="G92" s="13">
        <v>2.132840670528682E-2</v>
      </c>
      <c r="H92" s="13">
        <v>2.0193520215449207E-2</v>
      </c>
      <c r="I92" s="13">
        <v>2.1998244583638474E-2</v>
      </c>
      <c r="J92" s="13">
        <v>2.0907538306460898E-2</v>
      </c>
      <c r="K92" s="13">
        <v>2.7066888520726147E-2</v>
      </c>
      <c r="L92" s="14">
        <v>4.1198660540597516E-2</v>
      </c>
      <c r="M92" s="13">
        <v>5.2639401655678757E-2</v>
      </c>
      <c r="N92" s="13">
        <v>6.1614775297398665E-2</v>
      </c>
      <c r="O92" s="13">
        <v>7.4614505812870741E-2</v>
      </c>
      <c r="P92" s="13">
        <v>7.8411449020596366E-2</v>
      </c>
      <c r="Q92" s="13">
        <v>8.6095806070501324E-2</v>
      </c>
      <c r="R92" s="13">
        <v>8.6904415559006257E-2</v>
      </c>
      <c r="S92" s="13">
        <v>9.3083524356737016E-2</v>
      </c>
      <c r="T92" s="13">
        <v>9.6796242875078237E-2</v>
      </c>
      <c r="U92" s="13">
        <v>9.8918826003497745E-2</v>
      </c>
      <c r="V92" s="13">
        <v>0.10077952312806519</v>
      </c>
      <c r="W92" s="13">
        <v>9.4933588177546907E-2</v>
      </c>
      <c r="X92" s="13">
        <v>7.1447547206831288E-2</v>
      </c>
      <c r="Y92" s="13">
        <v>7.4855928496666682E-2</v>
      </c>
      <c r="Z92" s="14">
        <v>7.0591329723478966E-2</v>
      </c>
      <c r="AA92" s="14">
        <v>6.6029848041401426E-2</v>
      </c>
      <c r="AB92" s="14">
        <v>6.9834974654650203E-2</v>
      </c>
      <c r="AC92" s="14">
        <v>9.1207036274134692E-2</v>
      </c>
      <c r="AD92" s="14">
        <v>0.1128112952164156</v>
      </c>
      <c r="AE92" s="14">
        <v>6.880090228152215E-2</v>
      </c>
      <c r="AF92" s="15">
        <v>6.880090228152215E-2</v>
      </c>
      <c r="AG92" s="14">
        <v>6.880090228152215E-2</v>
      </c>
      <c r="AH92" s="14">
        <v>6.880090228152215E-2</v>
      </c>
      <c r="AI92" s="13">
        <v>6.880090228152215E-2</v>
      </c>
      <c r="AJ92" s="13">
        <v>6.880090228152215E-2</v>
      </c>
      <c r="AK92" s="13">
        <v>6.880090228152215E-2</v>
      </c>
      <c r="AL92" s="13">
        <v>6.880090228152215E-2</v>
      </c>
      <c r="AM92" s="13">
        <v>6.880090228152215E-2</v>
      </c>
      <c r="AN92" s="13">
        <v>6.880090228152215E-2</v>
      </c>
      <c r="AO92" s="13">
        <v>6.880090228152215E-2</v>
      </c>
      <c r="AP92" s="13">
        <v>6.880090228152215E-2</v>
      </c>
      <c r="AQ92" s="13">
        <v>6.880090228152215E-2</v>
      </c>
      <c r="AR92" s="13">
        <v>6.880090228152215E-2</v>
      </c>
      <c r="AS92" s="13">
        <v>6.880090228152215E-2</v>
      </c>
      <c r="AT92" s="13">
        <v>6.880090228152215E-2</v>
      </c>
      <c r="AU92" s="13">
        <v>6.880090228152215E-2</v>
      </c>
      <c r="AV92" s="13">
        <v>6.880090228152215E-2</v>
      </c>
      <c r="AW92" s="13">
        <v>6.880090228152215E-2</v>
      </c>
      <c r="AX92" s="13">
        <v>6.880090228152215E-2</v>
      </c>
      <c r="AY92" s="13">
        <v>6.880090228152215E-2</v>
      </c>
      <c r="AZ92" s="13">
        <v>6.880090228152215E-2</v>
      </c>
      <c r="BA92" s="13">
        <v>6.880090228152215E-2</v>
      </c>
      <c r="BB92" s="13">
        <v>6.880090228152215E-2</v>
      </c>
      <c r="BC92" s="13">
        <v>6.880090228152215E-2</v>
      </c>
      <c r="BD92" s="13">
        <v>6.880090228152215E-2</v>
      </c>
      <c r="BE92" s="13">
        <v>6.880090228152215E-2</v>
      </c>
      <c r="BF92" s="13">
        <v>6.880090228152215E-2</v>
      </c>
      <c r="BG92" s="13">
        <v>6.880090228152215E-2</v>
      </c>
    </row>
    <row r="93" spans="1:59" ht="12" customHeight="1" x14ac:dyDescent="0.2">
      <c r="A93" s="1" t="s">
        <v>58</v>
      </c>
      <c r="B93" t="s">
        <v>45</v>
      </c>
      <c r="C93" s="10" t="s">
        <v>63</v>
      </c>
      <c r="D93" s="13">
        <v>4.1594747038475655E-2</v>
      </c>
      <c r="E93" s="13">
        <v>5.1649807338475504E-2</v>
      </c>
      <c r="F93" s="13">
        <v>5.5115600425790397E-2</v>
      </c>
      <c r="G93" s="13">
        <v>5.3822878386986676E-2</v>
      </c>
      <c r="H93" s="13">
        <v>5.9523430886936374E-2</v>
      </c>
      <c r="I93" s="13">
        <v>5.6958525477737221E-2</v>
      </c>
      <c r="J93" s="13">
        <v>6.1124053128961096E-2</v>
      </c>
      <c r="K93" s="13">
        <v>7.0055746285362444E-2</v>
      </c>
      <c r="L93" s="14">
        <v>9.3990566855964255E-2</v>
      </c>
      <c r="M93" s="13">
        <v>0.1022047866119585</v>
      </c>
      <c r="N93" s="13">
        <v>0.12562696108581314</v>
      </c>
      <c r="O93" s="13">
        <v>0.1341848701453236</v>
      </c>
      <c r="P93" s="13">
        <v>0.11353117215519168</v>
      </c>
      <c r="Q93" s="13">
        <v>0.13909651142848778</v>
      </c>
      <c r="R93" s="13">
        <v>0.15586910927282241</v>
      </c>
      <c r="S93" s="13">
        <v>0.13771388451293542</v>
      </c>
      <c r="T93" s="13">
        <v>0.1451757936758245</v>
      </c>
      <c r="U93" s="13">
        <v>0.14286511631422705</v>
      </c>
      <c r="V93" s="13">
        <v>0.1296025461389658</v>
      </c>
      <c r="W93" s="13">
        <v>0.12937747615479572</v>
      </c>
      <c r="X93" s="13">
        <v>6.3137364747186259E-2</v>
      </c>
      <c r="Y93" s="13">
        <v>6.7188329087454174E-2</v>
      </c>
      <c r="Z93" s="14">
        <v>6.107440828827107E-2</v>
      </c>
      <c r="AA93" s="14">
        <v>6.0008173629167882E-2</v>
      </c>
      <c r="AB93" s="14">
        <v>6.3318469510389344E-2</v>
      </c>
      <c r="AC93" s="14">
        <v>8.399443385880033E-2</v>
      </c>
      <c r="AD93" s="14">
        <v>8.0103415691892166E-2</v>
      </c>
      <c r="AE93" s="14">
        <v>4.4013333337946187E-2</v>
      </c>
      <c r="AF93" s="15">
        <v>4.4013333337946187E-2</v>
      </c>
      <c r="AG93" s="14">
        <v>4.4013333337946187E-2</v>
      </c>
      <c r="AH93" s="14">
        <v>4.4013333337946187E-2</v>
      </c>
      <c r="AI93" s="13">
        <v>4.4013333337946187E-2</v>
      </c>
      <c r="AJ93" s="13">
        <v>4.4013333337946187E-2</v>
      </c>
      <c r="AK93" s="13">
        <v>4.4013333337946187E-2</v>
      </c>
      <c r="AL93" s="13">
        <v>4.4013333337946187E-2</v>
      </c>
      <c r="AM93" s="13">
        <v>4.4013333337946187E-2</v>
      </c>
      <c r="AN93" s="13">
        <v>4.4013333337946187E-2</v>
      </c>
      <c r="AO93" s="13">
        <v>4.4013333337946187E-2</v>
      </c>
      <c r="AP93" s="13">
        <v>4.4013333337946187E-2</v>
      </c>
      <c r="AQ93" s="13">
        <v>4.4013333337946187E-2</v>
      </c>
      <c r="AR93" s="13">
        <v>4.4013333337946187E-2</v>
      </c>
      <c r="AS93" s="13">
        <v>4.4013333337946187E-2</v>
      </c>
      <c r="AT93" s="13">
        <v>4.4013333337946187E-2</v>
      </c>
      <c r="AU93" s="13">
        <v>4.4013333337946187E-2</v>
      </c>
      <c r="AV93" s="13">
        <v>4.4013333337946187E-2</v>
      </c>
      <c r="AW93" s="13">
        <v>4.4013333337946187E-2</v>
      </c>
      <c r="AX93" s="13">
        <v>4.4013333337946187E-2</v>
      </c>
      <c r="AY93" s="13">
        <v>4.4013333337946187E-2</v>
      </c>
      <c r="AZ93" s="13">
        <v>4.4013333337946187E-2</v>
      </c>
      <c r="BA93" s="13">
        <v>4.4013333337946187E-2</v>
      </c>
      <c r="BB93" s="13">
        <v>4.4013333337946187E-2</v>
      </c>
      <c r="BC93" s="13">
        <v>4.4013333337946187E-2</v>
      </c>
      <c r="BD93" s="13">
        <v>4.4013333337946187E-2</v>
      </c>
      <c r="BE93" s="13">
        <v>4.4013333337946187E-2</v>
      </c>
      <c r="BF93" s="13">
        <v>4.4013333337946187E-2</v>
      </c>
      <c r="BG93" s="13">
        <v>4.4013333337946187E-2</v>
      </c>
    </row>
    <row r="94" spans="1:59" ht="12" customHeight="1" x14ac:dyDescent="0.2">
      <c r="A94" s="1" t="s">
        <v>59</v>
      </c>
      <c r="B94" t="s">
        <v>45</v>
      </c>
      <c r="C94" s="10" t="s">
        <v>63</v>
      </c>
      <c r="D94" s="13">
        <v>4.034413113527207E-2</v>
      </c>
      <c r="E94" s="13">
        <v>4.9827379845578071E-2</v>
      </c>
      <c r="F94" s="13">
        <v>5.2811469043994384E-2</v>
      </c>
      <c r="G94" s="13">
        <v>4.9564277923689233E-2</v>
      </c>
      <c r="H94" s="13">
        <v>4.9402292966860946E-2</v>
      </c>
      <c r="I94" s="13">
        <v>5.3661445872850273E-2</v>
      </c>
      <c r="J94" s="13">
        <v>5.6039160346209246E-2</v>
      </c>
      <c r="K94" s="13">
        <v>6.5162844881176449E-2</v>
      </c>
      <c r="L94" s="14">
        <v>9.3170703357004642E-2</v>
      </c>
      <c r="M94" s="13">
        <v>9.7576040227852323E-2</v>
      </c>
      <c r="N94" s="13">
        <v>0.11322323595899982</v>
      </c>
      <c r="O94" s="13">
        <v>0.13074559299997768</v>
      </c>
      <c r="P94" s="13">
        <v>0.10708102852175851</v>
      </c>
      <c r="Q94" s="13">
        <v>0.11446268184638954</v>
      </c>
      <c r="R94" s="13">
        <v>0.10106164748373332</v>
      </c>
      <c r="S94" s="13">
        <v>0.100396151790469</v>
      </c>
      <c r="T94" s="13">
        <v>0.10391790053258843</v>
      </c>
      <c r="U94" s="13">
        <v>0.10058037472300288</v>
      </c>
      <c r="V94" s="13">
        <v>0.10280062848664004</v>
      </c>
      <c r="W94" s="13">
        <v>0.11097931442819881</v>
      </c>
      <c r="X94" s="13">
        <v>0.10122090258025039</v>
      </c>
      <c r="Y94" s="13">
        <v>0.10199045158375573</v>
      </c>
      <c r="Z94" s="14">
        <v>9.6217084232525646E-2</v>
      </c>
      <c r="AA94" s="14">
        <v>0.10678617918940872</v>
      </c>
      <c r="AB94" s="14">
        <v>0.10291469423963895</v>
      </c>
      <c r="AC94" s="14">
        <v>9.7115431217562678E-2</v>
      </c>
      <c r="AD94" s="14">
        <v>9.3851344222763519E-2</v>
      </c>
      <c r="AE94" s="14">
        <v>8.2782954350684751E-2</v>
      </c>
      <c r="AF94" s="15">
        <v>8.2782954350684751E-2</v>
      </c>
      <c r="AG94" s="14">
        <v>8.2782954350684751E-2</v>
      </c>
      <c r="AH94" s="14">
        <v>8.2782954350684751E-2</v>
      </c>
      <c r="AI94" s="13">
        <v>8.2782954350684751E-2</v>
      </c>
      <c r="AJ94" s="13">
        <v>8.2782954350684751E-2</v>
      </c>
      <c r="AK94" s="13">
        <v>8.2782954350684751E-2</v>
      </c>
      <c r="AL94" s="13">
        <v>8.2782954350684751E-2</v>
      </c>
      <c r="AM94" s="13">
        <v>8.2782954350684751E-2</v>
      </c>
      <c r="AN94" s="13">
        <v>8.2782954350684751E-2</v>
      </c>
      <c r="AO94" s="13">
        <v>8.2782954350684751E-2</v>
      </c>
      <c r="AP94" s="13">
        <v>8.2782954350684751E-2</v>
      </c>
      <c r="AQ94" s="13">
        <v>8.2782954350684751E-2</v>
      </c>
      <c r="AR94" s="13">
        <v>8.2782954350684751E-2</v>
      </c>
      <c r="AS94" s="13">
        <v>8.2782954350684751E-2</v>
      </c>
      <c r="AT94" s="13">
        <v>8.2782954350684751E-2</v>
      </c>
      <c r="AU94" s="13">
        <v>8.2782954350684751E-2</v>
      </c>
      <c r="AV94" s="13">
        <v>8.2782954350684751E-2</v>
      </c>
      <c r="AW94" s="13">
        <v>8.2782954350684751E-2</v>
      </c>
      <c r="AX94" s="13">
        <v>8.2782954350684751E-2</v>
      </c>
      <c r="AY94" s="13">
        <v>8.2782954350684751E-2</v>
      </c>
      <c r="AZ94" s="13">
        <v>8.2782954350684751E-2</v>
      </c>
      <c r="BA94" s="13">
        <v>8.2782954350684751E-2</v>
      </c>
      <c r="BB94" s="13">
        <v>8.2782954350684751E-2</v>
      </c>
      <c r="BC94" s="13">
        <v>8.2782954350684751E-2</v>
      </c>
      <c r="BD94" s="13">
        <v>8.2782954350684751E-2</v>
      </c>
      <c r="BE94" s="13">
        <v>8.2782954350684751E-2</v>
      </c>
      <c r="BF94" s="13">
        <v>8.2782954350684751E-2</v>
      </c>
      <c r="BG94" s="13">
        <v>8.2782954350684751E-2</v>
      </c>
    </row>
    <row r="95" spans="1:59" ht="12" customHeight="1" x14ac:dyDescent="0.2">
      <c r="A95" s="1" t="s">
        <v>60</v>
      </c>
      <c r="B95" t="s">
        <v>45</v>
      </c>
      <c r="C95" s="10" t="s">
        <v>63</v>
      </c>
      <c r="D95" s="13">
        <v>4.9504950495049507E-2</v>
      </c>
      <c r="E95" s="13">
        <v>0.06</v>
      </c>
      <c r="F95" s="13">
        <v>6.0000000000000005E-2</v>
      </c>
      <c r="G95" s="13">
        <v>0.06</v>
      </c>
      <c r="H95" s="13">
        <v>6.0000000000000005E-2</v>
      </c>
      <c r="I95" s="13">
        <v>0.06</v>
      </c>
      <c r="J95" s="13">
        <v>5.9999999999999991E-2</v>
      </c>
      <c r="K95" s="13">
        <v>6.9999999999999993E-2</v>
      </c>
      <c r="L95" s="14">
        <v>0.1</v>
      </c>
      <c r="M95" s="13">
        <v>0.11111111111111112</v>
      </c>
      <c r="N95" s="13">
        <v>0.13</v>
      </c>
      <c r="O95" s="13">
        <v>0.1386138613861386</v>
      </c>
      <c r="P95" s="13">
        <v>0.13861386138613863</v>
      </c>
      <c r="Q95" s="13">
        <v>0.14851485148514851</v>
      </c>
      <c r="R95" s="13">
        <v>0.15151515151515149</v>
      </c>
      <c r="S95" s="13">
        <v>0.15151515151515152</v>
      </c>
      <c r="T95" s="13">
        <v>0.15</v>
      </c>
      <c r="U95" s="13">
        <v>0.15</v>
      </c>
      <c r="V95" s="13">
        <v>0.14000000000000001</v>
      </c>
      <c r="W95" s="13">
        <v>0.13999999999999999</v>
      </c>
      <c r="X95" s="13">
        <v>0.13</v>
      </c>
      <c r="Y95" s="13">
        <v>0.13</v>
      </c>
      <c r="Z95" s="14">
        <v>0.12000000000000001</v>
      </c>
      <c r="AA95" s="14">
        <v>0.12</v>
      </c>
      <c r="AB95" s="14">
        <v>0.12000000000000001</v>
      </c>
      <c r="AC95" s="14">
        <v>0.12</v>
      </c>
      <c r="AD95" s="14">
        <v>0.11999999999999998</v>
      </c>
      <c r="AE95" s="14">
        <v>0.09</v>
      </c>
      <c r="AF95" s="15">
        <v>0.09</v>
      </c>
      <c r="AG95" s="14">
        <v>0.09</v>
      </c>
      <c r="AH95" s="14">
        <v>0.09</v>
      </c>
      <c r="AI95" s="13">
        <v>0.09</v>
      </c>
      <c r="AJ95" s="13">
        <v>0.09</v>
      </c>
      <c r="AK95" s="13">
        <v>0.09</v>
      </c>
      <c r="AL95" s="13">
        <v>0.09</v>
      </c>
      <c r="AM95" s="13">
        <v>0.09</v>
      </c>
      <c r="AN95" s="13">
        <v>0.09</v>
      </c>
      <c r="AO95" s="13">
        <v>0.09</v>
      </c>
      <c r="AP95" s="13">
        <v>0.09</v>
      </c>
      <c r="AQ95" s="13">
        <v>0.09</v>
      </c>
      <c r="AR95" s="13">
        <v>0.09</v>
      </c>
      <c r="AS95" s="13">
        <v>0.09</v>
      </c>
      <c r="AT95" s="13">
        <v>0.09</v>
      </c>
      <c r="AU95" s="13">
        <v>0.09</v>
      </c>
      <c r="AV95" s="13">
        <v>0.09</v>
      </c>
      <c r="AW95" s="13">
        <v>0.09</v>
      </c>
      <c r="AX95" s="13">
        <v>0.09</v>
      </c>
      <c r="AY95" s="13">
        <v>0.09</v>
      </c>
      <c r="AZ95" s="13">
        <v>0.09</v>
      </c>
      <c r="BA95" s="13">
        <v>0.09</v>
      </c>
      <c r="BB95" s="13">
        <v>0.09</v>
      </c>
      <c r="BC95" s="13">
        <v>0.09</v>
      </c>
      <c r="BD95" s="13">
        <v>0.09</v>
      </c>
      <c r="BE95" s="13">
        <v>0.09</v>
      </c>
      <c r="BF95" s="13">
        <v>0.09</v>
      </c>
      <c r="BG95" s="13">
        <v>0.09</v>
      </c>
    </row>
    <row r="96" spans="1:59" ht="12" customHeight="1" x14ac:dyDescent="0.2">
      <c r="A96" s="1" t="s">
        <v>61</v>
      </c>
      <c r="B96" t="s">
        <v>45</v>
      </c>
      <c r="C96" s="10" t="s">
        <v>63</v>
      </c>
      <c r="D96" s="13">
        <v>3.3978415594994225E-2</v>
      </c>
      <c r="E96" s="13">
        <v>6.2060807850178458E-2</v>
      </c>
      <c r="F96" s="13">
        <v>7.368564028096955E-2</v>
      </c>
      <c r="G96" s="13">
        <v>6.5603610365959214E-2</v>
      </c>
      <c r="H96" s="13">
        <v>7.9347930437011896E-2</v>
      </c>
      <c r="I96" s="13">
        <v>7.4283640926488287E-2</v>
      </c>
      <c r="J96" s="13">
        <v>7.8342078354949843E-2</v>
      </c>
      <c r="K96" s="13">
        <v>7.676077542290248E-2</v>
      </c>
      <c r="L96" s="14">
        <v>9.9248875794929192E-2</v>
      </c>
      <c r="M96" s="13">
        <v>0.10600306644242084</v>
      </c>
      <c r="N96" s="13">
        <v>0.11819097005922545</v>
      </c>
      <c r="O96" s="13">
        <v>0.12906553137837032</v>
      </c>
      <c r="P96" s="13">
        <v>0.11909159585023134</v>
      </c>
      <c r="Q96" s="13">
        <v>0.1391283047634943</v>
      </c>
      <c r="R96" s="13">
        <v>0.1338633000853636</v>
      </c>
      <c r="S96" s="13">
        <v>0.13907749124213373</v>
      </c>
      <c r="T96" s="13">
        <v>0.13146321504672981</v>
      </c>
      <c r="U96" s="13">
        <v>0.13200655234436573</v>
      </c>
      <c r="V96" s="13">
        <v>0.12590889797529536</v>
      </c>
      <c r="W96" s="13">
        <v>0.13602952259861995</v>
      </c>
      <c r="X96" s="13">
        <v>0.11556001408010209</v>
      </c>
      <c r="Y96" s="13">
        <v>0.11114614663808856</v>
      </c>
      <c r="Z96" s="14">
        <v>9.2121092612362024E-2</v>
      </c>
      <c r="AA96" s="14">
        <v>9.0404520626067908E-2</v>
      </c>
      <c r="AB96" s="14">
        <v>8.8633158437878209E-2</v>
      </c>
      <c r="AC96" s="14">
        <v>9.1730734814522694E-2</v>
      </c>
      <c r="AD96" s="14">
        <v>8.9805098168774175E-2</v>
      </c>
      <c r="AE96" s="14">
        <v>6.2499923971696646E-2</v>
      </c>
      <c r="AF96" s="15">
        <v>6.2499923971696646E-2</v>
      </c>
      <c r="AG96" s="14">
        <v>6.2499923971696646E-2</v>
      </c>
      <c r="AH96" s="14">
        <v>6.2499923971696646E-2</v>
      </c>
      <c r="AI96" s="13">
        <v>6.2499923971696646E-2</v>
      </c>
      <c r="AJ96" s="13">
        <v>6.2499923971696646E-2</v>
      </c>
      <c r="AK96" s="13">
        <v>6.2499923971696646E-2</v>
      </c>
      <c r="AL96" s="13">
        <v>6.2499923971696646E-2</v>
      </c>
      <c r="AM96" s="13">
        <v>6.2499923971696646E-2</v>
      </c>
      <c r="AN96" s="13">
        <v>6.2499923971696646E-2</v>
      </c>
      <c r="AO96" s="13">
        <v>6.2499923971696646E-2</v>
      </c>
      <c r="AP96" s="13">
        <v>6.2499923971696646E-2</v>
      </c>
      <c r="AQ96" s="13">
        <v>6.2499923971696646E-2</v>
      </c>
      <c r="AR96" s="13">
        <v>6.2499923971696646E-2</v>
      </c>
      <c r="AS96" s="13">
        <v>6.2499923971696646E-2</v>
      </c>
      <c r="AT96" s="13">
        <v>6.2499923971696646E-2</v>
      </c>
      <c r="AU96" s="13">
        <v>6.2499923971696646E-2</v>
      </c>
      <c r="AV96" s="13">
        <v>6.2499923971696646E-2</v>
      </c>
      <c r="AW96" s="13">
        <v>6.2499923971696646E-2</v>
      </c>
      <c r="AX96" s="13">
        <v>6.2499923971696646E-2</v>
      </c>
      <c r="AY96" s="13">
        <v>6.2499923971696646E-2</v>
      </c>
      <c r="AZ96" s="13">
        <v>6.2499923971696646E-2</v>
      </c>
      <c r="BA96" s="13">
        <v>6.2499923971696646E-2</v>
      </c>
      <c r="BB96" s="13">
        <v>6.2499923971696646E-2</v>
      </c>
      <c r="BC96" s="13">
        <v>6.2499923971696646E-2</v>
      </c>
      <c r="BD96" s="13">
        <v>6.2499923971696646E-2</v>
      </c>
      <c r="BE96" s="13">
        <v>6.2499923971696646E-2</v>
      </c>
      <c r="BF96" s="13">
        <v>6.2499923971696646E-2</v>
      </c>
      <c r="BG96" s="13">
        <v>6.2499923971696646E-2</v>
      </c>
    </row>
    <row r="97" spans="1:59" ht="12" customHeight="1" x14ac:dyDescent="0.2">
      <c r="A97" s="1" t="s">
        <v>44</v>
      </c>
      <c r="B97" t="s">
        <v>64</v>
      </c>
      <c r="C97" s="10" t="s">
        <v>46</v>
      </c>
      <c r="D97" s="13">
        <v>0.11507847347445183</v>
      </c>
      <c r="E97" s="13">
        <v>0.11593739200872556</v>
      </c>
      <c r="F97" s="13">
        <v>0.15166393691209301</v>
      </c>
      <c r="G97" s="13">
        <v>0.16359188684580853</v>
      </c>
      <c r="H97" s="13">
        <v>0.1321532706108523</v>
      </c>
      <c r="I97" s="13">
        <v>0.12806993501174188</v>
      </c>
      <c r="J97" s="13">
        <v>0.15384996894652447</v>
      </c>
      <c r="K97" s="13">
        <v>0.15128006468694408</v>
      </c>
      <c r="L97" s="14">
        <v>0.15461884948729437</v>
      </c>
      <c r="M97" s="13">
        <v>0.15667465468025543</v>
      </c>
      <c r="N97" s="13">
        <v>0.16672414427976701</v>
      </c>
      <c r="O97" s="13">
        <v>0.18034622970018011</v>
      </c>
      <c r="P97" s="13">
        <v>0.18523781927713837</v>
      </c>
      <c r="Q97" s="13">
        <v>0.18675338930248814</v>
      </c>
      <c r="R97" s="13">
        <v>0.18300217207337743</v>
      </c>
      <c r="S97" s="13">
        <v>0.18366411996946039</v>
      </c>
      <c r="T97" s="13">
        <v>0.19378966600410491</v>
      </c>
      <c r="U97" s="13">
        <v>0.18771944336683419</v>
      </c>
      <c r="V97" s="13">
        <v>0.18845632240005514</v>
      </c>
      <c r="W97" s="13">
        <v>0.18993793133514519</v>
      </c>
      <c r="X97" s="13">
        <v>0.18798766744369999</v>
      </c>
      <c r="Y97" s="13">
        <v>0.1861978973074091</v>
      </c>
      <c r="Z97" s="14">
        <v>0.18230478144389789</v>
      </c>
      <c r="AA97" s="14">
        <v>0.17719146760938659</v>
      </c>
      <c r="AB97" s="14">
        <v>0.1726679215928516</v>
      </c>
      <c r="AC97" s="14">
        <v>0.2933182557391944</v>
      </c>
      <c r="AD97" s="14">
        <v>0.36769145038632628</v>
      </c>
      <c r="AE97" s="14">
        <v>0.24044167257953911</v>
      </c>
      <c r="AF97" s="15">
        <v>0.24044167257953911</v>
      </c>
      <c r="AG97" s="14">
        <v>0.24044167257953911</v>
      </c>
      <c r="AH97" s="14">
        <v>0.24044167257953911</v>
      </c>
      <c r="AI97" s="13">
        <v>0.24044167257953911</v>
      </c>
      <c r="AJ97" s="13">
        <v>0.24044167257953911</v>
      </c>
      <c r="AK97" s="13">
        <v>0.24044167257953911</v>
      </c>
      <c r="AL97" s="13">
        <v>0.24044167257953911</v>
      </c>
      <c r="AM97" s="13">
        <v>0.24044167257953911</v>
      </c>
      <c r="AN97" s="13">
        <v>0.24044167257953911</v>
      </c>
      <c r="AO97" s="13">
        <v>0.24044167257953911</v>
      </c>
      <c r="AP97" s="13">
        <v>0.24044167257953911</v>
      </c>
      <c r="AQ97" s="13">
        <v>0.24044167257953911</v>
      </c>
      <c r="AR97" s="13">
        <v>0.24044167257953911</v>
      </c>
      <c r="AS97" s="13">
        <v>0.24044167257953911</v>
      </c>
      <c r="AT97" s="13">
        <v>0.24044167257953911</v>
      </c>
      <c r="AU97" s="13">
        <v>0.24044167257953911</v>
      </c>
      <c r="AV97" s="13">
        <v>0.24044167257953911</v>
      </c>
      <c r="AW97" s="13">
        <v>0.24044167257953911</v>
      </c>
      <c r="AX97" s="13">
        <v>0.24044167257953911</v>
      </c>
      <c r="AY97" s="13">
        <v>0.24044167257953911</v>
      </c>
      <c r="AZ97" s="13">
        <v>0.24044167257953911</v>
      </c>
      <c r="BA97" s="13">
        <v>0.24044167257953911</v>
      </c>
      <c r="BB97" s="13">
        <v>0.24044167257953911</v>
      </c>
      <c r="BC97" s="13">
        <v>0.24044167257953911</v>
      </c>
      <c r="BD97" s="13">
        <v>0.24044167257953911</v>
      </c>
      <c r="BE97" s="13">
        <v>0.24044167257953911</v>
      </c>
      <c r="BF97" s="13">
        <v>0.24044167257953911</v>
      </c>
      <c r="BG97" s="13">
        <v>0.24044167257953911</v>
      </c>
    </row>
    <row r="98" spans="1:59" ht="12" customHeight="1" x14ac:dyDescent="0.2">
      <c r="A98" s="1" t="s">
        <v>47</v>
      </c>
      <c r="B98" t="s">
        <v>64</v>
      </c>
      <c r="C98" s="10" t="s">
        <v>46</v>
      </c>
      <c r="D98" s="13">
        <v>0.22028429596870652</v>
      </c>
      <c r="E98" s="13">
        <v>0.23154107027564677</v>
      </c>
      <c r="F98" s="13">
        <v>0.27729871672518658</v>
      </c>
      <c r="G98" s="13">
        <v>0.2448114509512378</v>
      </c>
      <c r="H98" s="13">
        <v>0.22965758211373288</v>
      </c>
      <c r="I98" s="13">
        <v>0.22159468543001831</v>
      </c>
      <c r="J98" s="13">
        <v>0.26125038079904939</v>
      </c>
      <c r="K98" s="13">
        <v>0.24574037877972699</v>
      </c>
      <c r="L98" s="14">
        <v>0.27707614817262749</v>
      </c>
      <c r="M98" s="13">
        <v>0.26985893542373712</v>
      </c>
      <c r="N98" s="13">
        <v>0.26659444218884981</v>
      </c>
      <c r="O98" s="13">
        <v>0.27544127319678591</v>
      </c>
      <c r="P98" s="13">
        <v>0.26007451284367461</v>
      </c>
      <c r="Q98" s="13">
        <v>0.23806658425770519</v>
      </c>
      <c r="R98" s="13">
        <v>0.21961418044159511</v>
      </c>
      <c r="S98" s="13">
        <v>0.22648816232326069</v>
      </c>
      <c r="T98" s="13">
        <v>0.20169304882802519</v>
      </c>
      <c r="U98" s="13">
        <v>0.21695409511359609</v>
      </c>
      <c r="V98" s="13">
        <v>0.2221084958440194</v>
      </c>
      <c r="W98" s="13">
        <v>0.19887889885772342</v>
      </c>
      <c r="X98" s="13">
        <v>0.28484950050106039</v>
      </c>
      <c r="Y98" s="13">
        <v>0.25184706099590948</v>
      </c>
      <c r="Z98" s="14">
        <v>0.2371032539789486</v>
      </c>
      <c r="AA98" s="14">
        <v>0.25493049793766548</v>
      </c>
      <c r="AB98" s="14">
        <v>0.24925980135261769</v>
      </c>
      <c r="AC98" s="14">
        <v>0.26053611923419212</v>
      </c>
      <c r="AD98" s="14">
        <v>0.24747069999646651</v>
      </c>
      <c r="AE98" s="14">
        <v>0.21981314325523721</v>
      </c>
      <c r="AF98" s="15">
        <v>0.21981314325523721</v>
      </c>
      <c r="AG98" s="14">
        <v>0.21981314325523721</v>
      </c>
      <c r="AH98" s="14">
        <v>0.21981314325523721</v>
      </c>
      <c r="AI98" s="13">
        <v>0.21981314325523721</v>
      </c>
      <c r="AJ98" s="13">
        <v>0.21981314325523721</v>
      </c>
      <c r="AK98" s="13">
        <v>0.21981314325523721</v>
      </c>
      <c r="AL98" s="13">
        <v>0.21981314325523721</v>
      </c>
      <c r="AM98" s="13">
        <v>0.21981314325523721</v>
      </c>
      <c r="AN98" s="13">
        <v>0.21981314325523721</v>
      </c>
      <c r="AO98" s="13">
        <v>0.21981314325523721</v>
      </c>
      <c r="AP98" s="13">
        <v>0.21981314325523721</v>
      </c>
      <c r="AQ98" s="13">
        <v>0.21981314325523721</v>
      </c>
      <c r="AR98" s="13">
        <v>0.21981314325523721</v>
      </c>
      <c r="AS98" s="13">
        <v>0.21981314325523721</v>
      </c>
      <c r="AT98" s="13">
        <v>0.21981314325523721</v>
      </c>
      <c r="AU98" s="13">
        <v>0.21981314325523721</v>
      </c>
      <c r="AV98" s="13">
        <v>0.21981314325523721</v>
      </c>
      <c r="AW98" s="13">
        <v>0.21981314325523721</v>
      </c>
      <c r="AX98" s="13">
        <v>0.21981314325523721</v>
      </c>
      <c r="AY98" s="13">
        <v>0.21981314325523721</v>
      </c>
      <c r="AZ98" s="13">
        <v>0.21981314325523721</v>
      </c>
      <c r="BA98" s="13">
        <v>0.21981314325523721</v>
      </c>
      <c r="BB98" s="13">
        <v>0.21981314325523721</v>
      </c>
      <c r="BC98" s="13">
        <v>0.21981314325523721</v>
      </c>
      <c r="BD98" s="13">
        <v>0.21981314325523721</v>
      </c>
      <c r="BE98" s="13">
        <v>0.21981314325523721</v>
      </c>
      <c r="BF98" s="13">
        <v>0.21981314325523721</v>
      </c>
      <c r="BG98" s="13">
        <v>0.21981314325523721</v>
      </c>
    </row>
    <row r="99" spans="1:59" ht="12" customHeight="1" x14ac:dyDescent="0.2">
      <c r="A99" s="1" t="s">
        <v>48</v>
      </c>
      <c r="B99" t="s">
        <v>64</v>
      </c>
      <c r="C99" s="10" t="s">
        <v>46</v>
      </c>
      <c r="D99" s="13">
        <v>0.73470630928868408</v>
      </c>
      <c r="E99" s="13">
        <v>0.73477082151042405</v>
      </c>
      <c r="F99" s="13">
        <v>0.78773223469775433</v>
      </c>
      <c r="G99" s="13">
        <v>0.7391258647464034</v>
      </c>
      <c r="H99" s="13">
        <v>0.72534238795750527</v>
      </c>
      <c r="I99" s="13">
        <v>0.74239356856057204</v>
      </c>
      <c r="J99" s="13">
        <v>0.71337060003928443</v>
      </c>
      <c r="K99" s="13">
        <v>0.69634747353285353</v>
      </c>
      <c r="L99" s="14">
        <v>0.68769183118076027</v>
      </c>
      <c r="M99" s="13">
        <v>0.64438363567348689</v>
      </c>
      <c r="N99" s="13">
        <v>0.6708945320959524</v>
      </c>
      <c r="O99" s="13">
        <v>0.67444955668123285</v>
      </c>
      <c r="P99" s="13">
        <v>0.6859826384385288</v>
      </c>
      <c r="Q99" s="13">
        <v>0.7080531821504551</v>
      </c>
      <c r="R99" s="13">
        <v>0.69166621735132561</v>
      </c>
      <c r="S99" s="13">
        <v>0.65122866918781741</v>
      </c>
      <c r="T99" s="13">
        <v>0.65370382120461445</v>
      </c>
      <c r="U99" s="13">
        <v>0.62562077767417867</v>
      </c>
      <c r="V99" s="13">
        <v>0.64318111136841671</v>
      </c>
      <c r="W99" s="13">
        <v>0.59824110922109996</v>
      </c>
      <c r="X99" s="13">
        <v>0.63703529097014122</v>
      </c>
      <c r="Y99" s="13">
        <v>0.62682354364614945</v>
      </c>
      <c r="Z99" s="14">
        <v>0.61552535203394199</v>
      </c>
      <c r="AA99" s="14">
        <v>0.61281538372174016</v>
      </c>
      <c r="AB99" s="14">
        <v>0.60634841706498466</v>
      </c>
      <c r="AC99" s="14">
        <v>0.68008144643388224</v>
      </c>
      <c r="AD99" s="14">
        <v>0.7322075871039776</v>
      </c>
      <c r="AE99" s="14">
        <v>0.67190258445117024</v>
      </c>
      <c r="AF99" s="15">
        <v>0.67190258445117024</v>
      </c>
      <c r="AG99" s="14">
        <v>0.67190258445117024</v>
      </c>
      <c r="AH99" s="14">
        <v>0.67190258445117024</v>
      </c>
      <c r="AI99" s="13">
        <v>0.67190258445117024</v>
      </c>
      <c r="AJ99" s="13">
        <v>0.67190258445117024</v>
      </c>
      <c r="AK99" s="13">
        <v>0.67190258445117024</v>
      </c>
      <c r="AL99" s="13">
        <v>0.67190258445117024</v>
      </c>
      <c r="AM99" s="13">
        <v>0.67190258445117024</v>
      </c>
      <c r="AN99" s="13">
        <v>0.67190258445117024</v>
      </c>
      <c r="AO99" s="13">
        <v>0.67190258445117024</v>
      </c>
      <c r="AP99" s="13">
        <v>0.67190258445117024</v>
      </c>
      <c r="AQ99" s="13">
        <v>0.67190258445117024</v>
      </c>
      <c r="AR99" s="13">
        <v>0.67190258445117024</v>
      </c>
      <c r="AS99" s="13">
        <v>0.67190258445117024</v>
      </c>
      <c r="AT99" s="13">
        <v>0.67190258445117024</v>
      </c>
      <c r="AU99" s="13">
        <v>0.67190258445117024</v>
      </c>
      <c r="AV99" s="13">
        <v>0.67190258445117024</v>
      </c>
      <c r="AW99" s="13">
        <v>0.67190258445117024</v>
      </c>
      <c r="AX99" s="13">
        <v>0.67190258445117024</v>
      </c>
      <c r="AY99" s="13">
        <v>0.67190258445117024</v>
      </c>
      <c r="AZ99" s="13">
        <v>0.67190258445117024</v>
      </c>
      <c r="BA99" s="13">
        <v>0.67190258445117024</v>
      </c>
      <c r="BB99" s="13">
        <v>0.67190258445117024</v>
      </c>
      <c r="BC99" s="13">
        <v>0.67190258445117024</v>
      </c>
      <c r="BD99" s="13">
        <v>0.67190258445117024</v>
      </c>
      <c r="BE99" s="13">
        <v>0.67190258445117024</v>
      </c>
      <c r="BF99" s="13">
        <v>0.67190258445117024</v>
      </c>
      <c r="BG99" s="13">
        <v>0.67190258445117024</v>
      </c>
    </row>
    <row r="100" spans="1:59" ht="12" customHeight="1" x14ac:dyDescent="0.2">
      <c r="A100" s="1" t="s">
        <v>49</v>
      </c>
      <c r="B100" t="s">
        <v>64</v>
      </c>
      <c r="C100" s="10" t="s">
        <v>46</v>
      </c>
      <c r="D100" s="13">
        <v>2.5780419689293621E-2</v>
      </c>
      <c r="E100" s="13">
        <v>2.2609222540977445E-2</v>
      </c>
      <c r="F100" s="13">
        <v>0.120173660383548</v>
      </c>
      <c r="G100" s="13">
        <v>0.12294871254898881</v>
      </c>
      <c r="H100" s="13">
        <v>3.3040751886469974E-2</v>
      </c>
      <c r="I100" s="13">
        <v>3.0342969784058028E-2</v>
      </c>
      <c r="J100" s="13">
        <v>3.5201832354234845E-2</v>
      </c>
      <c r="K100" s="13">
        <v>3.0837981159976137E-2</v>
      </c>
      <c r="L100" s="14">
        <v>3.3375298484829945E-2</v>
      </c>
      <c r="M100" s="13">
        <v>3.6883567633778577E-2</v>
      </c>
      <c r="N100" s="13">
        <v>4.3730311855599259E-2</v>
      </c>
      <c r="O100" s="13">
        <v>4.4957040995689805E-2</v>
      </c>
      <c r="P100" s="13">
        <v>5.7030574551423095E-2</v>
      </c>
      <c r="Q100" s="13">
        <v>6.2984840920734822E-2</v>
      </c>
      <c r="R100" s="13">
        <v>6.7181269527517753E-2</v>
      </c>
      <c r="S100" s="13">
        <v>9.1436327898787875E-2</v>
      </c>
      <c r="T100" s="13">
        <v>8.4290259526596717E-2</v>
      </c>
      <c r="U100" s="13">
        <v>0.10259077310214559</v>
      </c>
      <c r="V100" s="13">
        <v>0.11555960182422791</v>
      </c>
      <c r="W100" s="13">
        <v>0.11064742746327881</v>
      </c>
      <c r="X100" s="13">
        <v>0.11723239059896</v>
      </c>
      <c r="Y100" s="13">
        <v>0.1217857352753124</v>
      </c>
      <c r="Z100" s="14">
        <v>0.12578119784808589</v>
      </c>
      <c r="AA100" s="14">
        <v>0.1319984918235641</v>
      </c>
      <c r="AB100" s="14">
        <v>0.1348568783283137</v>
      </c>
      <c r="AC100" s="14">
        <v>0.1391339607551394</v>
      </c>
      <c r="AD100" s="14">
        <v>0.17467846317655283</v>
      </c>
      <c r="AE100" s="14">
        <v>0.13371626297769487</v>
      </c>
      <c r="AF100" s="15">
        <v>0.13371626297769487</v>
      </c>
      <c r="AG100" s="14">
        <v>0.13371626297769487</v>
      </c>
      <c r="AH100" s="14">
        <v>0.13371626297769487</v>
      </c>
      <c r="AI100" s="13">
        <v>0.13371626297769487</v>
      </c>
      <c r="AJ100" s="13">
        <v>0.13371626297769487</v>
      </c>
      <c r="AK100" s="13">
        <v>0.13371626297769487</v>
      </c>
      <c r="AL100" s="13">
        <v>0.13371626297769487</v>
      </c>
      <c r="AM100" s="13">
        <v>0.13371626297769487</v>
      </c>
      <c r="AN100" s="13">
        <v>0.13371626297769487</v>
      </c>
      <c r="AO100" s="13">
        <v>0.13371626297769487</v>
      </c>
      <c r="AP100" s="13">
        <v>0.13371626297769487</v>
      </c>
      <c r="AQ100" s="13">
        <v>0.13371626297769487</v>
      </c>
      <c r="AR100" s="13">
        <v>0.13371626297769487</v>
      </c>
      <c r="AS100" s="13">
        <v>0.13371626297769487</v>
      </c>
      <c r="AT100" s="13">
        <v>0.13371626297769487</v>
      </c>
      <c r="AU100" s="13">
        <v>0.13371626297769487</v>
      </c>
      <c r="AV100" s="13">
        <v>0.13371626297769487</v>
      </c>
      <c r="AW100" s="13">
        <v>0.13371626297769487</v>
      </c>
      <c r="AX100" s="13">
        <v>0.13371626297769487</v>
      </c>
      <c r="AY100" s="13">
        <v>0.13371626297769487</v>
      </c>
      <c r="AZ100" s="13">
        <v>0.13371626297769487</v>
      </c>
      <c r="BA100" s="13">
        <v>0.13371626297769487</v>
      </c>
      <c r="BB100" s="13">
        <v>0.13371626297769487</v>
      </c>
      <c r="BC100" s="13">
        <v>0.13371626297769487</v>
      </c>
      <c r="BD100" s="13">
        <v>0.13371626297769487</v>
      </c>
      <c r="BE100" s="13">
        <v>0.13371626297769487</v>
      </c>
      <c r="BF100" s="13">
        <v>0.13371626297769487</v>
      </c>
      <c r="BG100" s="13">
        <v>0.13371626297769487</v>
      </c>
    </row>
    <row r="101" spans="1:59" ht="12" customHeight="1" x14ac:dyDescent="0.2">
      <c r="A101" s="1" t="s">
        <v>50</v>
      </c>
      <c r="B101" t="s">
        <v>64</v>
      </c>
      <c r="C101" s="10" t="s">
        <v>46</v>
      </c>
      <c r="D101" s="13">
        <v>7.6646928068108775E-3</v>
      </c>
      <c r="E101" s="13">
        <v>7.3338250381584638E-3</v>
      </c>
      <c r="F101" s="13">
        <v>3.6461820099314257E-2</v>
      </c>
      <c r="G101" s="13">
        <v>3.9679065440004602E-2</v>
      </c>
      <c r="H101" s="13">
        <v>1.1360001140056798E-2</v>
      </c>
      <c r="I101" s="13">
        <v>2.480202201986895E-2</v>
      </c>
      <c r="J101" s="13">
        <v>1.0610564958776462E-2</v>
      </c>
      <c r="K101" s="13">
        <v>1.8979795668887488E-2</v>
      </c>
      <c r="L101" s="14">
        <v>2.1869555175453689E-2</v>
      </c>
      <c r="M101" s="13">
        <v>2.3786639934374888E-2</v>
      </c>
      <c r="N101" s="13">
        <v>2.6846638116886729E-2</v>
      </c>
      <c r="O101" s="13">
        <v>3.0715849650026057E-2</v>
      </c>
      <c r="P101" s="13">
        <v>3.8519295297542014E-2</v>
      </c>
      <c r="Q101" s="13">
        <v>4.5257627211370249E-2</v>
      </c>
      <c r="R101" s="13">
        <v>6.0118870714475088E-2</v>
      </c>
      <c r="S101" s="13">
        <v>7.2595452675676853E-2</v>
      </c>
      <c r="T101" s="13">
        <v>8.4346387774171E-2</v>
      </c>
      <c r="U101" s="13">
        <v>8.0553529318283731E-2</v>
      </c>
      <c r="V101" s="13">
        <v>8.1622342727832586E-2</v>
      </c>
      <c r="W101" s="13">
        <v>8.6972234456878142E-2</v>
      </c>
      <c r="X101" s="13">
        <v>0.1164114585453191</v>
      </c>
      <c r="Y101" s="13">
        <v>0.13937044926031569</v>
      </c>
      <c r="Z101" s="14">
        <v>0.14384940391966361</v>
      </c>
      <c r="AA101" s="14">
        <v>0.13941592204338829</v>
      </c>
      <c r="AB101" s="14">
        <v>0.1560256644489996</v>
      </c>
      <c r="AC101" s="14">
        <v>0.15678146504389379</v>
      </c>
      <c r="AD101" s="14">
        <v>5.1456178128545832E-2</v>
      </c>
      <c r="AE101" s="14">
        <v>5.1440872124369527E-2</v>
      </c>
      <c r="AF101" s="15">
        <v>5.1440872124369527E-2</v>
      </c>
      <c r="AG101" s="14">
        <v>5.1440872124369527E-2</v>
      </c>
      <c r="AH101" s="14">
        <v>5.1440872124369527E-2</v>
      </c>
      <c r="AI101" s="13">
        <v>5.1440872124369527E-2</v>
      </c>
      <c r="AJ101" s="13">
        <v>5.1440872124369527E-2</v>
      </c>
      <c r="AK101" s="13">
        <v>5.1440872124369527E-2</v>
      </c>
      <c r="AL101" s="13">
        <v>5.1440872124369527E-2</v>
      </c>
      <c r="AM101" s="13">
        <v>5.1440872124369527E-2</v>
      </c>
      <c r="AN101" s="13">
        <v>5.1440872124369527E-2</v>
      </c>
      <c r="AO101" s="13">
        <v>5.1440872124369527E-2</v>
      </c>
      <c r="AP101" s="13">
        <v>5.1440872124369527E-2</v>
      </c>
      <c r="AQ101" s="13">
        <v>5.1440872124369527E-2</v>
      </c>
      <c r="AR101" s="13">
        <v>5.1440872124369527E-2</v>
      </c>
      <c r="AS101" s="13">
        <v>5.1440872124369527E-2</v>
      </c>
      <c r="AT101" s="13">
        <v>5.1440872124369527E-2</v>
      </c>
      <c r="AU101" s="13">
        <v>5.1440872124369527E-2</v>
      </c>
      <c r="AV101" s="13">
        <v>5.1440872124369527E-2</v>
      </c>
      <c r="AW101" s="13">
        <v>5.1440872124369527E-2</v>
      </c>
      <c r="AX101" s="13">
        <v>5.1440872124369527E-2</v>
      </c>
      <c r="AY101" s="13">
        <v>5.1440872124369527E-2</v>
      </c>
      <c r="AZ101" s="13">
        <v>5.1440872124369527E-2</v>
      </c>
      <c r="BA101" s="13">
        <v>5.1440872124369527E-2</v>
      </c>
      <c r="BB101" s="13">
        <v>5.1440872124369527E-2</v>
      </c>
      <c r="BC101" s="13">
        <v>5.1440872124369527E-2</v>
      </c>
      <c r="BD101" s="13">
        <v>5.1440872124369527E-2</v>
      </c>
      <c r="BE101" s="13">
        <v>5.1440872124369527E-2</v>
      </c>
      <c r="BF101" s="13">
        <v>5.1440872124369527E-2</v>
      </c>
      <c r="BG101" s="13">
        <v>5.1440872124369527E-2</v>
      </c>
    </row>
    <row r="102" spans="1:59" ht="12" customHeight="1" x14ac:dyDescent="0.2">
      <c r="A102" s="1" t="s">
        <v>51</v>
      </c>
      <c r="B102" t="s">
        <v>64</v>
      </c>
      <c r="C102" s="10" t="s">
        <v>46</v>
      </c>
      <c r="D102" s="13">
        <v>0</v>
      </c>
      <c r="E102" s="13">
        <v>1.8293597375228086E-2</v>
      </c>
      <c r="F102" s="13">
        <v>6.6458849545412341E-2</v>
      </c>
      <c r="G102" s="13">
        <v>9.0811145898379825E-2</v>
      </c>
      <c r="H102" s="13">
        <v>1.4878779573118228E-2</v>
      </c>
      <c r="I102" s="13">
        <v>8.0588903069550785E-2</v>
      </c>
      <c r="J102" s="13">
        <v>1.698406520979865E-2</v>
      </c>
      <c r="K102" s="13">
        <v>3.4083193499077399E-3</v>
      </c>
      <c r="L102" s="14">
        <v>2.5957791864045219E-3</v>
      </c>
      <c r="M102" s="13">
        <v>3.4869551275621153E-3</v>
      </c>
      <c r="N102" s="13">
        <v>3.1124728946441151E-3</v>
      </c>
      <c r="O102" s="13">
        <v>3.0571762856944009E-3</v>
      </c>
      <c r="P102" s="13">
        <v>3.840315700681933E-3</v>
      </c>
      <c r="Q102" s="13">
        <v>4.1129900542431451E-3</v>
      </c>
      <c r="R102" s="13">
        <v>1.731233251419484E-3</v>
      </c>
      <c r="S102" s="13">
        <v>1.0729287307144392E-2</v>
      </c>
      <c r="T102" s="13">
        <v>1.331031634551855E-2</v>
      </c>
      <c r="U102" s="13">
        <v>1.072089381189141E-2</v>
      </c>
      <c r="V102" s="13">
        <v>1.9178945673109883E-2</v>
      </c>
      <c r="W102" s="13">
        <v>1.745937158198315E-2</v>
      </c>
      <c r="X102" s="13">
        <v>4.737792506351432E-2</v>
      </c>
      <c r="Y102" s="13">
        <v>5.1633508033884508E-2</v>
      </c>
      <c r="Z102" s="14">
        <v>5.1670748406191493E-2</v>
      </c>
      <c r="AA102" s="14">
        <v>4.5644513702730163E-2</v>
      </c>
      <c r="AB102" s="14">
        <v>3.9565961476218173E-2</v>
      </c>
      <c r="AC102" s="14">
        <v>3.5672512025002857E-2</v>
      </c>
      <c r="AD102" s="14">
        <v>2.7141978035422901E-2</v>
      </c>
      <c r="AE102" s="14">
        <v>5.7715623033848508E-2</v>
      </c>
      <c r="AF102" s="15">
        <v>5.7715623033848508E-2</v>
      </c>
      <c r="AG102" s="14">
        <v>5.7715623033848508E-2</v>
      </c>
      <c r="AH102" s="14">
        <v>5.7715623033848508E-2</v>
      </c>
      <c r="AI102" s="13">
        <v>5.7715623033848508E-2</v>
      </c>
      <c r="AJ102" s="13">
        <v>5.7715623033848508E-2</v>
      </c>
      <c r="AK102" s="13">
        <v>5.7715623033848508E-2</v>
      </c>
      <c r="AL102" s="13">
        <v>5.7715623033848508E-2</v>
      </c>
      <c r="AM102" s="13">
        <v>5.7715623033848508E-2</v>
      </c>
      <c r="AN102" s="13">
        <v>5.7715623033848508E-2</v>
      </c>
      <c r="AO102" s="13">
        <v>5.7715623033848508E-2</v>
      </c>
      <c r="AP102" s="13">
        <v>5.7715623033848508E-2</v>
      </c>
      <c r="AQ102" s="13">
        <v>5.7715623033848508E-2</v>
      </c>
      <c r="AR102" s="13">
        <v>5.7715623033848508E-2</v>
      </c>
      <c r="AS102" s="13">
        <v>5.7715623033848508E-2</v>
      </c>
      <c r="AT102" s="13">
        <v>5.7715623033848508E-2</v>
      </c>
      <c r="AU102" s="13">
        <v>5.7715623033848508E-2</v>
      </c>
      <c r="AV102" s="13">
        <v>5.7715623033848508E-2</v>
      </c>
      <c r="AW102" s="13">
        <v>5.7715623033848508E-2</v>
      </c>
      <c r="AX102" s="13">
        <v>5.7715623033848508E-2</v>
      </c>
      <c r="AY102" s="13">
        <v>5.7715623033848508E-2</v>
      </c>
      <c r="AZ102" s="13">
        <v>5.7715623033848508E-2</v>
      </c>
      <c r="BA102" s="13">
        <v>5.7715623033848508E-2</v>
      </c>
      <c r="BB102" s="13">
        <v>5.7715623033848508E-2</v>
      </c>
      <c r="BC102" s="13">
        <v>5.7715623033848508E-2</v>
      </c>
      <c r="BD102" s="13">
        <v>5.7715623033848508E-2</v>
      </c>
      <c r="BE102" s="13">
        <v>5.7715623033848508E-2</v>
      </c>
      <c r="BF102" s="13">
        <v>5.7715623033848508E-2</v>
      </c>
      <c r="BG102" s="13">
        <v>5.7715623033848508E-2</v>
      </c>
    </row>
    <row r="103" spans="1:59" ht="12" customHeight="1" x14ac:dyDescent="0.2">
      <c r="A103" s="1" t="s">
        <v>52</v>
      </c>
      <c r="B103" t="s">
        <v>64</v>
      </c>
      <c r="C103" s="10" t="s">
        <v>46</v>
      </c>
      <c r="D103" s="13">
        <v>2.1999947902689162E-2</v>
      </c>
      <c r="E103" s="13">
        <v>1.7015730926222144E-2</v>
      </c>
      <c r="F103" s="13">
        <v>2.9159423332614367E-2</v>
      </c>
      <c r="G103" s="13">
        <v>5.0100530544462327E-2</v>
      </c>
      <c r="H103" s="13">
        <v>8.5986035024629481E-2</v>
      </c>
      <c r="I103" s="13">
        <v>8.2497240457390472E-2</v>
      </c>
      <c r="J103" s="13">
        <v>6.7854434312619949E-2</v>
      </c>
      <c r="K103" s="13">
        <v>4.0612532888431627E-2</v>
      </c>
      <c r="L103" s="14">
        <v>4.6590757991528217E-2</v>
      </c>
      <c r="M103" s="13">
        <v>5.1845427641601168E-2</v>
      </c>
      <c r="N103" s="13">
        <v>5.9675160296863997E-2</v>
      </c>
      <c r="O103" s="13">
        <v>5.825064056206631E-2</v>
      </c>
      <c r="P103" s="13">
        <v>9.0831076452187742E-2</v>
      </c>
      <c r="Q103" s="13">
        <v>9.8123479013990836E-2</v>
      </c>
      <c r="R103" s="13">
        <v>0.10356523784786741</v>
      </c>
      <c r="S103" s="13">
        <v>0.11000301813585329</v>
      </c>
      <c r="T103" s="13">
        <v>0.1090090156647498</v>
      </c>
      <c r="U103" s="13">
        <v>0.1318715584180627</v>
      </c>
      <c r="V103" s="13">
        <v>0.13389849646566401</v>
      </c>
      <c r="W103" s="13">
        <v>0.15024248480333341</v>
      </c>
      <c r="X103" s="13">
        <v>0.152856682043573</v>
      </c>
      <c r="Y103" s="13">
        <v>0.2359164689928254</v>
      </c>
      <c r="Z103" s="14">
        <v>0.24400079526879651</v>
      </c>
      <c r="AA103" s="14">
        <v>0.26761459975340218</v>
      </c>
      <c r="AB103" s="14">
        <v>0.3190114091224881</v>
      </c>
      <c r="AC103" s="14">
        <v>0.27093003059892767</v>
      </c>
      <c r="AD103" s="14">
        <v>3.0028683176710549E-2</v>
      </c>
      <c r="AE103" s="14">
        <v>0.13250376829031971</v>
      </c>
      <c r="AF103" s="15">
        <v>0.13250376829031971</v>
      </c>
      <c r="AG103" s="14">
        <v>0.13250376829031971</v>
      </c>
      <c r="AH103" s="14">
        <v>0.13250376829031971</v>
      </c>
      <c r="AI103" s="13">
        <v>0.13250376829031971</v>
      </c>
      <c r="AJ103" s="13">
        <v>0.13250376829031971</v>
      </c>
      <c r="AK103" s="13">
        <v>0.13250376829031971</v>
      </c>
      <c r="AL103" s="13">
        <v>0.13250376829031971</v>
      </c>
      <c r="AM103" s="13">
        <v>0.13250376829031971</v>
      </c>
      <c r="AN103" s="13">
        <v>0.13250376829031971</v>
      </c>
      <c r="AO103" s="13">
        <v>0.13250376829031971</v>
      </c>
      <c r="AP103" s="13">
        <v>0.13250376829031971</v>
      </c>
      <c r="AQ103" s="13">
        <v>0.13250376829031971</v>
      </c>
      <c r="AR103" s="13">
        <v>0.13250376829031971</v>
      </c>
      <c r="AS103" s="13">
        <v>0.13250376829031971</v>
      </c>
      <c r="AT103" s="13">
        <v>0.13250376829031971</v>
      </c>
      <c r="AU103" s="13">
        <v>0.13250376829031971</v>
      </c>
      <c r="AV103" s="13">
        <v>0.13250376829031971</v>
      </c>
      <c r="AW103" s="13">
        <v>0.13250376829031971</v>
      </c>
      <c r="AX103" s="13">
        <v>0.13250376829031971</v>
      </c>
      <c r="AY103" s="13">
        <v>0.13250376829031971</v>
      </c>
      <c r="AZ103" s="13">
        <v>0.13250376829031971</v>
      </c>
      <c r="BA103" s="13">
        <v>0.13250376829031971</v>
      </c>
      <c r="BB103" s="13">
        <v>0.13250376829031971</v>
      </c>
      <c r="BC103" s="13">
        <v>0.13250376829031971</v>
      </c>
      <c r="BD103" s="13">
        <v>0.13250376829031971</v>
      </c>
      <c r="BE103" s="13">
        <v>0.13250376829031971</v>
      </c>
      <c r="BF103" s="13">
        <v>0.13250376829031971</v>
      </c>
      <c r="BG103" s="13">
        <v>0.13250376829031971</v>
      </c>
    </row>
    <row r="104" spans="1:59" ht="12" customHeight="1" x14ac:dyDescent="0.2">
      <c r="A104" s="1" t="s">
        <v>53</v>
      </c>
      <c r="B104" t="s">
        <v>64</v>
      </c>
      <c r="C104" s="10" t="s">
        <v>46</v>
      </c>
      <c r="D104" s="13">
        <v>0.46310788395044178</v>
      </c>
      <c r="E104" s="13">
        <v>0.41990548079056922</v>
      </c>
      <c r="F104" s="13">
        <v>0.45063420144883698</v>
      </c>
      <c r="G104" s="13">
        <v>0.52491584873175057</v>
      </c>
      <c r="H104" s="13">
        <v>0.59277201688485981</v>
      </c>
      <c r="I104" s="13">
        <v>0.59404792396499073</v>
      </c>
      <c r="J104" s="13">
        <v>0.66909647534025751</v>
      </c>
      <c r="K104" s="13">
        <v>0.62570668491640891</v>
      </c>
      <c r="L104" s="14">
        <v>0.59897236275768317</v>
      </c>
      <c r="M104" s="13">
        <v>0.62707354258743497</v>
      </c>
      <c r="N104" s="13">
        <v>0.59502206923665557</v>
      </c>
      <c r="O104" s="13">
        <v>0.49970537043751567</v>
      </c>
      <c r="P104" s="13">
        <v>0.59843922313382647</v>
      </c>
      <c r="Q104" s="13">
        <v>0.55326223451081369</v>
      </c>
      <c r="R104" s="13">
        <v>0.52987350559441226</v>
      </c>
      <c r="S104" s="13">
        <v>0.59429094521367376</v>
      </c>
      <c r="T104" s="13">
        <v>0.64078558714941525</v>
      </c>
      <c r="U104" s="13">
        <v>0.66286579391531852</v>
      </c>
      <c r="V104" s="13">
        <v>0.68870105223438882</v>
      </c>
      <c r="W104" s="13">
        <v>0.73466308939624925</v>
      </c>
      <c r="X104" s="13">
        <v>0.61117811228091978</v>
      </c>
      <c r="Y104" s="13">
        <v>0.62262854592569794</v>
      </c>
      <c r="Z104" s="14">
        <v>0.60013457513333623</v>
      </c>
      <c r="AA104" s="14">
        <v>0.58971877263853545</v>
      </c>
      <c r="AB104" s="14">
        <v>0.58818323643449233</v>
      </c>
      <c r="AC104" s="14">
        <v>0.59979344991517181</v>
      </c>
      <c r="AD104" s="14">
        <v>0.54121365467695048</v>
      </c>
      <c r="AE104" s="14">
        <v>0.56015116431065415</v>
      </c>
      <c r="AF104" s="15">
        <v>0.56015116431065415</v>
      </c>
      <c r="AG104" s="14">
        <v>0.56015116431065415</v>
      </c>
      <c r="AH104" s="14">
        <v>0.56015116431065415</v>
      </c>
      <c r="AI104" s="13">
        <v>0.56015116431065415</v>
      </c>
      <c r="AJ104" s="13">
        <v>0.56015116431065415</v>
      </c>
      <c r="AK104" s="13">
        <v>0.56015116431065415</v>
      </c>
      <c r="AL104" s="13">
        <v>0.56015116431065415</v>
      </c>
      <c r="AM104" s="13">
        <v>0.56015116431065415</v>
      </c>
      <c r="AN104" s="13">
        <v>0.56015116431065415</v>
      </c>
      <c r="AO104" s="13">
        <v>0.56015116431065415</v>
      </c>
      <c r="AP104" s="13">
        <v>0.56015116431065415</v>
      </c>
      <c r="AQ104" s="13">
        <v>0.56015116431065415</v>
      </c>
      <c r="AR104" s="13">
        <v>0.56015116431065415</v>
      </c>
      <c r="AS104" s="13">
        <v>0.56015116431065415</v>
      </c>
      <c r="AT104" s="13">
        <v>0.56015116431065415</v>
      </c>
      <c r="AU104" s="13">
        <v>0.56015116431065415</v>
      </c>
      <c r="AV104" s="13">
        <v>0.56015116431065415</v>
      </c>
      <c r="AW104" s="13">
        <v>0.56015116431065415</v>
      </c>
      <c r="AX104" s="13">
        <v>0.56015116431065415</v>
      </c>
      <c r="AY104" s="13">
        <v>0.56015116431065415</v>
      </c>
      <c r="AZ104" s="13">
        <v>0.56015116431065415</v>
      </c>
      <c r="BA104" s="13">
        <v>0.56015116431065415</v>
      </c>
      <c r="BB104" s="13">
        <v>0.56015116431065415</v>
      </c>
      <c r="BC104" s="13">
        <v>0.56015116431065415</v>
      </c>
      <c r="BD104" s="13">
        <v>0.56015116431065415</v>
      </c>
      <c r="BE104" s="13">
        <v>0.56015116431065415</v>
      </c>
      <c r="BF104" s="13">
        <v>0.56015116431065415</v>
      </c>
      <c r="BG104" s="13">
        <v>0.56015116431065415</v>
      </c>
    </row>
    <row r="105" spans="1:59" ht="12" customHeight="1" x14ac:dyDescent="0.2">
      <c r="A105" s="1" t="s">
        <v>54</v>
      </c>
      <c r="B105" t="s">
        <v>64</v>
      </c>
      <c r="C105" s="10" t="s">
        <v>46</v>
      </c>
      <c r="D105" s="13">
        <v>0.62989113675715169</v>
      </c>
      <c r="E105" s="13">
        <v>0.53625986124220804</v>
      </c>
      <c r="F105" s="13">
        <v>0.453779765109463</v>
      </c>
      <c r="G105" s="13">
        <v>0.5470975160188366</v>
      </c>
      <c r="H105" s="13">
        <v>0.63438197943998142</v>
      </c>
      <c r="I105" s="13">
        <v>0.57479880846072351</v>
      </c>
      <c r="J105" s="13">
        <v>0.52918809463342764</v>
      </c>
      <c r="K105" s="13">
        <v>0.57530654057121167</v>
      </c>
      <c r="L105" s="14">
        <v>0.5578358294292971</v>
      </c>
      <c r="M105" s="13">
        <v>0.59794411256847901</v>
      </c>
      <c r="N105" s="13">
        <v>0.70305963677281724</v>
      </c>
      <c r="O105" s="13">
        <v>0.63895667643101639</v>
      </c>
      <c r="P105" s="13">
        <v>0.64053305585778519</v>
      </c>
      <c r="Q105" s="13">
        <v>0.64443862521052464</v>
      </c>
      <c r="R105" s="13">
        <v>0.57659241716155618</v>
      </c>
      <c r="S105" s="13">
        <v>0.74239567672000817</v>
      </c>
      <c r="T105" s="13">
        <v>0.67701613222951107</v>
      </c>
      <c r="U105" s="13">
        <v>0.69999858621378208</v>
      </c>
      <c r="V105" s="13">
        <v>0.70725510769262712</v>
      </c>
      <c r="W105" s="13">
        <v>0.7419298068481065</v>
      </c>
      <c r="X105" s="13">
        <v>0.74544823327817922</v>
      </c>
      <c r="Y105" s="13">
        <v>0.7489399089273423</v>
      </c>
      <c r="Z105" s="14">
        <v>0.72368845707763307</v>
      </c>
      <c r="AA105" s="14">
        <v>0.72191740968940454</v>
      </c>
      <c r="AB105" s="14">
        <v>0.72293707738730439</v>
      </c>
      <c r="AC105" s="14">
        <v>0.71799022580436078</v>
      </c>
      <c r="AD105" s="14">
        <v>0.74454414882608166</v>
      </c>
      <c r="AE105" s="14">
        <v>0.76204300230387467</v>
      </c>
      <c r="AF105" s="15">
        <v>0.76204300230387467</v>
      </c>
      <c r="AG105" s="14">
        <v>0.76204300230387467</v>
      </c>
      <c r="AH105" s="14">
        <v>0.76204300230387467</v>
      </c>
      <c r="AI105" s="13">
        <v>0.76204300230387467</v>
      </c>
      <c r="AJ105" s="13">
        <v>0.76204300230387467</v>
      </c>
      <c r="AK105" s="13">
        <v>0.76204300230387467</v>
      </c>
      <c r="AL105" s="13">
        <v>0.76204300230387467</v>
      </c>
      <c r="AM105" s="13">
        <v>0.76204300230387467</v>
      </c>
      <c r="AN105" s="13">
        <v>0.76204300230387467</v>
      </c>
      <c r="AO105" s="13">
        <v>0.76204300230387467</v>
      </c>
      <c r="AP105" s="13">
        <v>0.76204300230387467</v>
      </c>
      <c r="AQ105" s="13">
        <v>0.76204300230387467</v>
      </c>
      <c r="AR105" s="13">
        <v>0.76204300230387467</v>
      </c>
      <c r="AS105" s="13">
        <v>0.76204300230387467</v>
      </c>
      <c r="AT105" s="13">
        <v>0.76204300230387467</v>
      </c>
      <c r="AU105" s="13">
        <v>0.76204300230387467</v>
      </c>
      <c r="AV105" s="13">
        <v>0.76204300230387467</v>
      </c>
      <c r="AW105" s="13">
        <v>0.76204300230387467</v>
      </c>
      <c r="AX105" s="13">
        <v>0.76204300230387467</v>
      </c>
      <c r="AY105" s="13">
        <v>0.76204300230387467</v>
      </c>
      <c r="AZ105" s="13">
        <v>0.76204300230387467</v>
      </c>
      <c r="BA105" s="13">
        <v>0.76204300230387467</v>
      </c>
      <c r="BB105" s="13">
        <v>0.76204300230387467</v>
      </c>
      <c r="BC105" s="13">
        <v>0.76204300230387467</v>
      </c>
      <c r="BD105" s="13">
        <v>0.76204300230387467</v>
      </c>
      <c r="BE105" s="13">
        <v>0.76204300230387467</v>
      </c>
      <c r="BF105" s="13">
        <v>0.76204300230387467</v>
      </c>
      <c r="BG105" s="13">
        <v>0.76204300230387467</v>
      </c>
    </row>
    <row r="106" spans="1:59" ht="12" customHeight="1" x14ac:dyDescent="0.2">
      <c r="A106" s="1" t="s">
        <v>55</v>
      </c>
      <c r="B106" t="s">
        <v>64</v>
      </c>
      <c r="C106" s="10" t="s">
        <v>46</v>
      </c>
      <c r="D106" s="13">
        <v>2.7682865630326233E-2</v>
      </c>
      <c r="E106" s="13">
        <v>2.9149757580839139E-2</v>
      </c>
      <c r="F106" s="13">
        <v>0.1118020017634693</v>
      </c>
      <c r="G106" s="13">
        <v>0.13172079813846341</v>
      </c>
      <c r="H106" s="13">
        <v>7.4257538430552356E-2</v>
      </c>
      <c r="I106" s="13">
        <v>0.11098105789598958</v>
      </c>
      <c r="J106" s="13">
        <v>7.3970164366484278E-2</v>
      </c>
      <c r="K106" s="13">
        <v>0.14673832620712191</v>
      </c>
      <c r="L106" s="14">
        <v>0.12630665910724631</v>
      </c>
      <c r="M106" s="13">
        <v>0.14709165764849549</v>
      </c>
      <c r="N106" s="13">
        <v>0.12580308625866343</v>
      </c>
      <c r="O106" s="13">
        <v>0.11845646334498236</v>
      </c>
      <c r="P106" s="13">
        <v>0.14079819621201611</v>
      </c>
      <c r="Q106" s="13">
        <v>0.14726721156563824</v>
      </c>
      <c r="R106" s="13">
        <v>0.15633560773399283</v>
      </c>
      <c r="S106" s="13">
        <v>0.16258316728587852</v>
      </c>
      <c r="T106" s="13">
        <v>0.16211808206778969</v>
      </c>
      <c r="U106" s="13">
        <v>0.16276870846113442</v>
      </c>
      <c r="V106" s="13">
        <v>0.1713107014455916</v>
      </c>
      <c r="W106" s="13">
        <v>0.17461214039942452</v>
      </c>
      <c r="X106" s="13">
        <v>0.20577461434979979</v>
      </c>
      <c r="Y106" s="13">
        <v>0.22028677986434861</v>
      </c>
      <c r="Z106" s="14">
        <v>0.25142319597402901</v>
      </c>
      <c r="AA106" s="14">
        <v>0.29023056905524619</v>
      </c>
      <c r="AB106" s="14">
        <v>0.28651044019077465</v>
      </c>
      <c r="AC106" s="14">
        <v>0.24433335898844119</v>
      </c>
      <c r="AD106" s="14">
        <v>0.1224207001080108</v>
      </c>
      <c r="AE106" s="14">
        <v>8.3142594446691379E-2</v>
      </c>
      <c r="AF106" s="15">
        <v>8.3142594446691379E-2</v>
      </c>
      <c r="AG106" s="14">
        <v>8.3142594446691379E-2</v>
      </c>
      <c r="AH106" s="14">
        <v>8.3142594446691379E-2</v>
      </c>
      <c r="AI106" s="13">
        <v>8.3142594446691379E-2</v>
      </c>
      <c r="AJ106" s="13">
        <v>8.3142594446691379E-2</v>
      </c>
      <c r="AK106" s="13">
        <v>8.3142594446691379E-2</v>
      </c>
      <c r="AL106" s="13">
        <v>8.3142594446691379E-2</v>
      </c>
      <c r="AM106" s="13">
        <v>8.3142594446691379E-2</v>
      </c>
      <c r="AN106" s="13">
        <v>8.3142594446691379E-2</v>
      </c>
      <c r="AO106" s="13">
        <v>8.3142594446691379E-2</v>
      </c>
      <c r="AP106" s="13">
        <v>8.3142594446691379E-2</v>
      </c>
      <c r="AQ106" s="13">
        <v>8.3142594446691379E-2</v>
      </c>
      <c r="AR106" s="13">
        <v>8.3142594446691379E-2</v>
      </c>
      <c r="AS106" s="13">
        <v>8.3142594446691379E-2</v>
      </c>
      <c r="AT106" s="13">
        <v>8.3142594446691379E-2</v>
      </c>
      <c r="AU106" s="13">
        <v>8.3142594446691379E-2</v>
      </c>
      <c r="AV106" s="13">
        <v>8.3142594446691379E-2</v>
      </c>
      <c r="AW106" s="13">
        <v>8.3142594446691379E-2</v>
      </c>
      <c r="AX106" s="13">
        <v>8.3142594446691379E-2</v>
      </c>
      <c r="AY106" s="13">
        <v>8.3142594446691379E-2</v>
      </c>
      <c r="AZ106" s="13">
        <v>8.3142594446691379E-2</v>
      </c>
      <c r="BA106" s="13">
        <v>8.3142594446691379E-2</v>
      </c>
      <c r="BB106" s="13">
        <v>8.3142594446691379E-2</v>
      </c>
      <c r="BC106" s="13">
        <v>8.3142594446691379E-2</v>
      </c>
      <c r="BD106" s="13">
        <v>8.3142594446691379E-2</v>
      </c>
      <c r="BE106" s="13">
        <v>8.3142594446691379E-2</v>
      </c>
      <c r="BF106" s="13">
        <v>8.3142594446691379E-2</v>
      </c>
      <c r="BG106" s="13">
        <v>8.3142594446691379E-2</v>
      </c>
    </row>
    <row r="107" spans="1:59" ht="12" customHeight="1" x14ac:dyDescent="0.2">
      <c r="A107" s="1" t="s">
        <v>56</v>
      </c>
      <c r="B107" t="s">
        <v>64</v>
      </c>
      <c r="C107" s="10" t="s">
        <v>46</v>
      </c>
      <c r="D107" s="13">
        <v>9.1561654045855846E-3</v>
      </c>
      <c r="E107" s="13">
        <v>3.5294934968186108E-2</v>
      </c>
      <c r="F107" s="13">
        <v>0.1331069660982076</v>
      </c>
      <c r="G107" s="13">
        <v>0.13476231757130641</v>
      </c>
      <c r="H107" s="13">
        <v>5.6869463013272684E-2</v>
      </c>
      <c r="I107" s="13">
        <v>8.5553111218403574E-2</v>
      </c>
      <c r="J107" s="13">
        <v>5.6555426432347913E-2</v>
      </c>
      <c r="K107" s="13">
        <v>0.10253849062528803</v>
      </c>
      <c r="L107" s="14">
        <v>0.10198640026179109</v>
      </c>
      <c r="M107" s="13">
        <v>0.1302774771406951</v>
      </c>
      <c r="N107" s="13">
        <v>9.4667578269150246E-2</v>
      </c>
      <c r="O107" s="13">
        <v>0.11984436732957722</v>
      </c>
      <c r="P107" s="13">
        <v>3.9310474511540669E-2</v>
      </c>
      <c r="Q107" s="13">
        <v>0.14118404441504867</v>
      </c>
      <c r="R107" s="13">
        <v>0.19495056850153028</v>
      </c>
      <c r="S107" s="13">
        <v>0.22703545606131476</v>
      </c>
      <c r="T107" s="13">
        <v>0.19190738356015105</v>
      </c>
      <c r="U107" s="13">
        <v>0.23612587105981531</v>
      </c>
      <c r="V107" s="13">
        <v>0.29293192362153392</v>
      </c>
      <c r="W107" s="13">
        <v>0.2870468048122562</v>
      </c>
      <c r="X107" s="13">
        <v>0.35735902950551202</v>
      </c>
      <c r="Y107" s="13">
        <v>0.34280449376457545</v>
      </c>
      <c r="Z107" s="14">
        <v>0.32857699076529728</v>
      </c>
      <c r="AA107" s="14">
        <v>0.34538528023039938</v>
      </c>
      <c r="AB107" s="14">
        <v>0.36227980293898959</v>
      </c>
      <c r="AC107" s="14">
        <v>0.32437785833854282</v>
      </c>
      <c r="AD107" s="14">
        <v>0.30685558378258043</v>
      </c>
      <c r="AE107" s="14">
        <v>0.42521793563424787</v>
      </c>
      <c r="AF107" s="15">
        <v>0.42521793563424787</v>
      </c>
      <c r="AG107" s="14">
        <v>0.42521793563424787</v>
      </c>
      <c r="AH107" s="14">
        <v>0.42521793563424787</v>
      </c>
      <c r="AI107" s="13">
        <v>0.42521793563424787</v>
      </c>
      <c r="AJ107" s="13">
        <v>0.42521793563424787</v>
      </c>
      <c r="AK107" s="13">
        <v>0.42521793563424787</v>
      </c>
      <c r="AL107" s="13">
        <v>0.42521793563424787</v>
      </c>
      <c r="AM107" s="13">
        <v>0.42521793563424787</v>
      </c>
      <c r="AN107" s="13">
        <v>0.42521793563424787</v>
      </c>
      <c r="AO107" s="13">
        <v>0.42521793563424787</v>
      </c>
      <c r="AP107" s="13">
        <v>0.42521793563424787</v>
      </c>
      <c r="AQ107" s="13">
        <v>0.42521793563424787</v>
      </c>
      <c r="AR107" s="13">
        <v>0.42521793563424787</v>
      </c>
      <c r="AS107" s="13">
        <v>0.42521793563424787</v>
      </c>
      <c r="AT107" s="13">
        <v>0.42521793563424787</v>
      </c>
      <c r="AU107" s="13">
        <v>0.42521793563424787</v>
      </c>
      <c r="AV107" s="13">
        <v>0.42521793563424787</v>
      </c>
      <c r="AW107" s="13">
        <v>0.42521793563424787</v>
      </c>
      <c r="AX107" s="13">
        <v>0.42521793563424787</v>
      </c>
      <c r="AY107" s="13">
        <v>0.42521793563424787</v>
      </c>
      <c r="AZ107" s="13">
        <v>0.42521793563424787</v>
      </c>
      <c r="BA107" s="13">
        <v>0.42521793563424787</v>
      </c>
      <c r="BB107" s="13">
        <v>0.42521793563424787</v>
      </c>
      <c r="BC107" s="13">
        <v>0.42521793563424787</v>
      </c>
      <c r="BD107" s="13">
        <v>0.42521793563424787</v>
      </c>
      <c r="BE107" s="13">
        <v>0.42521793563424787</v>
      </c>
      <c r="BF107" s="13">
        <v>0.42521793563424787</v>
      </c>
      <c r="BG107" s="13">
        <v>0.42521793563424787</v>
      </c>
    </row>
    <row r="108" spans="1:59" ht="12" customHeight="1" x14ac:dyDescent="0.2">
      <c r="A108" s="1" t="s">
        <v>57</v>
      </c>
      <c r="B108" t="s">
        <v>64</v>
      </c>
      <c r="C108" s="10" t="s">
        <v>46</v>
      </c>
      <c r="D108" s="13">
        <v>9.4891856440993301E-3</v>
      </c>
      <c r="E108" s="13">
        <v>1.7264259084483313E-2</v>
      </c>
      <c r="F108" s="13">
        <v>9.2633318407318768E-2</v>
      </c>
      <c r="G108" s="13">
        <v>0.1205376800368433</v>
      </c>
      <c r="H108" s="13">
        <v>4.1792756471461009E-2</v>
      </c>
      <c r="I108" s="13">
        <v>7.3410318557265514E-2</v>
      </c>
      <c r="J108" s="13">
        <v>3.325341541327189E-2</v>
      </c>
      <c r="K108" s="13">
        <v>2.7990648135433539E-2</v>
      </c>
      <c r="L108" s="14">
        <v>2.8254956611132441E-2</v>
      </c>
      <c r="M108" s="13">
        <v>3.826773946806971E-2</v>
      </c>
      <c r="N108" s="13">
        <v>3.7427845696312467E-2</v>
      </c>
      <c r="O108" s="13">
        <v>4.5925031992346592E-2</v>
      </c>
      <c r="P108" s="13">
        <v>4.6730523689023563E-2</v>
      </c>
      <c r="Q108" s="13">
        <v>5.3458295069557051E-2</v>
      </c>
      <c r="R108" s="13">
        <v>5.3294168710514303E-2</v>
      </c>
      <c r="S108" s="13">
        <v>6.6184052046621311E-2</v>
      </c>
      <c r="T108" s="13">
        <v>8.3164328499874818E-2</v>
      </c>
      <c r="U108" s="13">
        <v>0.1017384048230604</v>
      </c>
      <c r="V108" s="13">
        <v>0.13149082224462086</v>
      </c>
      <c r="W108" s="13">
        <v>0.1242337110589898</v>
      </c>
      <c r="X108" s="13">
        <v>0.15584879206829991</v>
      </c>
      <c r="Y108" s="13">
        <v>0.18607701453176551</v>
      </c>
      <c r="Z108" s="14">
        <v>0.21303695162268491</v>
      </c>
      <c r="AA108" s="14">
        <v>0.23962072876165891</v>
      </c>
      <c r="AB108" s="14">
        <v>0.25153689444641841</v>
      </c>
      <c r="AC108" s="14">
        <v>0.1827911904772431</v>
      </c>
      <c r="AD108" s="14">
        <v>0.14436362726014079</v>
      </c>
      <c r="AE108" s="14">
        <v>0.1330487198757192</v>
      </c>
      <c r="AF108" s="15">
        <v>0.1330487198757192</v>
      </c>
      <c r="AG108" s="14">
        <v>0.1330487198757192</v>
      </c>
      <c r="AH108" s="14">
        <v>0.1330487198757192</v>
      </c>
      <c r="AI108" s="13">
        <v>0.1330487198757192</v>
      </c>
      <c r="AJ108" s="13">
        <v>0.1330487198757192</v>
      </c>
      <c r="AK108" s="13">
        <v>0.1330487198757192</v>
      </c>
      <c r="AL108" s="13">
        <v>0.1330487198757192</v>
      </c>
      <c r="AM108" s="13">
        <v>0.1330487198757192</v>
      </c>
      <c r="AN108" s="13">
        <v>0.1330487198757192</v>
      </c>
      <c r="AO108" s="13">
        <v>0.1330487198757192</v>
      </c>
      <c r="AP108" s="13">
        <v>0.1330487198757192</v>
      </c>
      <c r="AQ108" s="13">
        <v>0.1330487198757192</v>
      </c>
      <c r="AR108" s="13">
        <v>0.1330487198757192</v>
      </c>
      <c r="AS108" s="13">
        <v>0.1330487198757192</v>
      </c>
      <c r="AT108" s="13">
        <v>0.1330487198757192</v>
      </c>
      <c r="AU108" s="13">
        <v>0.1330487198757192</v>
      </c>
      <c r="AV108" s="13">
        <v>0.1330487198757192</v>
      </c>
      <c r="AW108" s="13">
        <v>0.1330487198757192</v>
      </c>
      <c r="AX108" s="13">
        <v>0.1330487198757192</v>
      </c>
      <c r="AY108" s="13">
        <v>0.1330487198757192</v>
      </c>
      <c r="AZ108" s="13">
        <v>0.1330487198757192</v>
      </c>
      <c r="BA108" s="13">
        <v>0.1330487198757192</v>
      </c>
      <c r="BB108" s="13">
        <v>0.1330487198757192</v>
      </c>
      <c r="BC108" s="13">
        <v>0.1330487198757192</v>
      </c>
      <c r="BD108" s="13">
        <v>0.1330487198757192</v>
      </c>
      <c r="BE108" s="13">
        <v>0.1330487198757192</v>
      </c>
      <c r="BF108" s="13">
        <v>0.1330487198757192</v>
      </c>
      <c r="BG108" s="13">
        <v>0.1330487198757192</v>
      </c>
    </row>
    <row r="109" spans="1:59" ht="12" customHeight="1" x14ac:dyDescent="0.2">
      <c r="A109" s="1" t="s">
        <v>58</v>
      </c>
      <c r="B109" t="s">
        <v>64</v>
      </c>
      <c r="C109" s="10" t="s">
        <v>46</v>
      </c>
      <c r="D109" s="13">
        <v>9.3437039457405044E-2</v>
      </c>
      <c r="E109" s="13">
        <v>0.11598232099457367</v>
      </c>
      <c r="F109" s="13">
        <v>0.15312096859176103</v>
      </c>
      <c r="G109" s="13">
        <v>0.1737146299849007</v>
      </c>
      <c r="H109" s="13">
        <v>0.21148473947171148</v>
      </c>
      <c r="I109" s="13">
        <v>0.16239523478073326</v>
      </c>
      <c r="J109" s="13">
        <v>0.17813773994943261</v>
      </c>
      <c r="K109" s="13">
        <v>0.19949292795625867</v>
      </c>
      <c r="L109" s="14">
        <v>0.19138438712495981</v>
      </c>
      <c r="M109" s="13">
        <v>0.20501920457208633</v>
      </c>
      <c r="N109" s="13">
        <v>0.2224474793929658</v>
      </c>
      <c r="O109" s="13">
        <v>0.16911420987399861</v>
      </c>
      <c r="P109" s="13">
        <v>5.5933074228595128E-2</v>
      </c>
      <c r="Q109" s="13">
        <v>0.20868652659355061</v>
      </c>
      <c r="R109" s="13">
        <v>0.25144686403863442</v>
      </c>
      <c r="S109" s="13">
        <v>0.25839706369286713</v>
      </c>
      <c r="T109" s="13">
        <v>0.25622208549463699</v>
      </c>
      <c r="U109" s="13">
        <v>0.32067312199993092</v>
      </c>
      <c r="V109" s="13">
        <v>0.35253948866260287</v>
      </c>
      <c r="W109" s="13">
        <v>0.36543725610168748</v>
      </c>
      <c r="X109" s="13">
        <v>0.19263487171875651</v>
      </c>
      <c r="Y109" s="13">
        <v>0.19387280374940161</v>
      </c>
      <c r="Z109" s="14">
        <v>0.20029837720265131</v>
      </c>
      <c r="AA109" s="14">
        <v>0.2137996510224871</v>
      </c>
      <c r="AB109" s="14">
        <v>0.21936469536811939</v>
      </c>
      <c r="AC109" s="14">
        <v>0.2031744501270836</v>
      </c>
      <c r="AD109" s="14">
        <v>0.25691410849431934</v>
      </c>
      <c r="AE109" s="14">
        <v>0.24149765141806054</v>
      </c>
      <c r="AF109" s="15">
        <v>0.24149765141806054</v>
      </c>
      <c r="AG109" s="14">
        <v>0.24149765141806054</v>
      </c>
      <c r="AH109" s="14">
        <v>0.24149765141806054</v>
      </c>
      <c r="AI109" s="13">
        <v>0.24149765141806054</v>
      </c>
      <c r="AJ109" s="13">
        <v>0.24149765141806054</v>
      </c>
      <c r="AK109" s="13">
        <v>0.24149765141806054</v>
      </c>
      <c r="AL109" s="13">
        <v>0.24149765141806054</v>
      </c>
      <c r="AM109" s="13">
        <v>0.24149765141806054</v>
      </c>
      <c r="AN109" s="13">
        <v>0.24149765141806054</v>
      </c>
      <c r="AO109" s="13">
        <v>0.24149765141806054</v>
      </c>
      <c r="AP109" s="13">
        <v>0.24149765141806054</v>
      </c>
      <c r="AQ109" s="13">
        <v>0.24149765141806054</v>
      </c>
      <c r="AR109" s="13">
        <v>0.24149765141806054</v>
      </c>
      <c r="AS109" s="13">
        <v>0.24149765141806054</v>
      </c>
      <c r="AT109" s="13">
        <v>0.24149765141806054</v>
      </c>
      <c r="AU109" s="13">
        <v>0.24149765141806054</v>
      </c>
      <c r="AV109" s="13">
        <v>0.24149765141806054</v>
      </c>
      <c r="AW109" s="13">
        <v>0.24149765141806054</v>
      </c>
      <c r="AX109" s="13">
        <v>0.24149765141806054</v>
      </c>
      <c r="AY109" s="13">
        <v>0.24149765141806054</v>
      </c>
      <c r="AZ109" s="13">
        <v>0.24149765141806054</v>
      </c>
      <c r="BA109" s="13">
        <v>0.24149765141806054</v>
      </c>
      <c r="BB109" s="13">
        <v>0.24149765141806054</v>
      </c>
      <c r="BC109" s="13">
        <v>0.24149765141806054</v>
      </c>
      <c r="BD109" s="13">
        <v>0.24149765141806054</v>
      </c>
      <c r="BE109" s="13">
        <v>0.24149765141806054</v>
      </c>
      <c r="BF109" s="13">
        <v>0.24149765141806054</v>
      </c>
      <c r="BG109" s="13">
        <v>0.24149765141806054</v>
      </c>
    </row>
    <row r="110" spans="1:59" ht="12" customHeight="1" x14ac:dyDescent="0.2">
      <c r="A110" s="1" t="s">
        <v>59</v>
      </c>
      <c r="B110" t="s">
        <v>64</v>
      </c>
      <c r="C110" s="10" t="s">
        <v>46</v>
      </c>
      <c r="D110" s="13">
        <v>5.874375587967999E-2</v>
      </c>
      <c r="E110" s="13">
        <v>5.6861276697206677E-2</v>
      </c>
      <c r="F110" s="13">
        <v>0.208583566863488</v>
      </c>
      <c r="G110" s="13">
        <v>0.25756371493813224</v>
      </c>
      <c r="H110" s="13">
        <v>8.7554266248580648E-2</v>
      </c>
      <c r="I110" s="13">
        <v>0.10469886666258406</v>
      </c>
      <c r="J110" s="13">
        <v>9.0409511328238421E-2</v>
      </c>
      <c r="K110" s="13">
        <v>8.1799930456637054E-2</v>
      </c>
      <c r="L110" s="14">
        <v>8.9140303169738838E-2</v>
      </c>
      <c r="M110" s="13">
        <v>7.7450418566758661E-2</v>
      </c>
      <c r="N110" s="13">
        <v>8.2764580510974448E-2</v>
      </c>
      <c r="O110" s="13">
        <v>8.2313166288872308E-2</v>
      </c>
      <c r="P110" s="13">
        <v>8.9874363014963793E-2</v>
      </c>
      <c r="Q110" s="13">
        <v>9.7625330947495356E-2</v>
      </c>
      <c r="R110" s="13">
        <v>0.19833087229492577</v>
      </c>
      <c r="S110" s="13">
        <v>0.18618450239550208</v>
      </c>
      <c r="T110" s="13">
        <v>0.15300677513228739</v>
      </c>
      <c r="U110" s="13">
        <v>0.21894233117858219</v>
      </c>
      <c r="V110" s="13">
        <v>0.23026438617606959</v>
      </c>
      <c r="W110" s="13">
        <v>0.21028617963942101</v>
      </c>
      <c r="X110" s="13">
        <v>0.25228810022039122</v>
      </c>
      <c r="Y110" s="13">
        <v>0.26974154346947954</v>
      </c>
      <c r="Z110" s="14">
        <v>0.270031888030491</v>
      </c>
      <c r="AA110" s="14">
        <v>0.29783133748036883</v>
      </c>
      <c r="AB110" s="14">
        <v>0.30194131516768774</v>
      </c>
      <c r="AC110" s="14">
        <v>0.28355441728353731</v>
      </c>
      <c r="AD110" s="14">
        <v>0.31317440492428938</v>
      </c>
      <c r="AE110" s="14">
        <v>0.29579825662054371</v>
      </c>
      <c r="AF110" s="15">
        <v>0.29579825662054371</v>
      </c>
      <c r="AG110" s="14">
        <v>0.29579825662054371</v>
      </c>
      <c r="AH110" s="14">
        <v>0.29579825662054371</v>
      </c>
      <c r="AI110" s="13">
        <v>0.29579825662054371</v>
      </c>
      <c r="AJ110" s="13">
        <v>0.29579825662054371</v>
      </c>
      <c r="AK110" s="13">
        <v>0.29579825662054371</v>
      </c>
      <c r="AL110" s="13">
        <v>0.29579825662054371</v>
      </c>
      <c r="AM110" s="13">
        <v>0.29579825662054371</v>
      </c>
      <c r="AN110" s="13">
        <v>0.29579825662054371</v>
      </c>
      <c r="AO110" s="13">
        <v>0.29579825662054371</v>
      </c>
      <c r="AP110" s="13">
        <v>0.29579825662054371</v>
      </c>
      <c r="AQ110" s="13">
        <v>0.29579825662054371</v>
      </c>
      <c r="AR110" s="13">
        <v>0.29579825662054371</v>
      </c>
      <c r="AS110" s="13">
        <v>0.29579825662054371</v>
      </c>
      <c r="AT110" s="13">
        <v>0.29579825662054371</v>
      </c>
      <c r="AU110" s="13">
        <v>0.29579825662054371</v>
      </c>
      <c r="AV110" s="13">
        <v>0.29579825662054371</v>
      </c>
      <c r="AW110" s="13">
        <v>0.29579825662054371</v>
      </c>
      <c r="AX110" s="13">
        <v>0.29579825662054371</v>
      </c>
      <c r="AY110" s="13">
        <v>0.29579825662054371</v>
      </c>
      <c r="AZ110" s="13">
        <v>0.29579825662054371</v>
      </c>
      <c r="BA110" s="13">
        <v>0.29579825662054371</v>
      </c>
      <c r="BB110" s="13">
        <v>0.29579825662054371</v>
      </c>
      <c r="BC110" s="13">
        <v>0.29579825662054371</v>
      </c>
      <c r="BD110" s="13">
        <v>0.29579825662054371</v>
      </c>
      <c r="BE110" s="13">
        <v>0.29579825662054371</v>
      </c>
      <c r="BF110" s="13">
        <v>0.29579825662054371</v>
      </c>
      <c r="BG110" s="13">
        <v>0.29579825662054371</v>
      </c>
    </row>
    <row r="111" spans="1:59" ht="12" customHeight="1" x14ac:dyDescent="0.2">
      <c r="A111" s="1" t="s">
        <v>60</v>
      </c>
      <c r="B111" t="s">
        <v>64</v>
      </c>
      <c r="C111" s="10" t="s">
        <v>46</v>
      </c>
      <c r="D111" s="13">
        <v>3.7481869641397179E-2</v>
      </c>
      <c r="E111" s="13">
        <v>3.3665128432398911E-2</v>
      </c>
      <c r="F111" s="13">
        <v>6.8431751330110716E-2</v>
      </c>
      <c r="G111" s="13">
        <v>7.6502472648492234E-2</v>
      </c>
      <c r="H111" s="13">
        <v>2.7878389781950615E-2</v>
      </c>
      <c r="I111" s="13">
        <v>3.5011689943916423E-2</v>
      </c>
      <c r="J111" s="13">
        <v>3.7958376770594306E-2</v>
      </c>
      <c r="K111" s="13">
        <v>3.9582308986608028E-2</v>
      </c>
      <c r="L111" s="14">
        <v>5.4107286427821678E-2</v>
      </c>
      <c r="M111" s="13">
        <v>3.1540030684491092E-2</v>
      </c>
      <c r="N111" s="13">
        <v>3.1974901280279008E-2</v>
      </c>
      <c r="O111" s="13">
        <v>2.0045839125300609E-2</v>
      </c>
      <c r="P111" s="13">
        <v>3.9128070574531514E-2</v>
      </c>
      <c r="Q111" s="13">
        <v>3.4294025474505788E-2</v>
      </c>
      <c r="R111" s="13">
        <v>7.5347012795581259E-2</v>
      </c>
      <c r="S111" s="13">
        <v>8.5994519191790977E-2</v>
      </c>
      <c r="T111" s="13">
        <v>9.6797750337550059E-2</v>
      </c>
      <c r="U111" s="13">
        <v>0.1142704782183325</v>
      </c>
      <c r="V111" s="13">
        <v>0.12788019604404979</v>
      </c>
      <c r="W111" s="13">
        <v>0.14570594175928853</v>
      </c>
      <c r="X111" s="13">
        <v>0.14322797041825583</v>
      </c>
      <c r="Y111" s="13">
        <v>0.14966732393227991</v>
      </c>
      <c r="Z111" s="14">
        <v>0.1551010073435625</v>
      </c>
      <c r="AA111" s="14">
        <v>0.1642295331248512</v>
      </c>
      <c r="AB111" s="14">
        <v>0.15863905863734801</v>
      </c>
      <c r="AC111" s="14">
        <v>0.17741345919111021</v>
      </c>
      <c r="AD111" s="14">
        <v>0.13739527539494431</v>
      </c>
      <c r="AE111" s="14">
        <v>0.15293493877461781</v>
      </c>
      <c r="AF111" s="15">
        <v>0.15293493877461781</v>
      </c>
      <c r="AG111" s="14">
        <v>0.15293493877461781</v>
      </c>
      <c r="AH111" s="14">
        <v>0.15293493877461781</v>
      </c>
      <c r="AI111" s="13">
        <v>0.15293493877461781</v>
      </c>
      <c r="AJ111" s="13">
        <v>0.15293493877461781</v>
      </c>
      <c r="AK111" s="13">
        <v>0.15293493877461781</v>
      </c>
      <c r="AL111" s="13">
        <v>0.15293493877461781</v>
      </c>
      <c r="AM111" s="13">
        <v>0.15293493877461781</v>
      </c>
      <c r="AN111" s="13">
        <v>0.15293493877461781</v>
      </c>
      <c r="AO111" s="13">
        <v>0.15293493877461781</v>
      </c>
      <c r="AP111" s="13">
        <v>0.15293493877461781</v>
      </c>
      <c r="AQ111" s="13">
        <v>0.15293493877461781</v>
      </c>
      <c r="AR111" s="13">
        <v>0.15293493877461781</v>
      </c>
      <c r="AS111" s="13">
        <v>0.15293493877461781</v>
      </c>
      <c r="AT111" s="13">
        <v>0.15293493877461781</v>
      </c>
      <c r="AU111" s="13">
        <v>0.15293493877461781</v>
      </c>
      <c r="AV111" s="13">
        <v>0.15293493877461781</v>
      </c>
      <c r="AW111" s="13">
        <v>0.15293493877461781</v>
      </c>
      <c r="AX111" s="13">
        <v>0.15293493877461781</v>
      </c>
      <c r="AY111" s="13">
        <v>0.15293493877461781</v>
      </c>
      <c r="AZ111" s="13">
        <v>0.15293493877461781</v>
      </c>
      <c r="BA111" s="13">
        <v>0.15293493877461781</v>
      </c>
      <c r="BB111" s="13">
        <v>0.15293493877461781</v>
      </c>
      <c r="BC111" s="13">
        <v>0.15293493877461781</v>
      </c>
      <c r="BD111" s="13">
        <v>0.15293493877461781</v>
      </c>
      <c r="BE111" s="13">
        <v>0.15293493877461781</v>
      </c>
      <c r="BF111" s="13">
        <v>0.15293493877461781</v>
      </c>
      <c r="BG111" s="13">
        <v>0.15293493877461781</v>
      </c>
    </row>
    <row r="112" spans="1:59" ht="12" customHeight="1" x14ac:dyDescent="0.2">
      <c r="A112" s="1" t="s">
        <v>61</v>
      </c>
      <c r="B112" t="s">
        <v>64</v>
      </c>
      <c r="C112" s="10" t="s">
        <v>46</v>
      </c>
      <c r="D112" s="13">
        <v>0.27307325756952133</v>
      </c>
      <c r="E112" s="13">
        <v>0.28995300978457256</v>
      </c>
      <c r="F112" s="13">
        <v>0.34989448082489893</v>
      </c>
      <c r="G112" s="13">
        <v>0.36721543113484978</v>
      </c>
      <c r="H112" s="13">
        <v>0.3560327170921489</v>
      </c>
      <c r="I112" s="13">
        <v>0.34788434742816832</v>
      </c>
      <c r="J112" s="13">
        <v>0.33573389665563763</v>
      </c>
      <c r="K112" s="13">
        <v>0.32503630152302004</v>
      </c>
      <c r="L112" s="14">
        <v>0.28800283820434197</v>
      </c>
      <c r="M112" s="13">
        <v>0.31763602950473713</v>
      </c>
      <c r="N112" s="13">
        <v>0.31749956335854052</v>
      </c>
      <c r="O112" s="13">
        <v>0.29934345398807272</v>
      </c>
      <c r="P112" s="13">
        <v>0.32663006148117912</v>
      </c>
      <c r="Q112" s="13">
        <v>0.33019374360693737</v>
      </c>
      <c r="R112" s="13">
        <v>0.36368734873651448</v>
      </c>
      <c r="S112" s="13">
        <v>0.35229758789201021</v>
      </c>
      <c r="T112" s="13">
        <v>0.35041675529176525</v>
      </c>
      <c r="U112" s="13">
        <v>0.34430379715770648</v>
      </c>
      <c r="V112" s="13">
        <v>0.36379616462013609</v>
      </c>
      <c r="W112" s="13">
        <v>0.36260126596507031</v>
      </c>
      <c r="X112" s="13">
        <v>0.40111993188407569</v>
      </c>
      <c r="Y112" s="13">
        <v>0.40440922906398802</v>
      </c>
      <c r="Z112" s="14">
        <v>0.3952009928363075</v>
      </c>
      <c r="AA112" s="14">
        <v>0.40879381905392659</v>
      </c>
      <c r="AB112" s="14">
        <v>0.41136058006751841</v>
      </c>
      <c r="AC112" s="14">
        <v>0.42156459535582952</v>
      </c>
      <c r="AD112" s="14">
        <v>0.50274963334542511</v>
      </c>
      <c r="AE112" s="14">
        <v>0.44709450195858408</v>
      </c>
      <c r="AF112" s="15">
        <v>0.44709450195858408</v>
      </c>
      <c r="AG112" s="14">
        <v>0.44709450195858408</v>
      </c>
      <c r="AH112" s="14">
        <v>0.44709450195858408</v>
      </c>
      <c r="AI112" s="13">
        <v>0.44709450195858408</v>
      </c>
      <c r="AJ112" s="13">
        <v>0.44709450195858408</v>
      </c>
      <c r="AK112" s="13">
        <v>0.44709450195858408</v>
      </c>
      <c r="AL112" s="13">
        <v>0.44709450195858408</v>
      </c>
      <c r="AM112" s="13">
        <v>0.44709450195858408</v>
      </c>
      <c r="AN112" s="13">
        <v>0.44709450195858408</v>
      </c>
      <c r="AO112" s="13">
        <v>0.44709450195858408</v>
      </c>
      <c r="AP112" s="13">
        <v>0.44709450195858408</v>
      </c>
      <c r="AQ112" s="13">
        <v>0.44709450195858408</v>
      </c>
      <c r="AR112" s="13">
        <v>0.44709450195858408</v>
      </c>
      <c r="AS112" s="13">
        <v>0.44709450195858408</v>
      </c>
      <c r="AT112" s="13">
        <v>0.44709450195858408</v>
      </c>
      <c r="AU112" s="13">
        <v>0.44709450195858408</v>
      </c>
      <c r="AV112" s="13">
        <v>0.44709450195858408</v>
      </c>
      <c r="AW112" s="13">
        <v>0.44709450195858408</v>
      </c>
      <c r="AX112" s="13">
        <v>0.44709450195858408</v>
      </c>
      <c r="AY112" s="13">
        <v>0.44709450195858408</v>
      </c>
      <c r="AZ112" s="13">
        <v>0.44709450195858408</v>
      </c>
      <c r="BA112" s="13">
        <v>0.44709450195858408</v>
      </c>
      <c r="BB112" s="13">
        <v>0.44709450195858408</v>
      </c>
      <c r="BC112" s="13">
        <v>0.44709450195858408</v>
      </c>
      <c r="BD112" s="13">
        <v>0.44709450195858408</v>
      </c>
      <c r="BE112" s="13">
        <v>0.44709450195858408</v>
      </c>
      <c r="BF112" s="13">
        <v>0.44709450195858408</v>
      </c>
      <c r="BG112" s="13">
        <v>0.44709450195858408</v>
      </c>
    </row>
    <row r="113" spans="1:59" ht="12" customHeight="1" x14ac:dyDescent="0.2">
      <c r="A113" s="1" t="s">
        <v>44</v>
      </c>
      <c r="B113" t="s">
        <v>64</v>
      </c>
      <c r="C113" s="10" t="s">
        <v>62</v>
      </c>
      <c r="D113" s="13">
        <v>0.88121457396761327</v>
      </c>
      <c r="E113" s="13">
        <v>0.87954985132851482</v>
      </c>
      <c r="F113" s="13">
        <v>0.84488563226542146</v>
      </c>
      <c r="G113" s="13">
        <v>0.8300855686311297</v>
      </c>
      <c r="H113" s="13">
        <v>0.86199720779902211</v>
      </c>
      <c r="I113" s="13">
        <v>0.86604572901617416</v>
      </c>
      <c r="J113" s="13">
        <v>0.84001747938885951</v>
      </c>
      <c r="K113" s="13">
        <v>0.84102928552117029</v>
      </c>
      <c r="L113" s="14">
        <v>0.84047553595215663</v>
      </c>
      <c r="M113" s="13">
        <v>0.82856331498842462</v>
      </c>
      <c r="N113" s="13">
        <v>0.81636407150414336</v>
      </c>
      <c r="O113" s="13">
        <v>0.80262623480065121</v>
      </c>
      <c r="P113" s="13">
        <v>0.79713769339973917</v>
      </c>
      <c r="Q113" s="13">
        <v>0.7928271150169397</v>
      </c>
      <c r="R113" s="13">
        <v>0.79752972406501377</v>
      </c>
      <c r="S113" s="13">
        <v>0.79828833520171327</v>
      </c>
      <c r="T113" s="13">
        <v>0.78672565212032686</v>
      </c>
      <c r="U113" s="13">
        <v>0.7912660595573946</v>
      </c>
      <c r="V113" s="13">
        <v>0.79017484081156875</v>
      </c>
      <c r="W113" s="13">
        <v>0.79196405940177361</v>
      </c>
      <c r="X113" s="13">
        <v>0.79889049336426254</v>
      </c>
      <c r="Y113" s="13">
        <v>0.79680804550135553</v>
      </c>
      <c r="Z113" s="14">
        <v>0.80466322021851466</v>
      </c>
      <c r="AA113" s="14">
        <v>0.81039013572271557</v>
      </c>
      <c r="AB113" s="14">
        <v>0.81186795505267373</v>
      </c>
      <c r="AC113" s="14">
        <v>0.68955240582575128</v>
      </c>
      <c r="AD113" s="14">
        <v>0.61503117705400256</v>
      </c>
      <c r="AE113" s="14">
        <v>0.75222212745552586</v>
      </c>
      <c r="AF113" s="15">
        <v>0.75222212745552586</v>
      </c>
      <c r="AG113" s="14">
        <v>0.75222212745552586</v>
      </c>
      <c r="AH113" s="14">
        <v>0.75222212745552586</v>
      </c>
      <c r="AI113" s="13">
        <v>0.75222212745552586</v>
      </c>
      <c r="AJ113" s="13">
        <v>0.75222212745552586</v>
      </c>
      <c r="AK113" s="13">
        <v>0.75222212745552586</v>
      </c>
      <c r="AL113" s="13">
        <v>0.75222212745552586</v>
      </c>
      <c r="AM113" s="13">
        <v>0.75222212745552586</v>
      </c>
      <c r="AN113" s="13">
        <v>0.75222212745552586</v>
      </c>
      <c r="AO113" s="13">
        <v>0.75222212745552586</v>
      </c>
      <c r="AP113" s="13">
        <v>0.75222212745552586</v>
      </c>
      <c r="AQ113" s="13">
        <v>0.75222212745552586</v>
      </c>
      <c r="AR113" s="13">
        <v>0.75222212745552586</v>
      </c>
      <c r="AS113" s="13">
        <v>0.75222212745552586</v>
      </c>
      <c r="AT113" s="13">
        <v>0.75222212745552586</v>
      </c>
      <c r="AU113" s="13">
        <v>0.75222212745552586</v>
      </c>
      <c r="AV113" s="13">
        <v>0.75222212745552586</v>
      </c>
      <c r="AW113" s="13">
        <v>0.75222212745552586</v>
      </c>
      <c r="AX113" s="13">
        <v>0.75222212745552586</v>
      </c>
      <c r="AY113" s="13">
        <v>0.75222212745552586</v>
      </c>
      <c r="AZ113" s="13">
        <v>0.75222212745552586</v>
      </c>
      <c r="BA113" s="13">
        <v>0.75222212745552586</v>
      </c>
      <c r="BB113" s="13">
        <v>0.75222212745552586</v>
      </c>
      <c r="BC113" s="13">
        <v>0.75222212745552586</v>
      </c>
      <c r="BD113" s="13">
        <v>0.75222212745552586</v>
      </c>
      <c r="BE113" s="13">
        <v>0.75222212745552586</v>
      </c>
      <c r="BF113" s="13">
        <v>0.75222212745552586</v>
      </c>
      <c r="BG113" s="13">
        <v>0.75222212745552586</v>
      </c>
    </row>
    <row r="114" spans="1:59" ht="12" customHeight="1" x14ac:dyDescent="0.2">
      <c r="A114" s="1" t="s">
        <v>47</v>
      </c>
      <c r="B114" t="s">
        <v>64</v>
      </c>
      <c r="C114" s="10" t="s">
        <v>62</v>
      </c>
      <c r="D114" s="13">
        <v>0.76954706564762143</v>
      </c>
      <c r="E114" s="13">
        <v>0.75510210566403912</v>
      </c>
      <c r="F114" s="13">
        <v>0.71353132344913495</v>
      </c>
      <c r="G114" s="13">
        <v>0.74052913810889454</v>
      </c>
      <c r="H114" s="13">
        <v>0.74838668017808863</v>
      </c>
      <c r="I114" s="13">
        <v>0.75418505195179086</v>
      </c>
      <c r="J114" s="13">
        <v>0.7120884431105059</v>
      </c>
      <c r="K114" s="13">
        <v>0.72360271115241459</v>
      </c>
      <c r="L114" s="14">
        <v>0.70117313351582378</v>
      </c>
      <c r="M114" s="13">
        <v>0.6780458974412783</v>
      </c>
      <c r="N114" s="13">
        <v>0.67451218664270274</v>
      </c>
      <c r="O114" s="13">
        <v>0.66544357259672082</v>
      </c>
      <c r="P114" s="13">
        <v>0.66369704532641505</v>
      </c>
      <c r="Q114" s="13">
        <v>0.67029320097426592</v>
      </c>
      <c r="R114" s="13">
        <v>0.69074958311469359</v>
      </c>
      <c r="S114" s="13">
        <v>0.63337992768999396</v>
      </c>
      <c r="T114" s="13">
        <v>0.71710520664023081</v>
      </c>
      <c r="U114" s="13">
        <v>0.69635622116443774</v>
      </c>
      <c r="V114" s="13">
        <v>0.69190996440606822</v>
      </c>
      <c r="W114" s="13">
        <v>0.72988955714351389</v>
      </c>
      <c r="X114" s="13">
        <v>0.67083505724502246</v>
      </c>
      <c r="Y114" s="13">
        <v>0.70112890865728006</v>
      </c>
      <c r="Z114" s="14">
        <v>0.73030237973868228</v>
      </c>
      <c r="AA114" s="14">
        <v>0.71572406198348026</v>
      </c>
      <c r="AB114" s="14">
        <v>0.70755724046755653</v>
      </c>
      <c r="AC114" s="14">
        <v>0.70376221757176682</v>
      </c>
      <c r="AD114" s="14">
        <v>0.71248194525684139</v>
      </c>
      <c r="AE114" s="14">
        <v>0.74701462459224721</v>
      </c>
      <c r="AF114" s="15">
        <v>0.74701462459224721</v>
      </c>
      <c r="AG114" s="14">
        <v>0.74701462459224721</v>
      </c>
      <c r="AH114" s="14">
        <v>0.74701462459224721</v>
      </c>
      <c r="AI114" s="13">
        <v>0.74701462459224721</v>
      </c>
      <c r="AJ114" s="13">
        <v>0.74701462459224721</v>
      </c>
      <c r="AK114" s="13">
        <v>0.74701462459224721</v>
      </c>
      <c r="AL114" s="13">
        <v>0.74701462459224721</v>
      </c>
      <c r="AM114" s="13">
        <v>0.74701462459224721</v>
      </c>
      <c r="AN114" s="13">
        <v>0.74701462459224721</v>
      </c>
      <c r="AO114" s="13">
        <v>0.74701462459224721</v>
      </c>
      <c r="AP114" s="13">
        <v>0.74701462459224721</v>
      </c>
      <c r="AQ114" s="13">
        <v>0.74701462459224721</v>
      </c>
      <c r="AR114" s="13">
        <v>0.74701462459224721</v>
      </c>
      <c r="AS114" s="13">
        <v>0.74701462459224721</v>
      </c>
      <c r="AT114" s="13">
        <v>0.74701462459224721</v>
      </c>
      <c r="AU114" s="13">
        <v>0.74701462459224721</v>
      </c>
      <c r="AV114" s="13">
        <v>0.74701462459224721</v>
      </c>
      <c r="AW114" s="13">
        <v>0.74701462459224721</v>
      </c>
      <c r="AX114" s="13">
        <v>0.74701462459224721</v>
      </c>
      <c r="AY114" s="13">
        <v>0.74701462459224721</v>
      </c>
      <c r="AZ114" s="13">
        <v>0.74701462459224721</v>
      </c>
      <c r="BA114" s="13">
        <v>0.74701462459224721</v>
      </c>
      <c r="BB114" s="13">
        <v>0.74701462459224721</v>
      </c>
      <c r="BC114" s="13">
        <v>0.74701462459224721</v>
      </c>
      <c r="BD114" s="13">
        <v>0.74701462459224721</v>
      </c>
      <c r="BE114" s="13">
        <v>0.74701462459224721</v>
      </c>
      <c r="BF114" s="13">
        <v>0.74701462459224721</v>
      </c>
      <c r="BG114" s="13">
        <v>0.74701462459224721</v>
      </c>
    </row>
    <row r="115" spans="1:59" ht="12" customHeight="1" x14ac:dyDescent="0.2">
      <c r="A115" s="1" t="s">
        <v>48</v>
      </c>
      <c r="B115" t="s">
        <v>64</v>
      </c>
      <c r="C115" s="10" t="s">
        <v>62</v>
      </c>
      <c r="D115" s="13">
        <v>0.25567790638329363</v>
      </c>
      <c r="E115" s="13">
        <v>0.25157207205721233</v>
      </c>
      <c r="F115" s="13">
        <v>0.19984547956617943</v>
      </c>
      <c r="G115" s="13">
        <v>0.24471068224907974</v>
      </c>
      <c r="H115" s="13">
        <v>0.25452666828014298</v>
      </c>
      <c r="I115" s="13">
        <v>0.23845993961570916</v>
      </c>
      <c r="J115" s="13">
        <v>0.26995157132434228</v>
      </c>
      <c r="K115" s="13">
        <v>0.28446964435278732</v>
      </c>
      <c r="L115" s="14">
        <v>0.30479711579737534</v>
      </c>
      <c r="M115" s="13">
        <v>0.29415218493167822</v>
      </c>
      <c r="N115" s="13">
        <v>0.26239934514892149</v>
      </c>
      <c r="O115" s="13">
        <v>0.26174864888279287</v>
      </c>
      <c r="P115" s="13">
        <v>0.26069609221934748</v>
      </c>
      <c r="Q115" s="13">
        <v>0.24680830340943222</v>
      </c>
      <c r="R115" s="13">
        <v>0.26473355246056279</v>
      </c>
      <c r="S115" s="13">
        <v>0.28855125136931398</v>
      </c>
      <c r="T115" s="13">
        <v>0.29835336884278063</v>
      </c>
      <c r="U115" s="13">
        <v>0.3076618189421978</v>
      </c>
      <c r="V115" s="13">
        <v>0.30102907725784128</v>
      </c>
      <c r="W115" s="13">
        <v>0.34481380766452735</v>
      </c>
      <c r="X115" s="13">
        <v>0.3132066784395065</v>
      </c>
      <c r="Y115" s="13">
        <v>0.31338793416975325</v>
      </c>
      <c r="Z115" s="14">
        <v>0.33974118933538289</v>
      </c>
      <c r="AA115" s="14">
        <v>0.34562050489550022</v>
      </c>
      <c r="AB115" s="14">
        <v>0.35065563214978113</v>
      </c>
      <c r="AC115" s="14">
        <v>0.26566142464892162</v>
      </c>
      <c r="AD115" s="14">
        <v>0.2238148354993672</v>
      </c>
      <c r="AE115" s="14">
        <v>0.30457290377793411</v>
      </c>
      <c r="AF115" s="15">
        <v>0.30457290377793411</v>
      </c>
      <c r="AG115" s="14">
        <v>0.30457290377793411</v>
      </c>
      <c r="AH115" s="14">
        <v>0.30457290377793411</v>
      </c>
      <c r="AI115" s="13">
        <v>0.30457290377793411</v>
      </c>
      <c r="AJ115" s="13">
        <v>0.30457290377793411</v>
      </c>
      <c r="AK115" s="13">
        <v>0.30457290377793411</v>
      </c>
      <c r="AL115" s="13">
        <v>0.30457290377793411</v>
      </c>
      <c r="AM115" s="13">
        <v>0.30457290377793411</v>
      </c>
      <c r="AN115" s="13">
        <v>0.30457290377793411</v>
      </c>
      <c r="AO115" s="13">
        <v>0.30457290377793411</v>
      </c>
      <c r="AP115" s="13">
        <v>0.30457290377793411</v>
      </c>
      <c r="AQ115" s="13">
        <v>0.30457290377793411</v>
      </c>
      <c r="AR115" s="13">
        <v>0.30457290377793411</v>
      </c>
      <c r="AS115" s="13">
        <v>0.30457290377793411</v>
      </c>
      <c r="AT115" s="13">
        <v>0.30457290377793411</v>
      </c>
      <c r="AU115" s="13">
        <v>0.30457290377793411</v>
      </c>
      <c r="AV115" s="13">
        <v>0.30457290377793411</v>
      </c>
      <c r="AW115" s="13">
        <v>0.30457290377793411</v>
      </c>
      <c r="AX115" s="13">
        <v>0.30457290377793411</v>
      </c>
      <c r="AY115" s="13">
        <v>0.30457290377793411</v>
      </c>
      <c r="AZ115" s="13">
        <v>0.30457290377793411</v>
      </c>
      <c r="BA115" s="13">
        <v>0.30457290377793411</v>
      </c>
      <c r="BB115" s="13">
        <v>0.30457290377793411</v>
      </c>
      <c r="BC115" s="13">
        <v>0.30457290377793411</v>
      </c>
      <c r="BD115" s="13">
        <v>0.30457290377793411</v>
      </c>
      <c r="BE115" s="13">
        <v>0.30457290377793411</v>
      </c>
      <c r="BF115" s="13">
        <v>0.30457290377793411</v>
      </c>
      <c r="BG115" s="13">
        <v>0.30457290377793411</v>
      </c>
    </row>
    <row r="116" spans="1:59" ht="12" customHeight="1" x14ac:dyDescent="0.2">
      <c r="A116" s="1" t="s">
        <v>49</v>
      </c>
      <c r="B116" t="s">
        <v>64</v>
      </c>
      <c r="C116" s="10" t="s">
        <v>62</v>
      </c>
      <c r="D116" s="13">
        <v>0.97184339924547947</v>
      </c>
      <c r="E116" s="13">
        <v>0.97492363007884864</v>
      </c>
      <c r="F116" s="13">
        <v>0.87759338309713009</v>
      </c>
      <c r="G116" s="13">
        <v>0.87504583270390901</v>
      </c>
      <c r="H116" s="13">
        <v>0.96565331643590213</v>
      </c>
      <c r="I116" s="13">
        <v>0.96858301189831242</v>
      </c>
      <c r="J116" s="13">
        <v>0.96427367956649968</v>
      </c>
      <c r="K116" s="13">
        <v>0.96807248419601466</v>
      </c>
      <c r="L116" s="14">
        <v>0.96559572444594988</v>
      </c>
      <c r="M116" s="13">
        <v>0.96260851849042539</v>
      </c>
      <c r="N116" s="13">
        <v>0.95574489802515639</v>
      </c>
      <c r="O116" s="13">
        <v>0.95458010629464529</v>
      </c>
      <c r="P116" s="13">
        <v>0.94256246579185532</v>
      </c>
      <c r="Q116" s="13">
        <v>0.9364294964636638</v>
      </c>
      <c r="R116" s="13">
        <v>0.93195166285065323</v>
      </c>
      <c r="S116" s="13">
        <v>0.90627381317327116</v>
      </c>
      <c r="T116" s="13">
        <v>0.91291500104384071</v>
      </c>
      <c r="U116" s="13">
        <v>0.89418761962930882</v>
      </c>
      <c r="V116" s="13">
        <v>0.88085482546096572</v>
      </c>
      <c r="W116" s="13">
        <v>0.88610806514975204</v>
      </c>
      <c r="X116" s="13">
        <v>0.87884601902298498</v>
      </c>
      <c r="Y116" s="13">
        <v>0.87420594284626818</v>
      </c>
      <c r="Z116" s="14">
        <v>0.86940981790386329</v>
      </c>
      <c r="AA116" s="14">
        <v>0.86240455951498696</v>
      </c>
      <c r="AB116" s="14">
        <v>0.8597790132420936</v>
      </c>
      <c r="AC116" s="14">
        <v>0.85527363642448639</v>
      </c>
      <c r="AD116" s="14">
        <v>0.81815713520450672</v>
      </c>
      <c r="AE116" s="14">
        <v>0.86334771911082275</v>
      </c>
      <c r="AF116" s="15">
        <v>0.86334771911082275</v>
      </c>
      <c r="AG116" s="14">
        <v>0.86334771911082275</v>
      </c>
      <c r="AH116" s="14">
        <v>0.86334771911082275</v>
      </c>
      <c r="AI116" s="13">
        <v>0.86334771911082275</v>
      </c>
      <c r="AJ116" s="13">
        <v>0.86334771911082275</v>
      </c>
      <c r="AK116" s="13">
        <v>0.86334771911082275</v>
      </c>
      <c r="AL116" s="13">
        <v>0.86334771911082275</v>
      </c>
      <c r="AM116" s="13">
        <v>0.86334771911082275</v>
      </c>
      <c r="AN116" s="13">
        <v>0.86334771911082275</v>
      </c>
      <c r="AO116" s="13">
        <v>0.86334771911082275</v>
      </c>
      <c r="AP116" s="13">
        <v>0.86334771911082275</v>
      </c>
      <c r="AQ116" s="13">
        <v>0.86334771911082275</v>
      </c>
      <c r="AR116" s="13">
        <v>0.86334771911082275</v>
      </c>
      <c r="AS116" s="13">
        <v>0.86334771911082275</v>
      </c>
      <c r="AT116" s="13">
        <v>0.86334771911082275</v>
      </c>
      <c r="AU116" s="13">
        <v>0.86334771911082275</v>
      </c>
      <c r="AV116" s="13">
        <v>0.86334771911082275</v>
      </c>
      <c r="AW116" s="13">
        <v>0.86334771911082275</v>
      </c>
      <c r="AX116" s="13">
        <v>0.86334771911082275</v>
      </c>
      <c r="AY116" s="13">
        <v>0.86334771911082275</v>
      </c>
      <c r="AZ116" s="13">
        <v>0.86334771911082275</v>
      </c>
      <c r="BA116" s="13">
        <v>0.86334771911082275</v>
      </c>
      <c r="BB116" s="13">
        <v>0.86334771911082275</v>
      </c>
      <c r="BC116" s="13">
        <v>0.86334771911082275</v>
      </c>
      <c r="BD116" s="13">
        <v>0.86334771911082275</v>
      </c>
      <c r="BE116" s="13">
        <v>0.86334771911082275</v>
      </c>
      <c r="BF116" s="13">
        <v>0.86334771911082275</v>
      </c>
      <c r="BG116" s="13">
        <v>0.86334771911082275</v>
      </c>
    </row>
    <row r="117" spans="1:59" ht="12" customHeight="1" x14ac:dyDescent="0.2">
      <c r="A117" s="1" t="s">
        <v>50</v>
      </c>
      <c r="B117" t="s">
        <v>64</v>
      </c>
      <c r="C117" s="10" t="s">
        <v>62</v>
      </c>
      <c r="D117" s="13">
        <v>0.99209104557075278</v>
      </c>
      <c r="E117" s="13">
        <v>0.99240643963992614</v>
      </c>
      <c r="F117" s="13">
        <v>0.96337856306097591</v>
      </c>
      <c r="G117" s="13">
        <v>0.96018472134768473</v>
      </c>
      <c r="H117" s="13">
        <v>0.98846744147863408</v>
      </c>
      <c r="I117" s="13">
        <v>0.97506077137693692</v>
      </c>
      <c r="J117" s="13">
        <v>0.98936615767343228</v>
      </c>
      <c r="K117" s="13">
        <v>0.98101628921428952</v>
      </c>
      <c r="L117" s="14">
        <v>0.97810819430169182</v>
      </c>
      <c r="M117" s="13">
        <v>0.97621336006562509</v>
      </c>
      <c r="N117" s="13">
        <v>0.9731491247316244</v>
      </c>
      <c r="O117" s="13">
        <v>0.96928415034997395</v>
      </c>
      <c r="P117" s="13">
        <v>0.96148070470245794</v>
      </c>
      <c r="Q117" s="13">
        <v>0.95473434126147672</v>
      </c>
      <c r="R117" s="13">
        <v>0.93988112928552492</v>
      </c>
      <c r="S117" s="13">
        <v>0.9274045473243232</v>
      </c>
      <c r="T117" s="13">
        <v>0.91565361222582897</v>
      </c>
      <c r="U117" s="13">
        <v>0.91944647068171637</v>
      </c>
      <c r="V117" s="13">
        <v>0.91786840875699116</v>
      </c>
      <c r="W117" s="13">
        <v>0.91302776554312182</v>
      </c>
      <c r="X117" s="13">
        <v>0.88358854145468091</v>
      </c>
      <c r="Y117" s="13">
        <v>0.86062955073968428</v>
      </c>
      <c r="Z117" s="14">
        <v>0.8561505960803365</v>
      </c>
      <c r="AA117" s="14">
        <v>0.86058407795661174</v>
      </c>
      <c r="AB117" s="14">
        <v>0.84397433555100043</v>
      </c>
      <c r="AC117" s="14">
        <v>0.84321853495610621</v>
      </c>
      <c r="AD117" s="14">
        <v>0.94854382187145414</v>
      </c>
      <c r="AE117" s="14">
        <v>0.94855912787563046</v>
      </c>
      <c r="AF117" s="15">
        <v>0.94855912787563046</v>
      </c>
      <c r="AG117" s="14">
        <v>0.94855912787563046</v>
      </c>
      <c r="AH117" s="14">
        <v>0.94855912787563046</v>
      </c>
      <c r="AI117" s="13">
        <v>0.94855912787563046</v>
      </c>
      <c r="AJ117" s="13">
        <v>0.94855912787563046</v>
      </c>
      <c r="AK117" s="13">
        <v>0.94855912787563046</v>
      </c>
      <c r="AL117" s="13">
        <v>0.94855912787563046</v>
      </c>
      <c r="AM117" s="13">
        <v>0.94855912787563046</v>
      </c>
      <c r="AN117" s="13">
        <v>0.94855912787563046</v>
      </c>
      <c r="AO117" s="13">
        <v>0.94855912787563046</v>
      </c>
      <c r="AP117" s="13">
        <v>0.94855912787563046</v>
      </c>
      <c r="AQ117" s="13">
        <v>0.94855912787563046</v>
      </c>
      <c r="AR117" s="13">
        <v>0.94855912787563046</v>
      </c>
      <c r="AS117" s="13">
        <v>0.94855912787563046</v>
      </c>
      <c r="AT117" s="13">
        <v>0.94855912787563046</v>
      </c>
      <c r="AU117" s="13">
        <v>0.94855912787563046</v>
      </c>
      <c r="AV117" s="13">
        <v>0.94855912787563046</v>
      </c>
      <c r="AW117" s="13">
        <v>0.94855912787563046</v>
      </c>
      <c r="AX117" s="13">
        <v>0.94855912787563046</v>
      </c>
      <c r="AY117" s="13">
        <v>0.94855912787563046</v>
      </c>
      <c r="AZ117" s="13">
        <v>0.94855912787563046</v>
      </c>
      <c r="BA117" s="13">
        <v>0.94855912787563046</v>
      </c>
      <c r="BB117" s="13">
        <v>0.94855912787563046</v>
      </c>
      <c r="BC117" s="13">
        <v>0.94855912787563046</v>
      </c>
      <c r="BD117" s="13">
        <v>0.94855912787563046</v>
      </c>
      <c r="BE117" s="13">
        <v>0.94855912787563046</v>
      </c>
      <c r="BF117" s="13">
        <v>0.94855912787563046</v>
      </c>
      <c r="BG117" s="13">
        <v>0.94855912787563046</v>
      </c>
    </row>
    <row r="118" spans="1:59" ht="12" customHeight="1" x14ac:dyDescent="0.2">
      <c r="A118" s="1" t="s">
        <v>51</v>
      </c>
      <c r="B118" t="s">
        <v>64</v>
      </c>
      <c r="C118" s="10" t="s">
        <v>62</v>
      </c>
      <c r="D118" s="13">
        <v>1</v>
      </c>
      <c r="E118" s="13">
        <v>0.98148526116372659</v>
      </c>
      <c r="F118" s="13">
        <v>0.93344223331943743</v>
      </c>
      <c r="G118" s="13">
        <v>0.90911471429118185</v>
      </c>
      <c r="H118" s="13">
        <v>0.98512122042688177</v>
      </c>
      <c r="I118" s="13">
        <v>0.91937694853597518</v>
      </c>
      <c r="J118" s="13">
        <v>0.98299961201008346</v>
      </c>
      <c r="K118" s="13">
        <v>0.99659168065009218</v>
      </c>
      <c r="L118" s="14">
        <v>0.99740422081359548</v>
      </c>
      <c r="M118" s="13">
        <v>0.99651304487243786</v>
      </c>
      <c r="N118" s="13">
        <v>0.99624601871997964</v>
      </c>
      <c r="O118" s="13">
        <v>0.99625277098860565</v>
      </c>
      <c r="P118" s="13">
        <v>0.99615968429931812</v>
      </c>
      <c r="Q118" s="13">
        <v>0.99588700994575685</v>
      </c>
      <c r="R118" s="13">
        <v>0.99826876674858056</v>
      </c>
      <c r="S118" s="13">
        <v>0.9892707126928556</v>
      </c>
      <c r="T118" s="13">
        <v>0.9866896836544814</v>
      </c>
      <c r="U118" s="13">
        <v>0.9892786404556837</v>
      </c>
      <c r="V118" s="13">
        <v>0.98082105432689015</v>
      </c>
      <c r="W118" s="13">
        <v>0.98254062841801693</v>
      </c>
      <c r="X118" s="13">
        <v>0.95262207493648565</v>
      </c>
      <c r="Y118" s="13">
        <v>0.94836649196611544</v>
      </c>
      <c r="Z118" s="14">
        <v>0.9483289711125692</v>
      </c>
      <c r="AA118" s="14">
        <v>0.95435548629726985</v>
      </c>
      <c r="AB118" s="14">
        <v>0.96041407659982492</v>
      </c>
      <c r="AC118" s="14">
        <v>0.96426489656858894</v>
      </c>
      <c r="AD118" s="14">
        <v>0.97285802196457716</v>
      </c>
      <c r="AE118" s="14">
        <v>0.94205955051032808</v>
      </c>
      <c r="AF118" s="15">
        <v>0.94205955051032808</v>
      </c>
      <c r="AG118" s="14">
        <v>0.94205955051032808</v>
      </c>
      <c r="AH118" s="14">
        <v>0.94205955051032808</v>
      </c>
      <c r="AI118" s="13">
        <v>0.94205955051032808</v>
      </c>
      <c r="AJ118" s="13">
        <v>0.94205955051032808</v>
      </c>
      <c r="AK118" s="13">
        <v>0.94205955051032808</v>
      </c>
      <c r="AL118" s="13">
        <v>0.94205955051032808</v>
      </c>
      <c r="AM118" s="13">
        <v>0.94205955051032808</v>
      </c>
      <c r="AN118" s="13">
        <v>0.94205955051032808</v>
      </c>
      <c r="AO118" s="13">
        <v>0.94205955051032808</v>
      </c>
      <c r="AP118" s="13">
        <v>0.94205955051032808</v>
      </c>
      <c r="AQ118" s="13">
        <v>0.94205955051032808</v>
      </c>
      <c r="AR118" s="13">
        <v>0.94205955051032808</v>
      </c>
      <c r="AS118" s="13">
        <v>0.94205955051032808</v>
      </c>
      <c r="AT118" s="13">
        <v>0.94205955051032808</v>
      </c>
      <c r="AU118" s="13">
        <v>0.94205955051032808</v>
      </c>
      <c r="AV118" s="13">
        <v>0.94205955051032808</v>
      </c>
      <c r="AW118" s="13">
        <v>0.94205955051032808</v>
      </c>
      <c r="AX118" s="13">
        <v>0.94205955051032808</v>
      </c>
      <c r="AY118" s="13">
        <v>0.94205955051032808</v>
      </c>
      <c r="AZ118" s="13">
        <v>0.94205955051032808</v>
      </c>
      <c r="BA118" s="13">
        <v>0.94205955051032808</v>
      </c>
      <c r="BB118" s="13">
        <v>0.94205955051032808</v>
      </c>
      <c r="BC118" s="13">
        <v>0.94205955051032808</v>
      </c>
      <c r="BD118" s="13">
        <v>0.94205955051032808</v>
      </c>
      <c r="BE118" s="13">
        <v>0.94205955051032808</v>
      </c>
      <c r="BF118" s="13">
        <v>0.94205955051032808</v>
      </c>
      <c r="BG118" s="13">
        <v>0.94205955051032808</v>
      </c>
    </row>
    <row r="119" spans="1:59" ht="12" customHeight="1" x14ac:dyDescent="0.2">
      <c r="A119" s="1" t="s">
        <v>52</v>
      </c>
      <c r="B119" t="s">
        <v>64</v>
      </c>
      <c r="C119" s="10" t="s">
        <v>62</v>
      </c>
      <c r="D119" s="13">
        <v>0.97714155160800265</v>
      </c>
      <c r="E119" s="13">
        <v>0.98207467437234686</v>
      </c>
      <c r="F119" s="13">
        <v>0.97029550839998524</v>
      </c>
      <c r="G119" s="13">
        <v>0.9492504886462082</v>
      </c>
      <c r="H119" s="13">
        <v>0.91335623104255093</v>
      </c>
      <c r="I119" s="13">
        <v>0.91704701874026362</v>
      </c>
      <c r="J119" s="13">
        <v>0.93206558801369366</v>
      </c>
      <c r="K119" s="13">
        <v>0.95928793408200475</v>
      </c>
      <c r="L119" s="14">
        <v>0.95305222717855498</v>
      </c>
      <c r="M119" s="13">
        <v>0.94815457235839884</v>
      </c>
      <c r="N119" s="13">
        <v>0.94032483970313607</v>
      </c>
      <c r="O119" s="13">
        <v>0.9417493594379337</v>
      </c>
      <c r="P119" s="13">
        <v>0.90916892354781231</v>
      </c>
      <c r="Q119" s="13">
        <v>0.90187652098600912</v>
      </c>
      <c r="R119" s="13">
        <v>0.89643476215213258</v>
      </c>
      <c r="S119" s="13">
        <v>0.88999698186414666</v>
      </c>
      <c r="T119" s="13">
        <v>0.89099098433525026</v>
      </c>
      <c r="U119" s="13">
        <v>0.86812844158193725</v>
      </c>
      <c r="V119" s="13">
        <v>0.86610150353433601</v>
      </c>
      <c r="W119" s="13">
        <v>0.84975751519666654</v>
      </c>
      <c r="X119" s="13">
        <v>0.84714331795642694</v>
      </c>
      <c r="Y119" s="13">
        <v>0.76408353100717463</v>
      </c>
      <c r="Z119" s="14">
        <v>0.7526098412184119</v>
      </c>
      <c r="AA119" s="14">
        <v>0.72962596241929367</v>
      </c>
      <c r="AB119" s="14">
        <v>0.67851249532439573</v>
      </c>
      <c r="AC119" s="14">
        <v>0.72906996940107227</v>
      </c>
      <c r="AD119" s="14">
        <v>0.96202309029806476</v>
      </c>
      <c r="AE119" s="14">
        <v>0.86179967009749658</v>
      </c>
      <c r="AF119" s="15">
        <v>0.86179967009749658</v>
      </c>
      <c r="AG119" s="14">
        <v>0.86179967009749658</v>
      </c>
      <c r="AH119" s="14">
        <v>0.86179967009749658</v>
      </c>
      <c r="AI119" s="13">
        <v>0.86179967009749658</v>
      </c>
      <c r="AJ119" s="13">
        <v>0.86179967009749658</v>
      </c>
      <c r="AK119" s="13">
        <v>0.86179967009749658</v>
      </c>
      <c r="AL119" s="13">
        <v>0.86179967009749658</v>
      </c>
      <c r="AM119" s="13">
        <v>0.86179967009749658</v>
      </c>
      <c r="AN119" s="13">
        <v>0.86179967009749658</v>
      </c>
      <c r="AO119" s="13">
        <v>0.86179967009749658</v>
      </c>
      <c r="AP119" s="13">
        <v>0.86179967009749658</v>
      </c>
      <c r="AQ119" s="13">
        <v>0.86179967009749658</v>
      </c>
      <c r="AR119" s="13">
        <v>0.86179967009749658</v>
      </c>
      <c r="AS119" s="13">
        <v>0.86179967009749658</v>
      </c>
      <c r="AT119" s="13">
        <v>0.86179967009749658</v>
      </c>
      <c r="AU119" s="13">
        <v>0.86179967009749658</v>
      </c>
      <c r="AV119" s="13">
        <v>0.86179967009749658</v>
      </c>
      <c r="AW119" s="13">
        <v>0.86179967009749658</v>
      </c>
      <c r="AX119" s="13">
        <v>0.86179967009749658</v>
      </c>
      <c r="AY119" s="13">
        <v>0.86179967009749658</v>
      </c>
      <c r="AZ119" s="13">
        <v>0.86179967009749658</v>
      </c>
      <c r="BA119" s="13">
        <v>0.86179967009749658</v>
      </c>
      <c r="BB119" s="13">
        <v>0.86179967009749658</v>
      </c>
      <c r="BC119" s="13">
        <v>0.86179967009749658</v>
      </c>
      <c r="BD119" s="13">
        <v>0.86179967009749658</v>
      </c>
      <c r="BE119" s="13">
        <v>0.86179967009749658</v>
      </c>
      <c r="BF119" s="13">
        <v>0.86179967009749658</v>
      </c>
      <c r="BG119" s="13">
        <v>0.86179967009749658</v>
      </c>
    </row>
    <row r="120" spans="1:59" ht="12" customHeight="1" x14ac:dyDescent="0.2">
      <c r="A120" s="1" t="s">
        <v>53</v>
      </c>
      <c r="B120" t="s">
        <v>64</v>
      </c>
      <c r="C120" s="10" t="s">
        <v>62</v>
      </c>
      <c r="D120" s="13">
        <v>0.5266845528336892</v>
      </c>
      <c r="E120" s="13">
        <v>0.52342597654394385</v>
      </c>
      <c r="F120" s="13">
        <v>0.50570242162069035</v>
      </c>
      <c r="G120" s="13">
        <v>0.43543820556425278</v>
      </c>
      <c r="H120" s="13">
        <v>0.38365939733571758</v>
      </c>
      <c r="I120" s="13">
        <v>0.38952201418861948</v>
      </c>
      <c r="J120" s="13">
        <v>0.31198834096366912</v>
      </c>
      <c r="K120" s="13">
        <v>0.35656392488039412</v>
      </c>
      <c r="L120" s="14">
        <v>0.37473059266169062</v>
      </c>
      <c r="M120" s="13">
        <v>0.34165610237906641</v>
      </c>
      <c r="N120" s="13">
        <v>0.36975357993989866</v>
      </c>
      <c r="O120" s="13">
        <v>0.48088257706600152</v>
      </c>
      <c r="P120" s="13">
        <v>0.3937160597733268</v>
      </c>
      <c r="Q120" s="13">
        <v>0.43648562049506789</v>
      </c>
      <c r="R120" s="13">
        <v>0.45364594699134203</v>
      </c>
      <c r="S120" s="13">
        <v>0.37561093179321459</v>
      </c>
      <c r="T120" s="13">
        <v>0.33149750541708828</v>
      </c>
      <c r="U120" s="13">
        <v>0.30275103520433683</v>
      </c>
      <c r="V120" s="13">
        <v>0.27910633844445049</v>
      </c>
      <c r="W120" s="13">
        <v>0.23280434592755239</v>
      </c>
      <c r="X120" s="13">
        <v>0.3652769229788595</v>
      </c>
      <c r="Y120" s="13">
        <v>0.36236363271603628</v>
      </c>
      <c r="Z120" s="14">
        <v>0.37962607126336462</v>
      </c>
      <c r="AA120" s="14">
        <v>0.37665301189607858</v>
      </c>
      <c r="AB120" s="14">
        <v>0.38361774629424111</v>
      </c>
      <c r="AC120" s="14">
        <v>0.37852599019467909</v>
      </c>
      <c r="AD120" s="14">
        <v>0.44412355711064222</v>
      </c>
      <c r="AE120" s="14">
        <v>0.41814470482736504</v>
      </c>
      <c r="AF120" s="15">
        <v>0.41814470482736504</v>
      </c>
      <c r="AG120" s="14">
        <v>0.41814470482736504</v>
      </c>
      <c r="AH120" s="14">
        <v>0.41814470482736504</v>
      </c>
      <c r="AI120" s="13">
        <v>0.41814470482736504</v>
      </c>
      <c r="AJ120" s="13">
        <v>0.41814470482736504</v>
      </c>
      <c r="AK120" s="13">
        <v>0.41814470482736504</v>
      </c>
      <c r="AL120" s="13">
        <v>0.41814470482736504</v>
      </c>
      <c r="AM120" s="13">
        <v>0.41814470482736504</v>
      </c>
      <c r="AN120" s="13">
        <v>0.41814470482736504</v>
      </c>
      <c r="AO120" s="13">
        <v>0.41814470482736504</v>
      </c>
      <c r="AP120" s="13">
        <v>0.41814470482736504</v>
      </c>
      <c r="AQ120" s="13">
        <v>0.41814470482736504</v>
      </c>
      <c r="AR120" s="13">
        <v>0.41814470482736504</v>
      </c>
      <c r="AS120" s="13">
        <v>0.41814470482736504</v>
      </c>
      <c r="AT120" s="13">
        <v>0.41814470482736504</v>
      </c>
      <c r="AU120" s="13">
        <v>0.41814470482736504</v>
      </c>
      <c r="AV120" s="13">
        <v>0.41814470482736504</v>
      </c>
      <c r="AW120" s="13">
        <v>0.41814470482736504</v>
      </c>
      <c r="AX120" s="13">
        <v>0.41814470482736504</v>
      </c>
      <c r="AY120" s="13">
        <v>0.41814470482736504</v>
      </c>
      <c r="AZ120" s="13">
        <v>0.41814470482736504</v>
      </c>
      <c r="BA120" s="13">
        <v>0.41814470482736504</v>
      </c>
      <c r="BB120" s="13">
        <v>0.41814470482736504</v>
      </c>
      <c r="BC120" s="13">
        <v>0.41814470482736504</v>
      </c>
      <c r="BD120" s="13">
        <v>0.41814470482736504</v>
      </c>
      <c r="BE120" s="13">
        <v>0.41814470482736504</v>
      </c>
      <c r="BF120" s="13">
        <v>0.41814470482736504</v>
      </c>
      <c r="BG120" s="13">
        <v>0.41814470482736504</v>
      </c>
    </row>
    <row r="121" spans="1:59" ht="12" customHeight="1" x14ac:dyDescent="0.2">
      <c r="A121" s="1" t="s">
        <v>54</v>
      </c>
      <c r="B121" t="s">
        <v>64</v>
      </c>
      <c r="C121" s="10" t="s">
        <v>62</v>
      </c>
      <c r="D121" s="13">
        <v>0.33881789719396083</v>
      </c>
      <c r="E121" s="13">
        <v>0.37005717366019902</v>
      </c>
      <c r="F121" s="13">
        <v>0.46645604536898677</v>
      </c>
      <c r="G121" s="13">
        <v>0.39653297320232539</v>
      </c>
      <c r="H121" s="13">
        <v>0.31441782681546526</v>
      </c>
      <c r="I121" s="13">
        <v>0.38884221895215837</v>
      </c>
      <c r="J121" s="13">
        <v>0.43025880304064162</v>
      </c>
      <c r="K121" s="13">
        <v>0.38300065599153604</v>
      </c>
      <c r="L121" s="14">
        <v>0.34723978514502341</v>
      </c>
      <c r="M121" s="13">
        <v>0.34180383519064239</v>
      </c>
      <c r="N121" s="13">
        <v>0.21523395968876172</v>
      </c>
      <c r="O121" s="13">
        <v>0.31436126166237127</v>
      </c>
      <c r="P121" s="13">
        <v>0.32650242046526856</v>
      </c>
      <c r="Q121" s="13">
        <v>0.3232517458010451</v>
      </c>
      <c r="R121" s="13">
        <v>0.39089328699679943</v>
      </c>
      <c r="S121" s="13">
        <v>0.18022587039501009</v>
      </c>
      <c r="T121" s="13">
        <v>0.26107966773491059</v>
      </c>
      <c r="U121" s="13">
        <v>0.24683135675389911</v>
      </c>
      <c r="V121" s="13">
        <v>0.2319389169787012</v>
      </c>
      <c r="W121" s="13">
        <v>0.19383623852794063</v>
      </c>
      <c r="X121" s="13">
        <v>0.19108223961155782</v>
      </c>
      <c r="Y121" s="13">
        <v>0.19703176904667691</v>
      </c>
      <c r="Z121" s="14">
        <v>0.2049536180670678</v>
      </c>
      <c r="AA121" s="14">
        <v>0.1984678879005734</v>
      </c>
      <c r="AB121" s="14">
        <v>0.1944219745328877</v>
      </c>
      <c r="AC121" s="14">
        <v>0.2033452336597171</v>
      </c>
      <c r="AD121" s="14">
        <v>0.2122670910865567</v>
      </c>
      <c r="AE121" s="14">
        <v>0.18952995293625541</v>
      </c>
      <c r="AF121" s="15">
        <v>0.18952995293625541</v>
      </c>
      <c r="AG121" s="14">
        <v>0.18952995293625541</v>
      </c>
      <c r="AH121" s="14">
        <v>0.18952995293625541</v>
      </c>
      <c r="AI121" s="13">
        <v>0.18952995293625541</v>
      </c>
      <c r="AJ121" s="13">
        <v>0.18952995293625541</v>
      </c>
      <c r="AK121" s="13">
        <v>0.18952995293625541</v>
      </c>
      <c r="AL121" s="13">
        <v>0.18952995293625541</v>
      </c>
      <c r="AM121" s="13">
        <v>0.18952995293625541</v>
      </c>
      <c r="AN121" s="13">
        <v>0.18952995293625541</v>
      </c>
      <c r="AO121" s="13">
        <v>0.18952995293625541</v>
      </c>
      <c r="AP121" s="13">
        <v>0.18952995293625541</v>
      </c>
      <c r="AQ121" s="13">
        <v>0.18952995293625541</v>
      </c>
      <c r="AR121" s="13">
        <v>0.18952995293625541</v>
      </c>
      <c r="AS121" s="13">
        <v>0.18952995293625541</v>
      </c>
      <c r="AT121" s="13">
        <v>0.18952995293625541</v>
      </c>
      <c r="AU121" s="13">
        <v>0.18952995293625541</v>
      </c>
      <c r="AV121" s="13">
        <v>0.18952995293625541</v>
      </c>
      <c r="AW121" s="13">
        <v>0.18952995293625541</v>
      </c>
      <c r="AX121" s="13">
        <v>0.18952995293625541</v>
      </c>
      <c r="AY121" s="13">
        <v>0.18952995293625541</v>
      </c>
      <c r="AZ121" s="13">
        <v>0.18952995293625541</v>
      </c>
      <c r="BA121" s="13">
        <v>0.18952995293625541</v>
      </c>
      <c r="BB121" s="13">
        <v>0.18952995293625541</v>
      </c>
      <c r="BC121" s="13">
        <v>0.18952995293625541</v>
      </c>
      <c r="BD121" s="13">
        <v>0.18952995293625541</v>
      </c>
      <c r="BE121" s="13">
        <v>0.18952995293625541</v>
      </c>
      <c r="BF121" s="13">
        <v>0.18952995293625541</v>
      </c>
      <c r="BG121" s="13">
        <v>0.18952995293625541</v>
      </c>
    </row>
    <row r="122" spans="1:59" ht="12" customHeight="1" x14ac:dyDescent="0.2">
      <c r="A122" s="1" t="s">
        <v>55</v>
      </c>
      <c r="B122" t="s">
        <v>64</v>
      </c>
      <c r="C122" s="10" t="s">
        <v>62</v>
      </c>
      <c r="D122" s="13">
        <v>0.97231713436967382</v>
      </c>
      <c r="E122" s="13">
        <v>0.97083937506303397</v>
      </c>
      <c r="F122" s="13">
        <v>0.88793728559608232</v>
      </c>
      <c r="G122" s="13">
        <v>0.86786129976825754</v>
      </c>
      <c r="H122" s="13">
        <v>0.92539855008892435</v>
      </c>
      <c r="I122" s="13">
        <v>0.88901894210401045</v>
      </c>
      <c r="J122" s="13">
        <v>0.92582226036475523</v>
      </c>
      <c r="K122" s="13">
        <v>0.85300740690117949</v>
      </c>
      <c r="L122" s="14">
        <v>0.87333074187413451</v>
      </c>
      <c r="M122" s="13">
        <v>0.852777254914722</v>
      </c>
      <c r="N122" s="13">
        <v>0.87407919416499136</v>
      </c>
      <c r="O122" s="13">
        <v>0.88136162760137082</v>
      </c>
      <c r="P122" s="13">
        <v>0.85896616824238536</v>
      </c>
      <c r="Q122" s="13">
        <v>0.85221045524090688</v>
      </c>
      <c r="R122" s="13">
        <v>0.84303022089154178</v>
      </c>
      <c r="S122" s="13">
        <v>0.8365231708521581</v>
      </c>
      <c r="T122" s="13">
        <v>0.83711809129108139</v>
      </c>
      <c r="U122" s="13">
        <v>0.83667649343438566</v>
      </c>
      <c r="V122" s="13">
        <v>0.82835656964208082</v>
      </c>
      <c r="W122" s="13">
        <v>0.82435567137820343</v>
      </c>
      <c r="X122" s="13">
        <v>0.7933964095758762</v>
      </c>
      <c r="Y122" s="13">
        <v>0.77924944617255887</v>
      </c>
      <c r="Z122" s="14">
        <v>0.74767684760442188</v>
      </c>
      <c r="AA122" s="14">
        <v>0.70899297472262135</v>
      </c>
      <c r="AB122" s="14">
        <v>0.71310680795888337</v>
      </c>
      <c r="AC122" s="14">
        <v>0.75532886271613897</v>
      </c>
      <c r="AD122" s="14">
        <v>0.87757929989198924</v>
      </c>
      <c r="AE122" s="14">
        <v>0.91682248946284983</v>
      </c>
      <c r="AF122" s="15">
        <v>0.91682248946284983</v>
      </c>
      <c r="AG122" s="14">
        <v>0.91682248946284983</v>
      </c>
      <c r="AH122" s="14">
        <v>0.91682248946284983</v>
      </c>
      <c r="AI122" s="13">
        <v>0.91682248946284983</v>
      </c>
      <c r="AJ122" s="13">
        <v>0.91682248946284983</v>
      </c>
      <c r="AK122" s="13">
        <v>0.91682248946284983</v>
      </c>
      <c r="AL122" s="13">
        <v>0.91682248946284983</v>
      </c>
      <c r="AM122" s="13">
        <v>0.91682248946284983</v>
      </c>
      <c r="AN122" s="13">
        <v>0.91682248946284983</v>
      </c>
      <c r="AO122" s="13">
        <v>0.91682248946284983</v>
      </c>
      <c r="AP122" s="13">
        <v>0.91682248946284983</v>
      </c>
      <c r="AQ122" s="13">
        <v>0.91682248946284983</v>
      </c>
      <c r="AR122" s="13">
        <v>0.91682248946284983</v>
      </c>
      <c r="AS122" s="13">
        <v>0.91682248946284983</v>
      </c>
      <c r="AT122" s="13">
        <v>0.91682248946284983</v>
      </c>
      <c r="AU122" s="13">
        <v>0.91682248946284983</v>
      </c>
      <c r="AV122" s="13">
        <v>0.91682248946284983</v>
      </c>
      <c r="AW122" s="13">
        <v>0.91682248946284983</v>
      </c>
      <c r="AX122" s="13">
        <v>0.91682248946284983</v>
      </c>
      <c r="AY122" s="13">
        <v>0.91682248946284983</v>
      </c>
      <c r="AZ122" s="13">
        <v>0.91682248946284983</v>
      </c>
      <c r="BA122" s="13">
        <v>0.91682248946284983</v>
      </c>
      <c r="BB122" s="13">
        <v>0.91682248946284983</v>
      </c>
      <c r="BC122" s="13">
        <v>0.91682248946284983</v>
      </c>
      <c r="BD122" s="13">
        <v>0.91682248946284983</v>
      </c>
      <c r="BE122" s="13">
        <v>0.91682248946284983</v>
      </c>
      <c r="BF122" s="13">
        <v>0.91682248946284983</v>
      </c>
      <c r="BG122" s="13">
        <v>0.91682248946284983</v>
      </c>
    </row>
    <row r="123" spans="1:59" ht="12" customHeight="1" x14ac:dyDescent="0.2">
      <c r="A123" s="1" t="s">
        <v>56</v>
      </c>
      <c r="B123" t="s">
        <v>64</v>
      </c>
      <c r="C123" s="10" t="s">
        <v>62</v>
      </c>
      <c r="D123" s="13">
        <v>0.99084383459541436</v>
      </c>
      <c r="E123" s="13">
        <v>0.96470506503181397</v>
      </c>
      <c r="F123" s="13">
        <v>0.8668930339017924</v>
      </c>
      <c r="G123" s="13">
        <v>0.86491996498162749</v>
      </c>
      <c r="H123" s="13">
        <v>0.94313053698672733</v>
      </c>
      <c r="I123" s="13">
        <v>0.91369678770315255</v>
      </c>
      <c r="J123" s="13">
        <v>0.94282124844319881</v>
      </c>
      <c r="K123" s="13">
        <v>0.89626982871025374</v>
      </c>
      <c r="L123" s="14">
        <v>0.89792442970079323</v>
      </c>
      <c r="M123" s="13">
        <v>0.86847153576196046</v>
      </c>
      <c r="N123" s="13">
        <v>0.90531491335642045</v>
      </c>
      <c r="O123" s="13">
        <v>0.88013868164366504</v>
      </c>
      <c r="P123" s="13">
        <v>0.96063281624282992</v>
      </c>
      <c r="Q123" s="13">
        <v>0.8586202568035034</v>
      </c>
      <c r="R123" s="13">
        <v>0.8049451038481148</v>
      </c>
      <c r="S123" s="13">
        <v>0.77294766971215101</v>
      </c>
      <c r="T123" s="13">
        <v>0.8079749737862737</v>
      </c>
      <c r="U123" s="13">
        <v>0.76344141557572276</v>
      </c>
      <c r="V123" s="13">
        <v>0.7046167907764237</v>
      </c>
      <c r="W123" s="13">
        <v>0.71171029165013788</v>
      </c>
      <c r="X123" s="13">
        <v>0.64027868576392499</v>
      </c>
      <c r="Y123" s="13">
        <v>0.65648244063454597</v>
      </c>
      <c r="Z123" s="14">
        <v>0.67075238293444395</v>
      </c>
      <c r="AA123" s="14">
        <v>0.6541310097737294</v>
      </c>
      <c r="AB123" s="14">
        <v>0.63729277668384843</v>
      </c>
      <c r="AC123" s="14">
        <v>0.67536462087016547</v>
      </c>
      <c r="AD123" s="14">
        <v>0.69289022445144921</v>
      </c>
      <c r="AE123" s="14">
        <v>0.57463661446762082</v>
      </c>
      <c r="AF123" s="15">
        <v>0.57463661446762082</v>
      </c>
      <c r="AG123" s="14">
        <v>0.57463661446762082</v>
      </c>
      <c r="AH123" s="14">
        <v>0.57463661446762082</v>
      </c>
      <c r="AI123" s="13">
        <v>0.57463661446762082</v>
      </c>
      <c r="AJ123" s="13">
        <v>0.57463661446762082</v>
      </c>
      <c r="AK123" s="13">
        <v>0.57463661446762082</v>
      </c>
      <c r="AL123" s="13">
        <v>0.57463661446762082</v>
      </c>
      <c r="AM123" s="13">
        <v>0.57463661446762082</v>
      </c>
      <c r="AN123" s="13">
        <v>0.57463661446762082</v>
      </c>
      <c r="AO123" s="13">
        <v>0.57463661446762082</v>
      </c>
      <c r="AP123" s="13">
        <v>0.57463661446762082</v>
      </c>
      <c r="AQ123" s="13">
        <v>0.57463661446762082</v>
      </c>
      <c r="AR123" s="13">
        <v>0.57463661446762082</v>
      </c>
      <c r="AS123" s="13">
        <v>0.57463661446762082</v>
      </c>
      <c r="AT123" s="13">
        <v>0.57463661446762082</v>
      </c>
      <c r="AU123" s="13">
        <v>0.57463661446762082</v>
      </c>
      <c r="AV123" s="13">
        <v>0.57463661446762082</v>
      </c>
      <c r="AW123" s="13">
        <v>0.57463661446762082</v>
      </c>
      <c r="AX123" s="13">
        <v>0.57463661446762082</v>
      </c>
      <c r="AY123" s="13">
        <v>0.57463661446762082</v>
      </c>
      <c r="AZ123" s="13">
        <v>0.57463661446762082</v>
      </c>
      <c r="BA123" s="13">
        <v>0.57463661446762082</v>
      </c>
      <c r="BB123" s="13">
        <v>0.57463661446762082</v>
      </c>
      <c r="BC123" s="13">
        <v>0.57463661446762082</v>
      </c>
      <c r="BD123" s="13">
        <v>0.57463661446762082</v>
      </c>
      <c r="BE123" s="13">
        <v>0.57463661446762082</v>
      </c>
      <c r="BF123" s="13">
        <v>0.57463661446762082</v>
      </c>
      <c r="BG123" s="13">
        <v>0.57463661446762082</v>
      </c>
    </row>
    <row r="124" spans="1:59" ht="12" customHeight="1" x14ac:dyDescent="0.2">
      <c r="A124" s="1" t="s">
        <v>57</v>
      </c>
      <c r="B124" t="s">
        <v>64</v>
      </c>
      <c r="C124" s="10" t="s">
        <v>62</v>
      </c>
      <c r="D124" s="13">
        <v>0.9905108143559006</v>
      </c>
      <c r="E124" s="13">
        <v>0.98266185313654708</v>
      </c>
      <c r="F124" s="13">
        <v>0.90731667398460958</v>
      </c>
      <c r="G124" s="13">
        <v>0.87925425517567246</v>
      </c>
      <c r="H124" s="13">
        <v>0.95815089523964259</v>
      </c>
      <c r="I124" s="13">
        <v>0.92632665945805059</v>
      </c>
      <c r="J124" s="13">
        <v>0.96659575024005806</v>
      </c>
      <c r="K124" s="13">
        <v>0.97163950179888081</v>
      </c>
      <c r="L124" s="14">
        <v>0.97164517845188025</v>
      </c>
      <c r="M124" s="13">
        <v>0.96158670673097413</v>
      </c>
      <c r="N124" s="13">
        <v>0.96253065791075154</v>
      </c>
      <c r="O124" s="13">
        <v>0.95401166711443852</v>
      </c>
      <c r="P124" s="13">
        <v>0.95303882820820063</v>
      </c>
      <c r="Q124" s="13">
        <v>0.94635787250827752</v>
      </c>
      <c r="R124" s="13">
        <v>0.94642873134318273</v>
      </c>
      <c r="S124" s="13">
        <v>0.93324973861373817</v>
      </c>
      <c r="T124" s="13">
        <v>0.91651765638143623</v>
      </c>
      <c r="U124" s="13">
        <v>0.89801255355930121</v>
      </c>
      <c r="V124" s="13">
        <v>0.86818718633735148</v>
      </c>
      <c r="W124" s="13">
        <v>0.87518351417434703</v>
      </c>
      <c r="X124" s="13">
        <v>0.84339587808463901</v>
      </c>
      <c r="Y124" s="13">
        <v>0.81366854948857792</v>
      </c>
      <c r="Z124" s="14">
        <v>0.78647762217382589</v>
      </c>
      <c r="AA124" s="14">
        <v>0.7599797116444249</v>
      </c>
      <c r="AB124" s="14">
        <v>0.74824201554154612</v>
      </c>
      <c r="AC124" s="14">
        <v>0.81699181332335946</v>
      </c>
      <c r="AD124" s="14">
        <v>0.85537854825181536</v>
      </c>
      <c r="AE124" s="14">
        <v>0.86667976643632294</v>
      </c>
      <c r="AF124" s="15">
        <v>0.86667976643632294</v>
      </c>
      <c r="AG124" s="14">
        <v>0.86667976643632294</v>
      </c>
      <c r="AH124" s="14">
        <v>0.86667976643632294</v>
      </c>
      <c r="AI124" s="13">
        <v>0.86667976643632294</v>
      </c>
      <c r="AJ124" s="13">
        <v>0.86667976643632294</v>
      </c>
      <c r="AK124" s="13">
        <v>0.86667976643632294</v>
      </c>
      <c r="AL124" s="13">
        <v>0.86667976643632294</v>
      </c>
      <c r="AM124" s="13">
        <v>0.86667976643632294</v>
      </c>
      <c r="AN124" s="13">
        <v>0.86667976643632294</v>
      </c>
      <c r="AO124" s="13">
        <v>0.86667976643632294</v>
      </c>
      <c r="AP124" s="13">
        <v>0.86667976643632294</v>
      </c>
      <c r="AQ124" s="13">
        <v>0.86667976643632294</v>
      </c>
      <c r="AR124" s="13">
        <v>0.86667976643632294</v>
      </c>
      <c r="AS124" s="13">
        <v>0.86667976643632294</v>
      </c>
      <c r="AT124" s="13">
        <v>0.86667976643632294</v>
      </c>
      <c r="AU124" s="13">
        <v>0.86667976643632294</v>
      </c>
      <c r="AV124" s="13">
        <v>0.86667976643632294</v>
      </c>
      <c r="AW124" s="13">
        <v>0.86667976643632294</v>
      </c>
      <c r="AX124" s="13">
        <v>0.86667976643632294</v>
      </c>
      <c r="AY124" s="13">
        <v>0.86667976643632294</v>
      </c>
      <c r="AZ124" s="13">
        <v>0.86667976643632294</v>
      </c>
      <c r="BA124" s="13">
        <v>0.86667976643632294</v>
      </c>
      <c r="BB124" s="13">
        <v>0.86667976643632294</v>
      </c>
      <c r="BC124" s="13">
        <v>0.86667976643632294</v>
      </c>
      <c r="BD124" s="13">
        <v>0.86667976643632294</v>
      </c>
      <c r="BE124" s="13">
        <v>0.86667976643632294</v>
      </c>
      <c r="BF124" s="13">
        <v>0.86667976643632294</v>
      </c>
      <c r="BG124" s="13">
        <v>0.86667976643632294</v>
      </c>
    </row>
    <row r="125" spans="1:59" ht="12" customHeight="1" x14ac:dyDescent="0.2">
      <c r="A125" s="1" t="s">
        <v>58</v>
      </c>
      <c r="B125" t="s">
        <v>64</v>
      </c>
      <c r="C125" s="10" t="s">
        <v>62</v>
      </c>
      <c r="D125" s="13">
        <v>0.90302240009993084</v>
      </c>
      <c r="E125" s="13">
        <v>0.87920470652564908</v>
      </c>
      <c r="F125" s="13">
        <v>0.84036555264765334</v>
      </c>
      <c r="G125" s="13">
        <v>0.81490347705565314</v>
      </c>
      <c r="H125" s="13">
        <v>0.7876140940467804</v>
      </c>
      <c r="I125" s="13">
        <v>0.8370318409938674</v>
      </c>
      <c r="J125" s="13">
        <v>0.8208733907873037</v>
      </c>
      <c r="K125" s="13">
        <v>0.7976876636726602</v>
      </c>
      <c r="L125" s="14">
        <v>0.80624759888087938</v>
      </c>
      <c r="M125" s="13">
        <v>0.79285299760648276</v>
      </c>
      <c r="N125" s="13">
        <v>0.77673428830672153</v>
      </c>
      <c r="O125" s="13">
        <v>0.83046989706020391</v>
      </c>
      <c r="P125" s="13">
        <v>0.94404876827199846</v>
      </c>
      <c r="Q125" s="13">
        <v>0.78809667056223942</v>
      </c>
      <c r="R125" s="13">
        <v>0.74325093702582556</v>
      </c>
      <c r="S125" s="13">
        <v>0.7335088605808453</v>
      </c>
      <c r="T125" s="13">
        <v>0.73509710057704936</v>
      </c>
      <c r="U125" s="13">
        <v>0.67221083070804066</v>
      </c>
      <c r="V125" s="13">
        <v>0.6419545129008174</v>
      </c>
      <c r="W125" s="13">
        <v>0.62594787855876877</v>
      </c>
      <c r="X125" s="13">
        <v>0.8054607047960457</v>
      </c>
      <c r="Y125" s="13">
        <v>0.80424726984677353</v>
      </c>
      <c r="Z125" s="14">
        <v>0.79684777789979055</v>
      </c>
      <c r="AA125" s="14">
        <v>0.78297494867768369</v>
      </c>
      <c r="AB125" s="14">
        <v>0.77822171835579479</v>
      </c>
      <c r="AC125" s="14">
        <v>0.79526472167318818</v>
      </c>
      <c r="AD125" s="14">
        <v>0.74148937065620824</v>
      </c>
      <c r="AE125" s="14">
        <v>0.75763024824099501</v>
      </c>
      <c r="AF125" s="15">
        <v>0.75763024824099501</v>
      </c>
      <c r="AG125" s="14">
        <v>0.75763024824099501</v>
      </c>
      <c r="AH125" s="14">
        <v>0.75763024824099501</v>
      </c>
      <c r="AI125" s="13">
        <v>0.75763024824099501</v>
      </c>
      <c r="AJ125" s="13">
        <v>0.75763024824099501</v>
      </c>
      <c r="AK125" s="13">
        <v>0.75763024824099501</v>
      </c>
      <c r="AL125" s="13">
        <v>0.75763024824099501</v>
      </c>
      <c r="AM125" s="13">
        <v>0.75763024824099501</v>
      </c>
      <c r="AN125" s="13">
        <v>0.75763024824099501</v>
      </c>
      <c r="AO125" s="13">
        <v>0.75763024824099501</v>
      </c>
      <c r="AP125" s="13">
        <v>0.75763024824099501</v>
      </c>
      <c r="AQ125" s="13">
        <v>0.75763024824099501</v>
      </c>
      <c r="AR125" s="13">
        <v>0.75763024824099501</v>
      </c>
      <c r="AS125" s="13">
        <v>0.75763024824099501</v>
      </c>
      <c r="AT125" s="13">
        <v>0.75763024824099501</v>
      </c>
      <c r="AU125" s="13">
        <v>0.75763024824099501</v>
      </c>
      <c r="AV125" s="13">
        <v>0.75763024824099501</v>
      </c>
      <c r="AW125" s="13">
        <v>0.75763024824099501</v>
      </c>
      <c r="AX125" s="13">
        <v>0.75763024824099501</v>
      </c>
      <c r="AY125" s="13">
        <v>0.75763024824099501</v>
      </c>
      <c r="AZ125" s="13">
        <v>0.75763024824099501</v>
      </c>
      <c r="BA125" s="13">
        <v>0.75763024824099501</v>
      </c>
      <c r="BB125" s="13">
        <v>0.75763024824099501</v>
      </c>
      <c r="BC125" s="13">
        <v>0.75763024824099501</v>
      </c>
      <c r="BD125" s="13">
        <v>0.75763024824099501</v>
      </c>
      <c r="BE125" s="13">
        <v>0.75763024824099501</v>
      </c>
      <c r="BF125" s="13">
        <v>0.75763024824099501</v>
      </c>
      <c r="BG125" s="13">
        <v>0.75763024824099501</v>
      </c>
    </row>
    <row r="126" spans="1:59" ht="12" customHeight="1" x14ac:dyDescent="0.2">
      <c r="A126" s="1" t="s">
        <v>59</v>
      </c>
      <c r="B126" t="s">
        <v>64</v>
      </c>
      <c r="C126" s="10" t="s">
        <v>62</v>
      </c>
      <c r="D126" s="13">
        <v>0.94050219557657289</v>
      </c>
      <c r="E126" s="13">
        <v>0.94254727543168082</v>
      </c>
      <c r="F126" s="13">
        <v>0.78839157774776691</v>
      </c>
      <c r="G126" s="13">
        <v>0.74162012586888115</v>
      </c>
      <c r="H126" s="13">
        <v>0.91199778930867748</v>
      </c>
      <c r="I126" s="13">
        <v>0.89495706720167023</v>
      </c>
      <c r="J126" s="13">
        <v>0.90939256968498439</v>
      </c>
      <c r="K126" s="13">
        <v>0.91812085122668741</v>
      </c>
      <c r="L126" s="14">
        <v>0.91078487570636246</v>
      </c>
      <c r="M126" s="13">
        <v>0.92254819222984286</v>
      </c>
      <c r="N126" s="13">
        <v>0.91715437037187197</v>
      </c>
      <c r="O126" s="13">
        <v>0.91738371221535142</v>
      </c>
      <c r="P126" s="13">
        <v>0.91001328235494083</v>
      </c>
      <c r="Q126" s="13">
        <v>0.90207914016494373</v>
      </c>
      <c r="R126" s="13">
        <v>0.79985811895311731</v>
      </c>
      <c r="S126" s="13">
        <v>0.81177742308769318</v>
      </c>
      <c r="T126" s="13">
        <v>0.84418886136011417</v>
      </c>
      <c r="U126" s="13">
        <v>0.7757772762674402</v>
      </c>
      <c r="V126" s="13">
        <v>0.76353626111258543</v>
      </c>
      <c r="W126" s="13">
        <v>0.78537998815326293</v>
      </c>
      <c r="X126" s="13">
        <v>0.74256922003307368</v>
      </c>
      <c r="Y126" s="13">
        <v>0.72458671085701487</v>
      </c>
      <c r="Z126" s="14">
        <v>0.72190752373415246</v>
      </c>
      <c r="AA126" s="14">
        <v>0.6919662883411688</v>
      </c>
      <c r="AB126" s="14">
        <v>0.68886709477753272</v>
      </c>
      <c r="AC126" s="14">
        <v>0.71178218170326146</v>
      </c>
      <c r="AD126" s="14">
        <v>0.67735117648798537</v>
      </c>
      <c r="AE126" s="14">
        <v>0.69680470263695327</v>
      </c>
      <c r="AF126" s="15">
        <v>0.69680470263695327</v>
      </c>
      <c r="AG126" s="14">
        <v>0.69680470263695327</v>
      </c>
      <c r="AH126" s="14">
        <v>0.69680470263695327</v>
      </c>
      <c r="AI126" s="13">
        <v>0.69680470263695327</v>
      </c>
      <c r="AJ126" s="13">
        <v>0.69680470263695327</v>
      </c>
      <c r="AK126" s="13">
        <v>0.69680470263695327</v>
      </c>
      <c r="AL126" s="13">
        <v>0.69680470263695327</v>
      </c>
      <c r="AM126" s="13">
        <v>0.69680470263695327</v>
      </c>
      <c r="AN126" s="13">
        <v>0.69680470263695327</v>
      </c>
      <c r="AO126" s="13">
        <v>0.69680470263695327</v>
      </c>
      <c r="AP126" s="13">
        <v>0.69680470263695327</v>
      </c>
      <c r="AQ126" s="13">
        <v>0.69680470263695327</v>
      </c>
      <c r="AR126" s="13">
        <v>0.69680470263695327</v>
      </c>
      <c r="AS126" s="13">
        <v>0.69680470263695327</v>
      </c>
      <c r="AT126" s="13">
        <v>0.69680470263695327</v>
      </c>
      <c r="AU126" s="13">
        <v>0.69680470263695327</v>
      </c>
      <c r="AV126" s="13">
        <v>0.69680470263695327</v>
      </c>
      <c r="AW126" s="13">
        <v>0.69680470263695327</v>
      </c>
      <c r="AX126" s="13">
        <v>0.69680470263695327</v>
      </c>
      <c r="AY126" s="13">
        <v>0.69680470263695327</v>
      </c>
      <c r="AZ126" s="13">
        <v>0.69680470263695327</v>
      </c>
      <c r="BA126" s="13">
        <v>0.69680470263695327</v>
      </c>
      <c r="BB126" s="13">
        <v>0.69680470263695327</v>
      </c>
      <c r="BC126" s="13">
        <v>0.69680470263695327</v>
      </c>
      <c r="BD126" s="13">
        <v>0.69680470263695327</v>
      </c>
      <c r="BE126" s="13">
        <v>0.69680470263695327</v>
      </c>
      <c r="BF126" s="13">
        <v>0.69680470263695327</v>
      </c>
      <c r="BG126" s="13">
        <v>0.69680470263695327</v>
      </c>
    </row>
    <row r="127" spans="1:59" ht="12" customHeight="1" x14ac:dyDescent="0.2">
      <c r="A127" s="1" t="s">
        <v>60</v>
      </c>
      <c r="B127" t="s">
        <v>64</v>
      </c>
      <c r="C127" s="10" t="s">
        <v>62</v>
      </c>
      <c r="D127" s="13">
        <v>0.9625181303586029</v>
      </c>
      <c r="E127" s="13">
        <v>0.96632127850054717</v>
      </c>
      <c r="F127" s="13">
        <v>0.93077857576871115</v>
      </c>
      <c r="G127" s="13">
        <v>0.9232971552346928</v>
      </c>
      <c r="H127" s="13">
        <v>0.97212161021804944</v>
      </c>
      <c r="I127" s="13">
        <v>0.96494657967270281</v>
      </c>
      <c r="J127" s="13">
        <v>0.96204162322940567</v>
      </c>
      <c r="K127" s="13">
        <v>0.96028952589357852</v>
      </c>
      <c r="L127" s="14">
        <v>0.9458927135721783</v>
      </c>
      <c r="M127" s="13">
        <v>0.96845840866813726</v>
      </c>
      <c r="N127" s="13">
        <v>0.96802509871972098</v>
      </c>
      <c r="O127" s="13">
        <v>0.97995416087469933</v>
      </c>
      <c r="P127" s="13">
        <v>0.96087192942546851</v>
      </c>
      <c r="Q127" s="13">
        <v>0.96552733961457227</v>
      </c>
      <c r="R127" s="13">
        <v>0.92458882396956144</v>
      </c>
      <c r="S127" s="13">
        <v>0.9137216395637624</v>
      </c>
      <c r="T127" s="13">
        <v>0.90296141072640979</v>
      </c>
      <c r="U127" s="13">
        <v>0.8834838605540869</v>
      </c>
      <c r="V127" s="13">
        <v>0.86702510198060456</v>
      </c>
      <c r="W127" s="13">
        <v>0.84940675404447397</v>
      </c>
      <c r="X127" s="13">
        <v>0.85148606356345269</v>
      </c>
      <c r="Y127" s="13">
        <v>0.84535342755992327</v>
      </c>
      <c r="Z127" s="14">
        <v>0.83927823449491012</v>
      </c>
      <c r="AA127" s="14">
        <v>0.83340196284523527</v>
      </c>
      <c r="AB127" s="14">
        <v>0.83927514377743184</v>
      </c>
      <c r="AC127" s="14">
        <v>0.82030734216055445</v>
      </c>
      <c r="AD127" s="14">
        <v>0.86177121547040492</v>
      </c>
      <c r="AE127" s="14">
        <v>0.8459961335264703</v>
      </c>
      <c r="AF127" s="15">
        <v>0.8459961335264703</v>
      </c>
      <c r="AG127" s="14">
        <v>0.8459961335264703</v>
      </c>
      <c r="AH127" s="14">
        <v>0.8459961335264703</v>
      </c>
      <c r="AI127" s="13">
        <v>0.8459961335264703</v>
      </c>
      <c r="AJ127" s="13">
        <v>0.8459961335264703</v>
      </c>
      <c r="AK127" s="13">
        <v>0.8459961335264703</v>
      </c>
      <c r="AL127" s="13">
        <v>0.8459961335264703</v>
      </c>
      <c r="AM127" s="13">
        <v>0.8459961335264703</v>
      </c>
      <c r="AN127" s="13">
        <v>0.8459961335264703</v>
      </c>
      <c r="AO127" s="13">
        <v>0.8459961335264703</v>
      </c>
      <c r="AP127" s="13">
        <v>0.8459961335264703</v>
      </c>
      <c r="AQ127" s="13">
        <v>0.8459961335264703</v>
      </c>
      <c r="AR127" s="13">
        <v>0.8459961335264703</v>
      </c>
      <c r="AS127" s="13">
        <v>0.8459961335264703</v>
      </c>
      <c r="AT127" s="13">
        <v>0.8459961335264703</v>
      </c>
      <c r="AU127" s="13">
        <v>0.8459961335264703</v>
      </c>
      <c r="AV127" s="13">
        <v>0.8459961335264703</v>
      </c>
      <c r="AW127" s="13">
        <v>0.8459961335264703</v>
      </c>
      <c r="AX127" s="13">
        <v>0.8459961335264703</v>
      </c>
      <c r="AY127" s="13">
        <v>0.8459961335264703</v>
      </c>
      <c r="AZ127" s="13">
        <v>0.8459961335264703</v>
      </c>
      <c r="BA127" s="13">
        <v>0.8459961335264703</v>
      </c>
      <c r="BB127" s="13">
        <v>0.8459961335264703</v>
      </c>
      <c r="BC127" s="13">
        <v>0.8459961335264703</v>
      </c>
      <c r="BD127" s="13">
        <v>0.8459961335264703</v>
      </c>
      <c r="BE127" s="13">
        <v>0.8459961335264703</v>
      </c>
      <c r="BF127" s="13">
        <v>0.8459961335264703</v>
      </c>
      <c r="BG127" s="13">
        <v>0.8459961335264703</v>
      </c>
    </row>
    <row r="128" spans="1:59" ht="12" customHeight="1" x14ac:dyDescent="0.2">
      <c r="A128" s="1" t="s">
        <v>61</v>
      </c>
      <c r="B128" t="s">
        <v>64</v>
      </c>
      <c r="C128" s="10" t="s">
        <v>62</v>
      </c>
      <c r="D128" s="13">
        <v>0.72630081157929816</v>
      </c>
      <c r="E128" s="13">
        <v>0.70921026206384274</v>
      </c>
      <c r="F128" s="13">
        <v>0.64823343021735502</v>
      </c>
      <c r="G128" s="13">
        <v>0.62713882541470922</v>
      </c>
      <c r="H128" s="13">
        <v>0.63987657843445944</v>
      </c>
      <c r="I128" s="13">
        <v>0.64801472379462521</v>
      </c>
      <c r="J128" s="13">
        <v>0.65992625465901777</v>
      </c>
      <c r="K128" s="13">
        <v>0.67069648777989421</v>
      </c>
      <c r="L128" s="14">
        <v>0.70394901047343961</v>
      </c>
      <c r="M128" s="13">
        <v>0.67869131199841226</v>
      </c>
      <c r="N128" s="13">
        <v>0.67460849647152754</v>
      </c>
      <c r="O128" s="13">
        <v>0.69392097310405498</v>
      </c>
      <c r="P128" s="13">
        <v>0.6689559727556027</v>
      </c>
      <c r="Q128" s="13">
        <v>0.66394060108806385</v>
      </c>
      <c r="R128" s="13">
        <v>0.63062775806399973</v>
      </c>
      <c r="S128" s="13">
        <v>0.64104378863305145</v>
      </c>
      <c r="T128" s="13">
        <v>0.64231308110577878</v>
      </c>
      <c r="U128" s="13">
        <v>0.64592373819677129</v>
      </c>
      <c r="V128" s="13">
        <v>0.61861790204359812</v>
      </c>
      <c r="W128" s="13">
        <v>0.62416561677056248</v>
      </c>
      <c r="X128" s="13">
        <v>0.58790539256370011</v>
      </c>
      <c r="Y128" s="13">
        <v>0.58355352852428755</v>
      </c>
      <c r="Z128" s="14">
        <v>0.59315263138094154</v>
      </c>
      <c r="AA128" s="14">
        <v>0.58076941761213652</v>
      </c>
      <c r="AB128" s="14">
        <v>0.57950148998518436</v>
      </c>
      <c r="AC128" s="14">
        <v>0.57244748640779486</v>
      </c>
      <c r="AD128" s="14">
        <v>0.48586094792093665</v>
      </c>
      <c r="AE128" s="14">
        <v>0.54473411272542882</v>
      </c>
      <c r="AF128" s="15">
        <v>0.54473411272542882</v>
      </c>
      <c r="AG128" s="14">
        <v>0.54473411272542882</v>
      </c>
      <c r="AH128" s="14">
        <v>0.54473411272542882</v>
      </c>
      <c r="AI128" s="13">
        <v>0.54473411272542882</v>
      </c>
      <c r="AJ128" s="13">
        <v>0.54473411272542882</v>
      </c>
      <c r="AK128" s="13">
        <v>0.54473411272542882</v>
      </c>
      <c r="AL128" s="13">
        <v>0.54473411272542882</v>
      </c>
      <c r="AM128" s="13">
        <v>0.54473411272542882</v>
      </c>
      <c r="AN128" s="13">
        <v>0.54473411272542882</v>
      </c>
      <c r="AO128" s="13">
        <v>0.54473411272542882</v>
      </c>
      <c r="AP128" s="13">
        <v>0.54473411272542882</v>
      </c>
      <c r="AQ128" s="13">
        <v>0.54473411272542882</v>
      </c>
      <c r="AR128" s="13">
        <v>0.54473411272542882</v>
      </c>
      <c r="AS128" s="13">
        <v>0.54473411272542882</v>
      </c>
      <c r="AT128" s="13">
        <v>0.54473411272542882</v>
      </c>
      <c r="AU128" s="13">
        <v>0.54473411272542882</v>
      </c>
      <c r="AV128" s="13">
        <v>0.54473411272542882</v>
      </c>
      <c r="AW128" s="13">
        <v>0.54473411272542882</v>
      </c>
      <c r="AX128" s="13">
        <v>0.54473411272542882</v>
      </c>
      <c r="AY128" s="13">
        <v>0.54473411272542882</v>
      </c>
      <c r="AZ128" s="13">
        <v>0.54473411272542882</v>
      </c>
      <c r="BA128" s="13">
        <v>0.54473411272542882</v>
      </c>
      <c r="BB128" s="13">
        <v>0.54473411272542882</v>
      </c>
      <c r="BC128" s="13">
        <v>0.54473411272542882</v>
      </c>
      <c r="BD128" s="13">
        <v>0.54473411272542882</v>
      </c>
      <c r="BE128" s="13">
        <v>0.54473411272542882</v>
      </c>
      <c r="BF128" s="13">
        <v>0.54473411272542882</v>
      </c>
      <c r="BG128" s="13">
        <v>0.54473411272542882</v>
      </c>
    </row>
    <row r="129" spans="1:59" ht="12" customHeight="1" x14ac:dyDescent="0.2">
      <c r="A129" s="1" t="s">
        <v>44</v>
      </c>
      <c r="B129" t="s">
        <v>64</v>
      </c>
      <c r="C129" s="10" t="s">
        <v>63</v>
      </c>
      <c r="D129" s="13">
        <v>3.7069525579349429E-3</v>
      </c>
      <c r="E129" s="13">
        <v>4.5127566627596412E-3</v>
      </c>
      <c r="F129" s="13">
        <v>3.4504308224854864E-3</v>
      </c>
      <c r="G129" s="13">
        <v>6.3225445230618311E-3</v>
      </c>
      <c r="H129" s="13">
        <v>5.849521590125549E-3</v>
      </c>
      <c r="I129" s="13">
        <v>5.8843359720839082E-3</v>
      </c>
      <c r="J129" s="13">
        <v>6.1325516646159456E-3</v>
      </c>
      <c r="K129" s="13">
        <v>7.6906497918857184E-3</v>
      </c>
      <c r="L129" s="14">
        <v>4.9056145605489822E-3</v>
      </c>
      <c r="M129" s="13">
        <v>1.4762030331319887E-2</v>
      </c>
      <c r="N129" s="13">
        <v>1.6911784216089635E-2</v>
      </c>
      <c r="O129" s="13">
        <v>1.7027535499168744E-2</v>
      </c>
      <c r="P129" s="13">
        <v>1.7624487323122415E-2</v>
      </c>
      <c r="Q129" s="13">
        <v>2.0419495680572147E-2</v>
      </c>
      <c r="R129" s="13">
        <v>1.9468103861608774E-2</v>
      </c>
      <c r="S129" s="13">
        <v>1.8047544828826371E-2</v>
      </c>
      <c r="T129" s="13">
        <v>1.9484681875568351E-2</v>
      </c>
      <c r="U129" s="13">
        <v>2.1014497075771289E-2</v>
      </c>
      <c r="V129" s="13">
        <v>2.1368836788375978E-2</v>
      </c>
      <c r="W129" s="13">
        <v>1.809800926308117E-2</v>
      </c>
      <c r="X129" s="13">
        <v>1.31218391920375E-2</v>
      </c>
      <c r="Y129" s="13">
        <v>1.699405719123533E-2</v>
      </c>
      <c r="Z129" s="14">
        <v>1.303199833758743E-2</v>
      </c>
      <c r="AA129" s="14">
        <v>1.24183966678979E-2</v>
      </c>
      <c r="AB129" s="14">
        <v>1.546412335447462E-2</v>
      </c>
      <c r="AC129" s="14">
        <v>1.7129338435054341E-2</v>
      </c>
      <c r="AD129" s="14">
        <v>1.7277372559671079E-2</v>
      </c>
      <c r="AE129" s="14">
        <v>7.3361999649350978E-3</v>
      </c>
      <c r="AF129" s="15">
        <v>7.3361999649350978E-3</v>
      </c>
      <c r="AG129" s="14">
        <v>7.3361999649350978E-3</v>
      </c>
      <c r="AH129" s="14">
        <v>7.3361999649350978E-3</v>
      </c>
      <c r="AI129" s="13">
        <v>7.3361999649350978E-3</v>
      </c>
      <c r="AJ129" s="13">
        <v>7.3361999649350978E-3</v>
      </c>
      <c r="AK129" s="13">
        <v>7.3361999649350978E-3</v>
      </c>
      <c r="AL129" s="13">
        <v>7.3361999649350978E-3</v>
      </c>
      <c r="AM129" s="13">
        <v>7.3361999649350978E-3</v>
      </c>
      <c r="AN129" s="13">
        <v>7.3361999649350978E-3</v>
      </c>
      <c r="AO129" s="13">
        <v>7.3361999649350978E-3</v>
      </c>
      <c r="AP129" s="13">
        <v>7.3361999649350978E-3</v>
      </c>
      <c r="AQ129" s="13">
        <v>7.3361999649350978E-3</v>
      </c>
      <c r="AR129" s="13">
        <v>7.3361999649350978E-3</v>
      </c>
      <c r="AS129" s="13">
        <v>7.3361999649350978E-3</v>
      </c>
      <c r="AT129" s="13">
        <v>7.3361999649350978E-3</v>
      </c>
      <c r="AU129" s="13">
        <v>7.3361999649350978E-3</v>
      </c>
      <c r="AV129" s="13">
        <v>7.3361999649350978E-3</v>
      </c>
      <c r="AW129" s="13">
        <v>7.3361999649350978E-3</v>
      </c>
      <c r="AX129" s="13">
        <v>7.3361999649350978E-3</v>
      </c>
      <c r="AY129" s="13">
        <v>7.3361999649350978E-3</v>
      </c>
      <c r="AZ129" s="13">
        <v>7.3361999649350978E-3</v>
      </c>
      <c r="BA129" s="13">
        <v>7.3361999649350978E-3</v>
      </c>
      <c r="BB129" s="13">
        <v>7.3361999649350978E-3</v>
      </c>
      <c r="BC129" s="13">
        <v>7.3361999649350978E-3</v>
      </c>
      <c r="BD129" s="13">
        <v>7.3361999649350978E-3</v>
      </c>
      <c r="BE129" s="13">
        <v>7.3361999649350978E-3</v>
      </c>
      <c r="BF129" s="13">
        <v>7.3361999649350978E-3</v>
      </c>
      <c r="BG129" s="13">
        <v>7.3361999649350978E-3</v>
      </c>
    </row>
    <row r="130" spans="1:59" ht="12" customHeight="1" x14ac:dyDescent="0.2">
      <c r="A130" s="1" t="s">
        <v>47</v>
      </c>
      <c r="B130" t="s">
        <v>64</v>
      </c>
      <c r="C130" s="10" t="s">
        <v>63</v>
      </c>
      <c r="D130" s="13">
        <v>1.0168638383672022E-2</v>
      </c>
      <c r="E130" s="13">
        <v>1.3356824060314198E-2</v>
      </c>
      <c r="F130" s="13">
        <v>9.1699598256785326E-3</v>
      </c>
      <c r="G130" s="13">
        <v>1.4659410939867621E-2</v>
      </c>
      <c r="H130" s="13">
        <v>2.1955737708178505E-2</v>
      </c>
      <c r="I130" s="13">
        <v>2.4220262618190772E-2</v>
      </c>
      <c r="J130" s="13">
        <v>2.6661176090444692E-2</v>
      </c>
      <c r="K130" s="13">
        <v>3.0656910067858322E-2</v>
      </c>
      <c r="L130" s="14">
        <v>2.1750718311548761E-2</v>
      </c>
      <c r="M130" s="13">
        <v>5.2095167134984507E-2</v>
      </c>
      <c r="N130" s="13">
        <v>5.8893371168447464E-2</v>
      </c>
      <c r="O130" s="13">
        <v>5.9115154206493353E-2</v>
      </c>
      <c r="P130" s="13">
        <v>7.6228441829910371E-2</v>
      </c>
      <c r="Q130" s="13">
        <v>9.164021476802893E-2</v>
      </c>
      <c r="R130" s="13">
        <v>8.9636236443711381E-2</v>
      </c>
      <c r="S130" s="13">
        <v>0.14013190998674541</v>
      </c>
      <c r="T130" s="13">
        <v>8.1201744531744072E-2</v>
      </c>
      <c r="U130" s="13">
        <v>8.6689683721966199E-2</v>
      </c>
      <c r="V130" s="13">
        <v>8.5981539749912364E-2</v>
      </c>
      <c r="W130" s="13">
        <v>7.1231543998762734E-2</v>
      </c>
      <c r="X130" s="13">
        <v>4.4315442253917099E-2</v>
      </c>
      <c r="Y130" s="13">
        <v>4.7024030346810387E-2</v>
      </c>
      <c r="Z130" s="14">
        <v>3.2594366282369128E-2</v>
      </c>
      <c r="AA130" s="14">
        <v>2.9345440078854299E-2</v>
      </c>
      <c r="AB130" s="14">
        <v>4.3182958179825863E-2</v>
      </c>
      <c r="AC130" s="14">
        <v>3.5701663194041097E-2</v>
      </c>
      <c r="AD130" s="14">
        <v>4.0047354746692097E-2</v>
      </c>
      <c r="AE130" s="14">
        <v>3.3172232152515697E-2</v>
      </c>
      <c r="AF130" s="15">
        <v>3.3172232152515697E-2</v>
      </c>
      <c r="AG130" s="14">
        <v>3.3172232152515697E-2</v>
      </c>
      <c r="AH130" s="14">
        <v>3.3172232152515697E-2</v>
      </c>
      <c r="AI130" s="13">
        <v>3.3172232152515697E-2</v>
      </c>
      <c r="AJ130" s="13">
        <v>3.3172232152515697E-2</v>
      </c>
      <c r="AK130" s="13">
        <v>3.3172232152515697E-2</v>
      </c>
      <c r="AL130" s="13">
        <v>3.3172232152515697E-2</v>
      </c>
      <c r="AM130" s="13">
        <v>3.3172232152515697E-2</v>
      </c>
      <c r="AN130" s="13">
        <v>3.3172232152515697E-2</v>
      </c>
      <c r="AO130" s="13">
        <v>3.3172232152515697E-2</v>
      </c>
      <c r="AP130" s="13">
        <v>3.3172232152515697E-2</v>
      </c>
      <c r="AQ130" s="13">
        <v>3.3172232152515697E-2</v>
      </c>
      <c r="AR130" s="13">
        <v>3.3172232152515697E-2</v>
      </c>
      <c r="AS130" s="13">
        <v>3.3172232152515697E-2</v>
      </c>
      <c r="AT130" s="13">
        <v>3.3172232152515697E-2</v>
      </c>
      <c r="AU130" s="13">
        <v>3.3172232152515697E-2</v>
      </c>
      <c r="AV130" s="13">
        <v>3.3172232152515697E-2</v>
      </c>
      <c r="AW130" s="13">
        <v>3.3172232152515697E-2</v>
      </c>
      <c r="AX130" s="13">
        <v>3.3172232152515697E-2</v>
      </c>
      <c r="AY130" s="13">
        <v>3.3172232152515697E-2</v>
      </c>
      <c r="AZ130" s="13">
        <v>3.3172232152515697E-2</v>
      </c>
      <c r="BA130" s="13">
        <v>3.3172232152515697E-2</v>
      </c>
      <c r="BB130" s="13">
        <v>3.3172232152515697E-2</v>
      </c>
      <c r="BC130" s="13">
        <v>3.3172232152515697E-2</v>
      </c>
      <c r="BD130" s="13">
        <v>3.3172232152515697E-2</v>
      </c>
      <c r="BE130" s="13">
        <v>3.3172232152515697E-2</v>
      </c>
      <c r="BF130" s="13">
        <v>3.3172232152515697E-2</v>
      </c>
      <c r="BG130" s="13">
        <v>3.3172232152515697E-2</v>
      </c>
    </row>
    <row r="131" spans="1:59" ht="12" customHeight="1" x14ac:dyDescent="0.2">
      <c r="A131" s="1" t="s">
        <v>48</v>
      </c>
      <c r="B131" t="s">
        <v>64</v>
      </c>
      <c r="C131" s="10" t="s">
        <v>63</v>
      </c>
      <c r="D131" s="13">
        <v>9.6157843280222279E-3</v>
      </c>
      <c r="E131" s="13">
        <v>1.365710643236367E-2</v>
      </c>
      <c r="F131" s="13">
        <v>1.2422285736066312E-2</v>
      </c>
      <c r="G131" s="13">
        <v>1.6163453004516787E-2</v>
      </c>
      <c r="H131" s="13">
        <v>2.0130943762351802E-2</v>
      </c>
      <c r="I131" s="13">
        <v>1.9146491823718814E-2</v>
      </c>
      <c r="J131" s="13">
        <v>1.6677828636373425E-2</v>
      </c>
      <c r="K131" s="13">
        <v>1.9182882114359104E-2</v>
      </c>
      <c r="L131" s="14">
        <v>7.5110530218645347E-3</v>
      </c>
      <c r="M131" s="13">
        <v>6.1464179394834922E-2</v>
      </c>
      <c r="N131" s="13">
        <v>6.6706122755126065E-2</v>
      </c>
      <c r="O131" s="13">
        <v>6.3801794435974321E-2</v>
      </c>
      <c r="P131" s="13">
        <v>5.3321269342123834E-2</v>
      </c>
      <c r="Q131" s="13">
        <v>4.5138514440112749E-2</v>
      </c>
      <c r="R131" s="13">
        <v>4.360023018811162E-2</v>
      </c>
      <c r="S131" s="13">
        <v>6.022007944286855E-2</v>
      </c>
      <c r="T131" s="13">
        <v>4.7942809952604977E-2</v>
      </c>
      <c r="U131" s="13">
        <v>6.6717403383623558E-2</v>
      </c>
      <c r="V131" s="13">
        <v>5.5789811373742088E-2</v>
      </c>
      <c r="W131" s="13">
        <v>5.6945083114372727E-2</v>
      </c>
      <c r="X131" s="13">
        <v>4.9758030590352227E-2</v>
      </c>
      <c r="Y131" s="13">
        <v>5.978852218409738E-2</v>
      </c>
      <c r="Z131" s="14">
        <v>4.4733458630675189E-2</v>
      </c>
      <c r="AA131" s="14">
        <v>4.156411138275963E-2</v>
      </c>
      <c r="AB131" s="14">
        <v>4.2995950785234327E-2</v>
      </c>
      <c r="AC131" s="14">
        <v>5.4257128917196092E-2</v>
      </c>
      <c r="AD131" s="14">
        <v>4.3977577396655212E-2</v>
      </c>
      <c r="AE131" s="14">
        <v>2.3524511770895731E-2</v>
      </c>
      <c r="AF131" s="15">
        <v>2.3524511770895731E-2</v>
      </c>
      <c r="AG131" s="14">
        <v>2.3524511770895731E-2</v>
      </c>
      <c r="AH131" s="14">
        <v>2.3524511770895731E-2</v>
      </c>
      <c r="AI131" s="13">
        <v>2.3524511770895731E-2</v>
      </c>
      <c r="AJ131" s="13">
        <v>2.3524511770895731E-2</v>
      </c>
      <c r="AK131" s="13">
        <v>2.3524511770895731E-2</v>
      </c>
      <c r="AL131" s="13">
        <v>2.3524511770895731E-2</v>
      </c>
      <c r="AM131" s="13">
        <v>2.3524511770895731E-2</v>
      </c>
      <c r="AN131" s="13">
        <v>2.3524511770895731E-2</v>
      </c>
      <c r="AO131" s="13">
        <v>2.3524511770895731E-2</v>
      </c>
      <c r="AP131" s="13">
        <v>2.3524511770895731E-2</v>
      </c>
      <c r="AQ131" s="13">
        <v>2.3524511770895731E-2</v>
      </c>
      <c r="AR131" s="13">
        <v>2.3524511770895731E-2</v>
      </c>
      <c r="AS131" s="13">
        <v>2.3524511770895731E-2</v>
      </c>
      <c r="AT131" s="13">
        <v>2.3524511770895731E-2</v>
      </c>
      <c r="AU131" s="13">
        <v>2.3524511770895731E-2</v>
      </c>
      <c r="AV131" s="13">
        <v>2.3524511770895731E-2</v>
      </c>
      <c r="AW131" s="13">
        <v>2.3524511770895731E-2</v>
      </c>
      <c r="AX131" s="13">
        <v>2.3524511770895731E-2</v>
      </c>
      <c r="AY131" s="13">
        <v>2.3524511770895731E-2</v>
      </c>
      <c r="AZ131" s="13">
        <v>2.3524511770895731E-2</v>
      </c>
      <c r="BA131" s="13">
        <v>2.3524511770895731E-2</v>
      </c>
      <c r="BB131" s="13">
        <v>2.3524511770895731E-2</v>
      </c>
      <c r="BC131" s="13">
        <v>2.3524511770895731E-2</v>
      </c>
      <c r="BD131" s="13">
        <v>2.3524511770895731E-2</v>
      </c>
      <c r="BE131" s="13">
        <v>2.3524511770895731E-2</v>
      </c>
      <c r="BF131" s="13">
        <v>2.3524511770895731E-2</v>
      </c>
      <c r="BG131" s="13">
        <v>2.3524511770895731E-2</v>
      </c>
    </row>
    <row r="132" spans="1:59" ht="12" customHeight="1" x14ac:dyDescent="0.2">
      <c r="A132" s="1" t="s">
        <v>49</v>
      </c>
      <c r="B132" t="s">
        <v>64</v>
      </c>
      <c r="C132" s="10" t="s">
        <v>63</v>
      </c>
      <c r="D132" s="13">
        <v>2.376181065226897E-3</v>
      </c>
      <c r="E132" s="13">
        <v>2.4671473801739594E-3</v>
      </c>
      <c r="F132" s="13">
        <v>2.2329565193218892E-3</v>
      </c>
      <c r="G132" s="13">
        <v>2.0054547471022046E-3</v>
      </c>
      <c r="H132" s="13">
        <v>1.3059316776279101E-3</v>
      </c>
      <c r="I132" s="13">
        <v>1.0740183176295166E-3</v>
      </c>
      <c r="J132" s="13">
        <v>5.2448807926543713E-4</v>
      </c>
      <c r="K132" s="13">
        <v>1.0895346440091959E-3</v>
      </c>
      <c r="L132" s="14">
        <v>1.0289770692201849E-3</v>
      </c>
      <c r="M132" s="13">
        <v>5.0791387579611426E-4</v>
      </c>
      <c r="N132" s="13">
        <v>5.2479011924440875E-4</v>
      </c>
      <c r="O132" s="13">
        <v>4.6285270966488939E-4</v>
      </c>
      <c r="P132" s="13">
        <v>4.0695965672165761E-4</v>
      </c>
      <c r="Q132" s="13">
        <v>5.8566261560137709E-4</v>
      </c>
      <c r="R132" s="13">
        <v>8.6706762182899304E-4</v>
      </c>
      <c r="S132" s="13">
        <v>2.289858927940949E-3</v>
      </c>
      <c r="T132" s="13">
        <v>2.7947394295625874E-3</v>
      </c>
      <c r="U132" s="13">
        <v>3.221607268545609E-3</v>
      </c>
      <c r="V132" s="13">
        <v>3.5855727148063278E-3</v>
      </c>
      <c r="W132" s="13">
        <v>3.2445073869692034E-3</v>
      </c>
      <c r="X132" s="13">
        <v>3.9215903780550404E-3</v>
      </c>
      <c r="Y132" s="13">
        <v>4.008321878419467E-3</v>
      </c>
      <c r="Z132" s="14">
        <v>4.8089842480508469E-3</v>
      </c>
      <c r="AA132" s="14">
        <v>5.5969486614490466E-3</v>
      </c>
      <c r="AB132" s="14">
        <v>5.3641084295927254E-3</v>
      </c>
      <c r="AC132" s="14">
        <v>5.5924028203742961E-3</v>
      </c>
      <c r="AD132" s="14">
        <v>7.1644016189404466E-3</v>
      </c>
      <c r="AE132" s="14">
        <v>2.9360179114823757E-3</v>
      </c>
      <c r="AF132" s="15">
        <v>2.9360179114823757E-3</v>
      </c>
      <c r="AG132" s="14">
        <v>2.9360179114823757E-3</v>
      </c>
      <c r="AH132" s="14">
        <v>2.9360179114823757E-3</v>
      </c>
      <c r="AI132" s="13">
        <v>2.9360179114823757E-3</v>
      </c>
      <c r="AJ132" s="13">
        <v>2.9360179114823757E-3</v>
      </c>
      <c r="AK132" s="13">
        <v>2.9360179114823757E-3</v>
      </c>
      <c r="AL132" s="13">
        <v>2.9360179114823757E-3</v>
      </c>
      <c r="AM132" s="13">
        <v>2.9360179114823757E-3</v>
      </c>
      <c r="AN132" s="13">
        <v>2.9360179114823757E-3</v>
      </c>
      <c r="AO132" s="13">
        <v>2.9360179114823757E-3</v>
      </c>
      <c r="AP132" s="13">
        <v>2.9360179114823757E-3</v>
      </c>
      <c r="AQ132" s="13">
        <v>2.9360179114823757E-3</v>
      </c>
      <c r="AR132" s="13">
        <v>2.9360179114823757E-3</v>
      </c>
      <c r="AS132" s="13">
        <v>2.9360179114823757E-3</v>
      </c>
      <c r="AT132" s="13">
        <v>2.9360179114823757E-3</v>
      </c>
      <c r="AU132" s="13">
        <v>2.9360179114823757E-3</v>
      </c>
      <c r="AV132" s="13">
        <v>2.9360179114823757E-3</v>
      </c>
      <c r="AW132" s="13">
        <v>2.9360179114823757E-3</v>
      </c>
      <c r="AX132" s="13">
        <v>2.9360179114823757E-3</v>
      </c>
      <c r="AY132" s="13">
        <v>2.9360179114823757E-3</v>
      </c>
      <c r="AZ132" s="13">
        <v>2.9360179114823757E-3</v>
      </c>
      <c r="BA132" s="13">
        <v>2.9360179114823757E-3</v>
      </c>
      <c r="BB132" s="13">
        <v>2.9360179114823757E-3</v>
      </c>
      <c r="BC132" s="13">
        <v>2.9360179114823757E-3</v>
      </c>
      <c r="BD132" s="13">
        <v>2.9360179114823757E-3</v>
      </c>
      <c r="BE132" s="13">
        <v>2.9360179114823757E-3</v>
      </c>
      <c r="BF132" s="13">
        <v>2.9360179114823757E-3</v>
      </c>
      <c r="BG132" s="13">
        <v>2.9360179114823757E-3</v>
      </c>
    </row>
    <row r="133" spans="1:59" ht="12" customHeight="1" x14ac:dyDescent="0.2">
      <c r="A133" s="1" t="s">
        <v>50</v>
      </c>
      <c r="B133" t="s">
        <v>64</v>
      </c>
      <c r="C133" s="10" t="s">
        <v>63</v>
      </c>
      <c r="D133" s="13">
        <v>2.4426162243634678E-4</v>
      </c>
      <c r="E133" s="13">
        <v>2.5973532191535004E-4</v>
      </c>
      <c r="F133" s="13">
        <v>1.5961683970980734E-4</v>
      </c>
      <c r="G133" s="13">
        <v>1.3621321231071574E-4</v>
      </c>
      <c r="H133" s="13">
        <v>1.7255738130905467E-4</v>
      </c>
      <c r="I133" s="13">
        <v>1.372066031940695E-4</v>
      </c>
      <c r="J133" s="13">
        <v>2.3277367791307244E-5</v>
      </c>
      <c r="K133" s="13">
        <v>3.9151168230378917E-6</v>
      </c>
      <c r="L133" s="14">
        <v>2.2250522854497611E-5</v>
      </c>
      <c r="M133" s="13">
        <v>0</v>
      </c>
      <c r="N133" s="13">
        <v>4.2371514888759736E-6</v>
      </c>
      <c r="O133" s="13">
        <v>0</v>
      </c>
      <c r="P133" s="13">
        <v>0</v>
      </c>
      <c r="Q133" s="13">
        <v>8.0315271530065592E-6</v>
      </c>
      <c r="R133" s="13">
        <v>0</v>
      </c>
      <c r="S133" s="13">
        <v>0</v>
      </c>
      <c r="T133" s="13">
        <v>0</v>
      </c>
      <c r="U133" s="13">
        <v>0</v>
      </c>
      <c r="V133" s="13">
        <v>5.0924851517621442E-4</v>
      </c>
      <c r="W133" s="13">
        <v>0</v>
      </c>
      <c r="X133" s="13">
        <v>0</v>
      </c>
      <c r="Y133" s="13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5">
        <v>0</v>
      </c>
      <c r="AG133" s="14">
        <v>0</v>
      </c>
      <c r="AH133" s="14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</row>
    <row r="134" spans="1:59" ht="12" customHeight="1" x14ac:dyDescent="0.2">
      <c r="A134" s="1" t="s">
        <v>51</v>
      </c>
      <c r="B134" t="s">
        <v>64</v>
      </c>
      <c r="C134" s="10" t="s">
        <v>63</v>
      </c>
      <c r="D134" s="13">
        <v>0</v>
      </c>
      <c r="E134" s="13">
        <v>2.2114146104536709E-4</v>
      </c>
      <c r="F134" s="13">
        <v>9.8917135150267729E-5</v>
      </c>
      <c r="G134" s="13">
        <v>7.4139810438430493E-5</v>
      </c>
      <c r="H134" s="13">
        <v>0</v>
      </c>
      <c r="I134" s="13">
        <v>3.4148394474121675E-5</v>
      </c>
      <c r="J134" s="13">
        <v>1.632278011790198E-5</v>
      </c>
      <c r="K134" s="13">
        <v>0</v>
      </c>
      <c r="L134" s="14">
        <v>0</v>
      </c>
      <c r="M134" s="13">
        <v>0</v>
      </c>
      <c r="N134" s="13">
        <v>6.4150838537628595E-4</v>
      </c>
      <c r="O134" s="13">
        <v>6.9005272569993312E-4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4.6573242492658849E-7</v>
      </c>
      <c r="V134" s="13">
        <v>0</v>
      </c>
      <c r="W134" s="13">
        <v>0</v>
      </c>
      <c r="X134" s="13">
        <v>0</v>
      </c>
      <c r="Y134" s="13">
        <v>0</v>
      </c>
      <c r="Z134" s="14">
        <v>2.8048123934778037E-7</v>
      </c>
      <c r="AA134" s="14">
        <v>0</v>
      </c>
      <c r="AB134" s="14">
        <v>1.9961923956952351E-5</v>
      </c>
      <c r="AC134" s="14">
        <v>6.2591406408301527E-5</v>
      </c>
      <c r="AD134" s="14">
        <v>0</v>
      </c>
      <c r="AE134" s="14">
        <v>2.2482645582349629E-4</v>
      </c>
      <c r="AF134" s="15">
        <v>2.2482645582349629E-4</v>
      </c>
      <c r="AG134" s="14">
        <v>2.2482645582349629E-4</v>
      </c>
      <c r="AH134" s="14">
        <v>2.2482645582349629E-4</v>
      </c>
      <c r="AI134" s="13">
        <v>2.2482645582349629E-4</v>
      </c>
      <c r="AJ134" s="13">
        <v>2.2482645582349629E-4</v>
      </c>
      <c r="AK134" s="13">
        <v>2.2482645582349629E-4</v>
      </c>
      <c r="AL134" s="13">
        <v>2.2482645582349629E-4</v>
      </c>
      <c r="AM134" s="13">
        <v>2.2482645582349629E-4</v>
      </c>
      <c r="AN134" s="13">
        <v>2.2482645582349629E-4</v>
      </c>
      <c r="AO134" s="13">
        <v>2.2482645582349629E-4</v>
      </c>
      <c r="AP134" s="13">
        <v>2.2482645582349629E-4</v>
      </c>
      <c r="AQ134" s="13">
        <v>2.2482645582349629E-4</v>
      </c>
      <c r="AR134" s="13">
        <v>2.2482645582349629E-4</v>
      </c>
      <c r="AS134" s="13">
        <v>2.2482645582349629E-4</v>
      </c>
      <c r="AT134" s="13">
        <v>2.2482645582349629E-4</v>
      </c>
      <c r="AU134" s="13">
        <v>2.2482645582349629E-4</v>
      </c>
      <c r="AV134" s="13">
        <v>2.2482645582349629E-4</v>
      </c>
      <c r="AW134" s="13">
        <v>2.2482645582349629E-4</v>
      </c>
      <c r="AX134" s="13">
        <v>2.2482645582349629E-4</v>
      </c>
      <c r="AY134" s="13">
        <v>2.2482645582349629E-4</v>
      </c>
      <c r="AZ134" s="13">
        <v>2.2482645582349629E-4</v>
      </c>
      <c r="BA134" s="13">
        <v>2.2482645582349629E-4</v>
      </c>
      <c r="BB134" s="13">
        <v>2.2482645582349629E-4</v>
      </c>
      <c r="BC134" s="13">
        <v>2.2482645582349629E-4</v>
      </c>
      <c r="BD134" s="13">
        <v>2.2482645582349629E-4</v>
      </c>
      <c r="BE134" s="13">
        <v>2.2482645582349629E-4</v>
      </c>
      <c r="BF134" s="13">
        <v>2.2482645582349629E-4</v>
      </c>
      <c r="BG134" s="13">
        <v>2.2482645582349629E-4</v>
      </c>
    </row>
    <row r="135" spans="1:59" ht="12" customHeight="1" x14ac:dyDescent="0.2">
      <c r="A135" s="1" t="s">
        <v>52</v>
      </c>
      <c r="B135" t="s">
        <v>64</v>
      </c>
      <c r="C135" s="10" t="s">
        <v>63</v>
      </c>
      <c r="D135" s="13">
        <v>8.5850048930827738E-4</v>
      </c>
      <c r="E135" s="13">
        <v>9.0959470143105192E-4</v>
      </c>
      <c r="F135" s="13">
        <v>5.4506826740040001E-4</v>
      </c>
      <c r="G135" s="13">
        <v>6.4898080932948229E-4</v>
      </c>
      <c r="H135" s="13">
        <v>6.5773393281960614E-4</v>
      </c>
      <c r="I135" s="13">
        <v>4.5574080234593855E-4</v>
      </c>
      <c r="J135" s="13">
        <v>7.9977673686345936E-5</v>
      </c>
      <c r="K135" s="13">
        <v>9.9533029563655774E-5</v>
      </c>
      <c r="L135" s="14">
        <v>3.5701482991680152E-4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4">
        <v>3.3893635127915851E-3</v>
      </c>
      <c r="AA135" s="14">
        <v>2.7594378273042221E-3</v>
      </c>
      <c r="AB135" s="14">
        <v>2.476095553116224E-3</v>
      </c>
      <c r="AC135" s="14">
        <v>0</v>
      </c>
      <c r="AD135" s="14">
        <v>7.9482265252247154E-3</v>
      </c>
      <c r="AE135" s="14">
        <v>5.6965616121836468E-3</v>
      </c>
      <c r="AF135" s="15">
        <v>5.6965616121836468E-3</v>
      </c>
      <c r="AG135" s="14">
        <v>5.6965616121836468E-3</v>
      </c>
      <c r="AH135" s="14">
        <v>5.6965616121836468E-3</v>
      </c>
      <c r="AI135" s="13">
        <v>5.6965616121836468E-3</v>
      </c>
      <c r="AJ135" s="13">
        <v>5.6965616121836468E-3</v>
      </c>
      <c r="AK135" s="13">
        <v>5.6965616121836468E-3</v>
      </c>
      <c r="AL135" s="13">
        <v>5.6965616121836468E-3</v>
      </c>
      <c r="AM135" s="13">
        <v>5.6965616121836468E-3</v>
      </c>
      <c r="AN135" s="13">
        <v>5.6965616121836468E-3</v>
      </c>
      <c r="AO135" s="13">
        <v>5.6965616121836468E-3</v>
      </c>
      <c r="AP135" s="13">
        <v>5.6965616121836468E-3</v>
      </c>
      <c r="AQ135" s="13">
        <v>5.6965616121836468E-3</v>
      </c>
      <c r="AR135" s="13">
        <v>5.6965616121836468E-3</v>
      </c>
      <c r="AS135" s="13">
        <v>5.6965616121836468E-3</v>
      </c>
      <c r="AT135" s="13">
        <v>5.6965616121836468E-3</v>
      </c>
      <c r="AU135" s="13">
        <v>5.6965616121836468E-3</v>
      </c>
      <c r="AV135" s="13">
        <v>5.6965616121836468E-3</v>
      </c>
      <c r="AW135" s="13">
        <v>5.6965616121836468E-3</v>
      </c>
      <c r="AX135" s="13">
        <v>5.6965616121836468E-3</v>
      </c>
      <c r="AY135" s="13">
        <v>5.6965616121836468E-3</v>
      </c>
      <c r="AZ135" s="13">
        <v>5.6965616121836468E-3</v>
      </c>
      <c r="BA135" s="13">
        <v>5.6965616121836468E-3</v>
      </c>
      <c r="BB135" s="13">
        <v>5.6965616121836468E-3</v>
      </c>
      <c r="BC135" s="13">
        <v>5.6965616121836468E-3</v>
      </c>
      <c r="BD135" s="13">
        <v>5.6965616121836468E-3</v>
      </c>
      <c r="BE135" s="13">
        <v>5.6965616121836468E-3</v>
      </c>
      <c r="BF135" s="13">
        <v>5.6965616121836468E-3</v>
      </c>
      <c r="BG135" s="13">
        <v>5.6965616121836468E-3</v>
      </c>
    </row>
    <row r="136" spans="1:59" ht="12" customHeight="1" x14ac:dyDescent="0.2">
      <c r="A136" s="1" t="s">
        <v>53</v>
      </c>
      <c r="B136" t="s">
        <v>64</v>
      </c>
      <c r="C136" s="10" t="s">
        <v>63</v>
      </c>
      <c r="D136" s="13">
        <v>1.0207563215869055E-2</v>
      </c>
      <c r="E136" s="13">
        <v>5.6668542665487008E-2</v>
      </c>
      <c r="F136" s="13">
        <v>4.3663376930472807E-2</v>
      </c>
      <c r="G136" s="13">
        <v>3.9645945703996759E-2</v>
      </c>
      <c r="H136" s="13">
        <v>2.356858577942255E-2</v>
      </c>
      <c r="I136" s="13">
        <v>1.6430061846389791E-2</v>
      </c>
      <c r="J136" s="13">
        <v>1.8915183696073371E-2</v>
      </c>
      <c r="K136" s="13">
        <v>1.772939020319703E-2</v>
      </c>
      <c r="L136" s="14">
        <v>2.6297044580626251E-2</v>
      </c>
      <c r="M136" s="13">
        <v>3.1270355033498703E-2</v>
      </c>
      <c r="N136" s="13">
        <v>3.5224350823445862E-2</v>
      </c>
      <c r="O136" s="13">
        <v>1.9412052496482798E-2</v>
      </c>
      <c r="P136" s="13">
        <v>7.8447170928467383E-3</v>
      </c>
      <c r="Q136" s="13">
        <v>1.0252144994118358E-2</v>
      </c>
      <c r="R136" s="13">
        <v>1.6480547414245657E-2</v>
      </c>
      <c r="S136" s="13">
        <v>3.0098122993111601E-2</v>
      </c>
      <c r="T136" s="13">
        <v>2.7716907433496481E-2</v>
      </c>
      <c r="U136" s="13">
        <v>3.4383170880344607E-2</v>
      </c>
      <c r="V136" s="13">
        <v>3.2192609321160699E-2</v>
      </c>
      <c r="W136" s="13">
        <v>3.2532564676198431E-2</v>
      </c>
      <c r="X136" s="13">
        <v>2.3544964740220709E-2</v>
      </c>
      <c r="Y136" s="13">
        <v>1.500782135826584E-2</v>
      </c>
      <c r="Z136" s="14">
        <v>2.023935360329918E-2</v>
      </c>
      <c r="AA136" s="14">
        <v>3.3628215465386073E-2</v>
      </c>
      <c r="AB136" s="14">
        <v>2.8199017271266589E-2</v>
      </c>
      <c r="AC136" s="14">
        <v>2.1680559890149179E-2</v>
      </c>
      <c r="AD136" s="14">
        <v>1.466278821240732E-2</v>
      </c>
      <c r="AE136" s="14">
        <v>2.1704130861980895E-2</v>
      </c>
      <c r="AF136" s="15">
        <v>2.1704130861980895E-2</v>
      </c>
      <c r="AG136" s="14">
        <v>2.1704130861980895E-2</v>
      </c>
      <c r="AH136" s="14">
        <v>2.1704130861980895E-2</v>
      </c>
      <c r="AI136" s="13">
        <v>2.1704130861980895E-2</v>
      </c>
      <c r="AJ136" s="13">
        <v>2.1704130861980895E-2</v>
      </c>
      <c r="AK136" s="13">
        <v>2.1704130861980895E-2</v>
      </c>
      <c r="AL136" s="13">
        <v>2.1704130861980895E-2</v>
      </c>
      <c r="AM136" s="13">
        <v>2.1704130861980895E-2</v>
      </c>
      <c r="AN136" s="13">
        <v>2.1704130861980895E-2</v>
      </c>
      <c r="AO136" s="13">
        <v>2.1704130861980895E-2</v>
      </c>
      <c r="AP136" s="13">
        <v>2.1704130861980895E-2</v>
      </c>
      <c r="AQ136" s="13">
        <v>2.1704130861980895E-2</v>
      </c>
      <c r="AR136" s="13">
        <v>2.1704130861980895E-2</v>
      </c>
      <c r="AS136" s="13">
        <v>2.1704130861980895E-2</v>
      </c>
      <c r="AT136" s="13">
        <v>2.1704130861980895E-2</v>
      </c>
      <c r="AU136" s="13">
        <v>2.1704130861980895E-2</v>
      </c>
      <c r="AV136" s="13">
        <v>2.1704130861980895E-2</v>
      </c>
      <c r="AW136" s="13">
        <v>2.1704130861980895E-2</v>
      </c>
      <c r="AX136" s="13">
        <v>2.1704130861980895E-2</v>
      </c>
      <c r="AY136" s="13">
        <v>2.1704130861980895E-2</v>
      </c>
      <c r="AZ136" s="13">
        <v>2.1704130861980895E-2</v>
      </c>
      <c r="BA136" s="13">
        <v>2.1704130861980895E-2</v>
      </c>
      <c r="BB136" s="13">
        <v>2.1704130861980895E-2</v>
      </c>
      <c r="BC136" s="13">
        <v>2.1704130861980895E-2</v>
      </c>
      <c r="BD136" s="13">
        <v>2.1704130861980895E-2</v>
      </c>
      <c r="BE136" s="13">
        <v>2.1704130861980895E-2</v>
      </c>
      <c r="BF136" s="13">
        <v>2.1704130861980895E-2</v>
      </c>
      <c r="BG136" s="13">
        <v>2.1704130861980895E-2</v>
      </c>
    </row>
    <row r="137" spans="1:59" ht="12" customHeight="1" x14ac:dyDescent="0.2">
      <c r="A137" s="1" t="s">
        <v>54</v>
      </c>
      <c r="B137" t="s">
        <v>64</v>
      </c>
      <c r="C137" s="10" t="s">
        <v>63</v>
      </c>
      <c r="D137" s="13">
        <v>3.1290966048887585E-2</v>
      </c>
      <c r="E137" s="13">
        <v>9.368296509759301E-2</v>
      </c>
      <c r="F137" s="13">
        <v>7.9764189521550219E-2</v>
      </c>
      <c r="G137" s="13">
        <v>5.6369510778837978E-2</v>
      </c>
      <c r="H137" s="13">
        <v>5.1200193744553368E-2</v>
      </c>
      <c r="I137" s="13">
        <v>3.6358972587118205E-2</v>
      </c>
      <c r="J137" s="13">
        <v>4.0553102325930748E-2</v>
      </c>
      <c r="K137" s="13">
        <v>4.1692803437252242E-2</v>
      </c>
      <c r="L137" s="14">
        <v>9.4924385425679519E-2</v>
      </c>
      <c r="M137" s="13">
        <v>6.025205224087863E-2</v>
      </c>
      <c r="N137" s="13">
        <v>8.1706403538421055E-2</v>
      </c>
      <c r="O137" s="13">
        <v>4.6682061906612185E-2</v>
      </c>
      <c r="P137" s="13">
        <v>3.2964523676946321E-2</v>
      </c>
      <c r="Q137" s="13">
        <v>3.2309628988430171E-2</v>
      </c>
      <c r="R137" s="13">
        <v>3.2514295841644364E-2</v>
      </c>
      <c r="S137" s="13">
        <v>7.7378452884981699E-2</v>
      </c>
      <c r="T137" s="13">
        <v>6.1904200035578283E-2</v>
      </c>
      <c r="U137" s="13">
        <v>5.317005703231887E-2</v>
      </c>
      <c r="V137" s="13">
        <v>6.0805975328671692E-2</v>
      </c>
      <c r="W137" s="13">
        <v>6.4233954623952927E-2</v>
      </c>
      <c r="X137" s="13">
        <v>6.3469527110263033E-2</v>
      </c>
      <c r="Y137" s="13">
        <v>5.4028322025980742E-2</v>
      </c>
      <c r="Z137" s="14">
        <v>7.135792485529914E-2</v>
      </c>
      <c r="AA137" s="14">
        <v>7.9614702410022012E-2</v>
      </c>
      <c r="AB137" s="14">
        <v>8.2640948079807874E-2</v>
      </c>
      <c r="AC137" s="14">
        <v>7.8664540535922076E-2</v>
      </c>
      <c r="AD137" s="14">
        <v>4.3188760087361749E-2</v>
      </c>
      <c r="AE137" s="14">
        <v>4.8427044759870079E-2</v>
      </c>
      <c r="AF137" s="15">
        <v>4.8427044759870079E-2</v>
      </c>
      <c r="AG137" s="14">
        <v>4.8427044759870079E-2</v>
      </c>
      <c r="AH137" s="14">
        <v>4.8427044759870079E-2</v>
      </c>
      <c r="AI137" s="13">
        <v>4.8427044759870079E-2</v>
      </c>
      <c r="AJ137" s="13">
        <v>4.8427044759870079E-2</v>
      </c>
      <c r="AK137" s="13">
        <v>4.8427044759870079E-2</v>
      </c>
      <c r="AL137" s="13">
        <v>4.8427044759870079E-2</v>
      </c>
      <c r="AM137" s="13">
        <v>4.8427044759870079E-2</v>
      </c>
      <c r="AN137" s="13">
        <v>4.8427044759870079E-2</v>
      </c>
      <c r="AO137" s="13">
        <v>4.8427044759870079E-2</v>
      </c>
      <c r="AP137" s="13">
        <v>4.8427044759870079E-2</v>
      </c>
      <c r="AQ137" s="13">
        <v>4.8427044759870079E-2</v>
      </c>
      <c r="AR137" s="13">
        <v>4.8427044759870079E-2</v>
      </c>
      <c r="AS137" s="13">
        <v>4.8427044759870079E-2</v>
      </c>
      <c r="AT137" s="13">
        <v>4.8427044759870079E-2</v>
      </c>
      <c r="AU137" s="13">
        <v>4.8427044759870079E-2</v>
      </c>
      <c r="AV137" s="13">
        <v>4.8427044759870079E-2</v>
      </c>
      <c r="AW137" s="13">
        <v>4.8427044759870079E-2</v>
      </c>
      <c r="AX137" s="13">
        <v>4.8427044759870079E-2</v>
      </c>
      <c r="AY137" s="13">
        <v>4.8427044759870079E-2</v>
      </c>
      <c r="AZ137" s="13">
        <v>4.8427044759870079E-2</v>
      </c>
      <c r="BA137" s="13">
        <v>4.8427044759870079E-2</v>
      </c>
      <c r="BB137" s="13">
        <v>4.8427044759870079E-2</v>
      </c>
      <c r="BC137" s="13">
        <v>4.8427044759870079E-2</v>
      </c>
      <c r="BD137" s="13">
        <v>4.8427044759870079E-2</v>
      </c>
      <c r="BE137" s="13">
        <v>4.8427044759870079E-2</v>
      </c>
      <c r="BF137" s="13">
        <v>4.8427044759870079E-2</v>
      </c>
      <c r="BG137" s="13">
        <v>4.8427044759870079E-2</v>
      </c>
    </row>
    <row r="138" spans="1:59" ht="12" customHeight="1" x14ac:dyDescent="0.2">
      <c r="A138" s="1" t="s">
        <v>55</v>
      </c>
      <c r="B138" t="s">
        <v>64</v>
      </c>
      <c r="C138" s="10" t="s">
        <v>63</v>
      </c>
      <c r="D138" s="13">
        <v>0</v>
      </c>
      <c r="E138" s="13">
        <v>1.086735612692251E-5</v>
      </c>
      <c r="F138" s="13">
        <v>2.6071264044837513E-4</v>
      </c>
      <c r="G138" s="13">
        <v>4.179020932790447E-4</v>
      </c>
      <c r="H138" s="13">
        <v>3.4391148052334E-4</v>
      </c>
      <c r="I138" s="13">
        <v>0</v>
      </c>
      <c r="J138" s="13">
        <v>2.0757526876045667E-4</v>
      </c>
      <c r="K138" s="13">
        <v>2.542668916986128E-4</v>
      </c>
      <c r="L138" s="14">
        <v>3.6259901861918672E-4</v>
      </c>
      <c r="M138" s="13">
        <v>1.3108743678259349E-4</v>
      </c>
      <c r="N138" s="13">
        <v>1.1771957634521891E-4</v>
      </c>
      <c r="O138" s="13">
        <v>1.8190905364674878E-4</v>
      </c>
      <c r="P138" s="13">
        <v>2.3563554559855295E-4</v>
      </c>
      <c r="Q138" s="13">
        <v>5.223331934548957E-4</v>
      </c>
      <c r="R138" s="13">
        <v>6.3417137446542037E-4</v>
      </c>
      <c r="S138" s="13">
        <v>8.9366186196344552E-4</v>
      </c>
      <c r="T138" s="13">
        <v>7.6382664112900004E-4</v>
      </c>
      <c r="U138" s="13">
        <v>5.5479810447994651E-4</v>
      </c>
      <c r="V138" s="13">
        <v>3.3272891232768309E-4</v>
      </c>
      <c r="W138" s="13">
        <v>1.0321882223721412E-3</v>
      </c>
      <c r="X138" s="13">
        <v>8.2897607432395588E-4</v>
      </c>
      <c r="Y138" s="13">
        <v>4.6377396309252701E-4</v>
      </c>
      <c r="Z138" s="14">
        <v>8.9995642154917105E-4</v>
      </c>
      <c r="AA138" s="14">
        <v>7.7645622213255738E-4</v>
      </c>
      <c r="AB138" s="14">
        <v>3.8275185034195068E-4</v>
      </c>
      <c r="AC138" s="14">
        <v>3.3777829541979871E-4</v>
      </c>
      <c r="AD138" s="14">
        <v>0</v>
      </c>
      <c r="AE138" s="14">
        <v>3.4916090458841958E-5</v>
      </c>
      <c r="AF138" s="15">
        <v>3.4916090458841958E-5</v>
      </c>
      <c r="AG138" s="14">
        <v>3.4916090458841958E-5</v>
      </c>
      <c r="AH138" s="14">
        <v>3.4916090458841958E-5</v>
      </c>
      <c r="AI138" s="13">
        <v>3.4916090458841958E-5</v>
      </c>
      <c r="AJ138" s="13">
        <v>3.4916090458841958E-5</v>
      </c>
      <c r="AK138" s="13">
        <v>3.4916090458841958E-5</v>
      </c>
      <c r="AL138" s="13">
        <v>3.4916090458841958E-5</v>
      </c>
      <c r="AM138" s="13">
        <v>3.4916090458841958E-5</v>
      </c>
      <c r="AN138" s="13">
        <v>3.4916090458841958E-5</v>
      </c>
      <c r="AO138" s="13">
        <v>3.4916090458841958E-5</v>
      </c>
      <c r="AP138" s="13">
        <v>3.4916090458841958E-5</v>
      </c>
      <c r="AQ138" s="13">
        <v>3.4916090458841958E-5</v>
      </c>
      <c r="AR138" s="13">
        <v>3.4916090458841958E-5</v>
      </c>
      <c r="AS138" s="13">
        <v>3.4916090458841958E-5</v>
      </c>
      <c r="AT138" s="13">
        <v>3.4916090458841958E-5</v>
      </c>
      <c r="AU138" s="13">
        <v>3.4916090458841958E-5</v>
      </c>
      <c r="AV138" s="13">
        <v>3.4916090458841958E-5</v>
      </c>
      <c r="AW138" s="13">
        <v>3.4916090458841958E-5</v>
      </c>
      <c r="AX138" s="13">
        <v>3.4916090458841958E-5</v>
      </c>
      <c r="AY138" s="13">
        <v>3.4916090458841958E-5</v>
      </c>
      <c r="AZ138" s="13">
        <v>3.4916090458841958E-5</v>
      </c>
      <c r="BA138" s="13">
        <v>3.4916090458841958E-5</v>
      </c>
      <c r="BB138" s="13">
        <v>3.4916090458841958E-5</v>
      </c>
      <c r="BC138" s="13">
        <v>3.4916090458841958E-5</v>
      </c>
      <c r="BD138" s="13">
        <v>3.4916090458841958E-5</v>
      </c>
      <c r="BE138" s="13">
        <v>3.4916090458841958E-5</v>
      </c>
      <c r="BF138" s="13">
        <v>3.4916090458841958E-5</v>
      </c>
      <c r="BG138" s="13">
        <v>3.4916090458841958E-5</v>
      </c>
    </row>
    <row r="139" spans="1:59" ht="12" customHeight="1" x14ac:dyDescent="0.2">
      <c r="A139" s="1" t="s">
        <v>56</v>
      </c>
      <c r="B139" t="s">
        <v>64</v>
      </c>
      <c r="C139" s="10" t="s">
        <v>63</v>
      </c>
      <c r="D139" s="13">
        <v>0</v>
      </c>
      <c r="E139" s="13">
        <v>0</v>
      </c>
      <c r="F139" s="13">
        <v>0</v>
      </c>
      <c r="G139" s="13">
        <v>3.1771744706607591E-4</v>
      </c>
      <c r="H139" s="13">
        <v>0</v>
      </c>
      <c r="I139" s="13">
        <v>7.501010784439514E-4</v>
      </c>
      <c r="J139" s="13">
        <v>6.2332512445325758E-4</v>
      </c>
      <c r="K139" s="13">
        <v>1.1916806644581717E-3</v>
      </c>
      <c r="L139" s="14">
        <v>8.9170037415766938E-5</v>
      </c>
      <c r="M139" s="13">
        <v>1.250987097344455E-3</v>
      </c>
      <c r="N139" s="13">
        <v>1.7508374429278909E-5</v>
      </c>
      <c r="O139" s="13">
        <v>1.6951026757787044E-5</v>
      </c>
      <c r="P139" s="13">
        <v>5.6709245629403816E-5</v>
      </c>
      <c r="Q139" s="13">
        <v>1.9569878144787368E-4</v>
      </c>
      <c r="R139" s="13">
        <v>1.0432765035496627E-4</v>
      </c>
      <c r="S139" s="13">
        <v>1.6874226534106996E-5</v>
      </c>
      <c r="T139" s="13">
        <v>1.1764265357511528E-4</v>
      </c>
      <c r="U139" s="13">
        <v>4.3271336446187489E-4</v>
      </c>
      <c r="V139" s="13">
        <v>2.451285602042351E-3</v>
      </c>
      <c r="W139" s="13">
        <v>1.242903537605893E-3</v>
      </c>
      <c r="X139" s="13">
        <v>2.36228473056299E-3</v>
      </c>
      <c r="Y139" s="13">
        <v>7.1306560087865134E-4</v>
      </c>
      <c r="Z139" s="14">
        <v>6.706263002587235E-4</v>
      </c>
      <c r="AA139" s="14">
        <v>4.8370999587121598E-4</v>
      </c>
      <c r="AB139" s="14">
        <v>4.2742037716194688E-4</v>
      </c>
      <c r="AC139" s="14">
        <v>2.5752079129175371E-4</v>
      </c>
      <c r="AD139" s="14">
        <v>2.5419176597041597E-4</v>
      </c>
      <c r="AE139" s="14">
        <v>1.4544989813126662E-4</v>
      </c>
      <c r="AF139" s="15">
        <v>1.4544989813126662E-4</v>
      </c>
      <c r="AG139" s="14">
        <v>1.4544989813126662E-4</v>
      </c>
      <c r="AH139" s="14">
        <v>1.4544989813126662E-4</v>
      </c>
      <c r="AI139" s="13">
        <v>1.4544989813126662E-4</v>
      </c>
      <c r="AJ139" s="13">
        <v>1.4544989813126662E-4</v>
      </c>
      <c r="AK139" s="13">
        <v>1.4544989813126662E-4</v>
      </c>
      <c r="AL139" s="13">
        <v>1.4544989813126662E-4</v>
      </c>
      <c r="AM139" s="13">
        <v>1.4544989813126662E-4</v>
      </c>
      <c r="AN139" s="13">
        <v>1.4544989813126662E-4</v>
      </c>
      <c r="AO139" s="13">
        <v>1.4544989813126662E-4</v>
      </c>
      <c r="AP139" s="13">
        <v>1.4544989813126662E-4</v>
      </c>
      <c r="AQ139" s="13">
        <v>1.4544989813126662E-4</v>
      </c>
      <c r="AR139" s="13">
        <v>1.4544989813126662E-4</v>
      </c>
      <c r="AS139" s="13">
        <v>1.4544989813126662E-4</v>
      </c>
      <c r="AT139" s="13">
        <v>1.4544989813126662E-4</v>
      </c>
      <c r="AU139" s="13">
        <v>1.4544989813126662E-4</v>
      </c>
      <c r="AV139" s="13">
        <v>1.4544989813126662E-4</v>
      </c>
      <c r="AW139" s="13">
        <v>1.4544989813126662E-4</v>
      </c>
      <c r="AX139" s="13">
        <v>1.4544989813126662E-4</v>
      </c>
      <c r="AY139" s="13">
        <v>1.4544989813126662E-4</v>
      </c>
      <c r="AZ139" s="13">
        <v>1.4544989813126662E-4</v>
      </c>
      <c r="BA139" s="13">
        <v>1.4544989813126662E-4</v>
      </c>
      <c r="BB139" s="13">
        <v>1.4544989813126662E-4</v>
      </c>
      <c r="BC139" s="13">
        <v>1.4544989813126662E-4</v>
      </c>
      <c r="BD139" s="13">
        <v>1.4544989813126662E-4</v>
      </c>
      <c r="BE139" s="13">
        <v>1.4544989813126662E-4</v>
      </c>
      <c r="BF139" s="13">
        <v>1.4544989813126662E-4</v>
      </c>
      <c r="BG139" s="13">
        <v>1.4544989813126662E-4</v>
      </c>
    </row>
    <row r="140" spans="1:59" ht="12" customHeight="1" x14ac:dyDescent="0.2">
      <c r="A140" s="1" t="s">
        <v>57</v>
      </c>
      <c r="B140" t="s">
        <v>64</v>
      </c>
      <c r="C140" s="10" t="s">
        <v>63</v>
      </c>
      <c r="D140" s="13">
        <v>0</v>
      </c>
      <c r="E140" s="13">
        <v>7.3887778969560316E-5</v>
      </c>
      <c r="F140" s="13">
        <v>5.0007608071660248E-5</v>
      </c>
      <c r="G140" s="13">
        <v>2.0806478748422463E-4</v>
      </c>
      <c r="H140" s="13">
        <v>5.6348288896408047E-5</v>
      </c>
      <c r="I140" s="13">
        <v>2.63021984683905E-4</v>
      </c>
      <c r="J140" s="13">
        <v>1.5083434667005947E-4</v>
      </c>
      <c r="K140" s="13">
        <v>3.6985006568564417E-4</v>
      </c>
      <c r="L140" s="14">
        <v>9.9864936987254405E-5</v>
      </c>
      <c r="M140" s="13">
        <v>1.4555380095619577E-4</v>
      </c>
      <c r="N140" s="13">
        <v>4.1496392936025301E-5</v>
      </c>
      <c r="O140" s="13">
        <v>6.3300893214834135E-5</v>
      </c>
      <c r="P140" s="13">
        <v>2.30648102775822E-4</v>
      </c>
      <c r="Q140" s="13">
        <v>1.8383242216533864E-4</v>
      </c>
      <c r="R140" s="13">
        <v>2.7709994630289775E-4</v>
      </c>
      <c r="S140" s="13">
        <v>5.6620933964049891E-4</v>
      </c>
      <c r="T140" s="13">
        <v>3.1801511868890018E-4</v>
      </c>
      <c r="U140" s="13">
        <v>2.4904161763845842E-4</v>
      </c>
      <c r="V140" s="13">
        <v>3.2199141802755402E-4</v>
      </c>
      <c r="W140" s="13">
        <v>5.8277476666312219E-4</v>
      </c>
      <c r="X140" s="13">
        <v>7.5532984706111776E-4</v>
      </c>
      <c r="Y140" s="13">
        <v>2.5443597965654177E-4</v>
      </c>
      <c r="Z140" s="14">
        <v>4.8542620348916037E-4</v>
      </c>
      <c r="AA140" s="14">
        <v>3.9955959391627181E-4</v>
      </c>
      <c r="AB140" s="14">
        <v>2.2109001203550721E-4</v>
      </c>
      <c r="AC140" s="14">
        <v>2.1699619939739311E-4</v>
      </c>
      <c r="AD140" s="14">
        <v>2.5782448804395202E-4</v>
      </c>
      <c r="AE140" s="14">
        <v>2.71513687957915E-4</v>
      </c>
      <c r="AF140" s="15">
        <v>2.71513687957915E-4</v>
      </c>
      <c r="AG140" s="14">
        <v>2.71513687957915E-4</v>
      </c>
      <c r="AH140" s="14">
        <v>2.71513687957915E-4</v>
      </c>
      <c r="AI140" s="13">
        <v>2.71513687957915E-4</v>
      </c>
      <c r="AJ140" s="13">
        <v>2.71513687957915E-4</v>
      </c>
      <c r="AK140" s="13">
        <v>2.71513687957915E-4</v>
      </c>
      <c r="AL140" s="13">
        <v>2.71513687957915E-4</v>
      </c>
      <c r="AM140" s="13">
        <v>2.71513687957915E-4</v>
      </c>
      <c r="AN140" s="13">
        <v>2.71513687957915E-4</v>
      </c>
      <c r="AO140" s="13">
        <v>2.71513687957915E-4</v>
      </c>
      <c r="AP140" s="13">
        <v>2.71513687957915E-4</v>
      </c>
      <c r="AQ140" s="13">
        <v>2.71513687957915E-4</v>
      </c>
      <c r="AR140" s="13">
        <v>2.71513687957915E-4</v>
      </c>
      <c r="AS140" s="13">
        <v>2.71513687957915E-4</v>
      </c>
      <c r="AT140" s="13">
        <v>2.71513687957915E-4</v>
      </c>
      <c r="AU140" s="13">
        <v>2.71513687957915E-4</v>
      </c>
      <c r="AV140" s="13">
        <v>2.71513687957915E-4</v>
      </c>
      <c r="AW140" s="13">
        <v>2.71513687957915E-4</v>
      </c>
      <c r="AX140" s="13">
        <v>2.71513687957915E-4</v>
      </c>
      <c r="AY140" s="13">
        <v>2.71513687957915E-4</v>
      </c>
      <c r="AZ140" s="13">
        <v>2.71513687957915E-4</v>
      </c>
      <c r="BA140" s="13">
        <v>2.71513687957915E-4</v>
      </c>
      <c r="BB140" s="13">
        <v>2.71513687957915E-4</v>
      </c>
      <c r="BC140" s="13">
        <v>2.71513687957915E-4</v>
      </c>
      <c r="BD140" s="13">
        <v>2.71513687957915E-4</v>
      </c>
      <c r="BE140" s="13">
        <v>2.71513687957915E-4</v>
      </c>
      <c r="BF140" s="13">
        <v>2.71513687957915E-4</v>
      </c>
      <c r="BG140" s="13">
        <v>2.71513687957915E-4</v>
      </c>
    </row>
    <row r="141" spans="1:59" ht="12" customHeight="1" x14ac:dyDescent="0.2">
      <c r="A141" s="1" t="s">
        <v>58</v>
      </c>
      <c r="B141" t="s">
        <v>64</v>
      </c>
      <c r="C141" s="10" t="s">
        <v>63</v>
      </c>
      <c r="D141" s="13">
        <v>3.5405604426640056E-3</v>
      </c>
      <c r="E141" s="13">
        <v>4.8129724797773147E-3</v>
      </c>
      <c r="F141" s="13">
        <v>6.5134787605855603E-3</v>
      </c>
      <c r="G141" s="13">
        <v>1.138189295944613E-2</v>
      </c>
      <c r="H141" s="13">
        <v>9.0116648150820604E-4</v>
      </c>
      <c r="I141" s="13">
        <v>5.7292422539937445E-4</v>
      </c>
      <c r="J141" s="13">
        <v>9.888692632637028E-4</v>
      </c>
      <c r="K141" s="13">
        <v>2.8194083710812146E-3</v>
      </c>
      <c r="L141" s="14">
        <v>2.3680139941608309E-3</v>
      </c>
      <c r="M141" s="13">
        <v>2.1277978214308676E-3</v>
      </c>
      <c r="N141" s="13">
        <v>8.1823230031266494E-4</v>
      </c>
      <c r="O141" s="13">
        <v>4.1589306579754219E-4</v>
      </c>
      <c r="P141" s="13">
        <v>1.8157499406345626E-5</v>
      </c>
      <c r="Q141" s="13">
        <v>3.2168028442099861E-3</v>
      </c>
      <c r="R141" s="13">
        <v>5.3021989355399868E-3</v>
      </c>
      <c r="S141" s="13">
        <v>8.0940757262875605E-3</v>
      </c>
      <c r="T141" s="13">
        <v>8.6808139283136108E-3</v>
      </c>
      <c r="U141" s="13">
        <v>7.1160472920285388E-3</v>
      </c>
      <c r="V141" s="13">
        <v>5.5059984365798068E-3</v>
      </c>
      <c r="W141" s="13">
        <v>8.6148653395436755E-3</v>
      </c>
      <c r="X141" s="13">
        <v>1.904423485197869E-3</v>
      </c>
      <c r="Y141" s="13">
        <v>1.879926403824905E-3</v>
      </c>
      <c r="Z141" s="14">
        <v>2.8538448975581631E-3</v>
      </c>
      <c r="AA141" s="14">
        <v>3.2254002998292788E-3</v>
      </c>
      <c r="AB141" s="14">
        <v>2.4135862760857841E-3</v>
      </c>
      <c r="AC141" s="14">
        <v>1.560828199728229E-3</v>
      </c>
      <c r="AD141" s="14">
        <v>1.5965208494725042E-3</v>
      </c>
      <c r="AE141" s="14">
        <v>8.7210034094452132E-4</v>
      </c>
      <c r="AF141" s="15">
        <v>8.7210034094452132E-4</v>
      </c>
      <c r="AG141" s="14">
        <v>8.7210034094452132E-4</v>
      </c>
      <c r="AH141" s="14">
        <v>8.7210034094452132E-4</v>
      </c>
      <c r="AI141" s="13">
        <v>8.7210034094452132E-4</v>
      </c>
      <c r="AJ141" s="13">
        <v>8.7210034094452132E-4</v>
      </c>
      <c r="AK141" s="13">
        <v>8.7210034094452132E-4</v>
      </c>
      <c r="AL141" s="13">
        <v>8.7210034094452132E-4</v>
      </c>
      <c r="AM141" s="13">
        <v>8.7210034094452132E-4</v>
      </c>
      <c r="AN141" s="13">
        <v>8.7210034094452132E-4</v>
      </c>
      <c r="AO141" s="13">
        <v>8.7210034094452132E-4</v>
      </c>
      <c r="AP141" s="13">
        <v>8.7210034094452132E-4</v>
      </c>
      <c r="AQ141" s="13">
        <v>8.7210034094452132E-4</v>
      </c>
      <c r="AR141" s="13">
        <v>8.7210034094452132E-4</v>
      </c>
      <c r="AS141" s="13">
        <v>8.7210034094452132E-4</v>
      </c>
      <c r="AT141" s="13">
        <v>8.7210034094452132E-4</v>
      </c>
      <c r="AU141" s="13">
        <v>8.7210034094452132E-4</v>
      </c>
      <c r="AV141" s="13">
        <v>8.7210034094452132E-4</v>
      </c>
      <c r="AW141" s="13">
        <v>8.7210034094452132E-4</v>
      </c>
      <c r="AX141" s="13">
        <v>8.7210034094452132E-4</v>
      </c>
      <c r="AY141" s="13">
        <v>8.7210034094452132E-4</v>
      </c>
      <c r="AZ141" s="13">
        <v>8.7210034094452132E-4</v>
      </c>
      <c r="BA141" s="13">
        <v>8.7210034094452132E-4</v>
      </c>
      <c r="BB141" s="13">
        <v>8.7210034094452132E-4</v>
      </c>
      <c r="BC141" s="13">
        <v>8.7210034094452132E-4</v>
      </c>
      <c r="BD141" s="13">
        <v>8.7210034094452132E-4</v>
      </c>
      <c r="BE141" s="13">
        <v>8.7210034094452132E-4</v>
      </c>
      <c r="BF141" s="13">
        <v>8.7210034094452132E-4</v>
      </c>
      <c r="BG141" s="13">
        <v>8.7210034094452132E-4</v>
      </c>
    </row>
    <row r="142" spans="1:59" ht="12" customHeight="1" x14ac:dyDescent="0.2">
      <c r="A142" s="1" t="s">
        <v>59</v>
      </c>
      <c r="B142" t="s">
        <v>64</v>
      </c>
      <c r="C142" s="10" t="s">
        <v>63</v>
      </c>
      <c r="D142" s="13">
        <v>7.5404854374715548E-4</v>
      </c>
      <c r="E142" s="13">
        <v>5.9144787111259085E-4</v>
      </c>
      <c r="F142" s="13">
        <v>3.0248553887451011E-3</v>
      </c>
      <c r="G142" s="13">
        <v>8.1615919298665541E-4</v>
      </c>
      <c r="H142" s="13">
        <v>4.4794444274189483E-4</v>
      </c>
      <c r="I142" s="13">
        <v>3.4406613574574892E-4</v>
      </c>
      <c r="J142" s="13">
        <v>1.9791898677711363E-4</v>
      </c>
      <c r="K142" s="13">
        <v>7.9218316675515495E-5</v>
      </c>
      <c r="L142" s="14">
        <v>7.4821123898729025E-5</v>
      </c>
      <c r="M142" s="13">
        <v>1.3892033985373791E-6</v>
      </c>
      <c r="N142" s="13">
        <v>8.1049117153545778E-5</v>
      </c>
      <c r="O142" s="13">
        <v>3.0312149577633757E-4</v>
      </c>
      <c r="P142" s="13">
        <v>1.1235463009541825E-4</v>
      </c>
      <c r="Q142" s="13">
        <v>2.9552888756080993E-4</v>
      </c>
      <c r="R142" s="13">
        <v>1.8110087519568004E-3</v>
      </c>
      <c r="S142" s="13">
        <v>2.0380745168047548E-3</v>
      </c>
      <c r="T142" s="13">
        <v>2.804363507598431E-3</v>
      </c>
      <c r="U142" s="13">
        <v>5.2803925539775757E-3</v>
      </c>
      <c r="V142" s="13">
        <v>6.1993527113450046E-3</v>
      </c>
      <c r="W142" s="13">
        <v>4.3338322073161748E-3</v>
      </c>
      <c r="X142" s="13">
        <v>5.142679746535133E-3</v>
      </c>
      <c r="Y142" s="13">
        <v>5.6717456735056338E-3</v>
      </c>
      <c r="Z142" s="14">
        <v>8.0605882353564692E-3</v>
      </c>
      <c r="AA142" s="14">
        <v>1.0202374178462393E-2</v>
      </c>
      <c r="AB142" s="14">
        <v>9.1915900547796092E-3</v>
      </c>
      <c r="AC142" s="14">
        <v>4.6634010132011947E-3</v>
      </c>
      <c r="AD142" s="14">
        <v>9.4744185877252366E-3</v>
      </c>
      <c r="AE142" s="14">
        <v>7.3970407425030769E-3</v>
      </c>
      <c r="AF142" s="15">
        <v>7.3970407425030769E-3</v>
      </c>
      <c r="AG142" s="14">
        <v>7.3970407425030769E-3</v>
      </c>
      <c r="AH142" s="14">
        <v>7.3970407425030769E-3</v>
      </c>
      <c r="AI142" s="13">
        <v>7.3970407425030769E-3</v>
      </c>
      <c r="AJ142" s="13">
        <v>7.3970407425030769E-3</v>
      </c>
      <c r="AK142" s="13">
        <v>7.3970407425030769E-3</v>
      </c>
      <c r="AL142" s="13">
        <v>7.3970407425030769E-3</v>
      </c>
      <c r="AM142" s="13">
        <v>7.3970407425030769E-3</v>
      </c>
      <c r="AN142" s="13">
        <v>7.3970407425030769E-3</v>
      </c>
      <c r="AO142" s="13">
        <v>7.3970407425030769E-3</v>
      </c>
      <c r="AP142" s="13">
        <v>7.3970407425030769E-3</v>
      </c>
      <c r="AQ142" s="13">
        <v>7.3970407425030769E-3</v>
      </c>
      <c r="AR142" s="13">
        <v>7.3970407425030769E-3</v>
      </c>
      <c r="AS142" s="13">
        <v>7.3970407425030769E-3</v>
      </c>
      <c r="AT142" s="13">
        <v>7.3970407425030769E-3</v>
      </c>
      <c r="AU142" s="13">
        <v>7.3970407425030769E-3</v>
      </c>
      <c r="AV142" s="13">
        <v>7.3970407425030769E-3</v>
      </c>
      <c r="AW142" s="13">
        <v>7.3970407425030769E-3</v>
      </c>
      <c r="AX142" s="13">
        <v>7.3970407425030769E-3</v>
      </c>
      <c r="AY142" s="13">
        <v>7.3970407425030769E-3</v>
      </c>
      <c r="AZ142" s="13">
        <v>7.3970407425030769E-3</v>
      </c>
      <c r="BA142" s="13">
        <v>7.3970407425030769E-3</v>
      </c>
      <c r="BB142" s="13">
        <v>7.3970407425030769E-3</v>
      </c>
      <c r="BC142" s="13">
        <v>7.3970407425030769E-3</v>
      </c>
      <c r="BD142" s="13">
        <v>7.3970407425030769E-3</v>
      </c>
      <c r="BE142" s="13">
        <v>7.3970407425030769E-3</v>
      </c>
      <c r="BF142" s="13">
        <v>7.3970407425030769E-3</v>
      </c>
      <c r="BG142" s="13">
        <v>7.3970407425030769E-3</v>
      </c>
    </row>
    <row r="143" spans="1:59" ht="12" customHeight="1" x14ac:dyDescent="0.2">
      <c r="A143" s="1" t="s">
        <v>60</v>
      </c>
      <c r="B143" t="s">
        <v>64</v>
      </c>
      <c r="C143" s="10" t="s">
        <v>63</v>
      </c>
      <c r="D143" s="13">
        <v>0</v>
      </c>
      <c r="E143" s="13">
        <v>1.3593067053987927E-5</v>
      </c>
      <c r="F143" s="13">
        <v>7.8967290117817218E-4</v>
      </c>
      <c r="G143" s="13">
        <v>2.0037211681499874E-4</v>
      </c>
      <c r="H143" s="13">
        <v>0</v>
      </c>
      <c r="I143" s="13">
        <v>4.1730383380750461E-5</v>
      </c>
      <c r="J143" s="13">
        <v>0</v>
      </c>
      <c r="K143" s="13">
        <v>1.2816511981345301E-4</v>
      </c>
      <c r="L143" s="14">
        <v>0</v>
      </c>
      <c r="M143" s="13">
        <v>1.560647371681691E-6</v>
      </c>
      <c r="N143" s="13">
        <v>0</v>
      </c>
      <c r="O143" s="13">
        <v>0</v>
      </c>
      <c r="P143" s="13">
        <v>0</v>
      </c>
      <c r="Q143" s="13">
        <v>1.7863491092199086E-4</v>
      </c>
      <c r="R143" s="13">
        <v>6.4163234857345745E-5</v>
      </c>
      <c r="S143" s="13">
        <v>2.8384124444660338E-4</v>
      </c>
      <c r="T143" s="13">
        <v>2.408389360401763E-4</v>
      </c>
      <c r="U143" s="13">
        <v>2.245661227580575E-3</v>
      </c>
      <c r="V143" s="13">
        <v>5.0947019753456724E-3</v>
      </c>
      <c r="W143" s="13">
        <v>4.8873041962375751E-3</v>
      </c>
      <c r="X143" s="13">
        <v>5.285966018291525E-3</v>
      </c>
      <c r="Y143" s="13">
        <v>4.9792485077968232E-3</v>
      </c>
      <c r="Z143" s="14">
        <v>5.6207581615273739E-3</v>
      </c>
      <c r="AA143" s="14">
        <v>2.368504029913602E-3</v>
      </c>
      <c r="AB143" s="14">
        <v>2.0857975852202489E-3</v>
      </c>
      <c r="AC143" s="14">
        <v>2.2791986483354492E-3</v>
      </c>
      <c r="AD143" s="14">
        <v>8.3350913465079135E-4</v>
      </c>
      <c r="AE143" s="14">
        <v>1.068927698911931E-3</v>
      </c>
      <c r="AF143" s="15">
        <v>1.068927698911931E-3</v>
      </c>
      <c r="AG143" s="14">
        <v>1.068927698911931E-3</v>
      </c>
      <c r="AH143" s="14">
        <v>1.068927698911931E-3</v>
      </c>
      <c r="AI143" s="13">
        <v>1.068927698911931E-3</v>
      </c>
      <c r="AJ143" s="13">
        <v>1.068927698911931E-3</v>
      </c>
      <c r="AK143" s="13">
        <v>1.068927698911931E-3</v>
      </c>
      <c r="AL143" s="13">
        <v>1.068927698911931E-3</v>
      </c>
      <c r="AM143" s="13">
        <v>1.068927698911931E-3</v>
      </c>
      <c r="AN143" s="13">
        <v>1.068927698911931E-3</v>
      </c>
      <c r="AO143" s="13">
        <v>1.068927698911931E-3</v>
      </c>
      <c r="AP143" s="13">
        <v>1.068927698911931E-3</v>
      </c>
      <c r="AQ143" s="13">
        <v>1.068927698911931E-3</v>
      </c>
      <c r="AR143" s="13">
        <v>1.068927698911931E-3</v>
      </c>
      <c r="AS143" s="13">
        <v>1.068927698911931E-3</v>
      </c>
      <c r="AT143" s="13">
        <v>1.068927698911931E-3</v>
      </c>
      <c r="AU143" s="13">
        <v>1.068927698911931E-3</v>
      </c>
      <c r="AV143" s="13">
        <v>1.068927698911931E-3</v>
      </c>
      <c r="AW143" s="13">
        <v>1.068927698911931E-3</v>
      </c>
      <c r="AX143" s="13">
        <v>1.068927698911931E-3</v>
      </c>
      <c r="AY143" s="13">
        <v>1.068927698911931E-3</v>
      </c>
      <c r="AZ143" s="13">
        <v>1.068927698911931E-3</v>
      </c>
      <c r="BA143" s="13">
        <v>1.068927698911931E-3</v>
      </c>
      <c r="BB143" s="13">
        <v>1.068927698911931E-3</v>
      </c>
      <c r="BC143" s="13">
        <v>1.068927698911931E-3</v>
      </c>
      <c r="BD143" s="13">
        <v>1.068927698911931E-3</v>
      </c>
      <c r="BE143" s="13">
        <v>1.068927698911931E-3</v>
      </c>
      <c r="BF143" s="13">
        <v>1.068927698911931E-3</v>
      </c>
      <c r="BG143" s="13">
        <v>1.068927698911931E-3</v>
      </c>
    </row>
    <row r="144" spans="1:59" ht="12" customHeight="1" x14ac:dyDescent="0.2">
      <c r="A144" s="1" t="s">
        <v>61</v>
      </c>
      <c r="B144" t="s">
        <v>64</v>
      </c>
      <c r="C144" s="10" t="s">
        <v>63</v>
      </c>
      <c r="D144" s="13">
        <v>6.2593085118045936E-4</v>
      </c>
      <c r="E144" s="13">
        <v>8.3672815158469349E-4</v>
      </c>
      <c r="F144" s="13">
        <v>1.8720889577460678E-3</v>
      </c>
      <c r="G144" s="13">
        <v>5.6457434504409926E-3</v>
      </c>
      <c r="H144" s="13">
        <v>4.0907044733917109E-3</v>
      </c>
      <c r="I144" s="13">
        <v>4.1009287772064617E-3</v>
      </c>
      <c r="J144" s="13">
        <v>4.3398486853444907E-3</v>
      </c>
      <c r="K144" s="13">
        <v>4.2672106970857342E-3</v>
      </c>
      <c r="L144" s="14">
        <v>8.0481513222183335E-3</v>
      </c>
      <c r="M144" s="13">
        <v>3.6726584968506571E-3</v>
      </c>
      <c r="N144" s="13">
        <v>7.8919401699319505E-3</v>
      </c>
      <c r="O144" s="13">
        <v>6.7355729078723003E-3</v>
      </c>
      <c r="P144" s="13">
        <v>4.4139657632181386E-3</v>
      </c>
      <c r="Q144" s="13">
        <v>5.8656553049988014E-3</v>
      </c>
      <c r="R144" s="13">
        <v>5.6848931994857143E-3</v>
      </c>
      <c r="S144" s="13">
        <v>6.6586234749384E-3</v>
      </c>
      <c r="T144" s="13">
        <v>7.2701636024560283E-3</v>
      </c>
      <c r="U144" s="13">
        <v>9.7724646455221876E-3</v>
      </c>
      <c r="V144" s="13">
        <v>1.758593333626577E-2</v>
      </c>
      <c r="W144" s="13">
        <v>1.323311726436719E-2</v>
      </c>
      <c r="X144" s="13">
        <v>1.0974675552224269E-2</v>
      </c>
      <c r="Y144" s="13">
        <v>1.203724241172441E-2</v>
      </c>
      <c r="Z144" s="14">
        <v>1.164637578275092E-2</v>
      </c>
      <c r="AA144" s="14">
        <v>1.0436763333936821E-2</v>
      </c>
      <c r="AB144" s="14">
        <v>9.1379299472971898E-3</v>
      </c>
      <c r="AC144" s="14">
        <v>5.9879182363756743E-3</v>
      </c>
      <c r="AD144" s="14">
        <v>1.1389418733638293E-2</v>
      </c>
      <c r="AE144" s="14">
        <v>8.1713853159870436E-3</v>
      </c>
      <c r="AF144" s="15">
        <v>8.1713853159870436E-3</v>
      </c>
      <c r="AG144" s="14">
        <v>8.1713853159870436E-3</v>
      </c>
      <c r="AH144" s="14">
        <v>8.1713853159870436E-3</v>
      </c>
      <c r="AI144" s="13">
        <v>8.1713853159870436E-3</v>
      </c>
      <c r="AJ144" s="13">
        <v>8.1713853159870436E-3</v>
      </c>
      <c r="AK144" s="13">
        <v>8.1713853159870436E-3</v>
      </c>
      <c r="AL144" s="13">
        <v>8.1713853159870436E-3</v>
      </c>
      <c r="AM144" s="13">
        <v>8.1713853159870436E-3</v>
      </c>
      <c r="AN144" s="13">
        <v>8.1713853159870436E-3</v>
      </c>
      <c r="AO144" s="13">
        <v>8.1713853159870436E-3</v>
      </c>
      <c r="AP144" s="13">
        <v>8.1713853159870436E-3</v>
      </c>
      <c r="AQ144" s="13">
        <v>8.1713853159870436E-3</v>
      </c>
      <c r="AR144" s="13">
        <v>8.1713853159870436E-3</v>
      </c>
      <c r="AS144" s="13">
        <v>8.1713853159870436E-3</v>
      </c>
      <c r="AT144" s="13">
        <v>8.1713853159870436E-3</v>
      </c>
      <c r="AU144" s="13">
        <v>8.1713853159870436E-3</v>
      </c>
      <c r="AV144" s="13">
        <v>8.1713853159870436E-3</v>
      </c>
      <c r="AW144" s="13">
        <v>8.1713853159870436E-3</v>
      </c>
      <c r="AX144" s="13">
        <v>8.1713853159870436E-3</v>
      </c>
      <c r="AY144" s="13">
        <v>8.1713853159870436E-3</v>
      </c>
      <c r="AZ144" s="13">
        <v>8.1713853159870436E-3</v>
      </c>
      <c r="BA144" s="13">
        <v>8.1713853159870436E-3</v>
      </c>
      <c r="BB144" s="13">
        <v>8.1713853159870436E-3</v>
      </c>
      <c r="BC144" s="13">
        <v>8.1713853159870436E-3</v>
      </c>
      <c r="BD144" s="13">
        <v>8.1713853159870436E-3</v>
      </c>
      <c r="BE144" s="13">
        <v>8.1713853159870436E-3</v>
      </c>
      <c r="BF144" s="13">
        <v>8.1713853159870436E-3</v>
      </c>
      <c r="BG144" s="13">
        <v>8.1713853159870436E-3</v>
      </c>
    </row>
    <row r="145" spans="1:58" ht="12" customHeight="1" x14ac:dyDescent="0.2">
      <c r="A145" t="s">
        <v>65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1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</row>
    <row r="146" spans="1:58" ht="12" customHeight="1" x14ac:dyDescent="0.2">
      <c r="A146" s="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</row>
    <row r="147" spans="1:58" ht="12" customHeight="1" x14ac:dyDescent="0.2">
      <c r="A147" t="s">
        <v>66</v>
      </c>
      <c r="B147" t="s">
        <v>67</v>
      </c>
    </row>
    <row r="149" spans="1:58" ht="12" customHeight="1" x14ac:dyDescent="0.2">
      <c r="B149" t="s">
        <v>68</v>
      </c>
      <c r="D149" t="s">
        <v>69</v>
      </c>
      <c r="F149" t="s">
        <v>70</v>
      </c>
    </row>
    <row r="150" spans="1:58" ht="12" customHeight="1" x14ac:dyDescent="0.2">
      <c r="B150" t="s">
        <v>71</v>
      </c>
      <c r="D150" t="s">
        <v>72</v>
      </c>
      <c r="F150" t="s">
        <v>73</v>
      </c>
    </row>
    <row r="151" spans="1:58" ht="12" customHeight="1" x14ac:dyDescent="0.2">
      <c r="B151" t="s">
        <v>74</v>
      </c>
      <c r="C151" t="s">
        <v>75</v>
      </c>
      <c r="D151" t="s">
        <v>74</v>
      </c>
      <c r="E151" t="s">
        <v>75</v>
      </c>
      <c r="F151" t="s">
        <v>74</v>
      </c>
      <c r="G151" t="s">
        <v>75</v>
      </c>
    </row>
    <row r="152" spans="1:58" ht="12" customHeight="1" x14ac:dyDescent="0.2">
      <c r="A152" t="s">
        <v>44</v>
      </c>
      <c r="B152" s="16">
        <v>-1.2579156574086141E-2</v>
      </c>
      <c r="C152" s="16">
        <v>-3.8472811760703169E-3</v>
      </c>
      <c r="D152" s="16">
        <v>1.8547555879644444</v>
      </c>
      <c r="E152" s="16">
        <v>1.5085926901459747</v>
      </c>
      <c r="F152" s="16">
        <v>0</v>
      </c>
      <c r="G152" s="16">
        <v>0</v>
      </c>
    </row>
    <row r="153" spans="1:58" ht="12" customHeight="1" x14ac:dyDescent="0.2">
      <c r="A153" t="s">
        <v>47</v>
      </c>
      <c r="B153" s="16">
        <v>3.8939979510787823E-3</v>
      </c>
      <c r="C153" s="16">
        <v>1.5012761384153885E-2</v>
      </c>
      <c r="D153" s="16">
        <v>0.32261477237573649</v>
      </c>
      <c r="E153" s="16">
        <v>6.3031974186491355E-2</v>
      </c>
      <c r="F153" s="16">
        <v>0</v>
      </c>
      <c r="G153" s="16">
        <v>0</v>
      </c>
    </row>
    <row r="154" spans="1:58" ht="12" customHeight="1" x14ac:dyDescent="0.2">
      <c r="A154" t="s">
        <v>48</v>
      </c>
      <c r="B154" s="16">
        <v>2.5167447286045481E-2</v>
      </c>
      <c r="C154" s="16">
        <v>2.2818680288391863E-2</v>
      </c>
      <c r="D154" s="16">
        <v>0.4096753785096624</v>
      </c>
      <c r="E154" s="16">
        <v>0.18613054985147626</v>
      </c>
      <c r="F154" s="16">
        <v>0</v>
      </c>
      <c r="G154" s="16">
        <v>0</v>
      </c>
    </row>
    <row r="155" spans="1:58" ht="12" customHeight="1" x14ac:dyDescent="0.2">
      <c r="A155" t="s">
        <v>49</v>
      </c>
      <c r="B155" s="16">
        <v>1.7709591095380901E-2</v>
      </c>
      <c r="C155" s="16">
        <v>1.7409073972538876E-2</v>
      </c>
      <c r="D155" s="16">
        <v>0.24539920669218851</v>
      </c>
      <c r="E155" s="16">
        <v>8.7227015281366824E-2</v>
      </c>
      <c r="F155" s="16">
        <v>0</v>
      </c>
      <c r="G155" s="16">
        <v>0</v>
      </c>
    </row>
    <row r="156" spans="1:58" ht="12" customHeight="1" x14ac:dyDescent="0.2">
      <c r="A156" t="s">
        <v>50</v>
      </c>
      <c r="B156" s="16">
        <v>9.0795226926208908E-3</v>
      </c>
      <c r="C156" s="16">
        <v>-2.8249320355716802E-3</v>
      </c>
      <c r="D156" s="16">
        <v>0.35880539205769124</v>
      </c>
      <c r="E156" s="16">
        <v>1.5888219971433186</v>
      </c>
      <c r="F156" s="16">
        <v>0</v>
      </c>
      <c r="G156" s="16">
        <v>0</v>
      </c>
    </row>
    <row r="157" spans="1:58" ht="12" customHeight="1" x14ac:dyDescent="0.2">
      <c r="A157" t="s">
        <v>51</v>
      </c>
      <c r="B157" s="16">
        <v>4.6395396910543334E-3</v>
      </c>
      <c r="C157" s="16">
        <v>1.6442342724618485E-2</v>
      </c>
      <c r="D157" s="16">
        <v>0.85281012273107271</v>
      </c>
      <c r="E157" s="16">
        <v>0.18569228138320237</v>
      </c>
      <c r="F157" s="16">
        <v>0</v>
      </c>
      <c r="G157" s="16">
        <v>0</v>
      </c>
    </row>
    <row r="158" spans="1:58" ht="12" customHeight="1" x14ac:dyDescent="0.2">
      <c r="A158" t="s">
        <v>52</v>
      </c>
      <c r="B158" s="16">
        <v>-3.4811294059500729E-3</v>
      </c>
      <c r="C158" s="16">
        <v>-2.6002273628935015E-2</v>
      </c>
      <c r="D158" s="16">
        <v>1.1305758239405437</v>
      </c>
      <c r="E158" s="16">
        <v>3.6578826910409612</v>
      </c>
      <c r="F158" s="16">
        <v>0</v>
      </c>
      <c r="G158" s="16">
        <v>0</v>
      </c>
    </row>
    <row r="159" spans="1:58" ht="12" customHeight="1" x14ac:dyDescent="0.2">
      <c r="A159" t="s">
        <v>53</v>
      </c>
      <c r="B159" s="16">
        <v>1.0503240813364319E-2</v>
      </c>
      <c r="C159" s="16">
        <v>1.9038261633829434E-2</v>
      </c>
      <c r="D159" s="16">
        <v>0.47936275802207351</v>
      </c>
      <c r="E159" s="16">
        <v>0.27293930377798431</v>
      </c>
      <c r="F159" s="16">
        <v>0</v>
      </c>
      <c r="G159" s="16">
        <v>0</v>
      </c>
    </row>
    <row r="160" spans="1:58" ht="12" customHeight="1" x14ac:dyDescent="0.2">
      <c r="A160" t="s">
        <v>54</v>
      </c>
      <c r="B160" s="16">
        <v>1.0503240813364319E-2</v>
      </c>
      <c r="C160" s="16">
        <v>1.6658478929600751E-2</v>
      </c>
      <c r="D160" s="16">
        <v>0.47936275802207351</v>
      </c>
      <c r="E160" s="16">
        <v>0.31842918774098167</v>
      </c>
      <c r="F160" s="16">
        <v>0</v>
      </c>
      <c r="G160" s="16">
        <v>0</v>
      </c>
    </row>
    <row r="161" spans="1:30" ht="12" customHeight="1" x14ac:dyDescent="0.2">
      <c r="A161" t="s">
        <v>55</v>
      </c>
      <c r="B161" s="16">
        <v>1.5117888881407795E-3</v>
      </c>
      <c r="C161" s="16">
        <v>2.3530709478707751E-2</v>
      </c>
      <c r="D161" s="16">
        <v>1.3425794187468336</v>
      </c>
      <c r="E161" s="16">
        <v>0.71357794786079998</v>
      </c>
      <c r="F161" s="16">
        <v>0</v>
      </c>
      <c r="G161" s="16">
        <v>0</v>
      </c>
    </row>
    <row r="162" spans="1:30" ht="12" customHeight="1" x14ac:dyDescent="0.2">
      <c r="A162" t="s">
        <v>56</v>
      </c>
      <c r="B162" s="16">
        <v>-1.3190004488218479E-2</v>
      </c>
      <c r="C162" s="16">
        <v>-3.685527701356394E-3</v>
      </c>
      <c r="D162" s="16">
        <v>1.5652283313888162</v>
      </c>
      <c r="E162" s="16">
        <v>1.178375088246993</v>
      </c>
      <c r="F162" s="16">
        <v>0</v>
      </c>
      <c r="G162" s="16">
        <v>0</v>
      </c>
    </row>
    <row r="163" spans="1:30" ht="12" customHeight="1" x14ac:dyDescent="0.2">
      <c r="A163" t="s">
        <v>57</v>
      </c>
      <c r="B163" s="16">
        <v>4.6395396910543334E-3</v>
      </c>
      <c r="C163" s="16">
        <v>1.6442342724618485E-2</v>
      </c>
      <c r="D163" s="16">
        <v>1.1370801636414303</v>
      </c>
      <c r="E163" s="16">
        <v>0.46423070345800588</v>
      </c>
      <c r="F163" s="16">
        <v>0</v>
      </c>
      <c r="G163" s="16">
        <v>0</v>
      </c>
    </row>
    <row r="164" spans="1:30" ht="12" customHeight="1" x14ac:dyDescent="0.2">
      <c r="A164" t="s">
        <v>58</v>
      </c>
      <c r="B164" s="16">
        <v>1.6433321953911301E-2</v>
      </c>
      <c r="C164" s="16">
        <v>2.6885584448869411E-2</v>
      </c>
      <c r="D164" s="16">
        <v>1.043470167989234</v>
      </c>
      <c r="E164" s="16">
        <v>8.5486309560330181E-3</v>
      </c>
      <c r="F164" s="16">
        <v>0</v>
      </c>
      <c r="G164" s="16">
        <v>0</v>
      </c>
    </row>
    <row r="165" spans="1:30" ht="12" customHeight="1" x14ac:dyDescent="0.2">
      <c r="A165" t="s">
        <v>59</v>
      </c>
      <c r="B165" s="16">
        <v>1.7136316927708738E-2</v>
      </c>
      <c r="C165" s="16">
        <v>1.15599316634584E-2</v>
      </c>
      <c r="D165" s="16">
        <v>0.82107608728913561</v>
      </c>
      <c r="E165" s="16">
        <v>1.0234646932331299</v>
      </c>
      <c r="F165" s="16"/>
      <c r="G165" s="16"/>
    </row>
    <row r="166" spans="1:30" ht="12" customHeight="1" x14ac:dyDescent="0.2">
      <c r="A166" t="s">
        <v>60</v>
      </c>
      <c r="B166" s="16">
        <v>3.595349612292212E-3</v>
      </c>
      <c r="C166" s="16">
        <v>-3.2598114697702667E-4</v>
      </c>
      <c r="D166" s="16">
        <v>0.92176960164674038</v>
      </c>
      <c r="E166" s="16">
        <v>1.4890443988118101</v>
      </c>
      <c r="F166" s="16"/>
      <c r="G166" s="16"/>
    </row>
    <row r="167" spans="1:30" ht="12" customHeight="1" x14ac:dyDescent="0.2">
      <c r="A167" t="s">
        <v>61</v>
      </c>
      <c r="B167" s="16">
        <v>9.7861633527714601E-3</v>
      </c>
      <c r="C167" s="16">
        <v>2.1850088669761146E-2</v>
      </c>
      <c r="D167" s="16">
        <v>0.53097130864652964</v>
      </c>
      <c r="E167" s="16">
        <v>0.16967465630806705</v>
      </c>
      <c r="F167" s="16"/>
      <c r="G167" s="16"/>
    </row>
    <row r="168" spans="1:30" ht="12" customHeight="1" x14ac:dyDescent="0.2">
      <c r="A168" t="s">
        <v>76</v>
      </c>
    </row>
    <row r="169" spans="1:30" ht="12" customHeight="1" x14ac:dyDescent="0.2">
      <c r="A169" t="s">
        <v>77</v>
      </c>
    </row>
    <row r="171" spans="1:30" s="17" customFormat="1" ht="12" customHeight="1" x14ac:dyDescent="0.25">
      <c r="A171" s="18" t="s">
        <v>78</v>
      </c>
    </row>
    <row r="172" spans="1:30" ht="12" customHeight="1" x14ac:dyDescent="0.2">
      <c r="A172" t="s">
        <v>79</v>
      </c>
    </row>
    <row r="173" spans="1:30" ht="12" customHeight="1" x14ac:dyDescent="0.2">
      <c r="A173" t="s">
        <v>80</v>
      </c>
    </row>
    <row r="175" spans="1:30" ht="12" customHeight="1" x14ac:dyDescent="0.2">
      <c r="A175" s="19" t="s">
        <v>81</v>
      </c>
      <c r="AD175" s="20"/>
    </row>
    <row r="176" spans="1:30" ht="12" customHeight="1" x14ac:dyDescent="0.2">
      <c r="A176" t="s">
        <v>82</v>
      </c>
      <c r="AD176" s="20"/>
    </row>
    <row r="177" spans="1:59" ht="12" customHeight="1" x14ac:dyDescent="0.2">
      <c r="C177" s="7">
        <v>1995</v>
      </c>
      <c r="D177" s="7">
        <v>1996</v>
      </c>
      <c r="E177" s="7">
        <v>1997</v>
      </c>
      <c r="F177" s="7">
        <v>1998</v>
      </c>
      <c r="G177" s="7">
        <v>1999</v>
      </c>
      <c r="H177" s="7">
        <v>2000</v>
      </c>
      <c r="I177" s="7">
        <v>2001</v>
      </c>
      <c r="J177" s="7">
        <v>2002</v>
      </c>
      <c r="K177" s="7">
        <v>2003</v>
      </c>
      <c r="L177" s="7">
        <v>2004</v>
      </c>
      <c r="M177" s="7">
        <v>2005</v>
      </c>
      <c r="N177" s="7">
        <v>2006</v>
      </c>
      <c r="O177" s="7">
        <v>2007</v>
      </c>
      <c r="P177" s="7">
        <v>2008</v>
      </c>
      <c r="Q177" s="7">
        <v>2009</v>
      </c>
      <c r="R177" s="7">
        <v>2010</v>
      </c>
      <c r="S177" s="7">
        <v>2011</v>
      </c>
      <c r="T177" s="7">
        <v>2012</v>
      </c>
      <c r="U177" s="7">
        <v>2013</v>
      </c>
      <c r="V177" s="7">
        <v>2014</v>
      </c>
      <c r="W177" s="7">
        <v>2015</v>
      </c>
      <c r="X177" s="7">
        <v>2016</v>
      </c>
      <c r="Y177" s="7">
        <v>2017</v>
      </c>
      <c r="Z177" s="7">
        <v>2018</v>
      </c>
      <c r="AA177" s="7">
        <v>2019</v>
      </c>
      <c r="AB177" s="7">
        <v>2020</v>
      </c>
      <c r="AC177" s="7">
        <v>2021</v>
      </c>
      <c r="AD177" s="12">
        <v>2022</v>
      </c>
      <c r="AE177" s="7">
        <v>2023</v>
      </c>
      <c r="AF177" s="7">
        <v>2024</v>
      </c>
      <c r="AG177" s="7">
        <v>2025</v>
      </c>
      <c r="AH177" s="7">
        <v>2026</v>
      </c>
      <c r="AI177" s="7">
        <v>2027</v>
      </c>
      <c r="AJ177" s="7">
        <v>2028</v>
      </c>
      <c r="AK177" s="7">
        <v>2029</v>
      </c>
      <c r="AL177" s="7">
        <v>2030</v>
      </c>
      <c r="AM177" s="7">
        <v>2031</v>
      </c>
      <c r="AN177" s="7">
        <v>2032</v>
      </c>
      <c r="AO177" s="7">
        <v>2033</v>
      </c>
      <c r="AP177" s="7">
        <v>2034</v>
      </c>
      <c r="AQ177" s="7">
        <v>2035</v>
      </c>
      <c r="AR177" s="7">
        <v>2036</v>
      </c>
      <c r="AS177" s="7">
        <v>2037</v>
      </c>
      <c r="AT177" s="7">
        <v>2038</v>
      </c>
      <c r="AU177" s="7">
        <v>2039</v>
      </c>
      <c r="AV177" s="7">
        <v>2040</v>
      </c>
      <c r="AW177" s="7">
        <v>2041</v>
      </c>
      <c r="AX177" s="7">
        <v>2042</v>
      </c>
      <c r="AY177" s="7">
        <v>2043</v>
      </c>
      <c r="AZ177" s="7">
        <v>2044</v>
      </c>
      <c r="BA177" s="7">
        <v>2045</v>
      </c>
      <c r="BB177" s="7">
        <v>2046</v>
      </c>
      <c r="BC177" s="7">
        <v>2047</v>
      </c>
      <c r="BD177" s="7">
        <v>2048</v>
      </c>
      <c r="BE177" s="7">
        <v>2049</v>
      </c>
      <c r="BF177" s="7">
        <v>2050</v>
      </c>
      <c r="BG177" s="21"/>
    </row>
    <row r="178" spans="1:59" ht="12" customHeight="1" x14ac:dyDescent="0.2">
      <c r="A178" t="s">
        <v>44</v>
      </c>
      <c r="B178" t="s">
        <v>45</v>
      </c>
      <c r="C178" s="13">
        <v>0.65</v>
      </c>
      <c r="D178" s="13">
        <v>0.68</v>
      </c>
      <c r="E178" s="13">
        <v>0.69</v>
      </c>
      <c r="F178" s="13">
        <v>0.7</v>
      </c>
      <c r="G178" s="13">
        <v>0.7</v>
      </c>
      <c r="H178" s="13">
        <v>0.71</v>
      </c>
      <c r="I178" s="13">
        <v>0.69</v>
      </c>
      <c r="J178" s="13">
        <v>0.7</v>
      </c>
      <c r="K178" s="13">
        <v>0.73</v>
      </c>
      <c r="L178" s="13">
        <v>0.74</v>
      </c>
      <c r="M178" s="13">
        <v>0.77</v>
      </c>
      <c r="N178" s="13">
        <v>0.79</v>
      </c>
      <c r="O178" s="13">
        <v>0.8</v>
      </c>
      <c r="P178" s="13">
        <v>0.79</v>
      </c>
      <c r="Q178" s="13">
        <v>0.81</v>
      </c>
      <c r="R178" s="13">
        <v>0.82</v>
      </c>
      <c r="S178" s="13">
        <v>0.82</v>
      </c>
      <c r="T178" s="13">
        <v>0.83</v>
      </c>
      <c r="U178" s="13">
        <v>0.83</v>
      </c>
      <c r="V178" s="13">
        <v>0.84</v>
      </c>
      <c r="W178" s="13">
        <v>0.85</v>
      </c>
      <c r="X178" s="13">
        <v>0.84</v>
      </c>
      <c r="Y178" s="13">
        <v>0.84</v>
      </c>
      <c r="Z178" s="13">
        <v>0.84</v>
      </c>
      <c r="AA178" s="14">
        <v>0.85</v>
      </c>
      <c r="AB178" s="14">
        <v>0.59</v>
      </c>
      <c r="AC178" s="13">
        <v>0.77</v>
      </c>
      <c r="AD178" s="15">
        <v>0.84</v>
      </c>
      <c r="AE178" s="13">
        <v>0.84499999999999997</v>
      </c>
      <c r="AF178" s="13">
        <v>0.85</v>
      </c>
      <c r="AG178" s="13">
        <v>0.85897960654155836</v>
      </c>
      <c r="AH178" s="13">
        <v>0.85993254263493124</v>
      </c>
      <c r="AI178" s="13">
        <v>0.86078448653221762</v>
      </c>
      <c r="AJ178" s="13">
        <v>0.86154592572386202</v>
      </c>
      <c r="AK178" s="13">
        <v>0.8622283459815735</v>
      </c>
      <c r="AL178" s="13">
        <v>0.86284220203221684</v>
      </c>
      <c r="AM178" s="13">
        <v>0.86339392497401057</v>
      </c>
      <c r="AN178" s="13">
        <v>0.86389396277291786</v>
      </c>
      <c r="AO178" s="13">
        <v>0.86434768872906276</v>
      </c>
      <c r="AP178" s="13">
        <v>0.86476176584950526</v>
      </c>
      <c r="AQ178" s="13">
        <v>0.86514042279961678</v>
      </c>
      <c r="AR178" s="13">
        <v>0.86548783433136456</v>
      </c>
      <c r="AS178" s="13">
        <v>0.86580761779669513</v>
      </c>
      <c r="AT178" s="13">
        <v>0.86610291125195593</v>
      </c>
      <c r="AU178" s="13">
        <v>0.8663764404061276</v>
      </c>
      <c r="AV178" s="13">
        <v>0.86667192786475611</v>
      </c>
      <c r="AW178" s="13">
        <v>0.86696751610271594</v>
      </c>
      <c r="AX178" s="13">
        <v>0.86726320515437894</v>
      </c>
      <c r="AY178" s="13">
        <v>0.8675589950541287</v>
      </c>
      <c r="AZ178" s="13">
        <v>0.8678548858363605</v>
      </c>
      <c r="BA178" s="13">
        <v>0.86815087753548159</v>
      </c>
      <c r="BB178" s="13">
        <v>0.86844697018591055</v>
      </c>
      <c r="BC178" s="13">
        <v>0.86874316382207839</v>
      </c>
      <c r="BD178" s="13">
        <v>0.86903945847842723</v>
      </c>
      <c r="BE178" s="13">
        <v>0.86933585418941106</v>
      </c>
      <c r="BF178" s="13">
        <v>0.86963235098949587</v>
      </c>
      <c r="BG178" s="21"/>
    </row>
    <row r="179" spans="1:59" ht="12" customHeight="1" x14ac:dyDescent="0.2">
      <c r="A179" t="s">
        <v>47</v>
      </c>
      <c r="B179" t="s">
        <v>45</v>
      </c>
      <c r="C179" s="13">
        <v>0.61152030207230557</v>
      </c>
      <c r="D179" s="13">
        <v>0.6702444483257366</v>
      </c>
      <c r="E179" s="13">
        <v>0.72137546486396698</v>
      </c>
      <c r="F179" s="13">
        <v>0.73351809932686185</v>
      </c>
      <c r="G179" s="13">
        <v>0.70463876323044405</v>
      </c>
      <c r="H179" s="13">
        <v>0.72303417687710569</v>
      </c>
      <c r="I179" s="13">
        <v>0.73426782849821781</v>
      </c>
      <c r="J179" s="13">
        <v>0.73546032948937434</v>
      </c>
      <c r="K179" s="13">
        <v>0.7139550549067164</v>
      </c>
      <c r="L179" s="13">
        <v>0.74861237547652781</v>
      </c>
      <c r="M179" s="13">
        <v>0.7792676059093977</v>
      </c>
      <c r="N179" s="13">
        <v>0.78717635143720532</v>
      </c>
      <c r="O179" s="13">
        <v>0.81294123167106913</v>
      </c>
      <c r="P179" s="13">
        <v>0.81961488847446462</v>
      </c>
      <c r="Q179" s="13">
        <v>0.81276793768291977</v>
      </c>
      <c r="R179" s="13">
        <v>0.78643788157689098</v>
      </c>
      <c r="S179" s="13">
        <v>0.78648374781272645</v>
      </c>
      <c r="T179" s="13">
        <v>0.7966859910420796</v>
      </c>
      <c r="U179" s="13">
        <v>0.79761501902750964</v>
      </c>
      <c r="V179" s="13">
        <v>0.79761513587787947</v>
      </c>
      <c r="W179" s="13">
        <v>0.79746378946689378</v>
      </c>
      <c r="X179" s="13">
        <v>0.79761497589913488</v>
      </c>
      <c r="Y179" s="13">
        <v>0.79965267267258622</v>
      </c>
      <c r="Z179" s="13">
        <v>0.82920103064200734</v>
      </c>
      <c r="AA179" s="14">
        <v>0.85</v>
      </c>
      <c r="AB179" s="14">
        <v>0.65</v>
      </c>
      <c r="AC179" s="13">
        <v>0.64</v>
      </c>
      <c r="AD179" s="15">
        <v>0.8</v>
      </c>
      <c r="AE179" s="13">
        <v>0.82499999999999996</v>
      </c>
      <c r="AF179" s="13">
        <v>0.84999999999999987</v>
      </c>
      <c r="AG179" s="13">
        <v>0.85897960654155825</v>
      </c>
      <c r="AH179" s="13">
        <v>0.85993254263493113</v>
      </c>
      <c r="AI179" s="13">
        <v>0.86078448653221751</v>
      </c>
      <c r="AJ179" s="13">
        <v>0.86154592572386191</v>
      </c>
      <c r="AK179" s="13">
        <v>0.86222834598157339</v>
      </c>
      <c r="AL179" s="13">
        <v>0.86284220203221673</v>
      </c>
      <c r="AM179" s="13">
        <v>0.86339392497401046</v>
      </c>
      <c r="AN179" s="13">
        <v>0.86389396277291775</v>
      </c>
      <c r="AO179" s="13">
        <v>0.86434768872906265</v>
      </c>
      <c r="AP179" s="13">
        <v>0.86476176584950515</v>
      </c>
      <c r="AQ179" s="13">
        <v>0.86514042279961667</v>
      </c>
      <c r="AR179" s="13">
        <v>0.86548783433136445</v>
      </c>
      <c r="AS179" s="13">
        <v>0.86580761779669502</v>
      </c>
      <c r="AT179" s="13">
        <v>0.86610291125195582</v>
      </c>
      <c r="AU179" s="13">
        <v>0.86637644040612749</v>
      </c>
      <c r="AV179" s="13">
        <v>0.866671927864756</v>
      </c>
      <c r="AW179" s="13">
        <v>0.86696751610271583</v>
      </c>
      <c r="AX179" s="13">
        <v>0.86726320515437882</v>
      </c>
      <c r="AY179" s="13">
        <v>0.86755899505412859</v>
      </c>
      <c r="AZ179" s="13">
        <v>0.86785488583636039</v>
      </c>
      <c r="BA179" s="13">
        <v>0.86815087753548148</v>
      </c>
      <c r="BB179" s="13">
        <v>0.86844697018591044</v>
      </c>
      <c r="BC179" s="13">
        <v>0.86874316382207828</v>
      </c>
      <c r="BD179" s="13">
        <v>0.86903945847842712</v>
      </c>
      <c r="BE179" s="13">
        <v>0.86933585418941095</v>
      </c>
      <c r="BF179" s="13">
        <v>0.86963235098949576</v>
      </c>
      <c r="BG179" s="21"/>
    </row>
    <row r="180" spans="1:59" ht="12" customHeight="1" x14ac:dyDescent="0.2">
      <c r="A180" t="s">
        <v>48</v>
      </c>
      <c r="B180" t="s">
        <v>45</v>
      </c>
      <c r="C180" s="13">
        <v>0.5718892269619501</v>
      </c>
      <c r="D180" s="13">
        <v>0.55074996169948653</v>
      </c>
      <c r="E180" s="13">
        <v>0.55905974005370151</v>
      </c>
      <c r="F180" s="13">
        <v>0.59281829715092116</v>
      </c>
      <c r="G180" s="13">
        <v>0.58795487676890756</v>
      </c>
      <c r="H180" s="13">
        <v>0.58100942151276358</v>
      </c>
      <c r="I180" s="13">
        <v>0.55871080457517541</v>
      </c>
      <c r="J180" s="13">
        <v>0.52830488953928278</v>
      </c>
      <c r="K180" s="13">
        <v>0.59440163052209483</v>
      </c>
      <c r="L180" s="13">
        <v>0.5954030396636335</v>
      </c>
      <c r="M180" s="13">
        <v>0.62899082585860855</v>
      </c>
      <c r="N180" s="13">
        <v>0.61161518550991245</v>
      </c>
      <c r="O180" s="13">
        <v>0.5621370368590155</v>
      </c>
      <c r="P180" s="13">
        <v>0.64350909809210721</v>
      </c>
      <c r="Q180" s="13">
        <v>0.71042097634411283</v>
      </c>
      <c r="R180" s="13">
        <v>0.71618808463222539</v>
      </c>
      <c r="S180" s="13">
        <v>0.7457994554314068</v>
      </c>
      <c r="T180" s="13">
        <v>0.75375682687866308</v>
      </c>
      <c r="U180" s="13">
        <v>0.75393950792773134</v>
      </c>
      <c r="V180" s="13">
        <v>0.76654687980785829</v>
      </c>
      <c r="W180" s="13">
        <v>0.79187296572339672</v>
      </c>
      <c r="X180" s="13">
        <v>0.80298737121181207</v>
      </c>
      <c r="Y180" s="13">
        <v>0.80686198757194949</v>
      </c>
      <c r="Z180" s="13">
        <v>0.81624982085254894</v>
      </c>
      <c r="AA180" s="14">
        <v>0.82300000000000006</v>
      </c>
      <c r="AB180" s="14">
        <v>0.82300000000000006</v>
      </c>
      <c r="AC180" s="13">
        <v>0.82300000000000006</v>
      </c>
      <c r="AD180" s="15">
        <v>0.82300000000000006</v>
      </c>
      <c r="AE180" s="13">
        <v>0.82300000000000006</v>
      </c>
      <c r="AF180" s="13">
        <v>0.82300000000000006</v>
      </c>
      <c r="AG180" s="13">
        <v>0.83169437198082663</v>
      </c>
      <c r="AH180" s="13">
        <v>0.83261703833946887</v>
      </c>
      <c r="AI180" s="13">
        <v>0.83344192048942967</v>
      </c>
      <c r="AJ180" s="13">
        <v>0.83417917278910414</v>
      </c>
      <c r="AK180" s="13">
        <v>0.83483991616804132</v>
      </c>
      <c r="AL180" s="13">
        <v>0.83543427326178188</v>
      </c>
      <c r="AM180" s="13">
        <v>0.83596847088660098</v>
      </c>
      <c r="AN180" s="13">
        <v>0.83645262513189589</v>
      </c>
      <c r="AO180" s="13">
        <v>0.83689193861649269</v>
      </c>
      <c r="AP180" s="13">
        <v>0.83729286269899172</v>
      </c>
      <c r="AQ180" s="13">
        <v>0.83765949172245269</v>
      </c>
      <c r="AR180" s="13">
        <v>0.83799586782907431</v>
      </c>
      <c r="AS180" s="13">
        <v>0.83830549346668259</v>
      </c>
      <c r="AT180" s="13">
        <v>0.83859140701218804</v>
      </c>
      <c r="AU180" s="13">
        <v>0.83885624759322719</v>
      </c>
      <c r="AV180" s="13">
        <v>0.83914234897964046</v>
      </c>
      <c r="AW180" s="13">
        <v>0.83942854794415922</v>
      </c>
      <c r="AX180" s="13">
        <v>0.83971484452006351</v>
      </c>
      <c r="AY180" s="13">
        <v>0.8400012387406447</v>
      </c>
      <c r="AZ180" s="13">
        <v>0.8402877306392057</v>
      </c>
      <c r="BA180" s="13">
        <v>0.84057432024906054</v>
      </c>
      <c r="BB180" s="13">
        <v>0.84086100760353466</v>
      </c>
      <c r="BC180" s="13">
        <v>0.8411477927359654</v>
      </c>
      <c r="BD180" s="13">
        <v>0.84143467567970076</v>
      </c>
      <c r="BE180" s="13">
        <v>0.84172165646810049</v>
      </c>
      <c r="BF180" s="13">
        <v>0.84200873513453545</v>
      </c>
      <c r="BG180" s="21"/>
    </row>
    <row r="181" spans="1:59" ht="12" customHeight="1" x14ac:dyDescent="0.2">
      <c r="A181" t="s">
        <v>49</v>
      </c>
      <c r="B181" t="s">
        <v>45</v>
      </c>
      <c r="C181" s="13">
        <v>0.61961018792654399</v>
      </c>
      <c r="D181" s="13">
        <v>0.63185530717061256</v>
      </c>
      <c r="E181" s="13">
        <v>0.62847606953600632</v>
      </c>
      <c r="F181" s="13">
        <v>0.65938376065480608</v>
      </c>
      <c r="G181" s="13">
        <v>0.6608556087142452</v>
      </c>
      <c r="H181" s="13">
        <v>0.65671427032510099</v>
      </c>
      <c r="I181" s="13">
        <v>0.6462145069491203</v>
      </c>
      <c r="J181" s="13">
        <v>0.6608877933085574</v>
      </c>
      <c r="K181" s="13">
        <v>0.67838985105451133</v>
      </c>
      <c r="L181" s="13">
        <v>0.68307944013834632</v>
      </c>
      <c r="M181" s="13">
        <v>0.69700582096142227</v>
      </c>
      <c r="N181" s="13">
        <v>0.71513308115881191</v>
      </c>
      <c r="O181" s="13">
        <v>0.72765987550360789</v>
      </c>
      <c r="P181" s="13">
        <v>0.72999749976507722</v>
      </c>
      <c r="Q181" s="13">
        <v>0.71524342637363014</v>
      </c>
      <c r="R181" s="13">
        <v>0.72631862985718698</v>
      </c>
      <c r="S181" s="13">
        <v>0.74159732415351365</v>
      </c>
      <c r="T181" s="13">
        <v>0.76057078772805475</v>
      </c>
      <c r="U181" s="13">
        <v>0.78378733485793983</v>
      </c>
      <c r="V181" s="13">
        <v>0.79735024959661482</v>
      </c>
      <c r="W181" s="13">
        <v>0.80380109160701085</v>
      </c>
      <c r="X181" s="13">
        <v>0.8055544539789784</v>
      </c>
      <c r="Y181" s="13">
        <v>0.83757332497948311</v>
      </c>
      <c r="Z181" s="13">
        <v>0.83441166208670847</v>
      </c>
      <c r="AA181" s="14">
        <v>0.85244202759680787</v>
      </c>
      <c r="AB181" s="14">
        <v>0.6517165743430301</v>
      </c>
      <c r="AC181" s="13">
        <v>0.82199999999999995</v>
      </c>
      <c r="AD181" s="15">
        <v>0.85099999999999998</v>
      </c>
      <c r="AE181" s="13">
        <v>0.85148019518973705</v>
      </c>
      <c r="AF181" s="13">
        <v>0.84499999999999997</v>
      </c>
      <c r="AG181" s="13">
        <v>0.84584499999999985</v>
      </c>
      <c r="AH181" s="13">
        <v>0.8466908449999998</v>
      </c>
      <c r="AI181" s="13">
        <v>0.84753753584499969</v>
      </c>
      <c r="AJ181" s="13">
        <v>0.84838507338084457</v>
      </c>
      <c r="AK181" s="13">
        <v>0.84923345845422527</v>
      </c>
      <c r="AL181" s="13">
        <v>0.85008269191267938</v>
      </c>
      <c r="AM181" s="13">
        <v>0.85093277460459193</v>
      </c>
      <c r="AN181" s="13">
        <v>0.8517837073791964</v>
      </c>
      <c r="AO181" s="13">
        <v>0.85263549108657555</v>
      </c>
      <c r="AP181" s="13">
        <v>0.85348812657766204</v>
      </c>
      <c r="AQ181" s="13">
        <v>0.85434161470423964</v>
      </c>
      <c r="AR181" s="13">
        <v>0.85519595631894374</v>
      </c>
      <c r="AS181" s="13">
        <v>0.85605115227526263</v>
      </c>
      <c r="AT181" s="13">
        <v>0.85690720342753779</v>
      </c>
      <c r="AU181" s="13">
        <v>0.85776411063096525</v>
      </c>
      <c r="AV181" s="13">
        <v>0.85862187474159612</v>
      </c>
      <c r="AW181" s="13">
        <v>0.85948049661633763</v>
      </c>
      <c r="AX181" s="13">
        <v>0.86033997711295385</v>
      </c>
      <c r="AY181" s="13">
        <v>0.86120031709006672</v>
      </c>
      <c r="AZ181" s="13">
        <v>0.86206151740715675</v>
      </c>
      <c r="BA181" s="13">
        <v>0.86292357892456384</v>
      </c>
      <c r="BB181" s="13">
        <v>0.86378650250348832</v>
      </c>
      <c r="BC181" s="13">
        <v>0.86465028900599172</v>
      </c>
      <c r="BD181" s="13">
        <v>0.86551493929499757</v>
      </c>
      <c r="BE181" s="13">
        <v>0.86638045423429244</v>
      </c>
      <c r="BF181" s="13">
        <v>0.86724683468852659</v>
      </c>
      <c r="BG181" s="21"/>
    </row>
    <row r="182" spans="1:59" ht="12" customHeight="1" x14ac:dyDescent="0.2">
      <c r="A182" t="s">
        <v>50</v>
      </c>
      <c r="B182" t="s">
        <v>45</v>
      </c>
      <c r="C182" s="13">
        <v>0.61340403215209238</v>
      </c>
      <c r="D182" s="13">
        <v>0.61917163740946657</v>
      </c>
      <c r="E182" s="13">
        <v>0.63322762336095439</v>
      </c>
      <c r="F182" s="13">
        <v>0.61755177625918123</v>
      </c>
      <c r="G182" s="13">
        <v>0.63536071674744388</v>
      </c>
      <c r="H182" s="13">
        <v>0.63383380033324499</v>
      </c>
      <c r="I182" s="13">
        <v>0.63952832831265471</v>
      </c>
      <c r="J182" s="13">
        <v>0.6484369059398728</v>
      </c>
      <c r="K182" s="13">
        <v>0.63677018048511869</v>
      </c>
      <c r="L182" s="13">
        <v>0.63751244306510269</v>
      </c>
      <c r="M182" s="13">
        <v>0.6482592911660362</v>
      </c>
      <c r="N182" s="13">
        <v>0.65008823188317033</v>
      </c>
      <c r="O182" s="13">
        <v>0.63970339321099634</v>
      </c>
      <c r="P182" s="13">
        <v>0.64878008026703593</v>
      </c>
      <c r="Q182" s="13">
        <v>0.61013852699740456</v>
      </c>
      <c r="R182" s="13">
        <v>0.65769055440598057</v>
      </c>
      <c r="S182" s="13">
        <v>0.62498022754419302</v>
      </c>
      <c r="T182" s="13">
        <v>0.63400493476733355</v>
      </c>
      <c r="U182" s="13">
        <v>0.64502225272471136</v>
      </c>
      <c r="V182" s="13">
        <v>0.65809683649587847</v>
      </c>
      <c r="W182" s="13">
        <v>0.67339416259923957</v>
      </c>
      <c r="X182" s="13">
        <v>0.69345625116106258</v>
      </c>
      <c r="Y182" s="13">
        <v>0.72227301011746103</v>
      </c>
      <c r="Z182" s="13">
        <v>0.73058498311144926</v>
      </c>
      <c r="AA182" s="14">
        <v>0.73799999999999999</v>
      </c>
      <c r="AB182" s="14">
        <v>0.50900000000000001</v>
      </c>
      <c r="AC182" s="13">
        <v>0.504</v>
      </c>
      <c r="AD182" s="15">
        <v>0.61799999999999999</v>
      </c>
      <c r="AE182" s="13">
        <v>0.74299999999999999</v>
      </c>
      <c r="AF182" s="13">
        <v>0.77</v>
      </c>
      <c r="AG182" s="13">
        <v>0.77813446710235301</v>
      </c>
      <c r="AH182" s="13">
        <v>0.77899771509282023</v>
      </c>
      <c r="AI182" s="13">
        <v>0.77976947603506785</v>
      </c>
      <c r="AJ182" s="13">
        <v>0.78045925036161623</v>
      </c>
      <c r="AK182" s="13">
        <v>0.78107744283036662</v>
      </c>
      <c r="AL182" s="13">
        <v>0.78163352419389065</v>
      </c>
      <c r="AM182" s="13">
        <v>0.78213332027057436</v>
      </c>
      <c r="AN182" s="13">
        <v>0.78258629568840798</v>
      </c>
      <c r="AO182" s="13">
        <v>0.78299731802515105</v>
      </c>
      <c r="AP182" s="13">
        <v>0.78337242318131661</v>
      </c>
      <c r="AQ182" s="13">
        <v>0.78371544183024122</v>
      </c>
      <c r="AR182" s="13">
        <v>0.78403015580605984</v>
      </c>
      <c r="AS182" s="13">
        <v>0.78431984200406524</v>
      </c>
      <c r="AT182" s="13">
        <v>0.78458734313412504</v>
      </c>
      <c r="AU182" s="13">
        <v>0.78483512836790403</v>
      </c>
      <c r="AV182" s="13">
        <v>0.785102805242191</v>
      </c>
      <c r="AW182" s="13">
        <v>0.78537057341069583</v>
      </c>
      <c r="AX182" s="13">
        <v>0.78563843290455526</v>
      </c>
      <c r="AY182" s="13">
        <v>0.78590638375491673</v>
      </c>
      <c r="AZ182" s="13">
        <v>0.78617442599293852</v>
      </c>
      <c r="BA182" s="13">
        <v>0.78644255964978937</v>
      </c>
      <c r="BB182" s="13">
        <v>0.78671078475664857</v>
      </c>
      <c r="BC182" s="13">
        <v>0.7869791013447065</v>
      </c>
      <c r="BD182" s="13">
        <v>0.78724750944516364</v>
      </c>
      <c r="BE182" s="13">
        <v>0.78751600908923136</v>
      </c>
      <c r="BF182" s="13">
        <v>0.78778460030813169</v>
      </c>
      <c r="BG182" s="21"/>
    </row>
    <row r="183" spans="1:59" ht="12" customHeight="1" x14ac:dyDescent="0.2">
      <c r="A183" t="s">
        <v>51</v>
      </c>
      <c r="B183" t="s">
        <v>45</v>
      </c>
      <c r="C183" s="13">
        <v>0.70686488734655251</v>
      </c>
      <c r="D183" s="13">
        <v>0.71152981550352778</v>
      </c>
      <c r="E183" s="13">
        <v>0.71163224867888497</v>
      </c>
      <c r="F183" s="13">
        <v>0.71638172786208276</v>
      </c>
      <c r="G183" s="13">
        <v>0.75410197872349616</v>
      </c>
      <c r="H183" s="13">
        <v>0.75214045397926466</v>
      </c>
      <c r="I183" s="13">
        <v>0.73823374867722813</v>
      </c>
      <c r="J183" s="13">
        <v>0.76593122916797729</v>
      </c>
      <c r="K183" s="13">
        <v>0.77645278586311139</v>
      </c>
      <c r="L183" s="13">
        <v>0.78552583058184677</v>
      </c>
      <c r="M183" s="13">
        <v>0.7864415239692637</v>
      </c>
      <c r="N183" s="13">
        <v>0.78640317997179199</v>
      </c>
      <c r="O183" s="13">
        <v>0.79091448707557233</v>
      </c>
      <c r="P183" s="13">
        <v>0.78500237596380773</v>
      </c>
      <c r="Q183" s="13">
        <v>0.81098064603498821</v>
      </c>
      <c r="R183" s="13">
        <v>0.79227963715722993</v>
      </c>
      <c r="S183" s="13">
        <v>0.79209469562709178</v>
      </c>
      <c r="T183" s="13">
        <v>0.77229462135145821</v>
      </c>
      <c r="U183" s="13">
        <v>0.76161184650317082</v>
      </c>
      <c r="V183" s="13">
        <v>0.76951807715549714</v>
      </c>
      <c r="W183" s="13">
        <v>0.76845562973439929</v>
      </c>
      <c r="X183" s="13">
        <v>0.76804748797250189</v>
      </c>
      <c r="Y183" s="13">
        <v>0.78142563273658761</v>
      </c>
      <c r="Z183" s="13">
        <v>0.79434970986939946</v>
      </c>
      <c r="AA183" s="14">
        <v>0.80800000000000005</v>
      </c>
      <c r="AB183" s="14">
        <v>0.66100000000000003</v>
      </c>
      <c r="AC183" s="13">
        <v>0.61199999999999999</v>
      </c>
      <c r="AD183" s="15">
        <v>0.79700000000000004</v>
      </c>
      <c r="AE183" s="13">
        <v>0.79700000000000004</v>
      </c>
      <c r="AF183" s="13">
        <v>0.80300000000000005</v>
      </c>
      <c r="AG183" s="13">
        <v>0.81148308712102524</v>
      </c>
      <c r="AH183" s="13">
        <v>0.81238333145394104</v>
      </c>
      <c r="AI183" s="13">
        <v>0.81318816786514214</v>
      </c>
      <c r="AJ183" s="13">
        <v>0.81390750394854261</v>
      </c>
      <c r="AK183" s="13">
        <v>0.81455219038023952</v>
      </c>
      <c r="AL183" s="13">
        <v>0.81513210380220025</v>
      </c>
      <c r="AM183" s="13">
        <v>0.81565331971074184</v>
      </c>
      <c r="AN183" s="13">
        <v>0.81612570836076836</v>
      </c>
      <c r="AO183" s="13">
        <v>0.81655434594051468</v>
      </c>
      <c r="AP183" s="13">
        <v>0.81694552703194445</v>
      </c>
      <c r="AQ183" s="13">
        <v>0.81730324648010866</v>
      </c>
      <c r="AR183" s="13">
        <v>0.81763144819774802</v>
      </c>
      <c r="AS183" s="13">
        <v>0.81793354951852504</v>
      </c>
      <c r="AT183" s="13">
        <v>0.81821251498273029</v>
      </c>
      <c r="AU183" s="13">
        <v>0.81847091958367124</v>
      </c>
      <c r="AV183" s="13">
        <v>0.8187500683239991</v>
      </c>
      <c r="AW183" s="13">
        <v>0.81902931227115416</v>
      </c>
      <c r="AX183" s="13">
        <v>0.81930865145760756</v>
      </c>
      <c r="AY183" s="13">
        <v>0.81958808591584176</v>
      </c>
      <c r="AZ183" s="13">
        <v>0.8198676156783502</v>
      </c>
      <c r="BA183" s="13">
        <v>0.82014724077763757</v>
      </c>
      <c r="BB183" s="13">
        <v>0.82042696124621928</v>
      </c>
      <c r="BC183" s="13">
        <v>0.82070677711662254</v>
      </c>
      <c r="BD183" s="13">
        <v>0.820986688421385</v>
      </c>
      <c r="BE183" s="13">
        <v>0.82126669519305562</v>
      </c>
      <c r="BF183" s="13">
        <v>0.82154679746419457</v>
      </c>
      <c r="BG183" s="21"/>
    </row>
    <row r="184" spans="1:59" ht="12" customHeight="1" x14ac:dyDescent="0.2">
      <c r="A184" t="s">
        <v>52</v>
      </c>
      <c r="B184" t="s">
        <v>45</v>
      </c>
      <c r="C184" s="13">
        <v>0.75054051765413887</v>
      </c>
      <c r="D184" s="13">
        <v>0.79514579058730972</v>
      </c>
      <c r="E184" s="13">
        <v>0.75560638526407464</v>
      </c>
      <c r="F184" s="13">
        <v>0.65487557796269302</v>
      </c>
      <c r="G184" s="13">
        <v>0.73241669775172336</v>
      </c>
      <c r="H184" s="13">
        <v>0.71578383109000399</v>
      </c>
      <c r="I184" s="13">
        <v>0.71138739245147742</v>
      </c>
      <c r="J184" s="13">
        <v>0.6900338883055932</v>
      </c>
      <c r="K184" s="13">
        <v>0.66335741637627887</v>
      </c>
      <c r="L184" s="13">
        <v>0.68173925772160027</v>
      </c>
      <c r="M184" s="13">
        <v>0.6947104775184969</v>
      </c>
      <c r="N184" s="13">
        <v>0.74171294362656071</v>
      </c>
      <c r="O184" s="13">
        <v>0.74890193552444617</v>
      </c>
      <c r="P184" s="13">
        <v>0.71736809205371277</v>
      </c>
      <c r="Q184" s="13">
        <v>0.68793960373091745</v>
      </c>
      <c r="R184" s="13">
        <v>0.66032516768836025</v>
      </c>
      <c r="S184" s="13">
        <v>0.68597263664844688</v>
      </c>
      <c r="T184" s="13">
        <v>0.70618671511908193</v>
      </c>
      <c r="U184" s="13">
        <v>0.74773391858169191</v>
      </c>
      <c r="V184" s="13">
        <v>0.73576570937668939</v>
      </c>
      <c r="W184" s="13">
        <v>0.78674592900653728</v>
      </c>
      <c r="X184" s="13">
        <v>0.85732497678952502</v>
      </c>
      <c r="Y184" s="13">
        <v>0.85888411467268666</v>
      </c>
      <c r="Z184" s="13">
        <v>0.84673716423514855</v>
      </c>
      <c r="AA184" s="14">
        <v>0.83099999999999996</v>
      </c>
      <c r="AB184" s="14">
        <v>0.57314227642276427</v>
      </c>
      <c r="AC184" s="13">
        <v>0.56751219512195128</v>
      </c>
      <c r="AD184" s="15">
        <v>0.69587804878048798</v>
      </c>
      <c r="AE184" s="13">
        <v>0.76343902439024403</v>
      </c>
      <c r="AF184" s="13">
        <v>0.83099999999999996</v>
      </c>
      <c r="AG184" s="13">
        <v>0.83977888592474714</v>
      </c>
      <c r="AH184" s="13">
        <v>0.84071052109367994</v>
      </c>
      <c r="AI184" s="13">
        <v>0.84154342153914463</v>
      </c>
      <c r="AJ184" s="13">
        <v>0.84228784032532866</v>
      </c>
      <c r="AK184" s="13">
        <v>0.84295500648316191</v>
      </c>
      <c r="AL184" s="13">
        <v>0.84355514104561446</v>
      </c>
      <c r="AM184" s="13">
        <v>0.84409453135694457</v>
      </c>
      <c r="AN184" s="13">
        <v>0.84458339184034681</v>
      </c>
      <c r="AO184" s="13">
        <v>0.84502697568688379</v>
      </c>
      <c r="AP184" s="13">
        <v>0.8454317969658105</v>
      </c>
      <c r="AQ184" s="13">
        <v>0.84580198981939014</v>
      </c>
      <c r="AR184" s="13">
        <v>0.84614163568160472</v>
      </c>
      <c r="AS184" s="13">
        <v>0.84645427104594562</v>
      </c>
      <c r="AT184" s="13">
        <v>0.84674296382397118</v>
      </c>
      <c r="AU184" s="13">
        <v>0.84701037879704955</v>
      </c>
      <c r="AV184" s="13">
        <v>0.84729926124189692</v>
      </c>
      <c r="AW184" s="13">
        <v>0.84758824221336126</v>
      </c>
      <c r="AX184" s="13">
        <v>0.84787732174504593</v>
      </c>
      <c r="AY184" s="13">
        <v>0.84816649987056592</v>
      </c>
      <c r="AZ184" s="13">
        <v>0.84845577662354787</v>
      </c>
      <c r="BA184" s="13">
        <v>0.84874515203762979</v>
      </c>
      <c r="BB184" s="13">
        <v>0.84903462614646097</v>
      </c>
      <c r="BC184" s="13">
        <v>0.84932419898370271</v>
      </c>
      <c r="BD184" s="13">
        <v>0.84961387058302729</v>
      </c>
      <c r="BE184" s="13">
        <v>0.84990364097811855</v>
      </c>
      <c r="BF184" s="13">
        <v>0.85019351020267198</v>
      </c>
      <c r="BG184" s="21"/>
    </row>
    <row r="185" spans="1:59" ht="12" customHeight="1" x14ac:dyDescent="0.2">
      <c r="A185" t="s">
        <v>53</v>
      </c>
      <c r="B185" t="s">
        <v>45</v>
      </c>
      <c r="C185" s="13">
        <v>0.6438535347466684</v>
      </c>
      <c r="D185" s="13">
        <v>0.60308287863128018</v>
      </c>
      <c r="E185" s="13">
        <v>0.59864471969594546</v>
      </c>
      <c r="F185" s="13">
        <v>0.59543353876244176</v>
      </c>
      <c r="G185" s="13">
        <v>0.67601588441431171</v>
      </c>
      <c r="H185" s="13">
        <v>0.62541568796963409</v>
      </c>
      <c r="I185" s="13">
        <v>0.66671182326725287</v>
      </c>
      <c r="J185" s="13">
        <v>0.6738824918843388</v>
      </c>
      <c r="K185" s="13">
        <v>0.70352708634543593</v>
      </c>
      <c r="L185" s="13">
        <v>0.69431063749307353</v>
      </c>
      <c r="M185" s="13">
        <v>0.70229027712093073</v>
      </c>
      <c r="N185" s="13">
        <v>0.69616745603007257</v>
      </c>
      <c r="O185" s="13">
        <v>0.70407298803087381</v>
      </c>
      <c r="P185" s="13">
        <v>0.70878077995121536</v>
      </c>
      <c r="Q185" s="13">
        <v>0.70596158822140742</v>
      </c>
      <c r="R185" s="13">
        <v>0.74326468916623567</v>
      </c>
      <c r="S185" s="13">
        <v>0.72129530275509524</v>
      </c>
      <c r="T185" s="13">
        <v>0.73566150495366234</v>
      </c>
      <c r="U185" s="13">
        <v>0.75750918020984603</v>
      </c>
      <c r="V185" s="13">
        <v>0.76708062569574886</v>
      </c>
      <c r="W185" s="13">
        <v>0.76868772424009879</v>
      </c>
      <c r="X185" s="13">
        <v>0.79842127532623963</v>
      </c>
      <c r="Y185" s="13">
        <v>0.80752635395987027</v>
      </c>
      <c r="Z185" s="13">
        <v>0.83328265146243896</v>
      </c>
      <c r="AA185" s="14">
        <v>0.83099999999999996</v>
      </c>
      <c r="AB185" s="14">
        <v>0.72899999999999998</v>
      </c>
      <c r="AC185" s="13">
        <v>0.86499999999999999</v>
      </c>
      <c r="AD185" s="15">
        <v>0.84399999999999997</v>
      </c>
      <c r="AE185" s="13">
        <v>0.84399999999999997</v>
      </c>
      <c r="AF185" s="13">
        <v>0.84399999999999997</v>
      </c>
      <c r="AG185" s="13">
        <v>0.85291622108361798</v>
      </c>
      <c r="AH185" s="13">
        <v>0.85386243056927291</v>
      </c>
      <c r="AI185" s="13">
        <v>0.85470836074493139</v>
      </c>
      <c r="AJ185" s="13">
        <v>0.85546442507169351</v>
      </c>
      <c r="AK185" s="13">
        <v>0.856142028245233</v>
      </c>
      <c r="AL185" s="13">
        <v>0.85675155119434243</v>
      </c>
      <c r="AM185" s="13">
        <v>0.85729937962125291</v>
      </c>
      <c r="AN185" s="13">
        <v>0.85779588774157967</v>
      </c>
      <c r="AO185" s="13">
        <v>0.85824641092626952</v>
      </c>
      <c r="AP185" s="13">
        <v>0.85865756514939129</v>
      </c>
      <c r="AQ185" s="13">
        <v>0.85903354922691377</v>
      </c>
      <c r="AR185" s="13">
        <v>0.85937850844196684</v>
      </c>
      <c r="AS185" s="13">
        <v>0.85969603461224808</v>
      </c>
      <c r="AT185" s="13">
        <v>0.85998924364311891</v>
      </c>
      <c r="AU185" s="13">
        <v>0.86026084200326114</v>
      </c>
      <c r="AV185" s="13">
        <v>0.86055424366806399</v>
      </c>
      <c r="AW185" s="13">
        <v>0.86084774540081477</v>
      </c>
      <c r="AX185" s="13">
        <v>0.86114134723564251</v>
      </c>
      <c r="AY185" s="13">
        <v>0.86143504920668812</v>
      </c>
      <c r="AZ185" s="13">
        <v>0.86172885134810417</v>
      </c>
      <c r="BA185" s="13">
        <v>0.86202275369405501</v>
      </c>
      <c r="BB185" s="13">
        <v>0.86231675627871629</v>
      </c>
      <c r="BC185" s="13">
        <v>0.86261085913627589</v>
      </c>
      <c r="BD185" s="13">
        <v>0.86290506230093278</v>
      </c>
      <c r="BE185" s="13">
        <v>0.86319936580689793</v>
      </c>
      <c r="BF185" s="13">
        <v>0.86349376968839386</v>
      </c>
      <c r="BG185" s="21"/>
    </row>
    <row r="186" spans="1:59" ht="12" customHeight="1" x14ac:dyDescent="0.2">
      <c r="A186" t="s">
        <v>54</v>
      </c>
      <c r="B186" t="s">
        <v>45</v>
      </c>
      <c r="C186" s="13">
        <v>0.6438535347466684</v>
      </c>
      <c r="D186" s="13">
        <v>0.63487722426746951</v>
      </c>
      <c r="E186" s="13">
        <v>0.51349907331354805</v>
      </c>
      <c r="F186" s="13">
        <v>0.59702311141148723</v>
      </c>
      <c r="G186" s="13">
        <v>0.61590225271045729</v>
      </c>
      <c r="H186" s="13">
        <v>0.58822225172607012</v>
      </c>
      <c r="I186" s="13">
        <v>0.62732292858778482</v>
      </c>
      <c r="J186" s="13">
        <v>0.58328857129673384</v>
      </c>
      <c r="K186" s="13">
        <v>0.60036774945851212</v>
      </c>
      <c r="L186" s="13">
        <v>0.62494812446371506</v>
      </c>
      <c r="M186" s="13">
        <v>0.62276456753785903</v>
      </c>
      <c r="N186" s="13">
        <v>0.65924268883835113</v>
      </c>
      <c r="O186" s="13">
        <v>0.65633542236621822</v>
      </c>
      <c r="P186" s="13">
        <v>0.64887576480700004</v>
      </c>
      <c r="Q186" s="13">
        <v>0.61721636927884982</v>
      </c>
      <c r="R186" s="13">
        <v>0.62100807850286188</v>
      </c>
      <c r="S186" s="13">
        <v>0.64201906285242416</v>
      </c>
      <c r="T186" s="13">
        <v>0.63358154637815589</v>
      </c>
      <c r="U186" s="13">
        <v>0.66196552453777802</v>
      </c>
      <c r="V186" s="13">
        <v>0.64450653871559416</v>
      </c>
      <c r="W186" s="13">
        <v>0.65027385139019023</v>
      </c>
      <c r="X186" s="13">
        <v>0.66562792436080898</v>
      </c>
      <c r="Y186" s="13">
        <v>0.72962519994537456</v>
      </c>
      <c r="Z186" s="13">
        <v>0.7321819065955556</v>
      </c>
      <c r="AA186" s="14">
        <v>0.74800324274848617</v>
      </c>
      <c r="AB186" s="14">
        <v>0.6517165743430301</v>
      </c>
      <c r="AC186" s="13">
        <v>0.77329881592142813</v>
      </c>
      <c r="AD186" s="15">
        <v>0.80058064762668535</v>
      </c>
      <c r="AE186" s="13">
        <v>0.80058064762668535</v>
      </c>
      <c r="AF186" s="13">
        <v>0.80058064762668535</v>
      </c>
      <c r="AG186" s="13">
        <v>0.80903817612136031</v>
      </c>
      <c r="AH186" s="13">
        <v>0.80993570811521831</v>
      </c>
      <c r="AI186" s="13">
        <v>0.81073811964113729</v>
      </c>
      <c r="AJ186" s="13">
        <v>0.81145528844251957</v>
      </c>
      <c r="AK186" s="13">
        <v>0.81209803250354573</v>
      </c>
      <c r="AL186" s="13">
        <v>0.81267619870892649</v>
      </c>
      <c r="AM186" s="13">
        <v>0.81319584425016378</v>
      </c>
      <c r="AN186" s="13">
        <v>0.8136668096441485</v>
      </c>
      <c r="AO186" s="13">
        <v>0.81409415578510802</v>
      </c>
      <c r="AP186" s="13">
        <v>0.81448415829010945</v>
      </c>
      <c r="AQ186" s="13">
        <v>0.81484079996816672</v>
      </c>
      <c r="AR186" s="13">
        <v>0.81516801284943685</v>
      </c>
      <c r="AS186" s="13">
        <v>0.81546920397152467</v>
      </c>
      <c r="AT186" s="13">
        <v>0.81574732894288071</v>
      </c>
      <c r="AU186" s="13">
        <v>0.81600495499863546</v>
      </c>
      <c r="AV186" s="13">
        <v>0.81628326269392293</v>
      </c>
      <c r="AW186" s="13">
        <v>0.81656166530918972</v>
      </c>
      <c r="AX186" s="13">
        <v>0.81684016287680905</v>
      </c>
      <c r="AY186" s="13">
        <v>0.81711875542916557</v>
      </c>
      <c r="AZ186" s="13">
        <v>0.81739744299865491</v>
      </c>
      <c r="BA186" s="13">
        <v>0.81767622561768372</v>
      </c>
      <c r="BB186" s="13">
        <v>0.8179551033186695</v>
      </c>
      <c r="BC186" s="13">
        <v>0.81823407613404142</v>
      </c>
      <c r="BD186" s="13">
        <v>0.8185131440962391</v>
      </c>
      <c r="BE186" s="13">
        <v>0.81879230723771346</v>
      </c>
      <c r="BF186" s="13">
        <v>0.81907156559092653</v>
      </c>
      <c r="BG186" s="21"/>
    </row>
    <row r="187" spans="1:59" ht="12" customHeight="1" x14ac:dyDescent="0.2">
      <c r="A187" t="s">
        <v>55</v>
      </c>
      <c r="B187" t="s">
        <v>45</v>
      </c>
      <c r="C187" s="13">
        <v>0.76589272264877828</v>
      </c>
      <c r="D187" s="13">
        <v>0.72801546312715781</v>
      </c>
      <c r="E187" s="13">
        <v>0.6618290354794425</v>
      </c>
      <c r="F187" s="13">
        <v>0.59757812145174338</v>
      </c>
      <c r="G187" s="13">
        <v>0.57635436349541047</v>
      </c>
      <c r="H187" s="13">
        <v>0.60334057629967186</v>
      </c>
      <c r="I187" s="13">
        <v>0.60922379862187237</v>
      </c>
      <c r="J187" s="13">
        <v>0.62870797714922733</v>
      </c>
      <c r="K187" s="13">
        <v>0.66034559812768501</v>
      </c>
      <c r="L187" s="13">
        <v>0.70616913858420782</v>
      </c>
      <c r="M187" s="13">
        <v>0.72265001505680249</v>
      </c>
      <c r="N187" s="13">
        <v>0.74079884085605019</v>
      </c>
      <c r="O187" s="13">
        <v>0.77783300793661847</v>
      </c>
      <c r="P187" s="13">
        <v>0.76137607959191422</v>
      </c>
      <c r="Q187" s="13">
        <v>0.77509248285086285</v>
      </c>
      <c r="R187" s="13">
        <v>0.80939620013261238</v>
      </c>
      <c r="S187" s="13">
        <v>0.83198925951771852</v>
      </c>
      <c r="T187" s="13">
        <v>0.80265100565347991</v>
      </c>
      <c r="U187" s="13">
        <v>0.81660801891395118</v>
      </c>
      <c r="V187" s="13">
        <v>0.81945376568033579</v>
      </c>
      <c r="W187" s="13">
        <v>0.83002787258514221</v>
      </c>
      <c r="X187" s="13">
        <v>0.83797668684695459</v>
      </c>
      <c r="Y187" s="13">
        <v>0.8478196416648387</v>
      </c>
      <c r="Z187" s="13">
        <v>0.84801687562653805</v>
      </c>
      <c r="AA187" s="14">
        <v>0.84599999999999997</v>
      </c>
      <c r="AB187" s="14">
        <v>0.72899999999999998</v>
      </c>
      <c r="AC187" s="13">
        <v>0.70199999999999996</v>
      </c>
      <c r="AD187" s="15">
        <v>0.65300000000000002</v>
      </c>
      <c r="AE187" s="13">
        <v>0.75700000000000001</v>
      </c>
      <c r="AF187" s="13">
        <v>0.82899999999999996</v>
      </c>
      <c r="AG187" s="13">
        <v>0.8377577574387669</v>
      </c>
      <c r="AH187" s="13">
        <v>0.83868715040512709</v>
      </c>
      <c r="AI187" s="13">
        <v>0.83951804627671578</v>
      </c>
      <c r="AJ187" s="13">
        <v>0.84026067344127242</v>
      </c>
      <c r="AK187" s="13">
        <v>0.8409262339043817</v>
      </c>
      <c r="AL187" s="13">
        <v>0.84152492409965629</v>
      </c>
      <c r="AM187" s="13">
        <v>0.84206301623935864</v>
      </c>
      <c r="AN187" s="13">
        <v>0.84255070016323408</v>
      </c>
      <c r="AO187" s="13">
        <v>0.84299321641928604</v>
      </c>
      <c r="AP187" s="13">
        <v>0.84339706339910581</v>
      </c>
      <c r="AQ187" s="13">
        <v>0.84376636529515581</v>
      </c>
      <c r="AR187" s="13">
        <v>0.84410519371847215</v>
      </c>
      <c r="AS187" s="13">
        <v>0.84441707665112986</v>
      </c>
      <c r="AT187" s="13">
        <v>0.8447050746210254</v>
      </c>
      <c r="AU187" s="13">
        <v>0.84497184599609398</v>
      </c>
      <c r="AV187" s="13">
        <v>0.8452600331763328</v>
      </c>
      <c r="AW187" s="13">
        <v>0.84554831864606073</v>
      </c>
      <c r="AX187" s="13">
        <v>0.84583670243880027</v>
      </c>
      <c r="AY187" s="13">
        <v>0.84612518458808561</v>
      </c>
      <c r="AZ187" s="13">
        <v>0.84641376512746236</v>
      </c>
      <c r="BA187" s="13">
        <v>0.84670244409048756</v>
      </c>
      <c r="BB187" s="13">
        <v>0.84699122151072948</v>
      </c>
      <c r="BC187" s="13">
        <v>0.84728009742176846</v>
      </c>
      <c r="BD187" s="13">
        <v>0.84756907185719577</v>
      </c>
      <c r="BE187" s="13">
        <v>0.84785814485061417</v>
      </c>
      <c r="BF187" s="13">
        <v>0.84814731643563801</v>
      </c>
      <c r="BG187" s="21"/>
    </row>
    <row r="188" spans="1:59" ht="12" customHeight="1" x14ac:dyDescent="0.2">
      <c r="A188" t="s">
        <v>56</v>
      </c>
      <c r="B188" t="s">
        <v>45</v>
      </c>
      <c r="C188" s="13">
        <v>0.66542074529971862</v>
      </c>
      <c r="D188" s="13">
        <v>0.67567794053628694</v>
      </c>
      <c r="E188" s="13">
        <v>0.65158113540831053</v>
      </c>
      <c r="F188" s="13">
        <v>0.60418650313298738</v>
      </c>
      <c r="G188" s="13">
        <v>0.5962810295756954</v>
      </c>
      <c r="H188" s="13">
        <v>0.60846996224498773</v>
      </c>
      <c r="I188" s="13">
        <v>0.58168689651467786</v>
      </c>
      <c r="J188" s="13">
        <v>0.55331556097283119</v>
      </c>
      <c r="K188" s="13">
        <v>0.57494190451315808</v>
      </c>
      <c r="L188" s="13">
        <v>0.63549828898269567</v>
      </c>
      <c r="M188" s="13">
        <v>0.67126738230291982</v>
      </c>
      <c r="N188" s="13">
        <v>0.68306439116403961</v>
      </c>
      <c r="O188" s="13">
        <v>0.6986884681494947</v>
      </c>
      <c r="P188" s="13">
        <v>0.64052400046640456</v>
      </c>
      <c r="Q188" s="13">
        <v>0.69888233121361809</v>
      </c>
      <c r="R188" s="13">
        <v>0.76747541429039612</v>
      </c>
      <c r="S188" s="13">
        <v>0.75423979258910756</v>
      </c>
      <c r="T188" s="13">
        <v>0.73891694799068297</v>
      </c>
      <c r="U188" s="13">
        <v>0.74505251334898259</v>
      </c>
      <c r="V188" s="13">
        <v>0.76264786613332147</v>
      </c>
      <c r="W188" s="13">
        <v>0.82681554517029499</v>
      </c>
      <c r="X188" s="13">
        <v>0.83893776670516151</v>
      </c>
      <c r="Y188" s="13">
        <v>0.86054448883203605</v>
      </c>
      <c r="Z188" s="13">
        <v>0.86520592048819311</v>
      </c>
      <c r="AA188" s="14">
        <v>0.873</v>
      </c>
      <c r="AB188" s="14">
        <v>0.746</v>
      </c>
      <c r="AC188" s="13">
        <v>0.71399999999999997</v>
      </c>
      <c r="AD188" s="15">
        <v>0.81399999999999995</v>
      </c>
      <c r="AE188" s="13">
        <v>0.87</v>
      </c>
      <c r="AF188" s="13">
        <v>0.86299999999999999</v>
      </c>
      <c r="AG188" s="13">
        <v>0.8721169417004293</v>
      </c>
      <c r="AH188" s="13">
        <v>0.87308445211052432</v>
      </c>
      <c r="AI188" s="13">
        <v>0.87394942573800449</v>
      </c>
      <c r="AJ188" s="13">
        <v>0.87472251047022698</v>
      </c>
      <c r="AK188" s="13">
        <v>0.8754153677436447</v>
      </c>
      <c r="AL188" s="13">
        <v>0.87603861218094503</v>
      </c>
      <c r="AM188" s="13">
        <v>0.87659877323831914</v>
      </c>
      <c r="AN188" s="13">
        <v>0.87710645867415094</v>
      </c>
      <c r="AO188" s="13">
        <v>0.87756712396844871</v>
      </c>
      <c r="AP188" s="13">
        <v>0.87798753403308627</v>
      </c>
      <c r="AQ188" s="13">
        <v>0.87837198220714074</v>
      </c>
      <c r="AR188" s="13">
        <v>0.87872470709172701</v>
      </c>
      <c r="AS188" s="13">
        <v>0.87904938136299793</v>
      </c>
      <c r="AT188" s="13">
        <v>0.87934919107110399</v>
      </c>
      <c r="AU188" s="13">
        <v>0.87962690361233942</v>
      </c>
      <c r="AV188" s="13">
        <v>0.8799269102909234</v>
      </c>
      <c r="AW188" s="13">
        <v>0.88022701929016978</v>
      </c>
      <c r="AX188" s="13">
        <v>0.88052723064497584</v>
      </c>
      <c r="AY188" s="13">
        <v>0.88082754439025113</v>
      </c>
      <c r="AZ188" s="13">
        <v>0.88112796056091713</v>
      </c>
      <c r="BA188" s="13">
        <v>0.88142847919190714</v>
      </c>
      <c r="BB188" s="13">
        <v>0.8817291003181662</v>
      </c>
      <c r="BC188" s="13">
        <v>0.88202982397465191</v>
      </c>
      <c r="BD188" s="13">
        <v>0.88233065019633317</v>
      </c>
      <c r="BE188" s="13">
        <v>0.88263157901819089</v>
      </c>
      <c r="BF188" s="13">
        <v>0.88293261047521809</v>
      </c>
      <c r="BG188" s="21"/>
    </row>
    <row r="189" spans="1:59" ht="12" customHeight="1" x14ac:dyDescent="0.2">
      <c r="A189" t="s">
        <v>57</v>
      </c>
      <c r="B189" t="s">
        <v>45</v>
      </c>
      <c r="C189" s="13">
        <v>0.64677403708848225</v>
      </c>
      <c r="D189" s="13">
        <v>0.65907956123306499</v>
      </c>
      <c r="E189" s="13">
        <v>0.62711721328267078</v>
      </c>
      <c r="F189" s="13">
        <v>0.62793190460728443</v>
      </c>
      <c r="G189" s="13">
        <v>0.68036796914988884</v>
      </c>
      <c r="H189" s="13">
        <v>0.70077196834189126</v>
      </c>
      <c r="I189" s="13">
        <v>0.64500271911204932</v>
      </c>
      <c r="J189" s="13">
        <v>0.6506518118182032</v>
      </c>
      <c r="K189" s="13">
        <v>0.65215659698393769</v>
      </c>
      <c r="L189" s="13">
        <v>0.68479403843352071</v>
      </c>
      <c r="M189" s="13">
        <v>0.69883733631252021</v>
      </c>
      <c r="N189" s="13">
        <v>0.72442893934080654</v>
      </c>
      <c r="O189" s="13">
        <v>0.70677271011844989</v>
      </c>
      <c r="P189" s="13">
        <v>0.73150067550761644</v>
      </c>
      <c r="Q189" s="13">
        <v>0.72386061321900319</v>
      </c>
      <c r="R189" s="13">
        <v>0.7490809126043867</v>
      </c>
      <c r="S189" s="13">
        <v>0.77355449155497691</v>
      </c>
      <c r="T189" s="13">
        <v>0.77163205239954902</v>
      </c>
      <c r="U189" s="13">
        <v>0.77670599442545651</v>
      </c>
      <c r="V189" s="13">
        <v>0.76597803561165978</v>
      </c>
      <c r="W189" s="13">
        <v>0.78306471254365517</v>
      </c>
      <c r="X189" s="13">
        <v>0.7805113084812606</v>
      </c>
      <c r="Y189" s="13">
        <v>0.78373069283281316</v>
      </c>
      <c r="Z189" s="13">
        <v>0.78402398904594961</v>
      </c>
      <c r="AA189" s="14">
        <v>0.76452493193287252</v>
      </c>
      <c r="AB189" s="14">
        <v>0.57515039111665556</v>
      </c>
      <c r="AC189" s="13">
        <v>0.34190536279736039</v>
      </c>
      <c r="AD189" s="15">
        <v>0.69317799580834716</v>
      </c>
      <c r="AE189" s="13">
        <v>0.71693652553781406</v>
      </c>
      <c r="AF189" s="13">
        <v>0.74069505526728097</v>
      </c>
      <c r="AG189" s="13">
        <v>0.76445358499674787</v>
      </c>
      <c r="AH189" s="13">
        <v>0.76521803858174453</v>
      </c>
      <c r="AI189" s="13">
        <v>0.76598325662032618</v>
      </c>
      <c r="AJ189" s="13">
        <v>0.76674923987694643</v>
      </c>
      <c r="AK189" s="13">
        <v>0.76751598911682328</v>
      </c>
      <c r="AL189" s="13">
        <v>0.76828350510594001</v>
      </c>
      <c r="AM189" s="13">
        <v>0.76905178861104584</v>
      </c>
      <c r="AN189" s="13">
        <v>0.76982084039965681</v>
      </c>
      <c r="AO189" s="13">
        <v>0.77059066124005637</v>
      </c>
      <c r="AP189" s="13">
        <v>0.77136125190129634</v>
      </c>
      <c r="AQ189" s="13">
        <v>0.77213261315319759</v>
      </c>
      <c r="AR189" s="13">
        <v>0.77290474576635071</v>
      </c>
      <c r="AS189" s="13">
        <v>0.77367765051211701</v>
      </c>
      <c r="AT189" s="13">
        <v>0.77445132816262907</v>
      </c>
      <c r="AU189" s="13">
        <v>0.77522577949079163</v>
      </c>
      <c r="AV189" s="13">
        <v>0.77600100527028237</v>
      </c>
      <c r="AW189" s="13">
        <v>0.77677700627555257</v>
      </c>
      <c r="AX189" s="13">
        <v>0.777553783281828</v>
      </c>
      <c r="AY189" s="13">
        <v>0.77833133706510971</v>
      </c>
      <c r="AZ189" s="13">
        <v>0.77910966840217477</v>
      </c>
      <c r="BA189" s="13">
        <v>0.77988877807057688</v>
      </c>
      <c r="BB189" s="13">
        <v>0.78066866684864733</v>
      </c>
      <c r="BC189" s="13">
        <v>0.78144933551549589</v>
      </c>
      <c r="BD189" s="13">
        <v>0.78223078485101127</v>
      </c>
      <c r="BE189" s="13">
        <v>0.78301301563586223</v>
      </c>
      <c r="BF189" s="13">
        <v>0.783796028651498</v>
      </c>
      <c r="BG189" s="21"/>
    </row>
    <row r="190" spans="1:59" ht="12" customHeight="1" x14ac:dyDescent="0.2">
      <c r="A190" t="s">
        <v>58</v>
      </c>
      <c r="B190" t="s">
        <v>45</v>
      </c>
      <c r="C190" s="13">
        <v>0.6948331859298712</v>
      </c>
      <c r="D190" s="13">
        <v>0.65014384203806119</v>
      </c>
      <c r="E190" s="13">
        <v>0.71104398351443598</v>
      </c>
      <c r="F190" s="13">
        <v>0.69117214479445455</v>
      </c>
      <c r="G190" s="13">
        <v>0.65710515767946986</v>
      </c>
      <c r="H190" s="13">
        <v>0.69078002981996789</v>
      </c>
      <c r="I190" s="13">
        <v>0.7072874342783636</v>
      </c>
      <c r="J190" s="13">
        <v>0.69234795984926145</v>
      </c>
      <c r="K190" s="13">
        <v>0.70502725350006923</v>
      </c>
      <c r="L190" s="13">
        <v>0.7585272901086455</v>
      </c>
      <c r="M190" s="13">
        <v>0.77306127749335118</v>
      </c>
      <c r="N190" s="13">
        <v>0.78163155380173144</v>
      </c>
      <c r="O190" s="13">
        <v>0.72177907087979598</v>
      </c>
      <c r="P190" s="13">
        <v>0.77937168904864607</v>
      </c>
      <c r="Q190" s="13">
        <v>0.75280698640447086</v>
      </c>
      <c r="R190" s="13">
        <v>0.71765602103349202</v>
      </c>
      <c r="S190" s="13">
        <v>0.75924765460062593</v>
      </c>
      <c r="T190" s="13">
        <v>0.77968420464104282</v>
      </c>
      <c r="U190" s="13">
        <v>0.78364539200496974</v>
      </c>
      <c r="V190" s="13">
        <v>0.79054421693096177</v>
      </c>
      <c r="W190" s="13">
        <v>0.76465667587692232</v>
      </c>
      <c r="X190" s="13">
        <v>0.73732348665867198</v>
      </c>
      <c r="Y190" s="13">
        <v>0.73490481150063147</v>
      </c>
      <c r="Z190" s="13">
        <v>0.73623642378991461</v>
      </c>
      <c r="AA190" s="14">
        <v>0.7320000000000001</v>
      </c>
      <c r="AB190" s="14">
        <v>0.5540499342969778</v>
      </c>
      <c r="AC190" s="13">
        <v>0.55600000000000005</v>
      </c>
      <c r="AD190" s="15">
        <v>0.68600000000000005</v>
      </c>
      <c r="AE190" s="13">
        <v>0.80400000000000005</v>
      </c>
      <c r="AF190" s="13">
        <v>0.80700000000000005</v>
      </c>
      <c r="AG190" s="13">
        <v>0.8223180000000001</v>
      </c>
      <c r="AH190" s="13">
        <v>0.82314031799999998</v>
      </c>
      <c r="AI190" s="13">
        <v>0.82396345831799989</v>
      </c>
      <c r="AJ190" s="13">
        <v>0.82478742177631781</v>
      </c>
      <c r="AK190" s="13">
        <v>0.82561220919809408</v>
      </c>
      <c r="AL190" s="13">
        <v>0.82643782140729205</v>
      </c>
      <c r="AM190" s="13">
        <v>0.82726425922869928</v>
      </c>
      <c r="AN190" s="13">
        <v>0.82809152348792792</v>
      </c>
      <c r="AO190" s="13">
        <v>0.82891961501141576</v>
      </c>
      <c r="AP190" s="13">
        <v>0.82974853462642706</v>
      </c>
      <c r="AQ190" s="13">
        <v>0.83057828316105342</v>
      </c>
      <c r="AR190" s="13">
        <v>0.83140886144421433</v>
      </c>
      <c r="AS190" s="13">
        <v>0.8322402703056585</v>
      </c>
      <c r="AT190" s="13">
        <v>0.8330725105759641</v>
      </c>
      <c r="AU190" s="13">
        <v>0.83390558308653995</v>
      </c>
      <c r="AV190" s="13">
        <v>0.83473948866962644</v>
      </c>
      <c r="AW190" s="13">
        <v>0.83557422815829596</v>
      </c>
      <c r="AX190" s="13">
        <v>0.83640980238645413</v>
      </c>
      <c r="AY190" s="13">
        <v>0.83724621218884054</v>
      </c>
      <c r="AZ190" s="13">
        <v>0.83808345840102927</v>
      </c>
      <c r="BA190" s="13">
        <v>0.83892154185943024</v>
      </c>
      <c r="BB190" s="13">
        <v>0.83976046340128963</v>
      </c>
      <c r="BC190" s="13">
        <v>0.8406002238646908</v>
      </c>
      <c r="BD190" s="13">
        <v>0.84144082408855536</v>
      </c>
      <c r="BE190" s="13">
        <v>0.8422822649126438</v>
      </c>
      <c r="BF190" s="13">
        <v>0.84312454717755636</v>
      </c>
    </row>
    <row r="191" spans="1:59" ht="12" customHeight="1" x14ac:dyDescent="0.2">
      <c r="A191" t="s">
        <v>59</v>
      </c>
      <c r="B191" t="s">
        <v>45</v>
      </c>
      <c r="C191" s="13">
        <v>0.62883812082061896</v>
      </c>
      <c r="D191" s="13">
        <v>0.63291077411556795</v>
      </c>
      <c r="E191" s="13">
        <v>0.59566482060859505</v>
      </c>
      <c r="F191" s="13">
        <v>0.58822953707145664</v>
      </c>
      <c r="G191" s="13">
        <v>0.63360840666786122</v>
      </c>
      <c r="H191" s="13">
        <v>0.6040517956532705</v>
      </c>
      <c r="I191" s="13">
        <v>0.58244374071945482</v>
      </c>
      <c r="J191" s="13">
        <v>0.57127029349214986</v>
      </c>
      <c r="K191" s="13">
        <v>0.60688589747733068</v>
      </c>
      <c r="L191" s="13">
        <v>0.60863219915557165</v>
      </c>
      <c r="M191" s="13">
        <v>0.63708928529803388</v>
      </c>
      <c r="N191" s="13">
        <v>0.64369599052723858</v>
      </c>
      <c r="O191" s="13">
        <v>0.63065283828838015</v>
      </c>
      <c r="P191" s="13">
        <v>0.63173366702497946</v>
      </c>
      <c r="Q191" s="13">
        <v>0.61850789369676318</v>
      </c>
      <c r="R191" s="13">
        <v>0.55806879560418654</v>
      </c>
      <c r="S191" s="13">
        <v>0.5870579882937641</v>
      </c>
      <c r="T191" s="13">
        <v>0.59469418741033531</v>
      </c>
      <c r="U191" s="13">
        <v>0.58781437349343291</v>
      </c>
      <c r="V191" s="13">
        <v>0.58136246565570271</v>
      </c>
      <c r="W191" s="13">
        <v>0.60056756975951719</v>
      </c>
      <c r="X191" s="13">
        <v>0.61770262602974924</v>
      </c>
      <c r="Y191" s="13">
        <v>0.64026645995893727</v>
      </c>
      <c r="Z191" s="13">
        <v>0.67090889942073195</v>
      </c>
      <c r="AA191" s="14">
        <v>0.748</v>
      </c>
      <c r="AB191" s="14">
        <v>0.55900000000000005</v>
      </c>
      <c r="AC191" s="13">
        <v>0.70699999999999996</v>
      </c>
      <c r="AD191" s="15">
        <v>0.755</v>
      </c>
      <c r="AE191" s="13">
        <v>0.73</v>
      </c>
      <c r="AF191" s="13">
        <v>0.75</v>
      </c>
      <c r="AG191" s="13">
        <v>0.75</v>
      </c>
      <c r="AH191" s="13">
        <v>0.75083203613285676</v>
      </c>
      <c r="AI191" s="13">
        <v>0.7515758930511105</v>
      </c>
      <c r="AJ191" s="13">
        <v>0.75224072768674588</v>
      </c>
      <c r="AK191" s="13">
        <v>0.75283656860006432</v>
      </c>
      <c r="AL191" s="13">
        <v>0.75337254411621912</v>
      </c>
      <c r="AM191" s="13">
        <v>0.75385426941353006</v>
      </c>
      <c r="AN191" s="13">
        <v>0.75429086691401137</v>
      </c>
      <c r="AO191" s="13">
        <v>0.75468702820179656</v>
      </c>
      <c r="AP191" s="13">
        <v>0.75504857094153899</v>
      </c>
      <c r="AQ191" s="13">
        <v>0.75537918730358167</v>
      </c>
      <c r="AR191" s="13">
        <v>0.7556825223849114</v>
      </c>
      <c r="AS191" s="13">
        <v>0.75596173460039529</v>
      </c>
      <c r="AT191" s="13">
        <v>0.75621956387801614</v>
      </c>
      <c r="AU191" s="13">
        <v>0.75645839011331495</v>
      </c>
      <c r="AV191" s="13">
        <v>0.75671638878090108</v>
      </c>
      <c r="AW191" s="13">
        <v>0.75697447544184349</v>
      </c>
      <c r="AX191" s="13">
        <v>0.75723265012615304</v>
      </c>
      <c r="AY191" s="13">
        <v>0.75749091286385117</v>
      </c>
      <c r="AZ191" s="13">
        <v>0.75774926368496953</v>
      </c>
      <c r="BA191" s="13">
        <v>0.75800770261954986</v>
      </c>
      <c r="BB191" s="13">
        <v>0.75826622969764412</v>
      </c>
      <c r="BC191" s="13">
        <v>0.75852484494931494</v>
      </c>
      <c r="BD191" s="13">
        <v>0.7587835484046348</v>
      </c>
      <c r="BE191" s="13">
        <v>0.75904234009368654</v>
      </c>
      <c r="BF191" s="13">
        <v>0.75930122004656331</v>
      </c>
    </row>
    <row r="192" spans="1:59" ht="12" customHeight="1" x14ac:dyDescent="0.2">
      <c r="A192" t="s">
        <v>60</v>
      </c>
      <c r="B192" t="s">
        <v>45</v>
      </c>
      <c r="C192" s="13">
        <v>0.55500591220333162</v>
      </c>
      <c r="D192" s="13">
        <v>0.55894501477509984</v>
      </c>
      <c r="E192" s="13">
        <v>0.56209088590597434</v>
      </c>
      <c r="F192" s="13">
        <v>0.5789076567723086</v>
      </c>
      <c r="G192" s="13">
        <v>0.50655881771207412</v>
      </c>
      <c r="H192" s="13">
        <v>0.57343452306526177</v>
      </c>
      <c r="I192" s="13">
        <v>0.57168232203712599</v>
      </c>
      <c r="J192" s="13">
        <v>0.5574560227872507</v>
      </c>
      <c r="K192" s="13">
        <v>0.58844742865348931</v>
      </c>
      <c r="L192" s="13">
        <v>0.65540856464880459</v>
      </c>
      <c r="M192" s="13">
        <v>0.66179794791079438</v>
      </c>
      <c r="N192" s="13">
        <v>0.67132637942268547</v>
      </c>
      <c r="O192" s="13">
        <v>0.67680634566840203</v>
      </c>
      <c r="P192" s="13">
        <v>0.65204839710127938</v>
      </c>
      <c r="Q192" s="13">
        <v>0.65125187142708651</v>
      </c>
      <c r="R192" s="13">
        <v>0.68629083534906299</v>
      </c>
      <c r="S192" s="13">
        <v>0.70455578551212206</v>
      </c>
      <c r="T192" s="13">
        <v>0.7305652555398926</v>
      </c>
      <c r="U192" s="13">
        <v>0.76364063590559816</v>
      </c>
      <c r="V192" s="13">
        <v>0.80105310271452246</v>
      </c>
      <c r="W192" s="13">
        <v>0.7980920557465615</v>
      </c>
      <c r="X192" s="13">
        <v>0.80112370429658553</v>
      </c>
      <c r="Y192" s="13">
        <v>0.81626976811810326</v>
      </c>
      <c r="Z192" s="13">
        <v>0.81426563861156198</v>
      </c>
      <c r="AA192" s="14">
        <v>0.82700000000000007</v>
      </c>
      <c r="AB192" s="14">
        <v>0.80300000000000005</v>
      </c>
      <c r="AC192" s="13">
        <v>0.80400000000000005</v>
      </c>
      <c r="AD192" s="15">
        <v>0.79200000000000004</v>
      </c>
      <c r="AE192" s="13">
        <v>0.80100000000000005</v>
      </c>
      <c r="AF192" s="13">
        <v>0.81200000000000006</v>
      </c>
      <c r="AG192" s="13">
        <v>0.82057816530793593</v>
      </c>
      <c r="AH192" s="13">
        <v>0.82148849955242864</v>
      </c>
      <c r="AI192" s="13">
        <v>0.82230235654607164</v>
      </c>
      <c r="AJ192" s="13">
        <v>0.82302975492679542</v>
      </c>
      <c r="AK192" s="13">
        <v>0.82368166698475043</v>
      </c>
      <c r="AL192" s="13">
        <v>0.82426808005901209</v>
      </c>
      <c r="AM192" s="13">
        <v>0.82479513773987856</v>
      </c>
      <c r="AN192" s="13">
        <v>0.82527282090777587</v>
      </c>
      <c r="AO192" s="13">
        <v>0.82570626264470492</v>
      </c>
      <c r="AP192" s="13">
        <v>0.82610182808211585</v>
      </c>
      <c r="AQ192" s="13">
        <v>0.82646355683916362</v>
      </c>
      <c r="AR192" s="13">
        <v>0.82679543703184499</v>
      </c>
      <c r="AS192" s="13">
        <v>0.8271009242951961</v>
      </c>
      <c r="AT192" s="13">
        <v>0.82738301639598644</v>
      </c>
      <c r="AU192" s="13">
        <v>0.8276443171879716</v>
      </c>
      <c r="AV192" s="13">
        <v>0.82792659461903795</v>
      </c>
      <c r="AW192" s="13">
        <v>0.8282089683240067</v>
      </c>
      <c r="AX192" s="13">
        <v>0.82849143833571293</v>
      </c>
      <c r="AY192" s="13">
        <v>0.82877400468700324</v>
      </c>
      <c r="AZ192" s="13">
        <v>0.82905666741073536</v>
      </c>
      <c r="BA192" s="13">
        <v>0.8293394265397781</v>
      </c>
      <c r="BB192" s="13">
        <v>0.82962228210701139</v>
      </c>
      <c r="BC192" s="13">
        <v>0.82990523414532702</v>
      </c>
      <c r="BD192" s="13">
        <v>0.83018828268762734</v>
      </c>
      <c r="BE192" s="13">
        <v>0.83047142776682603</v>
      </c>
      <c r="BF192" s="13">
        <v>0.83075466941584819</v>
      </c>
    </row>
    <row r="193" spans="1:58" ht="12" customHeight="1" x14ac:dyDescent="0.2">
      <c r="A193" t="s">
        <v>61</v>
      </c>
      <c r="B193" t="s">
        <v>45</v>
      </c>
      <c r="C193" s="13">
        <v>0.58480079175496125</v>
      </c>
      <c r="D193" s="13">
        <v>0.57320096988368285</v>
      </c>
      <c r="E193" s="13">
        <v>0.55433711618445591</v>
      </c>
      <c r="F193" s="13">
        <v>0.54083756412135042</v>
      </c>
      <c r="G193" s="13">
        <v>0.58099044959125723</v>
      </c>
      <c r="H193" s="13">
        <v>0.60017524123527222</v>
      </c>
      <c r="I193" s="13">
        <v>0.60076732208730366</v>
      </c>
      <c r="J193" s="13">
        <v>0.55702678403686834</v>
      </c>
      <c r="K193" s="13">
        <v>0.60608999686963705</v>
      </c>
      <c r="L193" s="13">
        <v>0.63631525359693841</v>
      </c>
      <c r="M193" s="13">
        <v>0.66508285377880816</v>
      </c>
      <c r="N193" s="13">
        <v>0.67639630047021981</v>
      </c>
      <c r="O193" s="13">
        <v>0.71165160949886208</v>
      </c>
      <c r="P193" s="13">
        <v>0.70107349636111072</v>
      </c>
      <c r="Q193" s="13">
        <v>0.69618922792557991</v>
      </c>
      <c r="R193" s="13">
        <v>0.69842337397066867</v>
      </c>
      <c r="S193" s="13">
        <v>0.70748229453162526</v>
      </c>
      <c r="T193" s="13">
        <v>0.73071643809623765</v>
      </c>
      <c r="U193" s="13">
        <v>0.7566149866776537</v>
      </c>
      <c r="V193" s="13">
        <v>0.76027475430094649</v>
      </c>
      <c r="W193" s="13">
        <v>0.76674615214321429</v>
      </c>
      <c r="X193" s="13">
        <v>0.77557836875877562</v>
      </c>
      <c r="Y193" s="14">
        <v>0.79300448290064485</v>
      </c>
      <c r="Z193" s="13">
        <v>0.79261037788154387</v>
      </c>
      <c r="AA193" s="14">
        <v>0.82300000000000006</v>
      </c>
      <c r="AB193" s="14">
        <v>0.75711620552363734</v>
      </c>
      <c r="AC193" s="13">
        <v>0.79800000000000004</v>
      </c>
      <c r="AD193" s="15">
        <v>0.80600000000000005</v>
      </c>
      <c r="AE193" s="13">
        <v>0.81166100000000008</v>
      </c>
      <c r="AF193" s="13">
        <v>0.8173220000000001</v>
      </c>
      <c r="AG193" s="13">
        <v>0.82298300000000013</v>
      </c>
      <c r="AH193" s="13">
        <v>0.82380598300000007</v>
      </c>
      <c r="AI193" s="13">
        <v>0.82462978898299999</v>
      </c>
      <c r="AJ193" s="13">
        <v>0.82545441877198289</v>
      </c>
      <c r="AK193" s="13">
        <v>0.8262798731907548</v>
      </c>
      <c r="AL193" s="13">
        <v>0.82710615306394542</v>
      </c>
      <c r="AM193" s="13">
        <v>0.82793325921700922</v>
      </c>
      <c r="AN193" s="13">
        <v>0.82876119247622615</v>
      </c>
      <c r="AO193" s="13">
        <v>0.82958995366870225</v>
      </c>
      <c r="AP193" s="13">
        <v>0.83041954362237091</v>
      </c>
      <c r="AQ193" s="13">
        <v>0.8312499631659932</v>
      </c>
      <c r="AR193" s="13">
        <v>0.83208121312915906</v>
      </c>
      <c r="AS193" s="13">
        <v>0.83291329434228811</v>
      </c>
      <c r="AT193" s="13">
        <v>0.83374620763663032</v>
      </c>
      <c r="AU193" s="13">
        <v>0.83457995384426686</v>
      </c>
      <c r="AV193" s="13">
        <v>0.83541453379811104</v>
      </c>
      <c r="AW193" s="13">
        <v>0.83624994833190902</v>
      </c>
      <c r="AX193" s="13">
        <v>0.83708619828024089</v>
      </c>
      <c r="AY193" s="13">
        <v>0.83792328447852105</v>
      </c>
      <c r="AZ193" s="13">
        <v>0.83876120776299945</v>
      </c>
      <c r="BA193" s="13">
        <v>0.83959996897076239</v>
      </c>
      <c r="BB193" s="13">
        <v>0.84043956893973304</v>
      </c>
      <c r="BC193" s="13">
        <v>0.84128000850867268</v>
      </c>
      <c r="BD193" s="13">
        <v>0.84212128851718127</v>
      </c>
      <c r="BE193" s="13">
        <v>0.84296340980569839</v>
      </c>
      <c r="BF193" s="13">
        <v>0.843806373215504</v>
      </c>
    </row>
    <row r="194" spans="1:58" ht="12" customHeight="1" x14ac:dyDescent="0.2">
      <c r="A194" t="s">
        <v>44</v>
      </c>
      <c r="B194" t="s">
        <v>64</v>
      </c>
      <c r="C194" s="13">
        <v>0.72</v>
      </c>
      <c r="D194" s="13">
        <v>0.73</v>
      </c>
      <c r="E194" s="13">
        <v>0.74</v>
      </c>
      <c r="F194" s="13">
        <v>0.73</v>
      </c>
      <c r="G194" s="13">
        <v>0.74</v>
      </c>
      <c r="H194" s="13">
        <v>0.76</v>
      </c>
      <c r="I194" s="13">
        <v>0.73</v>
      </c>
      <c r="J194" s="13">
        <v>0.76</v>
      </c>
      <c r="K194" s="13">
        <v>0.75</v>
      </c>
      <c r="L194" s="13">
        <v>0.78</v>
      </c>
      <c r="M194" s="13">
        <v>0.78</v>
      </c>
      <c r="N194" s="13">
        <v>0.79</v>
      </c>
      <c r="O194" s="13">
        <v>0.79</v>
      </c>
      <c r="P194" s="13">
        <v>0.78</v>
      </c>
      <c r="Q194" s="13">
        <v>0.78</v>
      </c>
      <c r="R194" s="13">
        <v>0.81</v>
      </c>
      <c r="S194" s="13">
        <v>0.8</v>
      </c>
      <c r="T194" s="13">
        <v>0.81</v>
      </c>
      <c r="U194" s="13">
        <v>0.81</v>
      </c>
      <c r="V194" s="13">
        <v>0.8</v>
      </c>
      <c r="W194" s="13">
        <v>0.8</v>
      </c>
      <c r="X194" s="13">
        <v>0.8</v>
      </c>
      <c r="Y194" s="14">
        <v>0.8</v>
      </c>
      <c r="Z194" s="14">
        <v>0.81</v>
      </c>
      <c r="AA194" s="14">
        <v>0.83</v>
      </c>
      <c r="AB194" s="14">
        <v>0.56999999999999995</v>
      </c>
      <c r="AC194" s="13">
        <v>0.59</v>
      </c>
      <c r="AD194" s="15">
        <v>0.79</v>
      </c>
      <c r="AE194" s="13">
        <v>0.85699999999999998</v>
      </c>
      <c r="AF194" s="13">
        <v>0.84599999999999997</v>
      </c>
      <c r="AG194" s="13">
        <v>0.85931999999999997</v>
      </c>
      <c r="AH194" s="13">
        <v>0.86017931999999986</v>
      </c>
      <c r="AI194" s="13">
        <v>0.86103949931999979</v>
      </c>
      <c r="AJ194" s="13">
        <v>0.86190053881931972</v>
      </c>
      <c r="AK194" s="13">
        <v>0.8627624393581389</v>
      </c>
      <c r="AL194" s="13">
        <v>0.86362520179749691</v>
      </c>
      <c r="AM194" s="13">
        <v>0.8644888269992943</v>
      </c>
      <c r="AN194" s="13">
        <v>0.86535331582629349</v>
      </c>
      <c r="AO194" s="13">
        <v>0.86621866914211965</v>
      </c>
      <c r="AP194" s="13">
        <v>0.8670848878112617</v>
      </c>
      <c r="AQ194" s="13">
        <v>0.86795197269907287</v>
      </c>
      <c r="AR194" s="13">
        <v>0.86881992467177183</v>
      </c>
      <c r="AS194" s="13">
        <v>0.86968874459644352</v>
      </c>
      <c r="AT194" s="13">
        <v>0.87055843334103988</v>
      </c>
      <c r="AU194" s="13">
        <v>0.87142899177438082</v>
      </c>
      <c r="AV194" s="13">
        <v>0.8723004207661551</v>
      </c>
      <c r="AW194" s="13">
        <v>0.87317272118692113</v>
      </c>
      <c r="AX194" s="13">
        <v>0.87404589390810794</v>
      </c>
      <c r="AY194" s="13">
        <v>0.87491993980201599</v>
      </c>
      <c r="AZ194" s="13">
        <v>0.87579485974181792</v>
      </c>
      <c r="BA194" s="13">
        <v>0.87667065460155968</v>
      </c>
      <c r="BB194" s="13">
        <v>0.87754732525616119</v>
      </c>
      <c r="BC194" s="13">
        <v>0.87842487258141722</v>
      </c>
      <c r="BD194" s="13">
        <v>0.87930329745399849</v>
      </c>
      <c r="BE194" s="13">
        <v>0.88018260075145238</v>
      </c>
      <c r="BF194" s="13">
        <v>0.88106278335220378</v>
      </c>
    </row>
    <row r="195" spans="1:58" ht="12" customHeight="1" x14ac:dyDescent="0.2">
      <c r="A195" t="s">
        <v>47</v>
      </c>
      <c r="B195" s="13" t="s">
        <v>64</v>
      </c>
      <c r="C195" s="13">
        <v>0.67259039131526277</v>
      </c>
      <c r="D195" s="13">
        <v>0.69327363905090378</v>
      </c>
      <c r="E195" s="13">
        <v>0.68761865733084848</v>
      </c>
      <c r="F195" s="13">
        <v>0.69314886841753942</v>
      </c>
      <c r="G195" s="13">
        <v>0.7058055418306235</v>
      </c>
      <c r="H195" s="13">
        <v>0.71222165738373544</v>
      </c>
      <c r="I195" s="13">
        <v>0.70263456505740007</v>
      </c>
      <c r="J195" s="13">
        <v>0.74800086702451918</v>
      </c>
      <c r="K195" s="13">
        <v>0.72641706959597607</v>
      </c>
      <c r="L195" s="13">
        <v>0.7579575958899214</v>
      </c>
      <c r="M195" s="13">
        <v>0.7655412910288717</v>
      </c>
      <c r="N195" s="13">
        <v>0.77407921670616719</v>
      </c>
      <c r="O195" s="13">
        <v>0.77561940846235178</v>
      </c>
      <c r="P195" s="13">
        <v>0.77983242167126621</v>
      </c>
      <c r="Q195" s="13">
        <v>0.78833239787364995</v>
      </c>
      <c r="R195" s="13">
        <v>0.79724738194523059</v>
      </c>
      <c r="S195" s="13">
        <v>0.80719225132571426</v>
      </c>
      <c r="T195" s="13">
        <v>0.81419447240835163</v>
      </c>
      <c r="U195" s="13">
        <v>0.81275157679102183</v>
      </c>
      <c r="V195" s="13">
        <v>0.82572026122276387</v>
      </c>
      <c r="W195" s="13">
        <v>0.83632718658888527</v>
      </c>
      <c r="X195" s="13">
        <v>0.84662813143015492</v>
      </c>
      <c r="Y195" s="14">
        <v>0.81376722847888261</v>
      </c>
      <c r="Z195" s="14">
        <v>0.83116092957832144</v>
      </c>
      <c r="AA195" s="14">
        <v>0.83324078823298786</v>
      </c>
      <c r="AB195" s="14">
        <v>0.61506819209228747</v>
      </c>
      <c r="AC195" s="13">
        <v>0.58893422805056495</v>
      </c>
      <c r="AD195" s="15">
        <v>0.79046321638680483</v>
      </c>
      <c r="AE195" s="13">
        <v>0.85699999999999998</v>
      </c>
      <c r="AF195" s="13">
        <v>0.84599999999999997</v>
      </c>
      <c r="AG195" s="13">
        <v>0.86024493142477887</v>
      </c>
      <c r="AH195" s="13">
        <v>0.86110517635620354</v>
      </c>
      <c r="AI195" s="13">
        <v>0.86196628153255961</v>
      </c>
      <c r="AJ195" s="13">
        <v>0.86282824781409206</v>
      </c>
      <c r="AK195" s="13">
        <v>0.86369107606190609</v>
      </c>
      <c r="AL195" s="13">
        <v>0.86455476713796786</v>
      </c>
      <c r="AM195" s="13">
        <v>0.86541932190510573</v>
      </c>
      <c r="AN195" s="13">
        <v>0.86628474122701071</v>
      </c>
      <c r="AO195" s="13">
        <v>0.86715102596823768</v>
      </c>
      <c r="AP195" s="13">
        <v>0.8680181769942058</v>
      </c>
      <c r="AQ195" s="13">
        <v>0.86888619517119992</v>
      </c>
      <c r="AR195" s="13">
        <v>0.86975508136637103</v>
      </c>
      <c r="AS195" s="13">
        <v>0.87062483644773736</v>
      </c>
      <c r="AT195" s="13">
        <v>0.87149546128418498</v>
      </c>
      <c r="AU195" s="13">
        <v>0.87236695674546905</v>
      </c>
      <c r="AV195" s="13">
        <v>0.87323932370221446</v>
      </c>
      <c r="AW195" s="13">
        <v>0.87411256302591656</v>
      </c>
      <c r="AX195" s="13">
        <v>0.87498667558894239</v>
      </c>
      <c r="AY195" s="13">
        <v>0.87586166226453122</v>
      </c>
      <c r="AZ195" s="13">
        <v>0.8767375239267956</v>
      </c>
      <c r="BA195" s="13">
        <v>0.8776142614507223</v>
      </c>
      <c r="BB195" s="13">
        <v>0.87849187571217291</v>
      </c>
      <c r="BC195" s="13">
        <v>0.879370367587885</v>
      </c>
      <c r="BD195" s="13">
        <v>0.88024973795547279</v>
      </c>
      <c r="BE195" s="13">
        <v>0.88112998769342821</v>
      </c>
      <c r="BF195" s="13">
        <v>0.8820111176811215</v>
      </c>
    </row>
    <row r="196" spans="1:58" ht="12" customHeight="1" x14ac:dyDescent="0.2">
      <c r="A196" t="s">
        <v>48</v>
      </c>
      <c r="B196" s="13" t="s">
        <v>64</v>
      </c>
      <c r="C196" s="13">
        <v>0.58420176774032739</v>
      </c>
      <c r="D196" s="13">
        <v>0.6329946242546205</v>
      </c>
      <c r="E196" s="13">
        <v>0.64177978794706148</v>
      </c>
      <c r="F196" s="13">
        <v>0.63220846928162389</v>
      </c>
      <c r="G196" s="13">
        <v>0.65611721385708655</v>
      </c>
      <c r="H196" s="13">
        <v>0.69333305906351572</v>
      </c>
      <c r="I196" s="13">
        <v>0.68688230891376922</v>
      </c>
      <c r="J196" s="13">
        <v>0.67484092946043861</v>
      </c>
      <c r="K196" s="13">
        <v>0.68127009386620985</v>
      </c>
      <c r="L196" s="13">
        <v>0.71129820180340453</v>
      </c>
      <c r="M196" s="13">
        <v>0.71582903849298518</v>
      </c>
      <c r="N196" s="13">
        <v>0.73941158289424658</v>
      </c>
      <c r="O196" s="13">
        <v>0.73577031645680724</v>
      </c>
      <c r="P196" s="13">
        <v>0.76577087685531664</v>
      </c>
      <c r="Q196" s="13">
        <v>0.7340266793561997</v>
      </c>
      <c r="R196" s="13">
        <v>0.79819448655288228</v>
      </c>
      <c r="S196" s="13">
        <v>0.76429062040373885</v>
      </c>
      <c r="T196" s="13">
        <v>0.78366674488960353</v>
      </c>
      <c r="U196" s="13">
        <v>0.81884089577248809</v>
      </c>
      <c r="V196" s="13">
        <v>0.80884590815970836</v>
      </c>
      <c r="W196" s="13">
        <v>0.78219059065225061</v>
      </c>
      <c r="X196" s="13">
        <v>0.78866335323434245</v>
      </c>
      <c r="Y196" s="14">
        <v>0.79611942597244256</v>
      </c>
      <c r="Z196" s="14">
        <v>0.78387475666825845</v>
      </c>
      <c r="AA196" s="14">
        <v>0.8034338754266046</v>
      </c>
      <c r="AB196" s="14">
        <v>0.66114140654451103</v>
      </c>
      <c r="AC196" s="13">
        <v>0.69648252735952232</v>
      </c>
      <c r="AD196" s="15">
        <v>0.78857939048144265</v>
      </c>
      <c r="AE196" s="13">
        <v>0.79352593396818161</v>
      </c>
      <c r="AF196" s="13">
        <v>0.79847247745492056</v>
      </c>
      <c r="AG196" s="13">
        <v>0.80341902094165951</v>
      </c>
      <c r="AH196" s="13">
        <v>0.80422243996260112</v>
      </c>
      <c r="AI196" s="13">
        <v>0.8050266624025636</v>
      </c>
      <c r="AJ196" s="13">
        <v>0.80583168906496605</v>
      </c>
      <c r="AK196" s="13">
        <v>0.80663752075403095</v>
      </c>
      <c r="AL196" s="13">
        <v>0.80744415827478488</v>
      </c>
      <c r="AM196" s="13">
        <v>0.8082516024330596</v>
      </c>
      <c r="AN196" s="13">
        <v>0.80905985403549252</v>
      </c>
      <c r="AO196" s="13">
        <v>0.80986891388952797</v>
      </c>
      <c r="AP196" s="13">
        <v>0.81067878280341743</v>
      </c>
      <c r="AQ196" s="13">
        <v>0.81148946158622071</v>
      </c>
      <c r="AR196" s="13">
        <v>0.81230095104780686</v>
      </c>
      <c r="AS196" s="13">
        <v>0.81311325199885454</v>
      </c>
      <c r="AT196" s="13">
        <v>0.81392636525085327</v>
      </c>
      <c r="AU196" s="13">
        <v>0.81474029161610406</v>
      </c>
      <c r="AV196" s="13">
        <v>0.81555503190772005</v>
      </c>
      <c r="AW196" s="13">
        <v>0.81637058693962772</v>
      </c>
      <c r="AX196" s="13">
        <v>0.81718695752656723</v>
      </c>
      <c r="AY196" s="13">
        <v>0.81800414448409375</v>
      </c>
      <c r="AZ196" s="13">
        <v>0.81882214862857772</v>
      </c>
      <c r="BA196" s="13">
        <v>0.81964097077720621</v>
      </c>
      <c r="BB196" s="13">
        <v>0.82046061174798335</v>
      </c>
      <c r="BC196" s="13">
        <v>0.82128107235973125</v>
      </c>
      <c r="BD196" s="13">
        <v>0.82210235343209093</v>
      </c>
      <c r="BE196" s="13">
        <v>0.82292445578552298</v>
      </c>
      <c r="BF196" s="13">
        <v>0.82374738024130845</v>
      </c>
    </row>
    <row r="197" spans="1:58" ht="12" customHeight="1" x14ac:dyDescent="0.2">
      <c r="A197" t="s">
        <v>49</v>
      </c>
      <c r="B197" s="13" t="s">
        <v>64</v>
      </c>
      <c r="C197" s="13">
        <v>0.73493433834588628</v>
      </c>
      <c r="D197" s="13">
        <v>0.74390577873741992</v>
      </c>
      <c r="E197" s="13">
        <v>0.75272298522532777</v>
      </c>
      <c r="F197" s="13">
        <v>0.7419290891834126</v>
      </c>
      <c r="G197" s="13">
        <v>0.74758252946193604</v>
      </c>
      <c r="H197" s="13">
        <v>0.76629246061068512</v>
      </c>
      <c r="I197" s="13">
        <v>0.74048925133284416</v>
      </c>
      <c r="J197" s="13">
        <v>0.75613842397985598</v>
      </c>
      <c r="K197" s="13">
        <v>0.76747903044429777</v>
      </c>
      <c r="L197" s="13">
        <v>0.7956638609514991</v>
      </c>
      <c r="M197" s="13">
        <v>0.79212679316089274</v>
      </c>
      <c r="N197" s="13">
        <v>0.79584935296747983</v>
      </c>
      <c r="O197" s="13">
        <v>0.78643549548800507</v>
      </c>
      <c r="P197" s="13">
        <v>0.78411567568373453</v>
      </c>
      <c r="Q197" s="13">
        <v>0.78748291459714559</v>
      </c>
      <c r="R197" s="13">
        <v>0.7837488915864248</v>
      </c>
      <c r="S197" s="13">
        <v>0.79036567185763196</v>
      </c>
      <c r="T197" s="13">
        <v>0.80269586863120712</v>
      </c>
      <c r="U197" s="13">
        <v>0.80431570533335084</v>
      </c>
      <c r="V197" s="13">
        <v>0.78723581595693726</v>
      </c>
      <c r="W197" s="13">
        <v>0.78633121941896211</v>
      </c>
      <c r="X197" s="13">
        <v>0.77345773594240974</v>
      </c>
      <c r="Y197" s="14">
        <v>0.78878238948963697</v>
      </c>
      <c r="Z197" s="14">
        <v>0.80131460574660041</v>
      </c>
      <c r="AA197" s="14">
        <v>0.7922793780058579</v>
      </c>
      <c r="AB197" s="14">
        <v>0.56156842701750664</v>
      </c>
      <c r="AC197" s="13">
        <v>0.5241026131021882</v>
      </c>
      <c r="AD197" s="15">
        <v>0.6498872402467134</v>
      </c>
      <c r="AE197" s="13">
        <v>0.69730382212050857</v>
      </c>
      <c r="AF197" s="13">
        <v>0.74472040399430373</v>
      </c>
      <c r="AG197" s="13">
        <v>0.79213698586809889</v>
      </c>
      <c r="AH197" s="13">
        <v>0.79292912285396688</v>
      </c>
      <c r="AI197" s="13">
        <v>0.79372205197682077</v>
      </c>
      <c r="AJ197" s="13">
        <v>0.79451577402879747</v>
      </c>
      <c r="AK197" s="13">
        <v>0.79531028980282614</v>
      </c>
      <c r="AL197" s="13">
        <v>0.79610560009262887</v>
      </c>
      <c r="AM197" s="13">
        <v>0.79690170569272145</v>
      </c>
      <c r="AN197" s="13">
        <v>0.79769860739841414</v>
      </c>
      <c r="AO197" s="13">
        <v>0.79849630600581245</v>
      </c>
      <c r="AP197" s="13">
        <v>0.79929480231181815</v>
      </c>
      <c r="AQ197" s="13">
        <v>0.80009409711412993</v>
      </c>
      <c r="AR197" s="13">
        <v>0.80089419121124394</v>
      </c>
      <c r="AS197" s="13">
        <v>0.80169508540245515</v>
      </c>
      <c r="AT197" s="13">
        <v>0.80249678048785755</v>
      </c>
      <c r="AU197" s="13">
        <v>0.80329927726834527</v>
      </c>
      <c r="AV197" s="13">
        <v>0.80410257654561357</v>
      </c>
      <c r="AW197" s="13">
        <v>0.80490667912215907</v>
      </c>
      <c r="AX197" s="13">
        <v>0.8057115858012811</v>
      </c>
      <c r="AY197" s="13">
        <v>0.80651729738708233</v>
      </c>
      <c r="AZ197" s="13">
        <v>0.80732381468446934</v>
      </c>
      <c r="BA197" s="13">
        <v>0.80813113849915374</v>
      </c>
      <c r="BB197" s="13">
        <v>0.80893926963765284</v>
      </c>
      <c r="BC197" s="13">
        <v>0.80974820890729038</v>
      </c>
      <c r="BD197" s="13">
        <v>0.8105579571161976</v>
      </c>
      <c r="BE197" s="13">
        <v>0.81136851507331376</v>
      </c>
      <c r="BF197" s="13">
        <v>0.812179883588387</v>
      </c>
    </row>
    <row r="198" spans="1:58" ht="12" customHeight="1" x14ac:dyDescent="0.2">
      <c r="A198" t="s">
        <v>50</v>
      </c>
      <c r="B198" s="13" t="s">
        <v>64</v>
      </c>
      <c r="C198" s="13">
        <v>0.70386527856014591</v>
      </c>
      <c r="D198" s="13">
        <v>0.73192035388826848</v>
      </c>
      <c r="E198" s="13">
        <v>0.71605522799383092</v>
      </c>
      <c r="F198" s="13">
        <v>0.69768136017768534</v>
      </c>
      <c r="G198" s="13">
        <v>0.72477324168092094</v>
      </c>
      <c r="H198" s="13">
        <v>0.76058716730909204</v>
      </c>
      <c r="I198" s="13">
        <v>0.70483919078229929</v>
      </c>
      <c r="J198" s="13">
        <v>0.74513042497967885</v>
      </c>
      <c r="K198" s="13">
        <v>0.69669033070946274</v>
      </c>
      <c r="L198" s="13">
        <v>0.7386820204390071</v>
      </c>
      <c r="M198" s="13">
        <v>0.74309953762732528</v>
      </c>
      <c r="N198" s="13">
        <v>0.77011356769999806</v>
      </c>
      <c r="O198" s="13">
        <v>0.76028786963952566</v>
      </c>
      <c r="P198" s="13">
        <v>0.73708783172166992</v>
      </c>
      <c r="Q198" s="13">
        <v>0.73495396078470832</v>
      </c>
      <c r="R198" s="13">
        <v>0.78729138746211236</v>
      </c>
      <c r="S198" s="13">
        <v>0.75200396836017058</v>
      </c>
      <c r="T198" s="13">
        <v>0.78007313876087159</v>
      </c>
      <c r="U198" s="13">
        <v>0.77832358826383874</v>
      </c>
      <c r="V198" s="13">
        <v>0.75810768101105608</v>
      </c>
      <c r="W198" s="13">
        <v>0.77606157155555378</v>
      </c>
      <c r="X198" s="13">
        <v>0.7854225383929595</v>
      </c>
      <c r="Y198" s="14">
        <v>0.80045202946494431</v>
      </c>
      <c r="Z198" s="14">
        <v>0.80514159899358584</v>
      </c>
      <c r="AA198" s="14">
        <v>0.79257208920244171</v>
      </c>
      <c r="AB198" s="14">
        <v>0.52609079852604168</v>
      </c>
      <c r="AC198" s="13">
        <v>0.25696420765426864</v>
      </c>
      <c r="AD198" s="15">
        <v>0.52096853058673642</v>
      </c>
      <c r="AE198" s="13">
        <v>0.61141251560576626</v>
      </c>
      <c r="AF198" s="13">
        <v>0.7018565006247961</v>
      </c>
      <c r="AG198" s="13">
        <v>0.79230048564382594</v>
      </c>
      <c r="AH198" s="13">
        <v>0.79309278612946965</v>
      </c>
      <c r="AI198" s="13">
        <v>0.79388587891559903</v>
      </c>
      <c r="AJ198" s="13">
        <v>0.79467976479451452</v>
      </c>
      <c r="AK198" s="13">
        <v>0.79547444455930894</v>
      </c>
      <c r="AL198" s="13">
        <v>0.79626991900386812</v>
      </c>
      <c r="AM198" s="13">
        <v>0.79706618892287195</v>
      </c>
      <c r="AN198" s="13">
        <v>0.79786325511179479</v>
      </c>
      <c r="AO198" s="13">
        <v>0.79866111836690645</v>
      </c>
      <c r="AP198" s="13">
        <v>0.79945977948527325</v>
      </c>
      <c r="AQ198" s="13">
        <v>0.80025923926475839</v>
      </c>
      <c r="AR198" s="13">
        <v>0.80105949850402303</v>
      </c>
      <c r="AS198" s="13">
        <v>0.80186055800252698</v>
      </c>
      <c r="AT198" s="13">
        <v>0.80266241856052944</v>
      </c>
      <c r="AU198" s="13">
        <v>0.80346508097908986</v>
      </c>
      <c r="AV198" s="13">
        <v>0.80426854606006881</v>
      </c>
      <c r="AW198" s="13">
        <v>0.80507281460612878</v>
      </c>
      <c r="AX198" s="13">
        <v>0.80587788742073485</v>
      </c>
      <c r="AY198" s="13">
        <v>0.80668376530815544</v>
      </c>
      <c r="AZ198" s="13">
        <v>0.80749044907346346</v>
      </c>
      <c r="BA198" s="13">
        <v>0.80829793952253681</v>
      </c>
      <c r="BB198" s="13">
        <v>0.80910623746205923</v>
      </c>
      <c r="BC198" s="13">
        <v>0.80991534369952123</v>
      </c>
      <c r="BD198" s="13">
        <v>0.81072525904322068</v>
      </c>
      <c r="BE198" s="13">
        <v>0.81153598430226381</v>
      </c>
      <c r="BF198" s="13">
        <v>0.81234752028656598</v>
      </c>
    </row>
    <row r="199" spans="1:58" ht="12" customHeight="1" x14ac:dyDescent="0.2">
      <c r="A199" t="s">
        <v>51</v>
      </c>
      <c r="B199" s="13" t="s">
        <v>64</v>
      </c>
      <c r="C199" s="13">
        <v>0.64156542573712705</v>
      </c>
      <c r="D199" s="13">
        <v>0.67539058607330926</v>
      </c>
      <c r="E199" s="13">
        <v>0.69138060178727168</v>
      </c>
      <c r="F199" s="13">
        <v>0.68625280704532876</v>
      </c>
      <c r="G199" s="13">
        <v>0.73341611573981857</v>
      </c>
      <c r="H199" s="13">
        <v>0.71007188598627424</v>
      </c>
      <c r="I199" s="13">
        <v>0.70656203465015788</v>
      </c>
      <c r="J199" s="13">
        <v>0.73682936656273779</v>
      </c>
      <c r="K199" s="13">
        <v>0.72845217733853895</v>
      </c>
      <c r="L199" s="13">
        <v>0.73322664202442933</v>
      </c>
      <c r="M199" s="13">
        <v>0.69903500224424109</v>
      </c>
      <c r="N199" s="13">
        <v>0.73002302452010592</v>
      </c>
      <c r="O199" s="13">
        <v>0.74037089931690614</v>
      </c>
      <c r="P199" s="13">
        <v>0.73179860105657479</v>
      </c>
      <c r="Q199" s="13">
        <v>0.74072871976294796</v>
      </c>
      <c r="R199" s="13">
        <v>0.646645561297709</v>
      </c>
      <c r="S199" s="13">
        <v>0.75890109622488022</v>
      </c>
      <c r="T199" s="13">
        <v>0.7600035058907334</v>
      </c>
      <c r="U199" s="13">
        <v>0.74348208536190807</v>
      </c>
      <c r="V199" s="13">
        <v>0.78141034273487409</v>
      </c>
      <c r="W199" s="13">
        <v>0.76709089196560254</v>
      </c>
      <c r="X199" s="13">
        <v>0.78716099245750748</v>
      </c>
      <c r="Y199" s="14">
        <v>0.7872405155051726</v>
      </c>
      <c r="Z199" s="14">
        <v>0.78453371682713813</v>
      </c>
      <c r="AA199" s="14">
        <v>0.78621086636412396</v>
      </c>
      <c r="AB199" s="14">
        <v>0.63703494150584472</v>
      </c>
      <c r="AC199" s="13">
        <v>0.23622973661782201</v>
      </c>
      <c r="AD199" s="15">
        <v>0.47893152081421453</v>
      </c>
      <c r="AE199" s="13">
        <v>0.58125554288233439</v>
      </c>
      <c r="AF199" s="13">
        <v>0.68357956495045424</v>
      </c>
      <c r="AG199" s="13">
        <v>0.7859035870185741</v>
      </c>
      <c r="AH199" s="13">
        <v>0.78668949060559257</v>
      </c>
      <c r="AI199" s="13">
        <v>0.78747618009619802</v>
      </c>
      <c r="AJ199" s="13">
        <v>0.78826365627629413</v>
      </c>
      <c r="AK199" s="13">
        <v>0.78905191993257029</v>
      </c>
      <c r="AL199" s="13">
        <v>0.78984097185250279</v>
      </c>
      <c r="AM199" s="13">
        <v>0.79063081282435521</v>
      </c>
      <c r="AN199" s="13">
        <v>0.79142144363717948</v>
      </c>
      <c r="AO199" s="13">
        <v>0.79221286508081656</v>
      </c>
      <c r="AP199" s="13">
        <v>0.79300507794589725</v>
      </c>
      <c r="AQ199" s="13">
        <v>0.79379808302384303</v>
      </c>
      <c r="AR199" s="13">
        <v>0.79459188110686674</v>
      </c>
      <c r="AS199" s="13">
        <v>0.79538647298797349</v>
      </c>
      <c r="AT199" s="13">
        <v>0.79618185946096143</v>
      </c>
      <c r="AU199" s="13">
        <v>0.79697804132042227</v>
      </c>
      <c r="AV199" s="13">
        <v>0.79777501936174255</v>
      </c>
      <c r="AW199" s="13">
        <v>0.79857279438110418</v>
      </c>
      <c r="AX199" s="13">
        <v>0.79937136717548518</v>
      </c>
      <c r="AY199" s="13">
        <v>0.80017073854266063</v>
      </c>
      <c r="AZ199" s="13">
        <v>0.80097090928120318</v>
      </c>
      <c r="BA199" s="13">
        <v>0.80177188019048429</v>
      </c>
      <c r="BB199" s="13">
        <v>0.80257365207067466</v>
      </c>
      <c r="BC199" s="13">
        <v>0.80337622572274525</v>
      </c>
      <c r="BD199" s="13">
        <v>0.80417960194846794</v>
      </c>
      <c r="BE199" s="13">
        <v>0.80498378155041628</v>
      </c>
      <c r="BF199" s="13">
        <v>0.80578876533196664</v>
      </c>
    </row>
    <row r="200" spans="1:58" ht="12" customHeight="1" x14ac:dyDescent="0.2">
      <c r="A200" t="s">
        <v>52</v>
      </c>
      <c r="B200" s="13" t="s">
        <v>64</v>
      </c>
      <c r="C200" s="13">
        <v>0.6309278877418053</v>
      </c>
      <c r="D200" s="13">
        <v>0.67293828761464591</v>
      </c>
      <c r="E200" s="13">
        <v>0.66011322161858532</v>
      </c>
      <c r="F200" s="13">
        <v>0.63631440242239679</v>
      </c>
      <c r="G200" s="13">
        <v>0.73029356419730751</v>
      </c>
      <c r="H200" s="13">
        <v>0.73065130172654214</v>
      </c>
      <c r="I200" s="13">
        <v>0.71185599560475743</v>
      </c>
      <c r="J200" s="13">
        <v>0.71878664273412496</v>
      </c>
      <c r="K200" s="13">
        <v>0.72289274896330957</v>
      </c>
      <c r="L200" s="13">
        <v>0.75306649809749204</v>
      </c>
      <c r="M200" s="13">
        <v>0.76939473400700908</v>
      </c>
      <c r="N200" s="13">
        <v>0.76210084383804144</v>
      </c>
      <c r="O200" s="13">
        <v>0.7482049330345093</v>
      </c>
      <c r="P200" s="13">
        <v>0.73611441588186632</v>
      </c>
      <c r="Q200" s="13">
        <v>0.72754514892521771</v>
      </c>
      <c r="R200" s="13">
        <v>0.77725273859977084</v>
      </c>
      <c r="S200" s="13">
        <v>0.764517189172219</v>
      </c>
      <c r="T200" s="13">
        <v>0.77598048399151198</v>
      </c>
      <c r="U200" s="13">
        <v>0.75565380128291393</v>
      </c>
      <c r="V200" s="13">
        <v>0.74519534303729085</v>
      </c>
      <c r="W200" s="13">
        <v>0.77732999464364239</v>
      </c>
      <c r="X200" s="13">
        <v>0.79619690253245867</v>
      </c>
      <c r="Y200" s="14">
        <v>0.80103166843581697</v>
      </c>
      <c r="Z200" s="14">
        <v>0.81117606508449525</v>
      </c>
      <c r="AA200" s="14">
        <v>0.81748015815157626</v>
      </c>
      <c r="AB200" s="14">
        <v>0.52721085288844149</v>
      </c>
      <c r="AC200" s="13">
        <v>0.34800001899809913</v>
      </c>
      <c r="AD200" s="15">
        <v>0.70553428509203664</v>
      </c>
      <c r="AE200" s="13">
        <v>0.74281226082086338</v>
      </c>
      <c r="AF200" s="13">
        <v>0.78009023654969012</v>
      </c>
      <c r="AG200" s="13">
        <v>0.81736821227851686</v>
      </c>
      <c r="AH200" s="13">
        <v>0.81818558049079526</v>
      </c>
      <c r="AI200" s="13">
        <v>0.819003766071286</v>
      </c>
      <c r="AJ200" s="13">
        <v>0.81982276983735725</v>
      </c>
      <c r="AK200" s="13">
        <v>0.82064259260719452</v>
      </c>
      <c r="AL200" s="13">
        <v>0.82146323519980158</v>
      </c>
      <c r="AM200" s="13">
        <v>0.82228469843500129</v>
      </c>
      <c r="AN200" s="13">
        <v>0.82310698313343622</v>
      </c>
      <c r="AO200" s="13">
        <v>0.82393009011656959</v>
      </c>
      <c r="AP200" s="13">
        <v>0.82475402020668609</v>
      </c>
      <c r="AQ200" s="13">
        <v>0.82557877422689263</v>
      </c>
      <c r="AR200" s="13">
        <v>0.82640435300111947</v>
      </c>
      <c r="AS200" s="13">
        <v>0.82723075735412055</v>
      </c>
      <c r="AT200" s="13">
        <v>0.82805798811147457</v>
      </c>
      <c r="AU200" s="13">
        <v>0.82888604609958594</v>
      </c>
      <c r="AV200" s="13">
        <v>0.82971493214568548</v>
      </c>
      <c r="AW200" s="13">
        <v>0.83054464707783104</v>
      </c>
      <c r="AX200" s="13">
        <v>0.83137519172490881</v>
      </c>
      <c r="AY200" s="13">
        <v>0.83220656691663364</v>
      </c>
      <c r="AZ200" s="13">
        <v>0.83303877348355015</v>
      </c>
      <c r="BA200" s="13">
        <v>0.83387181225703366</v>
      </c>
      <c r="BB200" s="13">
        <v>0.83470568406929058</v>
      </c>
      <c r="BC200" s="13">
        <v>0.83554038975335976</v>
      </c>
      <c r="BD200" s="13">
        <v>0.83637593014311307</v>
      </c>
      <c r="BE200" s="13">
        <v>0.83721230607325614</v>
      </c>
      <c r="BF200" s="13">
        <v>0.83804951837932928</v>
      </c>
    </row>
    <row r="201" spans="1:58" ht="12" customHeight="1" x14ac:dyDescent="0.2">
      <c r="A201" t="s">
        <v>53</v>
      </c>
      <c r="B201" s="13" t="s">
        <v>64</v>
      </c>
      <c r="C201" s="13">
        <v>0.58536152342617931</v>
      </c>
      <c r="D201" s="13">
        <v>0.60123568471054945</v>
      </c>
      <c r="E201" s="13">
        <v>0.63493984662256131</v>
      </c>
      <c r="F201" s="13">
        <v>0.59137105862079431</v>
      </c>
      <c r="G201" s="13">
        <v>0.55018670395938629</v>
      </c>
      <c r="H201" s="13">
        <v>0.60458358170337245</v>
      </c>
      <c r="I201" s="13">
        <v>0.60935367137564922</v>
      </c>
      <c r="J201" s="13">
        <v>0.62707164184545794</v>
      </c>
      <c r="K201" s="13">
        <v>0.62140068881295396</v>
      </c>
      <c r="L201" s="13">
        <v>0.63789242610332864</v>
      </c>
      <c r="M201" s="13">
        <v>0.67083102091136781</v>
      </c>
      <c r="N201" s="13">
        <v>0.67777298908989003</v>
      </c>
      <c r="O201" s="13">
        <v>0.62727352807067693</v>
      </c>
      <c r="P201" s="13">
        <v>0.67246592318451803</v>
      </c>
      <c r="Q201" s="13">
        <v>0.65459187229983784</v>
      </c>
      <c r="R201" s="13">
        <v>0.7085079126212096</v>
      </c>
      <c r="S201" s="13">
        <v>0.70069754128758122</v>
      </c>
      <c r="T201" s="13">
        <v>0.72700190840185996</v>
      </c>
      <c r="U201" s="13">
        <v>0.73929066221981021</v>
      </c>
      <c r="V201" s="13">
        <v>0.69886852181735848</v>
      </c>
      <c r="W201" s="13">
        <v>0.73497305702429938</v>
      </c>
      <c r="X201" s="13">
        <v>0.73017480005290802</v>
      </c>
      <c r="Y201" s="14">
        <v>0.7710515684228415</v>
      </c>
      <c r="Z201" s="14">
        <v>0.79952687226838437</v>
      </c>
      <c r="AA201" s="14">
        <v>0.79708585650176766</v>
      </c>
      <c r="AB201" s="14">
        <v>0.70093934555977722</v>
      </c>
      <c r="AC201" s="13">
        <v>0.55442409167478757</v>
      </c>
      <c r="AD201" s="15">
        <v>0.55442409167478757</v>
      </c>
      <c r="AE201" s="13">
        <v>0.63523045936217193</v>
      </c>
      <c r="AF201" s="13">
        <v>0.71603682704955629</v>
      </c>
      <c r="AG201" s="13">
        <v>0.79684319473694065</v>
      </c>
      <c r="AH201" s="13">
        <v>0.79764003793167748</v>
      </c>
      <c r="AI201" s="13">
        <v>0.79843767796960907</v>
      </c>
      <c r="AJ201" s="13">
        <v>0.79923611564757857</v>
      </c>
      <c r="AK201" s="13">
        <v>0.80003535176322604</v>
      </c>
      <c r="AL201" s="13">
        <v>0.80083538711498914</v>
      </c>
      <c r="AM201" s="13">
        <v>0.80163622250210409</v>
      </c>
      <c r="AN201" s="13">
        <v>0.80243785872460616</v>
      </c>
      <c r="AO201" s="13">
        <v>0.80324029658333063</v>
      </c>
      <c r="AP201" s="13">
        <v>0.80404353687991392</v>
      </c>
      <c r="AQ201" s="13">
        <v>0.80484758041679372</v>
      </c>
      <c r="AR201" s="13">
        <v>0.80565242799721037</v>
      </c>
      <c r="AS201" s="13">
        <v>0.8064580804252075</v>
      </c>
      <c r="AT201" s="13">
        <v>0.80726453850563262</v>
      </c>
      <c r="AU201" s="13">
        <v>0.80807180304413817</v>
      </c>
      <c r="AV201" s="13">
        <v>0.80887987484718227</v>
      </c>
      <c r="AW201" s="13">
        <v>0.80968875472202939</v>
      </c>
      <c r="AX201" s="13">
        <v>0.81049844347675137</v>
      </c>
      <c r="AY201" s="13">
        <v>0.81130894192022807</v>
      </c>
      <c r="AZ201" s="13">
        <v>0.81212025086214823</v>
      </c>
      <c r="BA201" s="13">
        <v>0.81293237111301031</v>
      </c>
      <c r="BB201" s="13">
        <v>0.81374530348412322</v>
      </c>
      <c r="BC201" s="13">
        <v>0.81455904878760721</v>
      </c>
      <c r="BD201" s="13">
        <v>0.81537360783639468</v>
      </c>
      <c r="BE201" s="13">
        <v>0.81618898144423102</v>
      </c>
      <c r="BF201" s="13">
        <v>0.81700517042567511</v>
      </c>
    </row>
    <row r="202" spans="1:58" ht="12" customHeight="1" x14ac:dyDescent="0.2">
      <c r="A202" t="s">
        <v>54</v>
      </c>
      <c r="B202" s="13" t="s">
        <v>64</v>
      </c>
      <c r="C202" s="13">
        <v>0.51665796497157301</v>
      </c>
      <c r="D202" s="13">
        <v>0.54165969924304114</v>
      </c>
      <c r="E202" s="13">
        <v>0.5560601292298295</v>
      </c>
      <c r="F202" s="13">
        <v>0.5797489663209392</v>
      </c>
      <c r="G202" s="13">
        <v>0.47721608157619566</v>
      </c>
      <c r="H202" s="13">
        <v>0.51137794695626071</v>
      </c>
      <c r="I202" s="13">
        <v>0.52449361362670321</v>
      </c>
      <c r="J202" s="13">
        <v>0.53943086636396043</v>
      </c>
      <c r="K202" s="13">
        <v>0.61323956476077546</v>
      </c>
      <c r="L202" s="13">
        <v>0.66451265883227362</v>
      </c>
      <c r="M202" s="13">
        <v>0.65613228121411782</v>
      </c>
      <c r="N202" s="13">
        <v>0.64987160121226073</v>
      </c>
      <c r="O202" s="13">
        <v>0.67244129210170789</v>
      </c>
      <c r="P202" s="13">
        <v>0.65510587676477894</v>
      </c>
      <c r="Q202" s="13">
        <v>0.57635539356654086</v>
      </c>
      <c r="R202" s="13">
        <v>0.65129351766607047</v>
      </c>
      <c r="S202" s="13">
        <v>0.67254049952726969</v>
      </c>
      <c r="T202" s="13">
        <v>0.70442727748267797</v>
      </c>
      <c r="U202" s="13">
        <v>0.70039958068165131</v>
      </c>
      <c r="V202" s="13">
        <v>0.70662636234083009</v>
      </c>
      <c r="W202" s="13">
        <v>0.70800433943741792</v>
      </c>
      <c r="X202" s="13">
        <v>0.71759185867501507</v>
      </c>
      <c r="Y202" s="14">
        <v>0.75522612685341484</v>
      </c>
      <c r="Z202" s="14">
        <v>0.76690839724068127</v>
      </c>
      <c r="AA202" s="14">
        <v>0.79542404776602427</v>
      </c>
      <c r="AB202" s="14">
        <v>0.64505977614276577</v>
      </c>
      <c r="AC202" s="13">
        <v>0.72544984000554946</v>
      </c>
      <c r="AD202" s="15">
        <v>0.72544984000554946</v>
      </c>
      <c r="AE202" s="13">
        <v>0.74875125118978758</v>
      </c>
      <c r="AF202" s="13">
        <v>0.7720526623740257</v>
      </c>
      <c r="AG202" s="13">
        <v>0.79535407355826382</v>
      </c>
      <c r="AH202" s="13">
        <v>0.79614942763182195</v>
      </c>
      <c r="AI202" s="13">
        <v>0.79694557705945368</v>
      </c>
      <c r="AJ202" s="13">
        <v>0.79774252263651302</v>
      </c>
      <c r="AK202" s="13">
        <v>0.79854026515914944</v>
      </c>
      <c r="AL202" s="13">
        <v>0.79933880542430846</v>
      </c>
      <c r="AM202" s="13">
        <v>0.80013814422973273</v>
      </c>
      <c r="AN202" s="13">
        <v>0.80093828237396236</v>
      </c>
      <c r="AO202" s="13">
        <v>0.80173922065633618</v>
      </c>
      <c r="AP202" s="13">
        <v>0.80254095987699248</v>
      </c>
      <c r="AQ202" s="13">
        <v>0.80334350083686934</v>
      </c>
      <c r="AR202" s="13">
        <v>0.80414684433770611</v>
      </c>
      <c r="AS202" s="13">
        <v>0.80495099118204372</v>
      </c>
      <c r="AT202" s="13">
        <v>0.80575594217322566</v>
      </c>
      <c r="AU202" s="13">
        <v>0.8065616981153988</v>
      </c>
      <c r="AV202" s="13">
        <v>0.80736825981351412</v>
      </c>
      <c r="AW202" s="13">
        <v>0.80817562807332755</v>
      </c>
      <c r="AX202" s="13">
        <v>0.80898380370140077</v>
      </c>
      <c r="AY202" s="13">
        <v>0.80979278750510209</v>
      </c>
      <c r="AZ202" s="13">
        <v>0.81060258029260712</v>
      </c>
      <c r="BA202" s="13">
        <v>0.81141318287289965</v>
      </c>
      <c r="BB202" s="13">
        <v>0.81222459605577246</v>
      </c>
      <c r="BC202" s="13">
        <v>0.81303682065182814</v>
      </c>
      <c r="BD202" s="13">
        <v>0.81384985747247984</v>
      </c>
      <c r="BE202" s="13">
        <v>0.81466370732995219</v>
      </c>
      <c r="BF202" s="13">
        <v>0.81547837103728205</v>
      </c>
    </row>
    <row r="203" spans="1:58" ht="12" customHeight="1" x14ac:dyDescent="0.2">
      <c r="A203" t="s">
        <v>55</v>
      </c>
      <c r="B203" s="13" t="s">
        <v>64</v>
      </c>
      <c r="C203" s="13">
        <v>0.64473163431712188</v>
      </c>
      <c r="D203" s="13">
        <v>0.67639906568783947</v>
      </c>
      <c r="E203" s="13">
        <v>0.67825902970039842</v>
      </c>
      <c r="F203" s="13">
        <v>0.64048411982743347</v>
      </c>
      <c r="G203" s="13">
        <v>0.66753487930258459</v>
      </c>
      <c r="H203" s="13">
        <v>0.71376847909218433</v>
      </c>
      <c r="I203" s="13">
        <v>0.73256675457941356</v>
      </c>
      <c r="J203" s="13">
        <v>0.7159030540070791</v>
      </c>
      <c r="K203" s="13">
        <v>0.64686498076174437</v>
      </c>
      <c r="L203" s="13">
        <v>0.68966301608684921</v>
      </c>
      <c r="M203" s="13">
        <v>0.70241647658818807</v>
      </c>
      <c r="N203" s="13">
        <v>0.73139938774929358</v>
      </c>
      <c r="O203" s="13">
        <v>0.72953789712899941</v>
      </c>
      <c r="P203" s="13">
        <v>0.68538928966829094</v>
      </c>
      <c r="Q203" s="13">
        <v>0.71737862951717168</v>
      </c>
      <c r="R203" s="13">
        <v>0.7775391367861676</v>
      </c>
      <c r="S203" s="13">
        <v>0.7716719342757854</v>
      </c>
      <c r="T203" s="13">
        <v>0.775349105648373</v>
      </c>
      <c r="U203" s="13">
        <v>0.78570456740261574</v>
      </c>
      <c r="V203" s="13">
        <v>0.782263722527057</v>
      </c>
      <c r="W203" s="13">
        <v>0.79330514684817643</v>
      </c>
      <c r="X203" s="13">
        <v>0.78620332780026037</v>
      </c>
      <c r="Y203" s="14">
        <v>0.79528872048727661</v>
      </c>
      <c r="Z203" s="14">
        <v>0.803707812345136</v>
      </c>
      <c r="AA203" s="14">
        <v>0.79852979460513052</v>
      </c>
      <c r="AB203" s="14">
        <v>0.58421808736897962</v>
      </c>
      <c r="AC203" s="13">
        <v>0.30498371624904952</v>
      </c>
      <c r="AD203" s="15">
        <v>0.61832315075149769</v>
      </c>
      <c r="AE203" s="13">
        <v>0.67833196315475741</v>
      </c>
      <c r="AF203" s="13">
        <v>0.73834077555801714</v>
      </c>
      <c r="AG203" s="13">
        <v>0.79834958796127686</v>
      </c>
      <c r="AH203" s="13">
        <v>0.79914793754923807</v>
      </c>
      <c r="AI203" s="13">
        <v>0.79994708548678728</v>
      </c>
      <c r="AJ203" s="13">
        <v>0.80074703257227398</v>
      </c>
      <c r="AK203" s="13">
        <v>0.80154777960484613</v>
      </c>
      <c r="AL203" s="13">
        <v>0.80234932738445086</v>
      </c>
      <c r="AM203" s="13">
        <v>0.80315167671183518</v>
      </c>
      <c r="AN203" s="13">
        <v>0.80395482838854693</v>
      </c>
      <c r="AO203" s="13">
        <v>0.80475878321693539</v>
      </c>
      <c r="AP203" s="13">
        <v>0.80556354200015223</v>
      </c>
      <c r="AQ203" s="13">
        <v>0.80636910554215224</v>
      </c>
      <c r="AR203" s="13">
        <v>0.80717547464769435</v>
      </c>
      <c r="AS203" s="13">
        <v>0.80798265012234194</v>
      </c>
      <c r="AT203" s="13">
        <v>0.80879063277246421</v>
      </c>
      <c r="AU203" s="13">
        <v>0.80959942340523661</v>
      </c>
      <c r="AV203" s="13">
        <v>0.8104090228286418</v>
      </c>
      <c r="AW203" s="13">
        <v>0.81121943185147039</v>
      </c>
      <c r="AX203" s="13">
        <v>0.81203065128332175</v>
      </c>
      <c r="AY203" s="13">
        <v>0.81284268193460496</v>
      </c>
      <c r="AZ203" s="13">
        <v>0.81365552461653945</v>
      </c>
      <c r="BA203" s="13">
        <v>0.81446918014115588</v>
      </c>
      <c r="BB203" s="13">
        <v>0.81528364932129693</v>
      </c>
      <c r="BC203" s="13">
        <v>0.81609893297061809</v>
      </c>
      <c r="BD203" s="13">
        <v>0.81691503190358861</v>
      </c>
      <c r="BE203" s="13">
        <v>0.81773194693549212</v>
      </c>
      <c r="BF203" s="13">
        <v>0.81854967888242747</v>
      </c>
    </row>
    <row r="204" spans="1:58" ht="12" customHeight="1" x14ac:dyDescent="0.2">
      <c r="A204" t="s">
        <v>56</v>
      </c>
      <c r="B204" s="13" t="s">
        <v>64</v>
      </c>
      <c r="C204" s="13">
        <v>0.72975331506671837</v>
      </c>
      <c r="D204" s="13">
        <v>0.71451084447738378</v>
      </c>
      <c r="E204" s="13">
        <v>0.74700122595918517</v>
      </c>
      <c r="F204" s="13">
        <v>0.67720779611693349</v>
      </c>
      <c r="G204" s="13">
        <v>0.78343515780340767</v>
      </c>
      <c r="H204" s="13">
        <v>0.79025004918598574</v>
      </c>
      <c r="I204" s="13">
        <v>0.73471756129977273</v>
      </c>
      <c r="J204" s="13">
        <v>0.75356138949394802</v>
      </c>
      <c r="K204" s="13">
        <v>0.78829291037929539</v>
      </c>
      <c r="L204" s="13">
        <v>0.77025618055941925</v>
      </c>
      <c r="M204" s="13">
        <v>0.73329347080397156</v>
      </c>
      <c r="N204" s="13">
        <v>0.75896076789443223</v>
      </c>
      <c r="O204" s="13">
        <v>0.76422807321647679</v>
      </c>
      <c r="P204" s="13">
        <v>0.68202192977822784</v>
      </c>
      <c r="Q204" s="13">
        <v>0.69664110586451056</v>
      </c>
      <c r="R204" s="13">
        <v>0.72723575787892192</v>
      </c>
      <c r="S204" s="13">
        <v>0.78029626213344494</v>
      </c>
      <c r="T204" s="13">
        <v>0.80203506485694476</v>
      </c>
      <c r="U204" s="13">
        <v>0.79372189632412127</v>
      </c>
      <c r="V204" s="13">
        <v>0.80403750761498805</v>
      </c>
      <c r="W204" s="13">
        <v>0.80751513219300242</v>
      </c>
      <c r="X204" s="13">
        <v>0.79490950484720091</v>
      </c>
      <c r="Y204" s="14">
        <v>0.7955852625965022</v>
      </c>
      <c r="Z204" s="14">
        <v>0.80802951456124583</v>
      </c>
      <c r="AA204" s="14">
        <v>0.81215053956722094</v>
      </c>
      <c r="AB204" s="14">
        <v>0.68014047494355534</v>
      </c>
      <c r="AC204" s="13">
        <v>0.54018227830642596</v>
      </c>
      <c r="AD204" s="15">
        <v>0.61583805958183568</v>
      </c>
      <c r="AE204" s="13">
        <v>0.68121011541696896</v>
      </c>
      <c r="AF204" s="13">
        <v>0.74658217125210224</v>
      </c>
      <c r="AG204" s="13">
        <v>0.81195422708723552</v>
      </c>
      <c r="AH204" s="13">
        <v>0.81276618131432266</v>
      </c>
      <c r="AI204" s="13">
        <v>0.81357894749563686</v>
      </c>
      <c r="AJ204" s="13">
        <v>0.81439252644313243</v>
      </c>
      <c r="AK204" s="13">
        <v>0.81520691896957542</v>
      </c>
      <c r="AL204" s="13">
        <v>0.81602212588854495</v>
      </c>
      <c r="AM204" s="13">
        <v>0.81683814801443344</v>
      </c>
      <c r="AN204" s="13">
        <v>0.81765498616244781</v>
      </c>
      <c r="AO204" s="13">
        <v>0.81847264114861018</v>
      </c>
      <c r="AP204" s="13">
        <v>0.81929111378975872</v>
      </c>
      <c r="AQ204" s="13">
        <v>0.82011040490354836</v>
      </c>
      <c r="AR204" s="13">
        <v>0.82093051530845185</v>
      </c>
      <c r="AS204" s="13">
        <v>0.82175144582376025</v>
      </c>
      <c r="AT204" s="13">
        <v>0.82257319726958389</v>
      </c>
      <c r="AU204" s="13">
        <v>0.82339577046685342</v>
      </c>
      <c r="AV204" s="13">
        <v>0.82421916623732017</v>
      </c>
      <c r="AW204" s="13">
        <v>0.82504338540355737</v>
      </c>
      <c r="AX204" s="13">
        <v>0.82586842878896083</v>
      </c>
      <c r="AY204" s="13">
        <v>0.82669429721774967</v>
      </c>
      <c r="AZ204" s="13">
        <v>0.82752099151496739</v>
      </c>
      <c r="BA204" s="13">
        <v>0.82834851250648223</v>
      </c>
      <c r="BB204" s="13">
        <v>0.82917686101898858</v>
      </c>
      <c r="BC204" s="13">
        <v>0.83000603788000749</v>
      </c>
      <c r="BD204" s="13">
        <v>0.83083604391788746</v>
      </c>
      <c r="BE204" s="13">
        <v>0.83166687996180522</v>
      </c>
      <c r="BF204" s="13">
        <v>0.83249854684176694</v>
      </c>
    </row>
    <row r="205" spans="1:58" ht="12" customHeight="1" x14ac:dyDescent="0.2">
      <c r="A205" t="s">
        <v>57</v>
      </c>
      <c r="B205" s="13" t="s">
        <v>64</v>
      </c>
      <c r="C205" s="13">
        <v>0.69663260291711215</v>
      </c>
      <c r="D205" s="13">
        <v>0.73465675556311894</v>
      </c>
      <c r="E205" s="13">
        <v>0.70193177636710447</v>
      </c>
      <c r="F205" s="13">
        <v>0.70100469028478674</v>
      </c>
      <c r="G205" s="13">
        <v>0.74866763754111709</v>
      </c>
      <c r="H205" s="13">
        <v>0.7616937450235014</v>
      </c>
      <c r="I205" s="13">
        <v>0.7334600555947639</v>
      </c>
      <c r="J205" s="13">
        <v>0.72232919925367911</v>
      </c>
      <c r="K205" s="13">
        <v>0.71476348500846132</v>
      </c>
      <c r="L205" s="13">
        <v>0.74579438132266929</v>
      </c>
      <c r="M205" s="13">
        <v>0.74259349316084755</v>
      </c>
      <c r="N205" s="13">
        <v>0.77901199220332829</v>
      </c>
      <c r="O205" s="13">
        <v>0.75434498184434562</v>
      </c>
      <c r="P205" s="13">
        <v>0.75132010330516819</v>
      </c>
      <c r="Q205" s="13">
        <v>0.7329828378816674</v>
      </c>
      <c r="R205" s="13">
        <v>0.70177439938692698</v>
      </c>
      <c r="S205" s="13">
        <v>0.76305082432920035</v>
      </c>
      <c r="T205" s="13">
        <v>0.78504230404245401</v>
      </c>
      <c r="U205" s="13">
        <v>0.77469169943090599</v>
      </c>
      <c r="V205" s="13">
        <v>0.75691597537992161</v>
      </c>
      <c r="W205" s="13">
        <v>0.77342109411337168</v>
      </c>
      <c r="X205" s="13">
        <v>0.77201827162819148</v>
      </c>
      <c r="Y205" s="14">
        <v>0.78767167552544259</v>
      </c>
      <c r="Z205" s="14">
        <v>0.78926344413091631</v>
      </c>
      <c r="AA205" s="14">
        <v>0.79856000881955036</v>
      </c>
      <c r="AB205" s="14">
        <v>0.60662867523378028</v>
      </c>
      <c r="AC205" s="13">
        <v>0.36921576102826525</v>
      </c>
      <c r="AD205" s="15">
        <v>0.74854702235867476</v>
      </c>
      <c r="AE205" s="13">
        <v>0.76520134685014629</v>
      </c>
      <c r="AF205" s="13">
        <v>0.78185567134161782</v>
      </c>
      <c r="AG205" s="13">
        <v>0.79850999583308935</v>
      </c>
      <c r="AH205" s="13">
        <v>0.79930850582892232</v>
      </c>
      <c r="AI205" s="13">
        <v>0.8001078143347512</v>
      </c>
      <c r="AJ205" s="13">
        <v>0.8009079221490859</v>
      </c>
      <c r="AK205" s="13">
        <v>0.80170883007123495</v>
      </c>
      <c r="AL205" s="13">
        <v>0.80251053890130608</v>
      </c>
      <c r="AM205" s="13">
        <v>0.80331304944020732</v>
      </c>
      <c r="AN205" s="13">
        <v>0.80411636248964746</v>
      </c>
      <c r="AO205" s="13">
        <v>0.80492047885213702</v>
      </c>
      <c r="AP205" s="13">
        <v>0.80572539933098908</v>
      </c>
      <c r="AQ205" s="13">
        <v>0.80653112473031996</v>
      </c>
      <c r="AR205" s="13">
        <v>0.80733765585505024</v>
      </c>
      <c r="AS205" s="13">
        <v>0.80814499351090519</v>
      </c>
      <c r="AT205" s="13">
        <v>0.80895313850441597</v>
      </c>
      <c r="AU205" s="13">
        <v>0.80976209164292035</v>
      </c>
      <c r="AV205" s="13">
        <v>0.8105718537345632</v>
      </c>
      <c r="AW205" s="13">
        <v>0.81138242558829765</v>
      </c>
      <c r="AX205" s="13">
        <v>0.81219380801388585</v>
      </c>
      <c r="AY205" s="13">
        <v>0.81300600182189964</v>
      </c>
      <c r="AZ205" s="13">
        <v>0.81381900782372141</v>
      </c>
      <c r="BA205" s="13">
        <v>0.81463282683154503</v>
      </c>
      <c r="BB205" s="13">
        <v>0.81544745965837651</v>
      </c>
      <c r="BC205" s="13">
        <v>0.81626290711803484</v>
      </c>
      <c r="BD205" s="13">
        <v>0.81707917002515273</v>
      </c>
      <c r="BE205" s="13">
        <v>0.81789624919517778</v>
      </c>
      <c r="BF205" s="13">
        <v>0.81871414544437282</v>
      </c>
    </row>
    <row r="206" spans="1:58" ht="12" customHeight="1" x14ac:dyDescent="0.2">
      <c r="A206" t="s">
        <v>58</v>
      </c>
      <c r="B206" s="13" t="s">
        <v>64</v>
      </c>
      <c r="C206" s="13">
        <v>0.61897131664050009</v>
      </c>
      <c r="D206" s="13">
        <v>0.62165467386048656</v>
      </c>
      <c r="E206" s="13">
        <v>0.60423206536533747</v>
      </c>
      <c r="F206" s="13">
        <v>0.59091675704392843</v>
      </c>
      <c r="G206" s="13">
        <v>0.64110514699338872</v>
      </c>
      <c r="H206" s="13">
        <v>0.63203384990349221</v>
      </c>
      <c r="I206" s="13">
        <v>0.65876215625836299</v>
      </c>
      <c r="J206" s="13">
        <v>0.60825128179242516</v>
      </c>
      <c r="K206" s="13">
        <v>0.66890663165959019</v>
      </c>
      <c r="L206" s="13">
        <v>0.68640667377071429</v>
      </c>
      <c r="M206" s="13">
        <v>0.70125560964549516</v>
      </c>
      <c r="N206" s="13">
        <v>0.71808646272719412</v>
      </c>
      <c r="O206" s="13">
        <v>0.66333703229812502</v>
      </c>
      <c r="P206" s="13">
        <v>0.67600208037169762</v>
      </c>
      <c r="Q206" s="13">
        <v>0.67214768039420403</v>
      </c>
      <c r="R206" s="13">
        <v>0.72619112777909045</v>
      </c>
      <c r="S206" s="13">
        <v>0.74441096391910222</v>
      </c>
      <c r="T206" s="13">
        <v>0.75658033250403178</v>
      </c>
      <c r="U206" s="13">
        <v>0.75857946717105329</v>
      </c>
      <c r="V206" s="13">
        <v>0.7582895099421002</v>
      </c>
      <c r="W206" s="13">
        <v>0.73398941978791332</v>
      </c>
      <c r="X206" s="13">
        <v>0.73134681315006023</v>
      </c>
      <c r="Y206" s="14">
        <v>0.72948097299707915</v>
      </c>
      <c r="Z206" s="14">
        <v>0.73792606500569902</v>
      </c>
      <c r="AA206" s="14">
        <v>0.7512248717762301</v>
      </c>
      <c r="AB206" s="14">
        <v>0.57371879008907856</v>
      </c>
      <c r="AC206" s="13">
        <v>0.45248575511480643</v>
      </c>
      <c r="AD206" s="15">
        <v>0.754</v>
      </c>
      <c r="AE206" s="13">
        <v>0.754</v>
      </c>
      <c r="AF206" s="13">
        <v>0.754</v>
      </c>
      <c r="AG206" s="13">
        <v>0.754</v>
      </c>
      <c r="AH206" s="13">
        <v>0.75475399999999992</v>
      </c>
      <c r="AI206" s="13">
        <v>0.75550875399999984</v>
      </c>
      <c r="AJ206" s="13">
        <v>0.75626426275399972</v>
      </c>
      <c r="AK206" s="13">
        <v>0.7570205270167536</v>
      </c>
      <c r="AL206" s="13">
        <v>0.75777754754377025</v>
      </c>
      <c r="AM206" s="13">
        <v>0.75853532509131394</v>
      </c>
      <c r="AN206" s="13">
        <v>0.75929386041640512</v>
      </c>
      <c r="AO206" s="13">
        <v>0.76005315427682141</v>
      </c>
      <c r="AP206" s="13">
        <v>0.76081320743109815</v>
      </c>
      <c r="AQ206" s="13">
        <v>0.76157402063852919</v>
      </c>
      <c r="AR206" s="13">
        <v>0.76233559465916767</v>
      </c>
      <c r="AS206" s="13">
        <v>0.76309793025382677</v>
      </c>
      <c r="AT206" s="13">
        <v>0.76386102818408053</v>
      </c>
      <c r="AU206" s="13">
        <v>0.76462488921226457</v>
      </c>
      <c r="AV206" s="13">
        <v>0.76538951410147671</v>
      </c>
      <c r="AW206" s="13">
        <v>0.76615490361557814</v>
      </c>
      <c r="AX206" s="13">
        <v>0.76692105851919368</v>
      </c>
      <c r="AY206" s="13">
        <v>0.76768797957771273</v>
      </c>
      <c r="AZ206" s="13">
        <v>0.76845566755729033</v>
      </c>
      <c r="BA206" s="13">
        <v>0.76922412322484757</v>
      </c>
      <c r="BB206" s="13">
        <v>0.76999334734807234</v>
      </c>
      <c r="BC206" s="13">
        <v>0.7707633406954203</v>
      </c>
      <c r="BD206" s="13">
        <v>0.77153410403611566</v>
      </c>
      <c r="BE206" s="13">
        <v>0.77230563814015174</v>
      </c>
      <c r="BF206" s="13">
        <v>0.77307794377829175</v>
      </c>
    </row>
    <row r="207" spans="1:58" ht="12" customHeight="1" x14ac:dyDescent="0.2">
      <c r="A207" t="s">
        <v>59</v>
      </c>
      <c r="B207" s="13" t="s">
        <v>64</v>
      </c>
      <c r="C207" s="13">
        <v>0.70840259123060256</v>
      </c>
      <c r="D207" s="13">
        <v>0.69537136132389676</v>
      </c>
      <c r="E207" s="13">
        <v>0.72164164618020243</v>
      </c>
      <c r="F207" s="13">
        <v>0.70442090075731412</v>
      </c>
      <c r="G207" s="13">
        <v>0.70927162679927269</v>
      </c>
      <c r="H207" s="13">
        <v>0.71236872788289074</v>
      </c>
      <c r="I207" s="13">
        <v>0.76167967190199592</v>
      </c>
      <c r="J207" s="13">
        <v>0.73423865871560612</v>
      </c>
      <c r="K207" s="13">
        <v>0.75732589720226717</v>
      </c>
      <c r="L207" s="13">
        <v>0.75834148538649937</v>
      </c>
      <c r="M207" s="13">
        <v>0.74436347470627739</v>
      </c>
      <c r="N207" s="13">
        <v>0.73334535885717267</v>
      </c>
      <c r="O207" s="13">
        <v>0.72043035794074628</v>
      </c>
      <c r="P207" s="13">
        <v>0.76000151351342293</v>
      </c>
      <c r="Q207" s="13">
        <v>0.7453044880523223</v>
      </c>
      <c r="R207" s="13">
        <v>0.70356099524825666</v>
      </c>
      <c r="S207" s="13">
        <v>0.71207418442738157</v>
      </c>
      <c r="T207" s="13">
        <v>0.72459094974673532</v>
      </c>
      <c r="U207" s="13">
        <v>0.71227483339566633</v>
      </c>
      <c r="V207" s="13">
        <v>0.70346400546012899</v>
      </c>
      <c r="W207" s="13">
        <v>0.72199245762893605</v>
      </c>
      <c r="X207" s="13">
        <v>0.71252772133391484</v>
      </c>
      <c r="Y207" s="14">
        <v>0.73719389686814885</v>
      </c>
      <c r="Z207" s="14">
        <v>0.74898621369288521</v>
      </c>
      <c r="AA207" s="14">
        <v>0.74496349182526378</v>
      </c>
      <c r="AB207" s="14">
        <v>0.53898808293039902</v>
      </c>
      <c r="AC207" s="13">
        <v>0.52590873623893641</v>
      </c>
      <c r="AD207" s="15">
        <v>0.72299999999999998</v>
      </c>
      <c r="AE207" s="13">
        <v>0.73031384277781286</v>
      </c>
      <c r="AF207" s="13">
        <v>0.73762768555562575</v>
      </c>
      <c r="AG207" s="13">
        <v>0.74494152833343863</v>
      </c>
      <c r="AH207" s="13">
        <v>0.74568646986177201</v>
      </c>
      <c r="AI207" s="13">
        <v>0.74643215633163373</v>
      </c>
      <c r="AJ207" s="13">
        <v>0.74717858848796526</v>
      </c>
      <c r="AK207" s="13">
        <v>0.74792576707645309</v>
      </c>
      <c r="AL207" s="13">
        <v>0.74867369284352947</v>
      </c>
      <c r="AM207" s="13">
        <v>0.74942236653637295</v>
      </c>
      <c r="AN207" s="13">
        <v>0.75017178890290925</v>
      </c>
      <c r="AO207" s="13">
        <v>0.75092196069181205</v>
      </c>
      <c r="AP207" s="13">
        <v>0.75167288265250376</v>
      </c>
      <c r="AQ207" s="13">
        <v>0.75242455553515619</v>
      </c>
      <c r="AR207" s="13">
        <v>0.75317698009069123</v>
      </c>
      <c r="AS207" s="13">
        <v>0.75393015707078181</v>
      </c>
      <c r="AT207" s="13">
        <v>0.75468408722785252</v>
      </c>
      <c r="AU207" s="13">
        <v>0.7554387713150803</v>
      </c>
      <c r="AV207" s="13">
        <v>0.75619421008639531</v>
      </c>
      <c r="AW207" s="13">
        <v>0.75695040429648164</v>
      </c>
      <c r="AX207" s="13">
        <v>0.75770735470077799</v>
      </c>
      <c r="AY207" s="13">
        <v>0.7584650620554787</v>
      </c>
      <c r="AZ207" s="13">
        <v>0.75922352711753405</v>
      </c>
      <c r="BA207" s="13">
        <v>0.75998275064465148</v>
      </c>
      <c r="BB207" s="13">
        <v>0.76074273339529608</v>
      </c>
      <c r="BC207" s="13">
        <v>0.76150347612869129</v>
      </c>
      <c r="BD207" s="13">
        <v>0.76226497960481987</v>
      </c>
      <c r="BE207" s="13">
        <v>0.76302724458442461</v>
      </c>
      <c r="BF207" s="13">
        <v>0.76379027182900894</v>
      </c>
    </row>
    <row r="208" spans="1:58" ht="12" customHeight="1" x14ac:dyDescent="0.2">
      <c r="A208" t="s">
        <v>60</v>
      </c>
      <c r="B208" s="13" t="s">
        <v>64</v>
      </c>
      <c r="C208" s="13">
        <v>0.68460856237927892</v>
      </c>
      <c r="D208" s="13">
        <v>0.63862515237145545</v>
      </c>
      <c r="E208" s="13">
        <v>0.65732547778444472</v>
      </c>
      <c r="F208" s="13">
        <v>0.64989277017705982</v>
      </c>
      <c r="G208" s="13">
        <v>0.65378362394266842</v>
      </c>
      <c r="H208" s="13">
        <v>0.72440558458116133</v>
      </c>
      <c r="I208" s="13">
        <v>0.68148520177327798</v>
      </c>
      <c r="J208" s="13">
        <v>0.68831111049122928</v>
      </c>
      <c r="K208" s="13">
        <v>0.77670735083123155</v>
      </c>
      <c r="L208" s="13">
        <v>0.7698609999920123</v>
      </c>
      <c r="M208" s="13">
        <v>0.78880805814534671</v>
      </c>
      <c r="N208" s="13">
        <v>0.83285929607098974</v>
      </c>
      <c r="O208" s="13">
        <v>0.80227431113093939</v>
      </c>
      <c r="P208" s="13">
        <v>0.79191662801842633</v>
      </c>
      <c r="Q208" s="13">
        <v>0.75156637572140994</v>
      </c>
      <c r="R208" s="13">
        <v>0.81357513011055682</v>
      </c>
      <c r="S208" s="13">
        <v>0.81029477577564013</v>
      </c>
      <c r="T208" s="13">
        <v>0.80601140125447024</v>
      </c>
      <c r="U208" s="13">
        <v>0.79745214339184856</v>
      </c>
      <c r="V208" s="13">
        <v>0.79752335430341237</v>
      </c>
      <c r="W208" s="13">
        <v>0.77426556988439843</v>
      </c>
      <c r="X208" s="13">
        <v>0.79954693970990864</v>
      </c>
      <c r="Y208" s="14">
        <v>0.81336670643839515</v>
      </c>
      <c r="Z208" s="14">
        <v>0.8150439377788038</v>
      </c>
      <c r="AA208" s="14">
        <v>0.83669338007191962</v>
      </c>
      <c r="AB208" s="14">
        <v>0.64403148868671001</v>
      </c>
      <c r="AC208" s="13">
        <v>0.56662437784564545</v>
      </c>
      <c r="AD208" s="15">
        <v>0.59594517359444976</v>
      </c>
      <c r="AE208" s="13">
        <v>0.67611432635144719</v>
      </c>
      <c r="AF208" s="13">
        <v>0.75628347910844462</v>
      </c>
      <c r="AG208" s="13">
        <v>0.83645263186544205</v>
      </c>
      <c r="AH208" s="13">
        <v>0.83728908449730743</v>
      </c>
      <c r="AI208" s="13">
        <v>0.83812637358180464</v>
      </c>
      <c r="AJ208" s="13">
        <v>0.83896449995538636</v>
      </c>
      <c r="AK208" s="13">
        <v>0.8398034644553416</v>
      </c>
      <c r="AL208" s="13">
        <v>0.84064326791979682</v>
      </c>
      <c r="AM208" s="13">
        <v>0.84148391118771648</v>
      </c>
      <c r="AN208" s="13">
        <v>0.84232539509890414</v>
      </c>
      <c r="AO208" s="13">
        <v>0.8431677204940029</v>
      </c>
      <c r="AP208" s="13">
        <v>0.84401088821449677</v>
      </c>
      <c r="AQ208" s="13">
        <v>0.84485489910271117</v>
      </c>
      <c r="AR208" s="13">
        <v>0.84569975400181374</v>
      </c>
      <c r="AS208" s="13">
        <v>0.84654545375581547</v>
      </c>
      <c r="AT208" s="13">
        <v>0.8473919992095712</v>
      </c>
      <c r="AU208" s="13">
        <v>0.84823939120878067</v>
      </c>
      <c r="AV208" s="13">
        <v>0.84908763059998937</v>
      </c>
      <c r="AW208" s="13">
        <v>0.84993671823058925</v>
      </c>
      <c r="AX208" s="13">
        <v>0.85078665494881978</v>
      </c>
      <c r="AY208" s="13">
        <v>0.85163744160376853</v>
      </c>
      <c r="AZ208" s="13">
        <v>0.85248907904537219</v>
      </c>
      <c r="BA208" s="13">
        <v>0.85334156812441742</v>
      </c>
      <c r="BB208" s="13">
        <v>0.85419490969254175</v>
      </c>
      <c r="BC208" s="13">
        <v>0.85504910460223416</v>
      </c>
      <c r="BD208" s="13">
        <v>0.85590415370683626</v>
      </c>
      <c r="BE208" s="13">
        <v>0.85676005786054299</v>
      </c>
      <c r="BF208" s="13">
        <v>0.85761681791840338</v>
      </c>
    </row>
    <row r="209" spans="1:59" ht="12" customHeight="1" x14ac:dyDescent="0.2">
      <c r="A209" t="s">
        <v>61</v>
      </c>
      <c r="B209" s="13" t="s">
        <v>64</v>
      </c>
      <c r="C209" s="13">
        <v>0.67893719382921425</v>
      </c>
      <c r="D209" s="13">
        <v>0.68844561458878162</v>
      </c>
      <c r="E209" s="13">
        <v>0.69947909435569855</v>
      </c>
      <c r="F209" s="13">
        <v>0.64438996495252321</v>
      </c>
      <c r="G209" s="13">
        <v>0.69743019616564439</v>
      </c>
      <c r="H209" s="13">
        <v>0.75413681751228234</v>
      </c>
      <c r="I209" s="13">
        <v>0.72180322250476925</v>
      </c>
      <c r="J209" s="13">
        <v>0.6947787416010256</v>
      </c>
      <c r="K209" s="13">
        <v>0.73991120928546505</v>
      </c>
      <c r="L209" s="13">
        <v>0.74250309526083125</v>
      </c>
      <c r="M209" s="13">
        <v>0.75783729814784884</v>
      </c>
      <c r="N209" s="13">
        <v>0.78629941694781513</v>
      </c>
      <c r="O209" s="13">
        <v>0.80314656011847174</v>
      </c>
      <c r="P209" s="13">
        <v>0.80031524558833778</v>
      </c>
      <c r="Q209" s="13">
        <v>0.7722028813646673</v>
      </c>
      <c r="R209" s="13">
        <v>0.76939537163695937</v>
      </c>
      <c r="S209" s="13">
        <v>0.79556955466919033</v>
      </c>
      <c r="T209" s="13">
        <v>0.80736216693077079</v>
      </c>
      <c r="U209" s="13">
        <v>0.8145640930178244</v>
      </c>
      <c r="V209" s="13">
        <v>0.80186215830851881</v>
      </c>
      <c r="W209" s="13">
        <v>0.8159504939863772</v>
      </c>
      <c r="X209" s="13">
        <v>0.81610336518806559</v>
      </c>
      <c r="Y209" s="14">
        <v>0.81989054298465058</v>
      </c>
      <c r="Z209" s="14">
        <v>0.82960656792035614</v>
      </c>
      <c r="AA209" s="14">
        <v>0.82808840291463892</v>
      </c>
      <c r="AB209" s="14">
        <v>0.6999578944296303</v>
      </c>
      <c r="AC209" s="13">
        <v>0.67675163678316086</v>
      </c>
      <c r="AD209" s="15">
        <v>0.71177112639677831</v>
      </c>
      <c r="AE209" s="13">
        <v>0.75050477947722594</v>
      </c>
      <c r="AF209" s="13">
        <v>0.78923843255767356</v>
      </c>
      <c r="AG209" s="13">
        <v>0.82797208563812119</v>
      </c>
      <c r="AH209" s="13">
        <v>0.8288000577237592</v>
      </c>
      <c r="AI209" s="13">
        <v>0.82962885778148288</v>
      </c>
      <c r="AJ209" s="13">
        <v>0.83045848663926425</v>
      </c>
      <c r="AK209" s="13">
        <v>0.83128894512590346</v>
      </c>
      <c r="AL209" s="13">
        <v>0.83212023407102931</v>
      </c>
      <c r="AM209" s="13">
        <v>0.83295235430510028</v>
      </c>
      <c r="AN209" s="13">
        <v>0.83378530665940531</v>
      </c>
      <c r="AO209" s="13">
        <v>0.83461909196606465</v>
      </c>
      <c r="AP209" s="13">
        <v>0.83545371105803068</v>
      </c>
      <c r="AQ209" s="13">
        <v>0.83628916476908866</v>
      </c>
      <c r="AR209" s="13">
        <v>0.83712545393385762</v>
      </c>
      <c r="AS209" s="13">
        <v>0.8379625793877914</v>
      </c>
      <c r="AT209" s="13">
        <v>0.83880054196717913</v>
      </c>
      <c r="AU209" s="13">
        <v>0.83963934250914618</v>
      </c>
      <c r="AV209" s="13">
        <v>0.84047898185165526</v>
      </c>
      <c r="AW209" s="13">
        <v>0.84131946083350684</v>
      </c>
      <c r="AX209" s="13">
        <v>0.84216078029434027</v>
      </c>
      <c r="AY209" s="13">
        <v>0.84300294107463447</v>
      </c>
      <c r="AZ209" s="13">
        <v>0.843845944015709</v>
      </c>
      <c r="BA209" s="13">
        <v>0.84468978995972466</v>
      </c>
      <c r="BB209" s="13">
        <v>0.84553447974968432</v>
      </c>
      <c r="BC209" s="13">
        <v>0.84638001422943387</v>
      </c>
      <c r="BD209" s="13">
        <v>0.84722639424366319</v>
      </c>
      <c r="BE209" s="13">
        <v>0.84807362063790681</v>
      </c>
      <c r="BF209" s="13">
        <v>0.84892169425854458</v>
      </c>
    </row>
    <row r="210" spans="1:59" ht="12" customHeight="1" x14ac:dyDescent="0.2">
      <c r="A210" t="s">
        <v>83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4"/>
      <c r="Z210" s="14"/>
      <c r="AA210" s="14"/>
      <c r="AB210" s="14"/>
      <c r="AC210" s="13"/>
      <c r="AD210" s="15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</row>
    <row r="211" spans="1:59" ht="12" customHeight="1" x14ac:dyDescent="0.2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4"/>
      <c r="Z211" s="14"/>
      <c r="AA211" s="14"/>
      <c r="AB211" s="14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</row>
    <row r="212" spans="1:59" s="5" customFormat="1" ht="12" customHeight="1" thickBot="1" x14ac:dyDescent="0.3">
      <c r="A212" s="6" t="s">
        <v>84</v>
      </c>
      <c r="AB212" s="5" t="s">
        <v>85</v>
      </c>
    </row>
    <row r="213" spans="1:59" ht="12" customHeight="1" thickTop="1" x14ac:dyDescent="0.2">
      <c r="A213" s="19" t="s">
        <v>86</v>
      </c>
    </row>
    <row r="214" spans="1:59" ht="12" customHeight="1" x14ac:dyDescent="0.2">
      <c r="A214" t="s">
        <v>87</v>
      </c>
    </row>
    <row r="215" spans="1:59" ht="12" customHeight="1" x14ac:dyDescent="0.2">
      <c r="C215" s="7">
        <v>1995</v>
      </c>
      <c r="D215" s="7">
        <v>1996</v>
      </c>
      <c r="E215" s="7">
        <v>1997</v>
      </c>
      <c r="F215" s="7">
        <v>1998</v>
      </c>
      <c r="G215" s="7">
        <v>1999</v>
      </c>
      <c r="H215" s="7">
        <v>2000</v>
      </c>
      <c r="I215" s="7">
        <v>2001</v>
      </c>
      <c r="J215" s="7">
        <v>2002</v>
      </c>
      <c r="K215" s="7">
        <v>2003</v>
      </c>
      <c r="L215" s="7">
        <v>2004</v>
      </c>
      <c r="M215" s="7">
        <v>2005</v>
      </c>
      <c r="N215" s="7">
        <v>2006</v>
      </c>
      <c r="O215" s="7">
        <v>2007</v>
      </c>
      <c r="P215" s="7">
        <v>2008</v>
      </c>
      <c r="Q215" s="7">
        <v>2009</v>
      </c>
      <c r="R215" s="7">
        <v>2010</v>
      </c>
      <c r="S215" s="7">
        <v>2011</v>
      </c>
      <c r="T215" s="7">
        <v>2012</v>
      </c>
      <c r="U215" s="7">
        <v>2013</v>
      </c>
      <c r="V215" s="7">
        <v>2014</v>
      </c>
      <c r="W215" s="7">
        <v>2015</v>
      </c>
      <c r="X215" s="7">
        <v>2016</v>
      </c>
      <c r="Y215" s="7">
        <v>2017</v>
      </c>
      <c r="Z215" s="7">
        <v>2018</v>
      </c>
      <c r="AA215" s="7">
        <v>2019</v>
      </c>
      <c r="AB215" s="7">
        <v>2020</v>
      </c>
      <c r="AC215" s="7">
        <v>2021</v>
      </c>
      <c r="AD215" s="7">
        <v>2022</v>
      </c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21"/>
    </row>
    <row r="216" spans="1:59" ht="12" customHeight="1" x14ac:dyDescent="0.2">
      <c r="A216" t="s">
        <v>44</v>
      </c>
      <c r="B216" t="s">
        <v>45</v>
      </c>
      <c r="C216" s="7">
        <v>3903.01956446551</v>
      </c>
      <c r="D216" s="7">
        <v>4085.7814903640601</v>
      </c>
      <c r="E216" s="7">
        <v>4790.83019783897</v>
      </c>
      <c r="F216" s="7">
        <v>5074.3311613230399</v>
      </c>
      <c r="G216" s="7">
        <v>5348.2095390016602</v>
      </c>
      <c r="H216" s="7">
        <v>5835.14140673565</v>
      </c>
      <c r="I216" s="7">
        <v>7934.8487921494097</v>
      </c>
      <c r="J216" s="7">
        <v>11326.993448798899</v>
      </c>
      <c r="K216" s="7">
        <v>17595.209176655699</v>
      </c>
      <c r="L216" s="7">
        <v>19645.160368884801</v>
      </c>
      <c r="M216" s="7">
        <v>19909.398762329402</v>
      </c>
      <c r="N216" s="7">
        <v>20271.324009245</v>
      </c>
      <c r="O216" s="7">
        <v>20138.048356748401</v>
      </c>
      <c r="P216" s="7">
        <v>17618.054387787801</v>
      </c>
      <c r="Q216" s="7">
        <v>15200.730495592699</v>
      </c>
      <c r="R216" s="7">
        <v>17081.468216008099</v>
      </c>
      <c r="S216" s="7">
        <v>16370.465631614999</v>
      </c>
      <c r="T216" s="7">
        <v>15933.8989865766</v>
      </c>
      <c r="U216" s="7">
        <v>15699.689610654499</v>
      </c>
      <c r="V216" s="7">
        <v>15983.4176667759</v>
      </c>
      <c r="W216" s="7">
        <v>16401.4650369499</v>
      </c>
      <c r="X216" s="7">
        <v>16776.495581418301</v>
      </c>
      <c r="Y216" s="7">
        <v>18241.251757865601</v>
      </c>
      <c r="Z216" s="7">
        <v>19037.627398272802</v>
      </c>
      <c r="AA216" s="7">
        <v>19000.067095586601</v>
      </c>
      <c r="AB216" s="7">
        <v>21629.560023866699</v>
      </c>
      <c r="AC216" s="7">
        <v>23231.092231464401</v>
      </c>
      <c r="AD216" s="7">
        <v>21569.180397981399</v>
      </c>
      <c r="BE216" s="7"/>
      <c r="BF216" s="7"/>
      <c r="BG216" s="21"/>
    </row>
    <row r="217" spans="1:59" ht="12" customHeight="1" x14ac:dyDescent="0.2">
      <c r="A217" t="s">
        <v>47</v>
      </c>
      <c r="B217" t="s">
        <v>45</v>
      </c>
      <c r="C217" s="7">
        <v>406.55744231525915</v>
      </c>
      <c r="D217" s="7">
        <v>452.41486010874399</v>
      </c>
      <c r="E217" s="7">
        <v>313.67012105000066</v>
      </c>
      <c r="F217" s="7">
        <v>395.90410775697939</v>
      </c>
      <c r="G217" s="7">
        <v>365.36197628072466</v>
      </c>
      <c r="H217" s="7">
        <v>351.24000208390424</v>
      </c>
      <c r="I217" s="7">
        <v>336.52597034354324</v>
      </c>
      <c r="J217" s="7">
        <v>329.25742351163717</v>
      </c>
      <c r="K217" s="7">
        <v>319.34040449941193</v>
      </c>
      <c r="L217" s="7">
        <v>336.91126330257981</v>
      </c>
      <c r="M217" s="7">
        <v>313.09103092226479</v>
      </c>
      <c r="N217" s="7">
        <v>316.58940787981794</v>
      </c>
      <c r="O217" s="7">
        <v>336.77977948401951</v>
      </c>
      <c r="P217" s="7">
        <v>214.01635378026236</v>
      </c>
      <c r="Q217" s="7">
        <v>351.54815978761189</v>
      </c>
      <c r="R217" s="7">
        <v>348.02577998756988</v>
      </c>
      <c r="S217" s="7">
        <v>335.69415786202603</v>
      </c>
      <c r="T217" s="7">
        <v>253.48334369173398</v>
      </c>
      <c r="U217" s="7">
        <v>243.20699192044745</v>
      </c>
      <c r="V217" s="7">
        <v>253.48334369173398</v>
      </c>
      <c r="W217" s="7">
        <v>273.35095711622125</v>
      </c>
      <c r="X217" s="7">
        <v>278.14658794282167</v>
      </c>
      <c r="Y217" s="7">
        <v>363.09776258545679</v>
      </c>
      <c r="Z217" s="7">
        <v>464.49110006215039</v>
      </c>
      <c r="AA217" s="7">
        <v>576.84587942821622</v>
      </c>
      <c r="AB217" s="7">
        <v>428.1813238036047</v>
      </c>
      <c r="AC217" s="7">
        <v>588.49241143567428</v>
      </c>
      <c r="AD217" s="7">
        <v>577.53096954630223</v>
      </c>
      <c r="BE217" s="7"/>
      <c r="BF217" s="7"/>
      <c r="BG217" s="21"/>
    </row>
    <row r="218" spans="1:59" ht="12" customHeight="1" x14ac:dyDescent="0.2">
      <c r="A218" t="s">
        <v>48</v>
      </c>
      <c r="B218" t="s">
        <v>45</v>
      </c>
      <c r="C218" s="7">
        <v>20.396429747420733</v>
      </c>
      <c r="D218" s="7">
        <v>20.398730520917294</v>
      </c>
      <c r="E218" s="7">
        <v>23.052151958734569</v>
      </c>
      <c r="F218" s="7">
        <v>26.667207563699737</v>
      </c>
      <c r="G218" s="7">
        <v>20.931255316108277</v>
      </c>
      <c r="H218" s="7">
        <v>19.998726185695986</v>
      </c>
      <c r="I218" s="7">
        <v>22.809991152521135</v>
      </c>
      <c r="J218" s="7">
        <v>22.414380570647893</v>
      </c>
      <c r="K218" s="7">
        <v>30.86444481248844</v>
      </c>
      <c r="L218" s="7">
        <v>21.785246677815966</v>
      </c>
      <c r="M218" s="7">
        <v>24.752924350933778</v>
      </c>
      <c r="N218" s="7">
        <v>28.479129965899325</v>
      </c>
      <c r="O218" s="7">
        <v>46.699241491250042</v>
      </c>
      <c r="P218" s="7">
        <v>51.803146800718373</v>
      </c>
      <c r="Q218" s="7">
        <v>50.810709256503323</v>
      </c>
      <c r="R218" s="7">
        <v>36.309776258545675</v>
      </c>
      <c r="S218" s="7">
        <v>52.751939092604104</v>
      </c>
      <c r="T218" s="7">
        <v>72.61955251709135</v>
      </c>
      <c r="U218" s="7">
        <v>70.564282162834061</v>
      </c>
      <c r="V218" s="7">
        <v>71.934462399005596</v>
      </c>
      <c r="W218" s="7">
        <v>77.415183343691737</v>
      </c>
      <c r="X218" s="7">
        <v>79.470453697949026</v>
      </c>
      <c r="Y218" s="7">
        <v>74.674822871348667</v>
      </c>
      <c r="Z218" s="7">
        <v>64.398471100062153</v>
      </c>
      <c r="AA218" s="7">
        <v>87.006444996892469</v>
      </c>
      <c r="AB218" s="7">
        <v>60.973020509633301</v>
      </c>
      <c r="AC218" s="7">
        <v>76.730093225606083</v>
      </c>
      <c r="AD218" s="7">
        <v>86.321354878806574</v>
      </c>
      <c r="BE218" s="7"/>
      <c r="BF218" s="7"/>
      <c r="BG218" s="21"/>
    </row>
    <row r="219" spans="1:59" ht="12" customHeight="1" x14ac:dyDescent="0.2">
      <c r="A219" t="s">
        <v>49</v>
      </c>
      <c r="B219" t="s">
        <v>45</v>
      </c>
      <c r="C219" s="7">
        <v>1164.8292809334059</v>
      </c>
      <c r="D219" s="7">
        <v>965.49212260254023</v>
      </c>
      <c r="E219" s="7">
        <v>992.35326798326093</v>
      </c>
      <c r="F219" s="7">
        <v>2066.7090993675865</v>
      </c>
      <c r="G219" s="7">
        <v>965.73809972918411</v>
      </c>
      <c r="H219" s="7">
        <v>1040.5235999132226</v>
      </c>
      <c r="I219" s="7">
        <v>1049.1943875417483</v>
      </c>
      <c r="J219" s="7">
        <v>842.01339756930724</v>
      </c>
      <c r="K219" s="7">
        <v>1011.9618683567124</v>
      </c>
      <c r="L219" s="7">
        <v>1212.3976938430108</v>
      </c>
      <c r="M219" s="7">
        <v>1199.7413250340694</v>
      </c>
      <c r="N219" s="7">
        <v>1031.5322163835406</v>
      </c>
      <c r="O219" s="7">
        <v>1070.6321928211589</v>
      </c>
      <c r="P219" s="7">
        <v>1105.0410544617944</v>
      </c>
      <c r="Q219" s="7">
        <v>998.92119056636648</v>
      </c>
      <c r="R219" s="7">
        <v>1087.1568196997334</v>
      </c>
      <c r="S219" s="7">
        <v>1117.6480186583879</v>
      </c>
      <c r="T219" s="7">
        <v>1411.8634151163815</v>
      </c>
      <c r="U219" s="7">
        <v>1184.3714399763542</v>
      </c>
      <c r="V219" s="7">
        <v>1221.7377471092218</v>
      </c>
      <c r="W219" s="7">
        <v>1327.0854690114697</v>
      </c>
      <c r="X219" s="7">
        <v>1574.6105656946497</v>
      </c>
      <c r="Y219" s="7">
        <v>1840.0828252604545</v>
      </c>
      <c r="Z219" s="7">
        <v>1738.9623985069666</v>
      </c>
      <c r="AA219" s="7">
        <v>2113.4831658626767</v>
      </c>
      <c r="AB219" s="7">
        <v>1566.3501295913359</v>
      </c>
      <c r="AC219" s="7">
        <v>2276.312231037864</v>
      </c>
      <c r="AD219" s="7">
        <v>2169.524540005264</v>
      </c>
      <c r="BE219" s="7"/>
      <c r="BF219" s="7"/>
      <c r="BG219" s="21"/>
    </row>
    <row r="220" spans="1:59" ht="12" customHeight="1" x14ac:dyDescent="0.2">
      <c r="A220" t="s">
        <v>50</v>
      </c>
      <c r="B220" t="s">
        <v>45</v>
      </c>
      <c r="C220" s="7">
        <v>668.97292328812114</v>
      </c>
      <c r="D220" s="7">
        <v>725.78016812164424</v>
      </c>
      <c r="E220" s="7">
        <v>914.96826197097175</v>
      </c>
      <c r="F220" s="7">
        <v>912.24355359717447</v>
      </c>
      <c r="G220" s="7">
        <v>965.33140401435458</v>
      </c>
      <c r="H220" s="7">
        <v>943.26425360264307</v>
      </c>
      <c r="I220" s="7">
        <v>868.87572247224034</v>
      </c>
      <c r="J220" s="7">
        <v>902.58017723784133</v>
      </c>
      <c r="K220" s="7">
        <v>994.20690760926004</v>
      </c>
      <c r="L220" s="7">
        <v>1128.9220590246844</v>
      </c>
      <c r="M220" s="7">
        <v>1143.6818327698452</v>
      </c>
      <c r="N220" s="7">
        <v>1153.1192731705346</v>
      </c>
      <c r="O220" s="7">
        <v>1136.8445559624472</v>
      </c>
      <c r="P220" s="7">
        <v>936.84242584236245</v>
      </c>
      <c r="Q220" s="7">
        <v>832.10374429985438</v>
      </c>
      <c r="R220" s="7">
        <v>644.66980111870714</v>
      </c>
      <c r="S220" s="7">
        <v>636.4487197016781</v>
      </c>
      <c r="T220" s="7">
        <v>643.98471100062147</v>
      </c>
      <c r="U220" s="7">
        <v>662.48214418893713</v>
      </c>
      <c r="V220" s="7">
        <v>661.11196395276568</v>
      </c>
      <c r="W220" s="7">
        <v>658.37160348042255</v>
      </c>
      <c r="X220" s="7">
        <v>650.15052206339328</v>
      </c>
      <c r="Y220" s="7">
        <v>674.81376631448097</v>
      </c>
      <c r="Z220" s="7">
        <v>640.55926041019256</v>
      </c>
      <c r="AA220" s="7">
        <v>580.9564201367308</v>
      </c>
      <c r="AB220" s="7">
        <v>390.50136730888744</v>
      </c>
      <c r="AC220" s="7">
        <v>369.26357364822888</v>
      </c>
      <c r="AD220" s="7">
        <v>404.88825978868772</v>
      </c>
      <c r="BE220" s="7"/>
      <c r="BF220" s="7"/>
      <c r="BG220" s="21"/>
    </row>
    <row r="221" spans="1:59" ht="12" customHeight="1" x14ac:dyDescent="0.2">
      <c r="A221" t="s">
        <v>51</v>
      </c>
      <c r="B221" t="s">
        <v>45</v>
      </c>
      <c r="C221" s="7">
        <v>150.77997924570647</v>
      </c>
      <c r="D221" s="7">
        <v>323.20216035533855</v>
      </c>
      <c r="E221" s="7">
        <v>359.42703809406748</v>
      </c>
      <c r="F221" s="7">
        <v>357.2378255928063</v>
      </c>
      <c r="G221" s="7">
        <v>187.2148001951625</v>
      </c>
      <c r="H221" s="7">
        <v>161.69698575428484</v>
      </c>
      <c r="I221" s="7">
        <v>370.16342994232275</v>
      </c>
      <c r="J221" s="7">
        <v>359.24135747838591</v>
      </c>
      <c r="K221" s="7">
        <v>340.37104288591627</v>
      </c>
      <c r="L221" s="7">
        <v>357.86926461805325</v>
      </c>
      <c r="M221" s="7">
        <v>331.79728527885902</v>
      </c>
      <c r="N221" s="7">
        <v>303.58722832968721</v>
      </c>
      <c r="O221" s="7">
        <v>284.04249198480602</v>
      </c>
      <c r="P221" s="7">
        <v>261.44941651195217</v>
      </c>
      <c r="Q221" s="7">
        <v>248.21947520344202</v>
      </c>
      <c r="R221" s="7">
        <v>245.31450918267146</v>
      </c>
      <c r="S221" s="7">
        <v>240.63957949559227</v>
      </c>
      <c r="T221" s="7">
        <v>225.39329967097754</v>
      </c>
      <c r="U221" s="7">
        <v>183.44353528595627</v>
      </c>
      <c r="V221" s="7">
        <v>186.64834535496655</v>
      </c>
      <c r="W221" s="7">
        <v>176.84597472115439</v>
      </c>
      <c r="X221" s="7">
        <v>155.44303182360491</v>
      </c>
      <c r="Y221" s="7">
        <v>173.79049275097304</v>
      </c>
      <c r="Z221" s="7">
        <v>195.60216076225799</v>
      </c>
      <c r="AA221" s="7">
        <v>187.10145798783313</v>
      </c>
      <c r="AB221" s="7">
        <v>138.91015336941976</v>
      </c>
      <c r="AC221" s="7">
        <v>336.99421099219404</v>
      </c>
      <c r="AD221" s="7">
        <v>242.10216499621896</v>
      </c>
      <c r="BE221" s="7"/>
      <c r="BF221" s="7"/>
      <c r="BG221" s="21"/>
    </row>
    <row r="222" spans="1:59" ht="12" customHeight="1" x14ac:dyDescent="0.2">
      <c r="A222" t="s">
        <v>52</v>
      </c>
      <c r="B222" t="s">
        <v>45</v>
      </c>
      <c r="C222" s="7">
        <v>15.217012044935345</v>
      </c>
      <c r="D222" s="7">
        <v>26.488372259839853</v>
      </c>
      <c r="E222" s="7">
        <v>28.408015230964491</v>
      </c>
      <c r="F222" s="7">
        <v>18.752900163572303</v>
      </c>
      <c r="G222" s="7">
        <v>19.248472945363286</v>
      </c>
      <c r="H222" s="7">
        <v>11.816770044958384</v>
      </c>
      <c r="I222" s="7">
        <v>23.459199755395112</v>
      </c>
      <c r="J222" s="7">
        <v>39.265195964967994</v>
      </c>
      <c r="K222" s="7">
        <v>46.516579322321292</v>
      </c>
      <c r="L222" s="7">
        <v>54.691934134008363</v>
      </c>
      <c r="M222" s="7">
        <v>32.296296635207788</v>
      </c>
      <c r="N222" s="7">
        <v>34.345728519253406</v>
      </c>
      <c r="O222" s="7">
        <v>34.928542187134227</v>
      </c>
      <c r="P222" s="7">
        <v>35.447688994552372</v>
      </c>
      <c r="Q222" s="7">
        <v>33.152284442835416</v>
      </c>
      <c r="R222" s="7">
        <v>49.326488502175259</v>
      </c>
      <c r="S222" s="7">
        <v>45.901037911746428</v>
      </c>
      <c r="T222" s="7">
        <v>41.105407085146048</v>
      </c>
      <c r="U222" s="7">
        <v>31.514145431945305</v>
      </c>
      <c r="V222" s="7">
        <v>36.309776258545675</v>
      </c>
      <c r="W222" s="7">
        <v>35.624686140459907</v>
      </c>
      <c r="X222" s="7">
        <v>34.93959602237414</v>
      </c>
      <c r="Y222" s="7">
        <v>39.050136730888752</v>
      </c>
      <c r="Z222" s="7">
        <v>36.309776258545675</v>
      </c>
      <c r="AA222" s="7">
        <v>28.088694841516471</v>
      </c>
      <c r="AB222" s="7">
        <v>20.552703542573024</v>
      </c>
      <c r="AC222" s="7">
        <v>20.552703542572999</v>
      </c>
      <c r="AD222" s="7">
        <v>19.867613424485171</v>
      </c>
      <c r="BE222" s="7"/>
      <c r="BF222" s="7"/>
      <c r="BG222" s="21"/>
    </row>
    <row r="223" spans="1:59" ht="12" customHeight="1" x14ac:dyDescent="0.2">
      <c r="A223" t="s">
        <v>53</v>
      </c>
      <c r="B223" t="s">
        <v>45</v>
      </c>
      <c r="C223" s="7">
        <v>126.80650751202759</v>
      </c>
      <c r="D223" s="7">
        <v>206.96938957952534</v>
      </c>
      <c r="E223" s="7">
        <v>177.13845849452002</v>
      </c>
      <c r="F223" s="7">
        <v>108.08890196799108</v>
      </c>
      <c r="G223" s="7">
        <v>81.249512986618953</v>
      </c>
      <c r="H223" s="7">
        <v>64.126405267453691</v>
      </c>
      <c r="I223" s="7">
        <v>34.151566898863678</v>
      </c>
      <c r="J223" s="7">
        <v>26.565413286148676</v>
      </c>
      <c r="K223" s="7">
        <v>32.240687166048126</v>
      </c>
      <c r="L223" s="7">
        <v>24.345837472572157</v>
      </c>
      <c r="M223" s="7">
        <v>32.243047151931336</v>
      </c>
      <c r="N223" s="7">
        <v>37.517889754781862</v>
      </c>
      <c r="O223" s="7">
        <v>61.248432989113162</v>
      </c>
      <c r="P223" s="7">
        <v>82.235165246484641</v>
      </c>
      <c r="Q223" s="7">
        <v>263.62136347478412</v>
      </c>
      <c r="R223" s="7">
        <v>458.32528899937853</v>
      </c>
      <c r="S223" s="7">
        <v>475.45254195152256</v>
      </c>
      <c r="T223" s="7">
        <v>530.94484151646986</v>
      </c>
      <c r="U223" s="7">
        <v>548.07209446861407</v>
      </c>
      <c r="V223" s="7">
        <v>528.88957116221252</v>
      </c>
      <c r="W223" s="7">
        <v>432.97695463020506</v>
      </c>
      <c r="X223" s="7">
        <v>450.10420758234926</v>
      </c>
      <c r="Y223" s="7">
        <v>464.49110006215039</v>
      </c>
      <c r="Z223" s="7">
        <v>466.54637041640768</v>
      </c>
      <c r="AA223" s="7">
        <v>463.12091982597889</v>
      </c>
      <c r="AB223" s="7">
        <v>484.35871348663755</v>
      </c>
      <c r="AC223" s="7">
        <v>611.10038533250463</v>
      </c>
      <c r="AD223" s="7">
        <v>230.1902796768178</v>
      </c>
      <c r="BE223" s="7"/>
      <c r="BF223" s="7"/>
      <c r="BG223" s="21"/>
    </row>
    <row r="224" spans="1:59" ht="12" customHeight="1" x14ac:dyDescent="0.2">
      <c r="A224" t="s">
        <v>54</v>
      </c>
      <c r="B224" t="s">
        <v>45</v>
      </c>
      <c r="C224" s="7">
        <v>9.1093854817315897E-2</v>
      </c>
      <c r="D224" s="7">
        <v>3.4886779552485683</v>
      </c>
      <c r="E224" s="7">
        <v>6.3713192979483981</v>
      </c>
      <c r="F224" s="7">
        <v>8.989727876422771</v>
      </c>
      <c r="G224" s="7">
        <v>7.8725520323886595</v>
      </c>
      <c r="H224" s="7">
        <v>13.924911590058741</v>
      </c>
      <c r="I224" s="7">
        <v>10.108065119532839</v>
      </c>
      <c r="J224" s="7">
        <v>10.224999711620525</v>
      </c>
      <c r="K224" s="7">
        <v>10.16115772309281</v>
      </c>
      <c r="L224" s="7">
        <v>9.5439834087630651</v>
      </c>
      <c r="M224" s="7">
        <v>15.173632346117991</v>
      </c>
      <c r="N224" s="7">
        <v>14.297298939579933</v>
      </c>
      <c r="O224" s="7">
        <v>17.611142178102675</v>
      </c>
      <c r="P224" s="7">
        <v>26.385934138068368</v>
      </c>
      <c r="Q224" s="7">
        <v>28.549472121116079</v>
      </c>
      <c r="R224" s="7">
        <v>31.13450159221459</v>
      </c>
      <c r="S224" s="7">
        <v>36.175611925914659</v>
      </c>
      <c r="T224" s="7">
        <v>28.721622994873709</v>
      </c>
      <c r="U224" s="7">
        <v>36.61893960623803</v>
      </c>
      <c r="V224" s="7">
        <v>28.84924244135409</v>
      </c>
      <c r="W224" s="7">
        <v>15.85995998826373</v>
      </c>
      <c r="X224" s="7">
        <v>29.231734044847567</v>
      </c>
      <c r="Y224" s="7">
        <v>24.79876133478907</v>
      </c>
      <c r="Z224" s="7">
        <v>18.104856645746953</v>
      </c>
      <c r="AA224" s="7">
        <v>15.904953369877752</v>
      </c>
      <c r="AB224" s="7">
        <v>4.2418244197004888</v>
      </c>
      <c r="AC224" s="7">
        <v>17.345160727308851</v>
      </c>
      <c r="AD224" s="7">
        <v>80.538239367596191</v>
      </c>
      <c r="BE224" s="7"/>
      <c r="BF224" s="7"/>
      <c r="BG224" s="21"/>
    </row>
    <row r="225" spans="1:59" ht="12" customHeight="1" x14ac:dyDescent="0.2">
      <c r="A225" t="s">
        <v>55</v>
      </c>
      <c r="B225" t="s">
        <v>45</v>
      </c>
      <c r="C225" s="7">
        <v>66.493508561122724</v>
      </c>
      <c r="D225" s="7">
        <v>77.504612559592772</v>
      </c>
      <c r="E225" s="7">
        <v>100.67134555846634</v>
      </c>
      <c r="F225" s="7">
        <v>126.24912184833467</v>
      </c>
      <c r="G225" s="7">
        <v>193.13406369463235</v>
      </c>
      <c r="H225" s="7">
        <v>210.71353439767611</v>
      </c>
      <c r="I225" s="7">
        <v>288.71135713565826</v>
      </c>
      <c r="J225" s="7">
        <v>795.42000829225981</v>
      </c>
      <c r="K225" s="7">
        <v>1080.5309222805042</v>
      </c>
      <c r="L225" s="7">
        <v>1579.4681911011762</v>
      </c>
      <c r="M225" s="7">
        <v>1997.8275425404531</v>
      </c>
      <c r="N225" s="7">
        <v>2396.2577696201606</v>
      </c>
      <c r="O225" s="7">
        <v>2780.6444008182757</v>
      </c>
      <c r="P225" s="7">
        <v>3174.1845978868942</v>
      </c>
      <c r="Q225" s="7">
        <v>2976.1888046814024</v>
      </c>
      <c r="R225" s="7">
        <v>3441.8927532628959</v>
      </c>
      <c r="S225" s="7">
        <v>3519.3079366065872</v>
      </c>
      <c r="T225" s="7">
        <v>3642.6241578620256</v>
      </c>
      <c r="U225" s="7">
        <v>3862.5380857675568</v>
      </c>
      <c r="V225" s="7">
        <v>4075.6011124922306</v>
      </c>
      <c r="W225" s="7">
        <v>4266.0561653200748</v>
      </c>
      <c r="X225" s="7">
        <v>4656.5575326289618</v>
      </c>
      <c r="Y225" s="7">
        <v>4673.6847855811056</v>
      </c>
      <c r="Z225" s="7">
        <v>4877.8416407706645</v>
      </c>
      <c r="AA225" s="7">
        <v>5132.0100745804839</v>
      </c>
      <c r="AB225" s="7">
        <v>4370.874953387196</v>
      </c>
      <c r="AC225" s="7">
        <v>4535.9816718458696</v>
      </c>
      <c r="AD225" s="7">
        <v>3241.8464387818494</v>
      </c>
      <c r="BE225" s="7"/>
      <c r="BF225" s="7"/>
      <c r="BG225" s="21"/>
    </row>
    <row r="226" spans="1:59" ht="12" customHeight="1" x14ac:dyDescent="0.2">
      <c r="A226" t="s">
        <v>56</v>
      </c>
      <c r="B226" t="s">
        <v>45</v>
      </c>
      <c r="C226" s="7">
        <v>148.90357898504368</v>
      </c>
      <c r="D226" s="7">
        <v>167.73616435398151</v>
      </c>
      <c r="E226" s="7">
        <v>173.27868058564354</v>
      </c>
      <c r="F226" s="7">
        <v>139.98524339990803</v>
      </c>
      <c r="G226" s="7">
        <v>149.10888849605232</v>
      </c>
      <c r="H226" s="7">
        <v>162.67294056561337</v>
      </c>
      <c r="I226" s="7">
        <v>168.76856667501414</v>
      </c>
      <c r="J226" s="7">
        <v>178.55068227718948</v>
      </c>
      <c r="K226" s="7">
        <v>224.55829930379787</v>
      </c>
      <c r="L226" s="7">
        <v>219.60895509669066</v>
      </c>
      <c r="M226" s="7">
        <v>273.7821609002151</v>
      </c>
      <c r="N226" s="7">
        <v>309.76449839772812</v>
      </c>
      <c r="O226" s="7">
        <v>275.71377876001833</v>
      </c>
      <c r="P226" s="7">
        <v>332.75152717655311</v>
      </c>
      <c r="Q226" s="7">
        <v>284.98595781201186</v>
      </c>
      <c r="R226" s="7">
        <v>361.72758234928529</v>
      </c>
      <c r="S226" s="7">
        <v>332.95379738968302</v>
      </c>
      <c r="T226" s="7">
        <v>269.9255065257924</v>
      </c>
      <c r="U226" s="7">
        <v>287.73784959602239</v>
      </c>
      <c r="V226" s="7">
        <v>424.75587321317579</v>
      </c>
      <c r="W226" s="7">
        <v>447.36384711000619</v>
      </c>
      <c r="X226" s="7">
        <v>456.27001864512118</v>
      </c>
      <c r="Y226" s="7">
        <v>510.39213797389669</v>
      </c>
      <c r="Z226" s="7">
        <v>555.60808576755744</v>
      </c>
      <c r="AA226" s="7">
        <v>548.07209446861407</v>
      </c>
      <c r="AB226" s="7">
        <v>343.23014916096952</v>
      </c>
      <c r="AC226" s="7">
        <v>467.91655065257919</v>
      </c>
      <c r="AD226" s="7">
        <v>541.90628340584215</v>
      </c>
      <c r="BE226" s="7"/>
      <c r="BF226" s="7"/>
      <c r="BG226" s="21"/>
    </row>
    <row r="227" spans="1:59" ht="12" customHeight="1" x14ac:dyDescent="0.2">
      <c r="A227" t="s">
        <v>57</v>
      </c>
      <c r="B227" t="s">
        <v>45</v>
      </c>
      <c r="C227" s="7">
        <v>2212.9957753103681</v>
      </c>
      <c r="D227" s="7">
        <v>2567.4646357909987</v>
      </c>
      <c r="E227" s="7">
        <v>3025.5040773940395</v>
      </c>
      <c r="F227" s="7">
        <v>2969.9802552106876</v>
      </c>
      <c r="G227" s="7">
        <v>3219.724095000975</v>
      </c>
      <c r="H227" s="7">
        <v>3321.8529877824567</v>
      </c>
      <c r="I227" s="7">
        <v>3249.2872440981178</v>
      </c>
      <c r="J227" s="7">
        <v>2868.3321456480398</v>
      </c>
      <c r="K227" s="7">
        <v>3349.0698133284745</v>
      </c>
      <c r="L227" s="7">
        <v>3577.2575314320488</v>
      </c>
      <c r="M227" s="7">
        <v>3694.4427204576114</v>
      </c>
      <c r="N227" s="7">
        <v>3651.446564041064</v>
      </c>
      <c r="O227" s="7">
        <v>2948.1044384714419</v>
      </c>
      <c r="P227" s="7">
        <v>3341.8756297631844</v>
      </c>
      <c r="Q227" s="7">
        <v>3174.5299690551888</v>
      </c>
      <c r="R227" s="7">
        <v>4118.2790510630457</v>
      </c>
      <c r="S227" s="7">
        <v>3355.060923083367</v>
      </c>
      <c r="T227" s="7">
        <v>3187.1980464064336</v>
      </c>
      <c r="U227" s="7">
        <v>2474.9633521711612</v>
      </c>
      <c r="V227" s="7">
        <v>2781.5995171208342</v>
      </c>
      <c r="W227" s="7">
        <v>2996.7968709283587</v>
      </c>
      <c r="X227" s="7">
        <v>3231.2824092050664</v>
      </c>
      <c r="Y227" s="7">
        <v>3038.2410372458644</v>
      </c>
      <c r="Z227" s="7">
        <v>3305.5886497184911</v>
      </c>
      <c r="AA227" s="7">
        <v>3573.8275971102844</v>
      </c>
      <c r="AB227" s="7">
        <v>2300.4577000197887</v>
      </c>
      <c r="AC227" s="7">
        <v>2116.1112412987336</v>
      </c>
      <c r="AD227" s="7">
        <v>2009.3592404805784</v>
      </c>
      <c r="BE227" s="7"/>
      <c r="BF227" s="7"/>
      <c r="BG227" s="21"/>
    </row>
    <row r="228" spans="1:59" ht="12" customHeight="1" x14ac:dyDescent="0.2">
      <c r="A228" t="s">
        <v>58</v>
      </c>
      <c r="B228" t="s">
        <v>45</v>
      </c>
      <c r="C228" s="7">
        <v>158.36674830659396</v>
      </c>
      <c r="D228" s="7">
        <v>162.23962199327025</v>
      </c>
      <c r="E228" s="7">
        <v>161.05470846952284</v>
      </c>
      <c r="F228" s="7">
        <v>187.31584226124494</v>
      </c>
      <c r="G228" s="7">
        <v>111.36505283743529</v>
      </c>
      <c r="H228" s="7">
        <v>155.01826731911063</v>
      </c>
      <c r="I228" s="7">
        <v>121.18405888946509</v>
      </c>
      <c r="J228" s="7">
        <v>122.64638663847605</v>
      </c>
      <c r="K228" s="7">
        <v>137.91137324444134</v>
      </c>
      <c r="L228" s="7">
        <v>142.72167320312769</v>
      </c>
      <c r="M228" s="7">
        <v>122.97370228203732</v>
      </c>
      <c r="N228" s="7">
        <v>112.41397348458266</v>
      </c>
      <c r="O228" s="7">
        <v>266.43191924995278</v>
      </c>
      <c r="P228" s="7">
        <v>108.64854164834297</v>
      </c>
      <c r="Q228" s="7">
        <v>116.42518714209069</v>
      </c>
      <c r="R228" s="7">
        <v>169.41965815273073</v>
      </c>
      <c r="S228" s="7">
        <v>147.96923175663306</v>
      </c>
      <c r="T228" s="7">
        <v>146.35047069955692</v>
      </c>
      <c r="U228" s="7">
        <v>117.60276415231208</v>
      </c>
      <c r="V228" s="7">
        <v>116.23019676656448</v>
      </c>
      <c r="W228" s="7">
        <v>100.75578501997545</v>
      </c>
      <c r="X228" s="7">
        <v>83.157878623401416</v>
      </c>
      <c r="Y228" s="7">
        <v>177.56685219017459</v>
      </c>
      <c r="Z228" s="7">
        <v>146.90036107305966</v>
      </c>
      <c r="AA228" s="7">
        <v>190.4943389574139</v>
      </c>
      <c r="AB228" s="7">
        <v>107.68713177748965</v>
      </c>
      <c r="AC228" s="7">
        <v>962.43785496821317</v>
      </c>
      <c r="AD228" s="7">
        <v>1154.3977871689419</v>
      </c>
      <c r="BE228" s="7"/>
      <c r="BF228" s="7"/>
    </row>
    <row r="229" spans="1:59" ht="12" customHeight="1" x14ac:dyDescent="0.2">
      <c r="A229" t="s">
        <v>59</v>
      </c>
      <c r="B229" t="s">
        <v>45</v>
      </c>
      <c r="C229" s="7">
        <v>273.45972707556064</v>
      </c>
      <c r="D229" s="7">
        <v>203.31597837015102</v>
      </c>
      <c r="E229" s="7">
        <v>235.08800423930143</v>
      </c>
      <c r="F229" s="7">
        <v>209.72160619770662</v>
      </c>
      <c r="G229" s="7">
        <v>265.25554440131498</v>
      </c>
      <c r="H229" s="7">
        <v>217.12882191612556</v>
      </c>
      <c r="I229" s="7">
        <v>273.75667617714078</v>
      </c>
      <c r="J229" s="7">
        <v>288.60808142687517</v>
      </c>
      <c r="K229" s="7">
        <v>270.88950693992302</v>
      </c>
      <c r="L229" s="7">
        <v>305.92849803911923</v>
      </c>
      <c r="M229" s="7">
        <v>282.88406414930665</v>
      </c>
      <c r="N229" s="7">
        <v>280.13672048917874</v>
      </c>
      <c r="O229" s="7">
        <v>334.64710899150901</v>
      </c>
      <c r="P229" s="7">
        <v>313.18483228206753</v>
      </c>
      <c r="Q229" s="7">
        <v>322.38744679695384</v>
      </c>
      <c r="R229" s="7">
        <v>466.11140693928866</v>
      </c>
      <c r="S229" s="7">
        <v>486.83949550343061</v>
      </c>
      <c r="T229" s="7">
        <v>560.39647634520031</v>
      </c>
      <c r="U229" s="7">
        <v>579.84288138384136</v>
      </c>
      <c r="V229" s="7">
        <v>574.33156661803059</v>
      </c>
      <c r="W229" s="7">
        <v>541.25411757112033</v>
      </c>
      <c r="X229" s="7">
        <v>512.78252734035755</v>
      </c>
      <c r="Y229" s="7">
        <v>643.05895464669936</v>
      </c>
      <c r="Z229" s="7">
        <v>621.65901961985503</v>
      </c>
      <c r="AA229" s="7">
        <v>1026.4006431174319</v>
      </c>
      <c r="AB229" s="7">
        <v>768.32476996594187</v>
      </c>
      <c r="AC229" s="7">
        <v>771.11001175418801</v>
      </c>
      <c r="AD229" s="7">
        <v>693.23290591863679</v>
      </c>
    </row>
    <row r="230" spans="1:59" ht="12" customHeight="1" x14ac:dyDescent="0.2">
      <c r="A230" t="s">
        <v>60</v>
      </c>
      <c r="B230" t="s">
        <v>45</v>
      </c>
      <c r="C230" s="7">
        <v>208.75367713463262</v>
      </c>
      <c r="D230" s="7">
        <v>198.63361577082313</v>
      </c>
      <c r="E230" s="7">
        <v>225.42940974935362</v>
      </c>
      <c r="F230" s="7">
        <v>241.21882794093645</v>
      </c>
      <c r="G230" s="7">
        <v>240.39499081264808</v>
      </c>
      <c r="H230" s="7">
        <v>314.73987344754346</v>
      </c>
      <c r="I230" s="7">
        <v>323.1061942933855</v>
      </c>
      <c r="J230" s="7">
        <v>334.397682092298</v>
      </c>
      <c r="K230" s="7">
        <v>330.43288013986654</v>
      </c>
      <c r="L230" s="7">
        <v>238.69953019975421</v>
      </c>
      <c r="M230" s="7">
        <v>230.74000662956374</v>
      </c>
      <c r="N230" s="7">
        <v>234.07230163767011</v>
      </c>
      <c r="O230" s="7">
        <v>272.99906376525183</v>
      </c>
      <c r="P230" s="7">
        <v>287.08773317955769</v>
      </c>
      <c r="Q230" s="7">
        <v>241.03177178442942</v>
      </c>
      <c r="R230" s="7">
        <v>237.04118085767553</v>
      </c>
      <c r="S230" s="7">
        <v>397.35226848974514</v>
      </c>
      <c r="T230" s="7">
        <v>382.28028589185828</v>
      </c>
      <c r="U230" s="7">
        <v>404.20316967060279</v>
      </c>
      <c r="V230" s="7">
        <v>393.92681789931629</v>
      </c>
      <c r="W230" s="7">
        <v>350.766140459913</v>
      </c>
      <c r="X230" s="7">
        <v>339.11960845245494</v>
      </c>
      <c r="Y230" s="7">
        <v>361.0424922311995</v>
      </c>
      <c r="Z230" s="7">
        <v>367.89339341205715</v>
      </c>
      <c r="AA230" s="7">
        <v>324.04762585456803</v>
      </c>
      <c r="AB230" s="7">
        <v>312.40109384711002</v>
      </c>
      <c r="AC230" s="7">
        <v>372.00393412057167</v>
      </c>
      <c r="AD230" s="7">
        <v>361.72758234928529</v>
      </c>
    </row>
    <row r="231" spans="1:59" ht="12" customHeight="1" x14ac:dyDescent="0.2">
      <c r="A231" t="s">
        <v>61</v>
      </c>
      <c r="B231" t="s">
        <v>45</v>
      </c>
      <c r="C231" s="7">
        <v>223.44285878110892</v>
      </c>
      <c r="D231" s="7">
        <v>296.8721863585738</v>
      </c>
      <c r="E231" s="7">
        <v>251.35681886283683</v>
      </c>
      <c r="F231" s="7">
        <v>275.916981050689</v>
      </c>
      <c r="G231" s="7">
        <v>251.16879021989587</v>
      </c>
      <c r="H231" s="7">
        <v>255.99205410027952</v>
      </c>
      <c r="I231" s="7">
        <v>276.07398788959131</v>
      </c>
      <c r="J231" s="7">
        <v>240.81456614984009</v>
      </c>
      <c r="K231" s="7">
        <v>284.19862957471088</v>
      </c>
      <c r="L231" s="7">
        <v>216.29724144961918</v>
      </c>
      <c r="M231" s="7">
        <v>237.07505905981418</v>
      </c>
      <c r="N231" s="7">
        <v>277.95316416758834</v>
      </c>
      <c r="O231" s="7">
        <v>283.77367034325823</v>
      </c>
      <c r="P231" s="7">
        <v>233.33584023041217</v>
      </c>
      <c r="Q231" s="7">
        <v>224.80916084356045</v>
      </c>
      <c r="R231" s="7">
        <v>438.28081923735124</v>
      </c>
      <c r="S231" s="7">
        <v>493.1406213705547</v>
      </c>
      <c r="T231" s="7">
        <v>643.26643195582835</v>
      </c>
      <c r="U231" s="7">
        <v>573.55326961564276</v>
      </c>
      <c r="V231" s="7">
        <v>699.37909661801575</v>
      </c>
      <c r="W231" s="7">
        <v>696.71592263663729</v>
      </c>
      <c r="X231" s="7">
        <v>605.56550096471801</v>
      </c>
      <c r="Y231" s="7">
        <v>581.95526959910239</v>
      </c>
      <c r="Z231" s="7">
        <v>637.89987553460776</v>
      </c>
      <c r="AA231" s="7">
        <v>676.35238219469818</v>
      </c>
      <c r="AB231" s="7">
        <v>480.58399085332582</v>
      </c>
      <c r="AC231" s="7">
        <v>512.76889439240745</v>
      </c>
      <c r="AD231" s="7">
        <v>637.83912357080885</v>
      </c>
    </row>
    <row r="232" spans="1:59" ht="12" customHeight="1" x14ac:dyDescent="0.2">
      <c r="A232" t="s">
        <v>44</v>
      </c>
      <c r="B232" t="s">
        <v>64</v>
      </c>
      <c r="C232" s="7">
        <v>11242.0919177347</v>
      </c>
      <c r="D232" s="7">
        <v>12131.60964021015</v>
      </c>
      <c r="E232" s="7">
        <v>13398.475546765751</v>
      </c>
      <c r="F232" s="7">
        <v>13629.97685699395</v>
      </c>
      <c r="G232" s="7">
        <v>14680.054397201</v>
      </c>
      <c r="H232" s="7">
        <v>16188.395908298449</v>
      </c>
      <c r="I232" s="7">
        <v>14893.6698647582</v>
      </c>
      <c r="J232" s="7">
        <v>15685.80914526985</v>
      </c>
      <c r="K232" s="7">
        <v>16070.6011833582</v>
      </c>
      <c r="L232" s="7">
        <v>17979.529555974499</v>
      </c>
      <c r="M232" s="7">
        <v>18607.04809584215</v>
      </c>
      <c r="N232" s="7">
        <v>19387.07845059365</v>
      </c>
      <c r="O232" s="7">
        <v>19936.493011853549</v>
      </c>
      <c r="P232" s="7">
        <v>18629.880016751449</v>
      </c>
      <c r="Q232" s="7">
        <v>16215.3893931822</v>
      </c>
      <c r="R232" s="7">
        <v>19763.813672921999</v>
      </c>
      <c r="S232" s="7">
        <v>19622.915525682602</v>
      </c>
      <c r="T232" s="7">
        <v>19223.593728655349</v>
      </c>
      <c r="U232" s="7">
        <v>19401.84630060945</v>
      </c>
      <c r="V232" s="7">
        <v>21161.613175106999</v>
      </c>
      <c r="W232" s="7">
        <v>21485.188538701401</v>
      </c>
      <c r="X232" s="7">
        <v>21981.884667001101</v>
      </c>
      <c r="Y232" s="7">
        <v>24885.619134313049</v>
      </c>
      <c r="Z232" s="7">
        <v>26253.05163780375</v>
      </c>
      <c r="AA232" s="7">
        <v>24726.451138359051</v>
      </c>
      <c r="AB232" s="7">
        <v>23290.350201636451</v>
      </c>
      <c r="AC232" s="7">
        <v>28889.8820719084</v>
      </c>
      <c r="AD232" s="7">
        <v>27302.197446963</v>
      </c>
    </row>
    <row r="233" spans="1:59" ht="12" customHeight="1" x14ac:dyDescent="0.2">
      <c r="A233" t="s">
        <v>47</v>
      </c>
      <c r="B233" s="13" t="s">
        <v>64</v>
      </c>
      <c r="C233" s="23">
        <v>1504.9640108449262</v>
      </c>
      <c r="D233" s="23">
        <v>1674.7155790770942</v>
      </c>
      <c r="E233" s="23">
        <v>1161.1206543639373</v>
      </c>
      <c r="F233" s="23">
        <v>1465.5282917140755</v>
      </c>
      <c r="G233" s="23">
        <v>1352.4697078532133</v>
      </c>
      <c r="H233" s="23">
        <v>1300.1940372683544</v>
      </c>
      <c r="I233" s="23">
        <v>1245.7267322362109</v>
      </c>
      <c r="J233" s="23">
        <v>1218.8205678062477</v>
      </c>
      <c r="K233" s="23">
        <v>1182.1104866347644</v>
      </c>
      <c r="L233" s="23">
        <v>1247.1529809691815</v>
      </c>
      <c r="M233" s="23">
        <v>1158.9770217291125</v>
      </c>
      <c r="N233" s="23">
        <v>1171.9270525722422</v>
      </c>
      <c r="O233" s="23">
        <v>1246.666263978306</v>
      </c>
      <c r="P233" s="23">
        <v>792.22977283931414</v>
      </c>
      <c r="Q233" s="23">
        <v>1301.3347524674255</v>
      </c>
      <c r="R233" s="23">
        <v>772.44383308560134</v>
      </c>
      <c r="S233" s="23">
        <v>1711.9126980022529</v>
      </c>
      <c r="T233" s="23">
        <v>1547.6280687592923</v>
      </c>
      <c r="U233" s="23">
        <v>1558.1686562586017</v>
      </c>
      <c r="V233" s="23">
        <v>1734.2728611772884</v>
      </c>
      <c r="W233" s="23">
        <v>1650.3197018895862</v>
      </c>
      <c r="X233" s="23">
        <v>1264.5088588567623</v>
      </c>
      <c r="Y233" s="24">
        <v>1981.6181566150519</v>
      </c>
      <c r="Z233" s="24">
        <v>2256.1708878298714</v>
      </c>
      <c r="AA233" s="24">
        <v>1168.8994518599566</v>
      </c>
      <c r="AB233" s="24">
        <v>876.84015678838307</v>
      </c>
      <c r="AC233" s="23">
        <v>1628.8008488364051</v>
      </c>
      <c r="AD233" s="7">
        <v>1067.8142773796505</v>
      </c>
      <c r="BE233" s="13"/>
    </row>
    <row r="234" spans="1:59" ht="12" customHeight="1" x14ac:dyDescent="0.2">
      <c r="A234" t="s">
        <v>48</v>
      </c>
      <c r="B234" s="13" t="s">
        <v>64</v>
      </c>
      <c r="C234" s="23">
        <v>256.87600878692314</v>
      </c>
      <c r="D234" s="23">
        <v>256.90498510877148</v>
      </c>
      <c r="E234" s="23">
        <v>290.32261343964905</v>
      </c>
      <c r="F234" s="23">
        <v>335.85122147771409</v>
      </c>
      <c r="G234" s="23">
        <v>263.61169043233588</v>
      </c>
      <c r="H234" s="23">
        <v>251.86726437031191</v>
      </c>
      <c r="I234" s="23">
        <v>287.27280020492856</v>
      </c>
      <c r="J234" s="23">
        <v>282.29041512264121</v>
      </c>
      <c r="K234" s="23">
        <v>388.71192140177749</v>
      </c>
      <c r="L234" s="23">
        <v>274.3669988490808</v>
      </c>
      <c r="M234" s="23">
        <v>311.74242216957481</v>
      </c>
      <c r="N234" s="23">
        <v>358.67087181222922</v>
      </c>
      <c r="O234" s="23">
        <v>588.1379690563715</v>
      </c>
      <c r="P234" s="23">
        <v>652.41739645412008</v>
      </c>
      <c r="Q234" s="23">
        <v>639.91847392281306</v>
      </c>
      <c r="R234" s="23">
        <v>628.24943909818933</v>
      </c>
      <c r="S234" s="23">
        <v>704.57718861544311</v>
      </c>
      <c r="T234" s="23">
        <v>688.07587026591966</v>
      </c>
      <c r="U234" s="23">
        <v>756.4554912909075</v>
      </c>
      <c r="V234" s="23">
        <v>884.88553501256695</v>
      </c>
      <c r="W234" s="23">
        <v>933.08162810332772</v>
      </c>
      <c r="X234" s="23">
        <v>1081.995878090815</v>
      </c>
      <c r="Y234" s="24">
        <v>1123.4254462251495</v>
      </c>
      <c r="Z234" s="24">
        <v>1059.1387254248955</v>
      </c>
      <c r="AA234" s="24">
        <v>1079.20822735407</v>
      </c>
      <c r="AB234" s="24">
        <v>880.31756982395257</v>
      </c>
      <c r="AC234" s="23">
        <v>1183.8661260261431</v>
      </c>
      <c r="AD234" s="7">
        <v>1101.4330457924937</v>
      </c>
      <c r="BE234" s="13"/>
    </row>
    <row r="235" spans="1:59" ht="12" customHeight="1" x14ac:dyDescent="0.2">
      <c r="A235" t="s">
        <v>49</v>
      </c>
      <c r="B235" s="13" t="s">
        <v>64</v>
      </c>
      <c r="C235" s="23">
        <v>15531.855022828435</v>
      </c>
      <c r="D235" s="23">
        <v>13778.467030519005</v>
      </c>
      <c r="E235" s="23">
        <v>15945.813351059311</v>
      </c>
      <c r="F235" s="23">
        <v>17237.497159570696</v>
      </c>
      <c r="G235" s="23">
        <v>15918.620341800332</v>
      </c>
      <c r="H235" s="23">
        <v>18338.674854137462</v>
      </c>
      <c r="I235" s="23">
        <v>19746.815755363888</v>
      </c>
      <c r="J235" s="23">
        <v>19941.742899958914</v>
      </c>
      <c r="K235" s="23">
        <v>20133.179597899012</v>
      </c>
      <c r="L235" s="23">
        <v>22565.869207084892</v>
      </c>
      <c r="M235" s="23">
        <v>22155.891454650828</v>
      </c>
      <c r="N235" s="23">
        <v>23379.472257536068</v>
      </c>
      <c r="O235" s="23">
        <v>25081.102572206168</v>
      </c>
      <c r="P235" s="23">
        <v>27104.835732188505</v>
      </c>
      <c r="Q235" s="23">
        <v>24532.179748148897</v>
      </c>
      <c r="R235" s="23">
        <v>27508.100117312904</v>
      </c>
      <c r="S235" s="23">
        <v>29449.223116524554</v>
      </c>
      <c r="T235" s="23">
        <v>29644.848296384771</v>
      </c>
      <c r="U235" s="23">
        <v>29590.957552871307</v>
      </c>
      <c r="V235" s="23">
        <v>29286.202814376702</v>
      </c>
      <c r="W235" s="23">
        <v>28659.729908366502</v>
      </c>
      <c r="X235" s="23">
        <v>29241.795531681008</v>
      </c>
      <c r="Y235" s="24">
        <v>33622.351980376268</v>
      </c>
      <c r="Z235" s="24">
        <v>33681.74684251978</v>
      </c>
      <c r="AA235" s="24">
        <v>33293.399547454537</v>
      </c>
      <c r="AB235" s="24">
        <v>25225.352636354397</v>
      </c>
      <c r="AC235" s="23">
        <v>31001.72629091992</v>
      </c>
      <c r="AD235" s="7">
        <v>30795.070516566226</v>
      </c>
      <c r="BE235" s="13"/>
    </row>
    <row r="236" spans="1:59" ht="12" customHeight="1" x14ac:dyDescent="0.2">
      <c r="A236" t="s">
        <v>50</v>
      </c>
      <c r="B236" s="13" t="s">
        <v>64</v>
      </c>
      <c r="C236" s="23">
        <v>5087.4621352795539</v>
      </c>
      <c r="D236" s="23">
        <v>5519.4746981791013</v>
      </c>
      <c r="E236" s="23">
        <v>6958.2283911886361</v>
      </c>
      <c r="F236" s="23">
        <v>6937.5072974061859</v>
      </c>
      <c r="G236" s="23">
        <v>7341.2342935800898</v>
      </c>
      <c r="H236" s="23">
        <v>7173.416152897662</v>
      </c>
      <c r="I236" s="23">
        <v>6607.6999299377776</v>
      </c>
      <c r="J236" s="23">
        <v>6864.0184316903324</v>
      </c>
      <c r="K236" s="23">
        <v>7560.8291771131271</v>
      </c>
      <c r="L236" s="23">
        <v>8585.3224084770591</v>
      </c>
      <c r="M236" s="23">
        <v>8697.568790116422</v>
      </c>
      <c r="N236" s="23">
        <v>8769.339438854302</v>
      </c>
      <c r="O236" s="23">
        <v>8645.5720864305822</v>
      </c>
      <c r="P236" s="23">
        <v>7124.5788914295417</v>
      </c>
      <c r="Q236" s="23">
        <v>6328.0532655080315</v>
      </c>
      <c r="R236" s="23">
        <v>5961.4824622198557</v>
      </c>
      <c r="S236" s="23">
        <v>5180.7155993158367</v>
      </c>
      <c r="T236" s="23">
        <v>3938.8761642766249</v>
      </c>
      <c r="U236" s="23">
        <v>5398.7989785177133</v>
      </c>
      <c r="V236" s="23">
        <v>6247.7895418842927</v>
      </c>
      <c r="W236" s="23">
        <v>6465.3627442236857</v>
      </c>
      <c r="X236" s="23">
        <v>6993.8910531643614</v>
      </c>
      <c r="Y236" s="24">
        <v>7707.433688844947</v>
      </c>
      <c r="Z236" s="24">
        <v>7807.263305986271</v>
      </c>
      <c r="AA236" s="24">
        <v>6994.8273242861633</v>
      </c>
      <c r="AB236" s="24">
        <v>5785.4977550528665</v>
      </c>
      <c r="AC236" s="23">
        <v>5236.7135019905008</v>
      </c>
      <c r="AD236" s="7">
        <v>6368.1077957354491</v>
      </c>
      <c r="BE236" s="13"/>
    </row>
    <row r="237" spans="1:59" ht="12" customHeight="1" x14ac:dyDescent="0.2">
      <c r="A237" t="s">
        <v>51</v>
      </c>
      <c r="B237" s="13" t="s">
        <v>64</v>
      </c>
      <c r="C237" s="23">
        <v>1059.6383590142691</v>
      </c>
      <c r="D237" s="23">
        <v>1781.9791216533272</v>
      </c>
      <c r="E237" s="23">
        <v>1934.3467822563368</v>
      </c>
      <c r="F237" s="23">
        <v>1802.6940695352359</v>
      </c>
      <c r="G237" s="23">
        <v>1442.2408267663734</v>
      </c>
      <c r="H237" s="23">
        <v>1404.668788258942</v>
      </c>
      <c r="I237" s="23">
        <v>2237.2057747824529</v>
      </c>
      <c r="J237" s="23">
        <v>2034.6798253661275</v>
      </c>
      <c r="K237" s="23">
        <v>1791.5508816435533</v>
      </c>
      <c r="L237" s="23">
        <v>1809.4805942393691</v>
      </c>
      <c r="M237" s="23">
        <v>1845.5275899336866</v>
      </c>
      <c r="N237" s="23">
        <v>1876.8420760115496</v>
      </c>
      <c r="O237" s="23">
        <v>1671.7547970840258</v>
      </c>
      <c r="P237" s="23">
        <v>1773.9391854881728</v>
      </c>
      <c r="Q237" s="23">
        <v>1971.1378643224214</v>
      </c>
      <c r="R237" s="23">
        <v>1815.9605314857672</v>
      </c>
      <c r="S237" s="23">
        <v>1737.6546092697088</v>
      </c>
      <c r="T237" s="23">
        <v>1674.5598330510613</v>
      </c>
      <c r="U237" s="23">
        <v>1311.489714611148</v>
      </c>
      <c r="V237" s="23">
        <v>1737.7472315466748</v>
      </c>
      <c r="W237" s="23">
        <v>2417.9076767393385</v>
      </c>
      <c r="X237" s="23">
        <v>2977.1616131264896</v>
      </c>
      <c r="Y237" s="24">
        <v>2698.8100614461446</v>
      </c>
      <c r="Z237" s="24">
        <v>2851.1389473749455</v>
      </c>
      <c r="AA237" s="24">
        <v>3134.3806842221711</v>
      </c>
      <c r="AB237" s="24">
        <v>1873.4678818178684</v>
      </c>
      <c r="AC237" s="23">
        <v>1696.3968485191851</v>
      </c>
      <c r="AD237" s="7">
        <v>1659.8794909124331</v>
      </c>
      <c r="BE237" s="13"/>
    </row>
    <row r="238" spans="1:59" ht="12" customHeight="1" x14ac:dyDescent="0.2">
      <c r="A238" t="s">
        <v>52</v>
      </c>
      <c r="B238" s="13" t="s">
        <v>64</v>
      </c>
      <c r="C238" s="23">
        <v>1867.0983283171847</v>
      </c>
      <c r="D238" s="23">
        <v>3250.0727094220038</v>
      </c>
      <c r="E238" s="23">
        <v>3485.6092373401475</v>
      </c>
      <c r="F238" s="23">
        <v>2300.9450503890744</v>
      </c>
      <c r="G238" s="23">
        <v>2361.7508846559535</v>
      </c>
      <c r="H238" s="23">
        <v>1449.8951260535805</v>
      </c>
      <c r="I238" s="23">
        <v>2878.399025880723</v>
      </c>
      <c r="J238" s="23">
        <v>4817.7645868157624</v>
      </c>
      <c r="K238" s="23">
        <v>5707.4954817195076</v>
      </c>
      <c r="L238" s="23">
        <v>6710.5959101890476</v>
      </c>
      <c r="M238" s="23">
        <v>3962.6939428297337</v>
      </c>
      <c r="N238" s="23">
        <v>4214.1553225935131</v>
      </c>
      <c r="O238" s="23">
        <v>4285.6654470389276</v>
      </c>
      <c r="P238" s="23">
        <v>4349.3637692469483</v>
      </c>
      <c r="Q238" s="23">
        <v>4067.7220127268956</v>
      </c>
      <c r="R238" s="23">
        <v>5752.0451659151477</v>
      </c>
      <c r="S238" s="23">
        <v>4986.2621872341715</v>
      </c>
      <c r="T238" s="23">
        <v>6163.3873593092785</v>
      </c>
      <c r="U238" s="23">
        <v>6178.9094213635726</v>
      </c>
      <c r="V238" s="23">
        <v>6082.4893806460514</v>
      </c>
      <c r="W238" s="23">
        <v>5805.6339302315537</v>
      </c>
      <c r="X238" s="23">
        <v>6227.9108507349374</v>
      </c>
      <c r="Y238" s="24">
        <v>7120.2378681072705</v>
      </c>
      <c r="Z238" s="24">
        <v>8470.0960689788808</v>
      </c>
      <c r="AA238" s="24">
        <v>6315.9888167315112</v>
      </c>
      <c r="AB238" s="24">
        <v>8362.822801872675</v>
      </c>
      <c r="AC238" s="23">
        <v>8982.6954459736517</v>
      </c>
      <c r="AD238" s="7">
        <v>7938.2824205817169</v>
      </c>
      <c r="BE238" s="13"/>
    </row>
    <row r="239" spans="1:59" ht="12" customHeight="1" x14ac:dyDescent="0.2">
      <c r="A239" t="s">
        <v>53</v>
      </c>
      <c r="B239" s="13" t="s">
        <v>64</v>
      </c>
      <c r="C239" s="23">
        <v>196.55342553654955</v>
      </c>
      <c r="D239" s="23">
        <v>320.8080034788893</v>
      </c>
      <c r="E239" s="23">
        <v>274.56927483046883</v>
      </c>
      <c r="F239" s="23">
        <v>167.54064409728994</v>
      </c>
      <c r="G239" s="23">
        <v>125.93888447863435</v>
      </c>
      <c r="H239" s="23">
        <v>99.397616652028248</v>
      </c>
      <c r="I239" s="23">
        <v>52.935827924884705</v>
      </c>
      <c r="J239" s="23">
        <v>41.177090077111593</v>
      </c>
      <c r="K239" s="23">
        <v>49.973914024388399</v>
      </c>
      <c r="L239" s="23">
        <v>37.736689123279163</v>
      </c>
      <c r="M239" s="23">
        <v>49.977572064647241</v>
      </c>
      <c r="N239" s="23">
        <v>58.15371698889777</v>
      </c>
      <c r="O239" s="23">
        <v>94.936683841829961</v>
      </c>
      <c r="P239" s="23">
        <v>127.46667143425309</v>
      </c>
      <c r="Q239" s="23">
        <v>408.62005469766547</v>
      </c>
      <c r="R239" s="23">
        <v>742.755009015729</v>
      </c>
      <c r="S239" s="23">
        <v>793.19338878671431</v>
      </c>
      <c r="T239" s="23">
        <v>738.47557577066561</v>
      </c>
      <c r="U239" s="23">
        <v>878.20496603513675</v>
      </c>
      <c r="V239" s="23">
        <v>830.31161336013145</v>
      </c>
      <c r="W239" s="23">
        <v>577.67905998631204</v>
      </c>
      <c r="X239" s="23">
        <v>363.34907415151736</v>
      </c>
      <c r="Y239" s="24">
        <v>266.72919310878626</v>
      </c>
      <c r="Z239" s="24">
        <v>338.75634310002391</v>
      </c>
      <c r="AA239" s="24">
        <v>367.33026952987888</v>
      </c>
      <c r="AB239" s="24">
        <v>304.00553522935508</v>
      </c>
      <c r="AC239" s="23">
        <v>1124.5997010012798</v>
      </c>
      <c r="AD239" s="7">
        <v>195.83825664115491</v>
      </c>
      <c r="BE239" s="13"/>
    </row>
    <row r="240" spans="1:59" ht="12" customHeight="1" x14ac:dyDescent="0.2">
      <c r="A240" t="s">
        <v>54</v>
      </c>
      <c r="B240" s="13" t="s">
        <v>64</v>
      </c>
      <c r="C240" s="23">
        <v>7.0459011599595254</v>
      </c>
      <c r="D240" s="23">
        <v>24.368647815634141</v>
      </c>
      <c r="E240" s="23">
        <v>18.667797598263931</v>
      </c>
      <c r="F240" s="23">
        <v>334.34423565696284</v>
      </c>
      <c r="G240" s="23">
        <v>456.49044123643836</v>
      </c>
      <c r="H240" s="23">
        <v>366.01369781756813</v>
      </c>
      <c r="I240" s="23">
        <v>585.12064844049041</v>
      </c>
      <c r="J240" s="23">
        <v>671.01183211750003</v>
      </c>
      <c r="K240" s="23">
        <v>475.93512540448847</v>
      </c>
      <c r="L240" s="23">
        <v>557.98179229142499</v>
      </c>
      <c r="M240" s="23">
        <v>818.10785389502337</v>
      </c>
      <c r="N240" s="23">
        <v>938.16885821820767</v>
      </c>
      <c r="O240" s="23">
        <v>1108.0741433274538</v>
      </c>
      <c r="P240" s="23">
        <v>1176.2865480858698</v>
      </c>
      <c r="Q240" s="23">
        <v>738.16604249621685</v>
      </c>
      <c r="R240" s="23">
        <v>853.74160342927928</v>
      </c>
      <c r="S240" s="23">
        <v>793.20659855574013</v>
      </c>
      <c r="T240" s="23">
        <v>645.41123217623192</v>
      </c>
      <c r="U240" s="23">
        <v>401.08936584898532</v>
      </c>
      <c r="V240" s="23">
        <v>423.29919829317265</v>
      </c>
      <c r="W240" s="23">
        <v>403.65548121257166</v>
      </c>
      <c r="X240" s="23">
        <v>427.70954131332292</v>
      </c>
      <c r="Y240" s="24">
        <v>456.59859277769897</v>
      </c>
      <c r="Z240" s="24">
        <v>312.4434128057357</v>
      </c>
      <c r="AA240" s="24">
        <v>217.53787752576943</v>
      </c>
      <c r="AB240" s="24">
        <v>116.08204557129586</v>
      </c>
      <c r="AC240" s="23">
        <v>228.95110876381793</v>
      </c>
      <c r="AD240" s="7">
        <v>732.43194730287814</v>
      </c>
      <c r="BE240" s="13"/>
    </row>
    <row r="241" spans="1:59" ht="12" customHeight="1" x14ac:dyDescent="0.2">
      <c r="A241" t="s">
        <v>55</v>
      </c>
      <c r="B241" s="13" t="s">
        <v>64</v>
      </c>
      <c r="C241" s="23">
        <v>206.0166525732329</v>
      </c>
      <c r="D241" s="23">
        <v>240.13232545602713</v>
      </c>
      <c r="E241" s="23">
        <v>311.90974985074911</v>
      </c>
      <c r="F241" s="23">
        <v>391.1573029658303</v>
      </c>
      <c r="G241" s="23">
        <v>598.38673219745476</v>
      </c>
      <c r="H241" s="23">
        <v>652.85315736617861</v>
      </c>
      <c r="I241" s="23">
        <v>894.51359454567455</v>
      </c>
      <c r="J241" s="23">
        <v>2464.4475986330422</v>
      </c>
      <c r="K241" s="23">
        <v>3347.805950192424</v>
      </c>
      <c r="L241" s="23">
        <v>4893.6619020103253</v>
      </c>
      <c r="M241" s="23">
        <v>6189.8635165935166</v>
      </c>
      <c r="N241" s="23">
        <v>7424.3187806213</v>
      </c>
      <c r="O241" s="23">
        <v>8615.2628106019656</v>
      </c>
      <c r="P241" s="23">
        <v>9834.5673082516878</v>
      </c>
      <c r="Q241" s="23">
        <v>9221.1174930372945</v>
      </c>
      <c r="R241" s="23">
        <v>11255.060690239174</v>
      </c>
      <c r="S241" s="23">
        <v>11281.865787202994</v>
      </c>
      <c r="T241" s="23">
        <v>10392.012053079672</v>
      </c>
      <c r="U241" s="23">
        <v>10685.671613663251</v>
      </c>
      <c r="V241" s="23">
        <v>10851.986353583736</v>
      </c>
      <c r="W241" s="23">
        <v>11559.131136963961</v>
      </c>
      <c r="X241" s="23">
        <v>13080.380173614192</v>
      </c>
      <c r="Y241" s="24">
        <v>14954.215106637113</v>
      </c>
      <c r="Z241" s="24">
        <v>15970.087145878708</v>
      </c>
      <c r="AA241" s="24">
        <v>16664.823830536388</v>
      </c>
      <c r="AB241" s="24">
        <v>12790.225674412864</v>
      </c>
      <c r="AC241" s="23">
        <v>12207.429191982366</v>
      </c>
      <c r="AD241" s="7">
        <v>11002.684745695637</v>
      </c>
      <c r="BE241" s="13"/>
    </row>
    <row r="242" spans="1:59" ht="12" customHeight="1" x14ac:dyDescent="0.2">
      <c r="A242" t="s">
        <v>56</v>
      </c>
      <c r="B242" s="13" t="s">
        <v>64</v>
      </c>
      <c r="C242" s="23">
        <v>1175.55560625576</v>
      </c>
      <c r="D242" s="23">
        <v>1324.2340427422916</v>
      </c>
      <c r="E242" s="23">
        <v>1367.9907883712754</v>
      </c>
      <c r="F242" s="23">
        <v>1105.147631732666</v>
      </c>
      <c r="G242" s="23">
        <v>1177.1764722438641</v>
      </c>
      <c r="H242" s="23">
        <v>1284.2611881560258</v>
      </c>
      <c r="I242" s="23">
        <v>1332.3845945602789</v>
      </c>
      <c r="J242" s="23">
        <v>1409.6118910132016</v>
      </c>
      <c r="K242" s="23">
        <v>1772.8302400599352</v>
      </c>
      <c r="L242" s="23">
        <v>1733.7564355912143</v>
      </c>
      <c r="M242" s="23">
        <v>2161.440015967592</v>
      </c>
      <c r="N242" s="23">
        <v>2445.5113516581659</v>
      </c>
      <c r="O242" s="23">
        <v>2176.6896440807182</v>
      </c>
      <c r="P242" s="23">
        <v>2626.9880544768698</v>
      </c>
      <c r="Q242" s="23">
        <v>2249.8911221182143</v>
      </c>
      <c r="R242" s="23">
        <v>2685.5320958496859</v>
      </c>
      <c r="S242" s="23">
        <v>2564.759798283214</v>
      </c>
      <c r="T242" s="23">
        <v>2337.3002676028154</v>
      </c>
      <c r="U242" s="23">
        <v>2325.3017947553426</v>
      </c>
      <c r="V242" s="23">
        <v>2194.7773674155305</v>
      </c>
      <c r="W242" s="23">
        <v>2153.6604237924785</v>
      </c>
      <c r="X242" s="23">
        <v>2252.0164803800876</v>
      </c>
      <c r="Y242" s="24">
        <v>2668.2885087666214</v>
      </c>
      <c r="Z242" s="24">
        <v>2984.6844893245675</v>
      </c>
      <c r="AA242" s="24">
        <v>3005.1197563272244</v>
      </c>
      <c r="AB242" s="24">
        <v>1866.0893105017749</v>
      </c>
      <c r="AC242" s="23">
        <v>1867.8959310343153</v>
      </c>
      <c r="AD242" s="7">
        <v>2236.8766024443503</v>
      </c>
      <c r="BE242" s="13"/>
    </row>
    <row r="243" spans="1:59" ht="12" customHeight="1" x14ac:dyDescent="0.2">
      <c r="A243" t="s">
        <v>57</v>
      </c>
      <c r="B243" s="13" t="s">
        <v>64</v>
      </c>
      <c r="C243" s="23">
        <v>7394.4914776072974</v>
      </c>
      <c r="D243" s="23">
        <v>8585.4043880056051</v>
      </c>
      <c r="E243" s="23">
        <v>10446.099472539734</v>
      </c>
      <c r="F243" s="23">
        <v>10199.69136777737</v>
      </c>
      <c r="G243" s="23">
        <v>10985.521637124601</v>
      </c>
      <c r="H243" s="23">
        <v>11024.874145232179</v>
      </c>
      <c r="I243" s="23">
        <v>11711.164036378881</v>
      </c>
      <c r="J243" s="23">
        <v>11756.947344408241</v>
      </c>
      <c r="K243" s="23">
        <v>12819.688101814647</v>
      </c>
      <c r="L243" s="23">
        <v>14190.994035283573</v>
      </c>
      <c r="M243" s="23">
        <v>14885.376624628056</v>
      </c>
      <c r="N243" s="23">
        <v>14678.693197212777</v>
      </c>
      <c r="O243" s="23">
        <v>14130.231207459949</v>
      </c>
      <c r="P243" s="23">
        <v>16202.975654229498</v>
      </c>
      <c r="Q243" s="23">
        <v>15550.845557979759</v>
      </c>
      <c r="R243" s="23">
        <v>20982.445241076206</v>
      </c>
      <c r="S243" s="23">
        <v>19663.554297511528</v>
      </c>
      <c r="T243" s="23">
        <v>19368.292123998479</v>
      </c>
      <c r="U243" s="23">
        <v>16750.104170308277</v>
      </c>
      <c r="V243" s="23">
        <v>18844.710783224124</v>
      </c>
      <c r="W243" s="23">
        <v>19717.984689258505</v>
      </c>
      <c r="X243" s="23">
        <v>20053.332435042463</v>
      </c>
      <c r="Y243" s="24">
        <v>21252.651826755784</v>
      </c>
      <c r="Z243" s="24">
        <v>20103.616112941745</v>
      </c>
      <c r="AA243" s="24">
        <v>21373.447273239501</v>
      </c>
      <c r="AB243" s="24">
        <v>18318.817660813784</v>
      </c>
      <c r="AC243" s="23">
        <v>19327.742298005094</v>
      </c>
      <c r="AD243" s="7">
        <v>13728.343051760252</v>
      </c>
      <c r="BE243" s="13"/>
    </row>
    <row r="244" spans="1:59" ht="12" customHeight="1" x14ac:dyDescent="0.2">
      <c r="A244" t="s">
        <v>58</v>
      </c>
      <c r="B244" s="13" t="s">
        <v>64</v>
      </c>
      <c r="C244" s="23">
        <v>2709.9796147450725</v>
      </c>
      <c r="D244" s="23">
        <v>2849.0792548164986</v>
      </c>
      <c r="E244" s="23">
        <v>3422.3457636492085</v>
      </c>
      <c r="F244" s="23">
        <v>3298.5368597628631</v>
      </c>
      <c r="G244" s="23">
        <v>2369.2777323729488</v>
      </c>
      <c r="H244" s="23">
        <v>3514.5550801154545</v>
      </c>
      <c r="I244" s="23">
        <v>2945.9922413245886</v>
      </c>
      <c r="J244" s="23">
        <v>2893.4010765669277</v>
      </c>
      <c r="K244" s="23">
        <v>3257.1382903427689</v>
      </c>
      <c r="L244" s="23">
        <v>3059.348664550273</v>
      </c>
      <c r="M244" s="23">
        <v>2872.0232652317181</v>
      </c>
      <c r="N244" s="23">
        <v>2717.2973092964357</v>
      </c>
      <c r="O244" s="23">
        <v>3568.0764156427526</v>
      </c>
      <c r="P244" s="23">
        <v>2341.5717178083196</v>
      </c>
      <c r="Q244" s="23">
        <v>2127.2703633246738</v>
      </c>
      <c r="R244" s="23">
        <v>3818.6119813348969</v>
      </c>
      <c r="S244" s="23">
        <v>3273.8896466543379</v>
      </c>
      <c r="T244" s="23">
        <v>3831.271103597172</v>
      </c>
      <c r="U244" s="23">
        <v>3643.8077872067211</v>
      </c>
      <c r="V244" s="23">
        <v>3585.4175333656299</v>
      </c>
      <c r="W244" s="23">
        <v>3423.65170650854</v>
      </c>
      <c r="X244" s="23">
        <v>3214.9699188702048</v>
      </c>
      <c r="Y244" s="24">
        <v>3716.2435237529426</v>
      </c>
      <c r="Z244" s="24">
        <v>4754.5215351722254</v>
      </c>
      <c r="AA244" s="24">
        <v>4744.6876749496187</v>
      </c>
      <c r="AB244" s="24">
        <v>4375.1019017327617</v>
      </c>
      <c r="AC244" s="23">
        <v>15915.707666305312</v>
      </c>
      <c r="AD244" s="7">
        <v>11217.548686683558</v>
      </c>
      <c r="BE244" s="13"/>
    </row>
    <row r="245" spans="1:59" ht="12" customHeight="1" x14ac:dyDescent="0.2">
      <c r="A245" t="s">
        <v>59</v>
      </c>
      <c r="B245" s="13" t="s">
        <v>64</v>
      </c>
      <c r="C245" s="23">
        <v>1431.8852257727997</v>
      </c>
      <c r="D245" s="23">
        <v>1176.8755565555628</v>
      </c>
      <c r="E245" s="23">
        <v>1353.5469819520765</v>
      </c>
      <c r="F245" s="23">
        <v>1429.6381358374463</v>
      </c>
      <c r="G245" s="23">
        <v>1245.1137663770089</v>
      </c>
      <c r="H245" s="23">
        <v>1481.9001529991885</v>
      </c>
      <c r="I245" s="23">
        <v>1613.4052441960364</v>
      </c>
      <c r="J245" s="23">
        <v>1572.120907324919</v>
      </c>
      <c r="K245" s="23">
        <v>1680.3660274494248</v>
      </c>
      <c r="L245" s="23">
        <v>2285.1371827691614</v>
      </c>
      <c r="M245" s="23">
        <v>2164.5827009932295</v>
      </c>
      <c r="N245" s="23">
        <v>2113.2203025942367</v>
      </c>
      <c r="O245" s="23">
        <v>2530.2765190270293</v>
      </c>
      <c r="P245" s="23">
        <v>2545.2273785786351</v>
      </c>
      <c r="Q245" s="23">
        <v>2127.2767519063514</v>
      </c>
      <c r="R245" s="23">
        <v>3477.5910485424429</v>
      </c>
      <c r="S245" s="23">
        <v>3551.7453323773657</v>
      </c>
      <c r="T245" s="23">
        <v>3876.0187262122722</v>
      </c>
      <c r="U245" s="23">
        <v>3915.420093582447</v>
      </c>
      <c r="V245" s="23">
        <v>3839.9999853754484</v>
      </c>
      <c r="W245" s="23">
        <v>3549.242591026702</v>
      </c>
      <c r="X245" s="23">
        <v>3213.9809157166687</v>
      </c>
      <c r="Y245" s="24">
        <v>3608.8650965367142</v>
      </c>
      <c r="Z245" s="24">
        <v>3620.4762906776773</v>
      </c>
      <c r="AA245" s="24">
        <v>4443.0884669656571</v>
      </c>
      <c r="AB245" s="24">
        <v>3455.8654485193106</v>
      </c>
      <c r="AC245" s="23">
        <v>5100.5843882949966</v>
      </c>
      <c r="AD245" s="7">
        <v>3536.594802033288</v>
      </c>
      <c r="BE245" s="13"/>
    </row>
    <row r="246" spans="1:59" ht="12" customHeight="1" x14ac:dyDescent="0.2">
      <c r="A246" t="s">
        <v>60</v>
      </c>
      <c r="B246" s="13" t="s">
        <v>64</v>
      </c>
      <c r="C246" s="23">
        <v>933.38369975000876</v>
      </c>
      <c r="D246" s="23">
        <v>888.13467493231587</v>
      </c>
      <c r="E246" s="23">
        <v>1007.9445755995482</v>
      </c>
      <c r="F246" s="23">
        <v>1078.5425443196625</v>
      </c>
      <c r="G246" s="23">
        <v>1074.8589869454981</v>
      </c>
      <c r="H246" s="23">
        <v>1407.2713428077868</v>
      </c>
      <c r="I246" s="23">
        <v>1444.6790072454837</v>
      </c>
      <c r="J246" s="23">
        <v>1495.1657378367436</v>
      </c>
      <c r="K246" s="23">
        <v>1477.4382344656303</v>
      </c>
      <c r="L246" s="23">
        <v>1067.2782088659692</v>
      </c>
      <c r="M246" s="23">
        <v>1031.6894247057726</v>
      </c>
      <c r="N246" s="23">
        <v>1046.5888501243671</v>
      </c>
      <c r="O246" s="23">
        <v>1220.6389830496807</v>
      </c>
      <c r="P246" s="23">
        <v>1283.6325291417984</v>
      </c>
      <c r="Q246" s="23">
        <v>1077.7061750167691</v>
      </c>
      <c r="R246" s="23">
        <v>1336.2599894145644</v>
      </c>
      <c r="S246" s="23">
        <v>1726.0566237870798</v>
      </c>
      <c r="T246" s="23">
        <v>1451.5607047881258</v>
      </c>
      <c r="U246" s="23">
        <v>1578.6862865977198</v>
      </c>
      <c r="V246" s="23">
        <v>1643.6862981178799</v>
      </c>
      <c r="W246" s="23">
        <v>1640.507922083696</v>
      </c>
      <c r="X246" s="23">
        <v>1640.8800390489873</v>
      </c>
      <c r="Y246" s="24">
        <v>1766.1583807244933</v>
      </c>
      <c r="Z246" s="24">
        <v>2129.6265837126898</v>
      </c>
      <c r="AA246" s="24">
        <v>1922.4746658297347</v>
      </c>
      <c r="AB246" s="24">
        <v>1503.2807649455685</v>
      </c>
      <c r="AC246" s="23">
        <v>1991.0911111353557</v>
      </c>
      <c r="AD246" s="7">
        <v>1905.3466900043575</v>
      </c>
      <c r="BE246" s="13"/>
    </row>
    <row r="247" spans="1:59" ht="12" customHeight="1" x14ac:dyDescent="0.2">
      <c r="A247" t="s">
        <v>61</v>
      </c>
      <c r="B247" s="13" t="s">
        <v>64</v>
      </c>
      <c r="C247" s="23">
        <v>1024.0879246507861</v>
      </c>
      <c r="D247" s="23">
        <v>1257.5665694597026</v>
      </c>
      <c r="E247" s="23">
        <v>1246.5227613351854</v>
      </c>
      <c r="F247" s="23">
        <v>1509.8772618429261</v>
      </c>
      <c r="G247" s="23">
        <v>1332.1166656725172</v>
      </c>
      <c r="H247" s="23">
        <v>1403.2111311051806</v>
      </c>
      <c r="I247" s="23">
        <v>2042.4237698699947</v>
      </c>
      <c r="J247" s="23">
        <v>2021.9836131277314</v>
      </c>
      <c r="K247" s="23">
        <v>2200.6125173376718</v>
      </c>
      <c r="L247" s="23">
        <v>2128.11030693256</v>
      </c>
      <c r="M247" s="23">
        <v>1858.7743277925988</v>
      </c>
      <c r="N247" s="23">
        <v>2257.8285528615929</v>
      </c>
      <c r="O247" s="23">
        <v>2493.1065919873959</v>
      </c>
      <c r="P247" s="23">
        <v>2596.101994660226</v>
      </c>
      <c r="Q247" s="23">
        <v>2244.7566687413773</v>
      </c>
      <c r="R247" s="23">
        <v>2736.6470501057506</v>
      </c>
      <c r="S247" s="23">
        <v>2695.7106100274968</v>
      </c>
      <c r="T247" s="23">
        <v>3232.8175863208476</v>
      </c>
      <c r="U247" s="23">
        <v>3543.2628843263988</v>
      </c>
      <c r="V247" s="23">
        <v>3865.705758154771</v>
      </c>
      <c r="W247" s="23">
        <v>3611.3581128934193</v>
      </c>
      <c r="X247" s="23">
        <v>3571.0440904525776</v>
      </c>
      <c r="Y247" s="24">
        <v>4294.9324746834309</v>
      </c>
      <c r="Z247" s="24">
        <v>4423.3381838925206</v>
      </c>
      <c r="AA247" s="24">
        <v>4412.3829592262009</v>
      </c>
      <c r="AB247" s="24">
        <v>3258.6071753114516</v>
      </c>
      <c r="AC247" s="23">
        <v>3471.6713269778197</v>
      </c>
      <c r="AD247" s="7">
        <v>3564.1599560476711</v>
      </c>
      <c r="BE247" s="13"/>
    </row>
    <row r="248" spans="1:59" ht="12" customHeight="1" x14ac:dyDescent="0.2">
      <c r="A248" t="s">
        <v>88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23">
        <f>SUM(W216:W247)</f>
        <v>142852.79992640947</v>
      </c>
      <c r="X248" s="23">
        <f t="shared" ref="X248:AD248" si="1">SUM(X216:X247)</f>
        <v>147500.13887739583</v>
      </c>
      <c r="Y248" s="23">
        <f t="shared" si="1"/>
        <v>164006.17199491564</v>
      </c>
      <c r="Z248" s="23">
        <f t="shared" si="1"/>
        <v>170192.1493317557</v>
      </c>
      <c r="AA248" s="24">
        <f t="shared" si="1"/>
        <v>168387.82775271722</v>
      </c>
      <c r="AB248" s="24">
        <f t="shared" si="1"/>
        <v>145689.91356929508</v>
      </c>
      <c r="AC248" s="23">
        <f t="shared" si="1"/>
        <v>177121.96701811344</v>
      </c>
      <c r="AD248" s="23">
        <f t="shared" si="1"/>
        <v>158373.06291388563</v>
      </c>
      <c r="BE248" s="13"/>
    </row>
    <row r="249" spans="1:59" ht="12" customHeight="1" x14ac:dyDescent="0.2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</row>
    <row r="250" spans="1:59" ht="12" customHeight="1" x14ac:dyDescent="0.2">
      <c r="A250" s="9" t="s">
        <v>89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</row>
    <row r="251" spans="1:59" ht="12" customHeight="1" x14ac:dyDescent="0.2">
      <c r="A251" s="1" t="s">
        <v>40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90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F251" s="66" t="s">
        <v>41</v>
      </c>
      <c r="AG251" t="s">
        <v>42</v>
      </c>
      <c r="AI251" s="20" t="s">
        <v>43</v>
      </c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</row>
    <row r="252" spans="1:59" ht="12" customHeight="1" x14ac:dyDescent="0.2">
      <c r="A252" s="1"/>
      <c r="C252" s="10"/>
      <c r="D252" s="7">
        <v>1995</v>
      </c>
      <c r="E252" s="7">
        <v>1996</v>
      </c>
      <c r="F252" s="7">
        <v>1997</v>
      </c>
      <c r="G252" s="7">
        <v>1998</v>
      </c>
      <c r="H252" s="7">
        <v>1999</v>
      </c>
      <c r="I252" s="7">
        <v>2000</v>
      </c>
      <c r="J252" s="7">
        <v>2001</v>
      </c>
      <c r="K252" s="7">
        <v>2002</v>
      </c>
      <c r="L252" s="7">
        <v>2003</v>
      </c>
      <c r="M252" s="7">
        <v>2004</v>
      </c>
      <c r="N252" s="7">
        <v>2005</v>
      </c>
      <c r="O252" s="7">
        <v>2006</v>
      </c>
      <c r="P252" s="7">
        <v>2007</v>
      </c>
      <c r="Q252" s="7">
        <v>2008</v>
      </c>
      <c r="R252" s="7">
        <v>2009</v>
      </c>
      <c r="S252" s="7">
        <v>2010</v>
      </c>
      <c r="T252" s="7">
        <v>2011</v>
      </c>
      <c r="U252" s="7">
        <v>2012</v>
      </c>
      <c r="V252" s="7">
        <v>2013</v>
      </c>
      <c r="W252" s="7">
        <v>2014</v>
      </c>
      <c r="X252" s="7">
        <v>2015</v>
      </c>
      <c r="Y252" s="7">
        <v>2016</v>
      </c>
      <c r="Z252" s="7">
        <v>2017</v>
      </c>
      <c r="AA252" s="7">
        <v>2018</v>
      </c>
      <c r="AB252" s="7">
        <v>2019</v>
      </c>
      <c r="AC252" s="7">
        <v>2020</v>
      </c>
      <c r="AD252">
        <v>2021</v>
      </c>
      <c r="AE252">
        <v>2022</v>
      </c>
      <c r="AF252" s="28">
        <v>2023</v>
      </c>
      <c r="AG252">
        <v>2024</v>
      </c>
      <c r="AH252">
        <v>2025</v>
      </c>
      <c r="AI252" s="20">
        <v>2026</v>
      </c>
      <c r="AJ252" s="7">
        <v>2027</v>
      </c>
      <c r="AK252" s="7">
        <v>2028</v>
      </c>
      <c r="AL252" s="7">
        <v>2029</v>
      </c>
      <c r="AM252" s="7">
        <v>2030</v>
      </c>
      <c r="AN252" s="7">
        <v>2031</v>
      </c>
      <c r="AO252" s="7">
        <v>2032</v>
      </c>
      <c r="AP252" s="7">
        <v>2033</v>
      </c>
      <c r="AQ252" s="7">
        <v>2034</v>
      </c>
      <c r="AR252" s="7">
        <v>2035</v>
      </c>
      <c r="AS252" s="7">
        <v>2036</v>
      </c>
      <c r="AT252" s="7">
        <v>2037</v>
      </c>
      <c r="AU252" s="7">
        <v>2038</v>
      </c>
      <c r="AV252" s="7">
        <v>2039</v>
      </c>
      <c r="AW252" s="7">
        <v>2040</v>
      </c>
      <c r="AX252" s="7">
        <v>2041</v>
      </c>
      <c r="AY252" s="7">
        <v>2042</v>
      </c>
      <c r="AZ252" s="7">
        <v>2043</v>
      </c>
      <c r="BA252" s="7">
        <v>2044</v>
      </c>
      <c r="BB252" s="7">
        <v>2045</v>
      </c>
      <c r="BC252" s="7">
        <v>2046</v>
      </c>
      <c r="BD252" s="7">
        <v>2047</v>
      </c>
      <c r="BE252" s="7">
        <v>2048</v>
      </c>
      <c r="BF252" s="7">
        <v>2049</v>
      </c>
      <c r="BG252" s="7">
        <v>2050</v>
      </c>
    </row>
    <row r="253" spans="1:59" ht="12" customHeight="1" x14ac:dyDescent="0.2">
      <c r="A253" s="1" t="s">
        <v>44</v>
      </c>
      <c r="B253" t="s">
        <v>45</v>
      </c>
      <c r="C253" s="10" t="s">
        <v>46</v>
      </c>
      <c r="D253" s="13">
        <v>0.49487861058830518</v>
      </c>
      <c r="E253" s="13">
        <v>0.46062436462002643</v>
      </c>
      <c r="F253" s="13">
        <v>0.40197425495348904</v>
      </c>
      <c r="G253" s="13">
        <v>0.38510254799460308</v>
      </c>
      <c r="H253" s="13">
        <v>0.33937583032317348</v>
      </c>
      <c r="I253" s="13">
        <v>0.30621799087731683</v>
      </c>
      <c r="J253" s="13">
        <v>0.25472896398483114</v>
      </c>
      <c r="K253" s="13">
        <v>0.18202239152463845</v>
      </c>
      <c r="L253" s="14">
        <v>0.18142912968267216</v>
      </c>
      <c r="M253" s="13">
        <v>0.16354262689119481</v>
      </c>
      <c r="N253" s="13">
        <v>0.14880225684172327</v>
      </c>
      <c r="O253" s="13">
        <v>0.14279413617545531</v>
      </c>
      <c r="P253" s="13">
        <v>0.12811364200875816</v>
      </c>
      <c r="Q253" s="13">
        <v>0.11277860301101242</v>
      </c>
      <c r="R253" s="13">
        <v>9.6166219644272091E-2</v>
      </c>
      <c r="S253" s="13">
        <v>9.3006602101734295E-2</v>
      </c>
      <c r="T253" s="13">
        <v>8.3029533770038091E-2</v>
      </c>
      <c r="U253" s="13">
        <v>6.7825722162147162E-2</v>
      </c>
      <c r="V253" s="13">
        <v>6.2669945535320667E-2</v>
      </c>
      <c r="W253" s="13">
        <v>6.4494290434711971E-2</v>
      </c>
      <c r="X253" s="13">
        <v>6.9083323821525836E-2</v>
      </c>
      <c r="Y253" s="13">
        <v>7.3439226696725868E-2</v>
      </c>
      <c r="Z253" s="14">
        <v>7.957984477288163E-2</v>
      </c>
      <c r="AA253" s="14">
        <v>8.2941762432927987E-2</v>
      </c>
      <c r="AB253" s="14">
        <v>8.3521602726304392E-2</v>
      </c>
      <c r="AC253" s="14">
        <v>7.7484869745869156E-2</v>
      </c>
      <c r="AD253" s="14">
        <v>7.7484869745869156E-2</v>
      </c>
      <c r="AE253" s="14">
        <v>7.1126125543043386E-2</v>
      </c>
      <c r="AF253" s="25">
        <v>7.7404366940271516E-2</v>
      </c>
      <c r="AG253" s="13">
        <v>7.5875057993763304E-2</v>
      </c>
      <c r="AH253" s="13">
        <v>7.5472605055736844E-2</v>
      </c>
      <c r="AI253" s="15">
        <v>7.5472605055736844E-2</v>
      </c>
      <c r="AJ253" s="13">
        <v>7.5472605055736844E-2</v>
      </c>
      <c r="AK253" s="13">
        <v>7.5472605055736844E-2</v>
      </c>
      <c r="AL253" s="13">
        <v>7.5472605055736844E-2</v>
      </c>
      <c r="AM253" s="13">
        <v>7.5472605055736844E-2</v>
      </c>
      <c r="AN253" s="13">
        <v>7.5472605055736844E-2</v>
      </c>
      <c r="AO253" s="13">
        <v>7.5472605055736844E-2</v>
      </c>
      <c r="AP253" s="13">
        <v>7.5472605055736844E-2</v>
      </c>
      <c r="AQ253" s="13">
        <v>7.5472605055736844E-2</v>
      </c>
      <c r="AR253" s="13">
        <v>7.5472605055736844E-2</v>
      </c>
      <c r="AS253" s="13">
        <v>7.5472605055736844E-2</v>
      </c>
      <c r="AT253" s="13">
        <v>7.5472605055736844E-2</v>
      </c>
      <c r="AU253" s="13">
        <v>7.5472605055736844E-2</v>
      </c>
      <c r="AV253" s="13">
        <v>7.5472605055736844E-2</v>
      </c>
      <c r="AW253" s="13">
        <v>7.5472605055736844E-2</v>
      </c>
      <c r="AX253" s="13">
        <v>7.5472605055736844E-2</v>
      </c>
      <c r="AY253" s="13">
        <v>7.5472605055736844E-2</v>
      </c>
      <c r="AZ253" s="13">
        <v>7.5472605055736844E-2</v>
      </c>
      <c r="BA253" s="13">
        <v>7.5472605055736844E-2</v>
      </c>
      <c r="BB253" s="13">
        <v>7.5472605055736844E-2</v>
      </c>
      <c r="BC253" s="13">
        <v>7.5472605055736844E-2</v>
      </c>
      <c r="BD253" s="13">
        <v>7.5472605055736844E-2</v>
      </c>
      <c r="BE253" s="13">
        <v>7.5472605055736844E-2</v>
      </c>
      <c r="BF253" s="13">
        <v>7.5472605055736844E-2</v>
      </c>
      <c r="BG253" s="13">
        <v>7.5472605055736844E-2</v>
      </c>
    </row>
    <row r="254" spans="1:59" ht="12" customHeight="1" x14ac:dyDescent="0.2">
      <c r="A254" s="1" t="s">
        <v>47</v>
      </c>
      <c r="B254" t="s">
        <v>45</v>
      </c>
      <c r="C254" s="10" t="s">
        <v>46</v>
      </c>
      <c r="D254" s="13">
        <v>0.49487861058830518</v>
      </c>
      <c r="E254" s="13">
        <v>0.46062436462002643</v>
      </c>
      <c r="F254" s="13">
        <v>0.40197425495348904</v>
      </c>
      <c r="G254" s="13">
        <v>0.38510254799460308</v>
      </c>
      <c r="H254" s="13">
        <v>0.33937583032317348</v>
      </c>
      <c r="I254" s="13">
        <v>0.30621799087731683</v>
      </c>
      <c r="J254" s="13">
        <v>0.25472896398483114</v>
      </c>
      <c r="K254" s="13">
        <v>0.18202239152463845</v>
      </c>
      <c r="L254" s="14">
        <v>0.18142912968267216</v>
      </c>
      <c r="M254" s="13">
        <v>0.16354262689119481</v>
      </c>
      <c r="N254" s="13">
        <v>0.14880225684172327</v>
      </c>
      <c r="O254" s="13">
        <v>0.14279413617545531</v>
      </c>
      <c r="P254" s="13">
        <v>0.12811364200875816</v>
      </c>
      <c r="Q254" s="13">
        <v>0.11277860301101242</v>
      </c>
      <c r="R254" s="13">
        <v>9.6166219644272091E-2</v>
      </c>
      <c r="S254" s="13">
        <v>9.3006602101734295E-2</v>
      </c>
      <c r="T254" s="13">
        <v>8.3029533770038091E-2</v>
      </c>
      <c r="U254" s="13">
        <v>6.7825722162147162E-2</v>
      </c>
      <c r="V254" s="13">
        <v>6.2669945535320667E-2</v>
      </c>
      <c r="W254" s="13">
        <v>6.4494290434711971E-2</v>
      </c>
      <c r="X254" s="13">
        <v>6.9083323821525836E-2</v>
      </c>
      <c r="Y254" s="13">
        <v>7.3439226696725868E-2</v>
      </c>
      <c r="Z254" s="14">
        <v>7.957984477288163E-2</v>
      </c>
      <c r="AA254" s="14">
        <v>8.2941762432927987E-2</v>
      </c>
      <c r="AB254" s="14">
        <v>8.3521602726304392E-2</v>
      </c>
      <c r="AC254" s="14">
        <v>7.7484869745869156E-2</v>
      </c>
      <c r="AD254" s="14">
        <v>7.7484869745869156E-2</v>
      </c>
      <c r="AE254" s="14">
        <v>7.1126125543043386E-2</v>
      </c>
      <c r="AF254" s="25">
        <v>7.7404366940271516E-2</v>
      </c>
      <c r="AG254" s="13">
        <v>7.5875057993763304E-2</v>
      </c>
      <c r="AH254" s="13">
        <v>7.5472605055736844E-2</v>
      </c>
      <c r="AI254" s="15">
        <v>7.5472605055736844E-2</v>
      </c>
      <c r="AJ254" s="13">
        <v>7.5472605055736844E-2</v>
      </c>
      <c r="AK254" s="13">
        <v>7.5472605055736844E-2</v>
      </c>
      <c r="AL254" s="13">
        <v>7.5472605055736844E-2</v>
      </c>
      <c r="AM254" s="13">
        <v>7.5472605055736844E-2</v>
      </c>
      <c r="AN254" s="13">
        <v>7.5472605055736844E-2</v>
      </c>
      <c r="AO254" s="13">
        <v>7.5472605055736844E-2</v>
      </c>
      <c r="AP254" s="13">
        <v>7.5472605055736844E-2</v>
      </c>
      <c r="AQ254" s="13">
        <v>7.5472605055736844E-2</v>
      </c>
      <c r="AR254" s="13">
        <v>7.5472605055736844E-2</v>
      </c>
      <c r="AS254" s="13">
        <v>7.5472605055736844E-2</v>
      </c>
      <c r="AT254" s="13">
        <v>7.5472605055736844E-2</v>
      </c>
      <c r="AU254" s="13">
        <v>7.5472605055736844E-2</v>
      </c>
      <c r="AV254" s="13">
        <v>7.5472605055736844E-2</v>
      </c>
      <c r="AW254" s="13">
        <v>7.5472605055736844E-2</v>
      </c>
      <c r="AX254" s="13">
        <v>7.5472605055736844E-2</v>
      </c>
      <c r="AY254" s="13">
        <v>7.5472605055736844E-2</v>
      </c>
      <c r="AZ254" s="13">
        <v>7.5472605055736844E-2</v>
      </c>
      <c r="BA254" s="13">
        <v>7.5472605055736844E-2</v>
      </c>
      <c r="BB254" s="13">
        <v>7.5472605055736844E-2</v>
      </c>
      <c r="BC254" s="13">
        <v>7.5472605055736844E-2</v>
      </c>
      <c r="BD254" s="13">
        <v>7.5472605055736844E-2</v>
      </c>
      <c r="BE254" s="13">
        <v>7.5472605055736844E-2</v>
      </c>
      <c r="BF254" s="13">
        <v>7.5472605055736844E-2</v>
      </c>
      <c r="BG254" s="13">
        <v>7.5472605055736844E-2</v>
      </c>
    </row>
    <row r="255" spans="1:59" ht="12" customHeight="1" x14ac:dyDescent="0.2">
      <c r="A255" s="1" t="s">
        <v>48</v>
      </c>
      <c r="B255" t="s">
        <v>45</v>
      </c>
      <c r="C255" s="10" t="s">
        <v>46</v>
      </c>
      <c r="D255" s="13">
        <v>0.49487861058830518</v>
      </c>
      <c r="E255" s="13">
        <v>0.46062436462002643</v>
      </c>
      <c r="F255" s="13">
        <v>0.40197425495348904</v>
      </c>
      <c r="G255" s="13">
        <v>0.38510254799460308</v>
      </c>
      <c r="H255" s="13">
        <v>0.33937583032317348</v>
      </c>
      <c r="I255" s="13">
        <v>0.30621799087731683</v>
      </c>
      <c r="J255" s="13">
        <v>0.25472896398483114</v>
      </c>
      <c r="K255" s="13">
        <v>0.18202239152463845</v>
      </c>
      <c r="L255" s="14">
        <v>0.18142912968267216</v>
      </c>
      <c r="M255" s="13">
        <v>0.16354262689119481</v>
      </c>
      <c r="N255" s="13">
        <v>0.14880225684172327</v>
      </c>
      <c r="O255" s="13">
        <v>0.14279413617545531</v>
      </c>
      <c r="P255" s="13">
        <v>0.12811364200875816</v>
      </c>
      <c r="Q255" s="13">
        <v>0.11277860301101242</v>
      </c>
      <c r="R255" s="13">
        <v>9.6166219644272091E-2</v>
      </c>
      <c r="S255" s="13">
        <v>9.3006602101734295E-2</v>
      </c>
      <c r="T255" s="13">
        <v>8.3029533770038091E-2</v>
      </c>
      <c r="U255" s="13">
        <v>6.7825722162147162E-2</v>
      </c>
      <c r="V255" s="13">
        <v>6.2669945535320667E-2</v>
      </c>
      <c r="W255" s="13">
        <v>6.4494290434711971E-2</v>
      </c>
      <c r="X255" s="13">
        <v>6.9083323821525836E-2</v>
      </c>
      <c r="Y255" s="13">
        <v>7.3439226696725868E-2</v>
      </c>
      <c r="Z255" s="14">
        <v>7.957984477288163E-2</v>
      </c>
      <c r="AA255" s="14">
        <v>8.2941762432927987E-2</v>
      </c>
      <c r="AB255" s="14">
        <v>8.3521602726304392E-2</v>
      </c>
      <c r="AC255" s="14">
        <v>7.7484869745869156E-2</v>
      </c>
      <c r="AD255" s="14">
        <v>7.7484869745869156E-2</v>
      </c>
      <c r="AE255" s="14">
        <v>7.1126125543043386E-2</v>
      </c>
      <c r="AF255" s="25">
        <v>7.7404366940271516E-2</v>
      </c>
      <c r="AG255" s="13">
        <v>7.5875057993763304E-2</v>
      </c>
      <c r="AH255" s="13">
        <v>7.5472605055736844E-2</v>
      </c>
      <c r="AI255" s="15">
        <v>7.5472605055736844E-2</v>
      </c>
      <c r="AJ255" s="13">
        <v>7.5472605055736844E-2</v>
      </c>
      <c r="AK255" s="13">
        <v>7.5472605055736844E-2</v>
      </c>
      <c r="AL255" s="13">
        <v>7.5472605055736844E-2</v>
      </c>
      <c r="AM255" s="13">
        <v>7.5472605055736844E-2</v>
      </c>
      <c r="AN255" s="13">
        <v>7.5472605055736844E-2</v>
      </c>
      <c r="AO255" s="13">
        <v>7.5472605055736844E-2</v>
      </c>
      <c r="AP255" s="13">
        <v>7.5472605055736844E-2</v>
      </c>
      <c r="AQ255" s="13">
        <v>7.5472605055736844E-2</v>
      </c>
      <c r="AR255" s="13">
        <v>7.5472605055736844E-2</v>
      </c>
      <c r="AS255" s="13">
        <v>7.5472605055736844E-2</v>
      </c>
      <c r="AT255" s="13">
        <v>7.5472605055736844E-2</v>
      </c>
      <c r="AU255" s="13">
        <v>7.5472605055736844E-2</v>
      </c>
      <c r="AV255" s="13">
        <v>7.5472605055736844E-2</v>
      </c>
      <c r="AW255" s="13">
        <v>7.5472605055736844E-2</v>
      </c>
      <c r="AX255" s="13">
        <v>7.5472605055736844E-2</v>
      </c>
      <c r="AY255" s="13">
        <v>7.5472605055736844E-2</v>
      </c>
      <c r="AZ255" s="13">
        <v>7.5472605055736844E-2</v>
      </c>
      <c r="BA255" s="13">
        <v>7.5472605055736844E-2</v>
      </c>
      <c r="BB255" s="13">
        <v>7.5472605055736844E-2</v>
      </c>
      <c r="BC255" s="13">
        <v>7.5472605055736844E-2</v>
      </c>
      <c r="BD255" s="13">
        <v>7.5472605055736844E-2</v>
      </c>
      <c r="BE255" s="13">
        <v>7.5472605055736844E-2</v>
      </c>
      <c r="BF255" s="13">
        <v>7.5472605055736844E-2</v>
      </c>
      <c r="BG255" s="13">
        <v>7.5472605055736844E-2</v>
      </c>
    </row>
    <row r="256" spans="1:59" ht="12" customHeight="1" x14ac:dyDescent="0.2">
      <c r="A256" s="1" t="s">
        <v>49</v>
      </c>
      <c r="B256" t="s">
        <v>45</v>
      </c>
      <c r="C256" s="10" t="s">
        <v>46</v>
      </c>
      <c r="D256" s="13">
        <v>0.6190607433697688</v>
      </c>
      <c r="E256" s="13">
        <v>0.57551755873825083</v>
      </c>
      <c r="F256" s="13">
        <v>0.53711941801065</v>
      </c>
      <c r="G256" s="13">
        <v>0.68447133058855836</v>
      </c>
      <c r="H256" s="13">
        <v>0.5265603780343997</v>
      </c>
      <c r="I256" s="13">
        <v>0.43550193677007348</v>
      </c>
      <c r="J256" s="13">
        <v>0.45033832516076899</v>
      </c>
      <c r="K256" s="13">
        <v>0.500545432093781</v>
      </c>
      <c r="L256" s="14">
        <v>0.4255651567971262</v>
      </c>
      <c r="M256" s="13">
        <v>0.40996613768869539</v>
      </c>
      <c r="N256" s="13">
        <v>0.42480355878736742</v>
      </c>
      <c r="O256" s="13">
        <v>0.3586315580051842</v>
      </c>
      <c r="P256" s="13">
        <v>0.35311752189861978</v>
      </c>
      <c r="Q256" s="13">
        <v>0.33006320039410741</v>
      </c>
      <c r="R256" s="13">
        <v>0.33168368929474051</v>
      </c>
      <c r="S256" s="13">
        <v>0.34141543130094548</v>
      </c>
      <c r="T256" s="13">
        <v>0.47379779903709401</v>
      </c>
      <c r="U256" s="13">
        <v>0.42304367074798199</v>
      </c>
      <c r="V256" s="13">
        <v>0.4326373343161643</v>
      </c>
      <c r="W256" s="13">
        <v>0.3977754924456755</v>
      </c>
      <c r="X256" s="13">
        <v>0.37141102402158199</v>
      </c>
      <c r="Y256" s="13">
        <v>0.2949661112444143</v>
      </c>
      <c r="Z256" s="14">
        <v>0.29089788675206713</v>
      </c>
      <c r="AA256" s="14">
        <v>0.29075075063011468</v>
      </c>
      <c r="AB256" s="14">
        <v>0.2081232114017097</v>
      </c>
      <c r="AC256" s="14">
        <v>0.14669287560858121</v>
      </c>
      <c r="AD256" s="14">
        <v>0.25470285699667172</v>
      </c>
      <c r="AE256" s="14">
        <v>0.2899167527953736</v>
      </c>
      <c r="AF256" s="25">
        <v>0.22485892420058406</v>
      </c>
      <c r="AG256" s="13">
        <v>0.22904285240030264</v>
      </c>
      <c r="AH256" s="13">
        <v>0.24963034659823299</v>
      </c>
      <c r="AI256" s="15">
        <v>0.24963034659823299</v>
      </c>
      <c r="AJ256" s="13">
        <v>0.24963034659823299</v>
      </c>
      <c r="AK256" s="13">
        <v>0.24963034659823299</v>
      </c>
      <c r="AL256" s="13">
        <v>0.24963034659823299</v>
      </c>
      <c r="AM256" s="13">
        <v>0.24963034659823299</v>
      </c>
      <c r="AN256" s="13">
        <v>0.24963034659823299</v>
      </c>
      <c r="AO256" s="13">
        <v>0.24963034659823299</v>
      </c>
      <c r="AP256" s="13">
        <v>0.24963034659823299</v>
      </c>
      <c r="AQ256" s="13">
        <v>0.24963034659823299</v>
      </c>
      <c r="AR256" s="13">
        <v>0.24963034659823299</v>
      </c>
      <c r="AS256" s="13">
        <v>0.24963034659823299</v>
      </c>
      <c r="AT256" s="13">
        <v>0.24963034659823299</v>
      </c>
      <c r="AU256" s="13">
        <v>0.24963034659823299</v>
      </c>
      <c r="AV256" s="13">
        <v>0.24963034659823299</v>
      </c>
      <c r="AW256" s="13">
        <v>0.24963034659823299</v>
      </c>
      <c r="AX256" s="13">
        <v>0.24963034659823299</v>
      </c>
      <c r="AY256" s="13">
        <v>0.24963034659823299</v>
      </c>
      <c r="AZ256" s="13">
        <v>0.24963034659823299</v>
      </c>
      <c r="BA256" s="13">
        <v>0.24963034659823299</v>
      </c>
      <c r="BB256" s="13">
        <v>0.24963034659823299</v>
      </c>
      <c r="BC256" s="13">
        <v>0.24963034659823299</v>
      </c>
      <c r="BD256" s="13">
        <v>0.24963034659823299</v>
      </c>
      <c r="BE256" s="13">
        <v>0.24963034659823299</v>
      </c>
      <c r="BF256" s="13">
        <v>0.24963034659823299</v>
      </c>
      <c r="BG256" s="13">
        <v>0.24963034659823299</v>
      </c>
    </row>
    <row r="257" spans="1:59" ht="12" customHeight="1" x14ac:dyDescent="0.2">
      <c r="A257" s="1" t="s">
        <v>50</v>
      </c>
      <c r="B257" t="s">
        <v>45</v>
      </c>
      <c r="C257" s="10" t="s">
        <v>46</v>
      </c>
      <c r="D257" s="13">
        <v>0.6190607433697688</v>
      </c>
      <c r="E257" s="13">
        <v>0.57551755873825083</v>
      </c>
      <c r="F257" s="13">
        <v>0.53711941801065</v>
      </c>
      <c r="G257" s="13">
        <v>0.68447133058855836</v>
      </c>
      <c r="H257" s="13">
        <v>0.5265603780343997</v>
      </c>
      <c r="I257" s="13">
        <v>0.43550193677007348</v>
      </c>
      <c r="J257" s="13">
        <v>0.45033832516076899</v>
      </c>
      <c r="K257" s="13">
        <v>0.500545432093781</v>
      </c>
      <c r="L257" s="14">
        <v>0.4255651567971262</v>
      </c>
      <c r="M257" s="13">
        <v>0.40996613768869539</v>
      </c>
      <c r="N257" s="13">
        <v>0.42480355878736742</v>
      </c>
      <c r="O257" s="13">
        <v>0.3586315580051842</v>
      </c>
      <c r="P257" s="13">
        <v>0.35311752189861978</v>
      </c>
      <c r="Q257" s="13">
        <v>0.33006320039410741</v>
      </c>
      <c r="R257" s="13">
        <v>0.33168368929474051</v>
      </c>
      <c r="S257" s="13">
        <v>0.34141543130094548</v>
      </c>
      <c r="T257" s="13">
        <v>0.47379779903709401</v>
      </c>
      <c r="U257" s="13">
        <v>0.42304367074798199</v>
      </c>
      <c r="V257" s="13">
        <v>0.4326373343161643</v>
      </c>
      <c r="W257" s="13">
        <v>0.3977754924456755</v>
      </c>
      <c r="X257" s="13">
        <v>0.37141102402158199</v>
      </c>
      <c r="Y257" s="13">
        <v>0.2949661112444143</v>
      </c>
      <c r="Z257" s="14">
        <v>0.29089788675206713</v>
      </c>
      <c r="AA257" s="14">
        <v>0.29075075063011468</v>
      </c>
      <c r="AB257" s="14">
        <v>0.2081232114017097</v>
      </c>
      <c r="AC257" s="14">
        <v>0.14669287560858121</v>
      </c>
      <c r="AD257" s="14">
        <v>0.25470285699667172</v>
      </c>
      <c r="AE257" s="14">
        <v>0.2899167527953736</v>
      </c>
      <c r="AF257" s="25">
        <v>0.22485892420058406</v>
      </c>
      <c r="AG257" s="13">
        <v>0.22904285240030264</v>
      </c>
      <c r="AH257" s="13">
        <v>0.24963034659823299</v>
      </c>
      <c r="AI257" s="15">
        <v>0.24963034659823299</v>
      </c>
      <c r="AJ257" s="13">
        <v>0.24963034659823299</v>
      </c>
      <c r="AK257" s="13">
        <v>0.24963034659823299</v>
      </c>
      <c r="AL257" s="13">
        <v>0.24963034659823299</v>
      </c>
      <c r="AM257" s="13">
        <v>0.24963034659823299</v>
      </c>
      <c r="AN257" s="13">
        <v>0.24963034659823299</v>
      </c>
      <c r="AO257" s="13">
        <v>0.24963034659823299</v>
      </c>
      <c r="AP257" s="13">
        <v>0.24963034659823299</v>
      </c>
      <c r="AQ257" s="13">
        <v>0.24963034659823299</v>
      </c>
      <c r="AR257" s="13">
        <v>0.24963034659823299</v>
      </c>
      <c r="AS257" s="13">
        <v>0.24963034659823299</v>
      </c>
      <c r="AT257" s="13">
        <v>0.24963034659823299</v>
      </c>
      <c r="AU257" s="13">
        <v>0.24963034659823299</v>
      </c>
      <c r="AV257" s="13">
        <v>0.24963034659823299</v>
      </c>
      <c r="AW257" s="13">
        <v>0.24963034659823299</v>
      </c>
      <c r="AX257" s="13">
        <v>0.24963034659823299</v>
      </c>
      <c r="AY257" s="13">
        <v>0.24963034659823299</v>
      </c>
      <c r="AZ257" s="13">
        <v>0.24963034659823299</v>
      </c>
      <c r="BA257" s="13">
        <v>0.24963034659823299</v>
      </c>
      <c r="BB257" s="13">
        <v>0.24963034659823299</v>
      </c>
      <c r="BC257" s="13">
        <v>0.24963034659823299</v>
      </c>
      <c r="BD257" s="13">
        <v>0.24963034659823299</v>
      </c>
      <c r="BE257" s="13">
        <v>0.24963034659823299</v>
      </c>
      <c r="BF257" s="13">
        <v>0.24963034659823299</v>
      </c>
      <c r="BG257" s="13">
        <v>0.24963034659823299</v>
      </c>
    </row>
    <row r="258" spans="1:59" ht="12" customHeight="1" x14ac:dyDescent="0.2">
      <c r="A258" s="1" t="s">
        <v>51</v>
      </c>
      <c r="B258" t="s">
        <v>45</v>
      </c>
      <c r="C258" s="10" t="s">
        <v>46</v>
      </c>
      <c r="D258" s="13">
        <v>0.49487861058830518</v>
      </c>
      <c r="E258" s="13">
        <v>0.46062436462002643</v>
      </c>
      <c r="F258" s="13">
        <v>0.40197425495348904</v>
      </c>
      <c r="G258" s="13">
        <v>0.38510254799460308</v>
      </c>
      <c r="H258" s="13">
        <v>0.33937583032317348</v>
      </c>
      <c r="I258" s="13">
        <v>0.30621799087731683</v>
      </c>
      <c r="J258" s="13">
        <v>0.25472896398483114</v>
      </c>
      <c r="K258" s="13">
        <v>0.18202239152463845</v>
      </c>
      <c r="L258" s="14">
        <v>0.18142912968267216</v>
      </c>
      <c r="M258" s="13">
        <v>0.16354262689119481</v>
      </c>
      <c r="N258" s="13">
        <v>0.14880225684172327</v>
      </c>
      <c r="O258" s="13">
        <v>0.14279413617545531</v>
      </c>
      <c r="P258" s="13">
        <v>0.12811364200875816</v>
      </c>
      <c r="Q258" s="13">
        <v>0.11277860301101242</v>
      </c>
      <c r="R258" s="13">
        <v>9.6166219644272091E-2</v>
      </c>
      <c r="S258" s="13">
        <v>9.3006602101734295E-2</v>
      </c>
      <c r="T258" s="13">
        <v>8.3029533770038091E-2</v>
      </c>
      <c r="U258" s="13">
        <v>6.7825722162147162E-2</v>
      </c>
      <c r="V258" s="13">
        <v>6.2669945535320667E-2</v>
      </c>
      <c r="W258" s="13">
        <v>6.4494290434711971E-2</v>
      </c>
      <c r="X258" s="13">
        <v>6.9083323821525836E-2</v>
      </c>
      <c r="Y258" s="13">
        <v>7.3439226696725868E-2</v>
      </c>
      <c r="Z258" s="14">
        <v>7.957984477288163E-2</v>
      </c>
      <c r="AA258" s="14">
        <v>8.2941762432927987E-2</v>
      </c>
      <c r="AB258" s="14">
        <v>8.3521602726304392E-2</v>
      </c>
      <c r="AC258" s="14">
        <v>7.7484869745869156E-2</v>
      </c>
      <c r="AD258" s="14">
        <v>7.7484869745869156E-2</v>
      </c>
      <c r="AE258" s="14">
        <v>7.1126125543043386E-2</v>
      </c>
      <c r="AF258" s="25">
        <v>7.7404366940271516E-2</v>
      </c>
      <c r="AG258" s="13">
        <v>7.5875057993763304E-2</v>
      </c>
      <c r="AH258" s="13">
        <v>7.5472605055736844E-2</v>
      </c>
      <c r="AI258" s="15">
        <v>7.5472605055736844E-2</v>
      </c>
      <c r="AJ258" s="13">
        <v>7.5472605055736844E-2</v>
      </c>
      <c r="AK258" s="13">
        <v>7.5472605055736844E-2</v>
      </c>
      <c r="AL258" s="13">
        <v>7.5472605055736844E-2</v>
      </c>
      <c r="AM258" s="13">
        <v>7.5472605055736844E-2</v>
      </c>
      <c r="AN258" s="13">
        <v>7.5472605055736844E-2</v>
      </c>
      <c r="AO258" s="13">
        <v>7.5472605055736844E-2</v>
      </c>
      <c r="AP258" s="13">
        <v>7.5472605055736844E-2</v>
      </c>
      <c r="AQ258" s="13">
        <v>7.5472605055736844E-2</v>
      </c>
      <c r="AR258" s="13">
        <v>7.5472605055736844E-2</v>
      </c>
      <c r="AS258" s="13">
        <v>7.5472605055736844E-2</v>
      </c>
      <c r="AT258" s="13">
        <v>7.5472605055736844E-2</v>
      </c>
      <c r="AU258" s="13">
        <v>7.5472605055736844E-2</v>
      </c>
      <c r="AV258" s="13">
        <v>7.5472605055736844E-2</v>
      </c>
      <c r="AW258" s="13">
        <v>7.5472605055736844E-2</v>
      </c>
      <c r="AX258" s="13">
        <v>7.5472605055736844E-2</v>
      </c>
      <c r="AY258" s="13">
        <v>7.5472605055736844E-2</v>
      </c>
      <c r="AZ258" s="13">
        <v>7.5472605055736844E-2</v>
      </c>
      <c r="BA258" s="13">
        <v>7.5472605055736844E-2</v>
      </c>
      <c r="BB258" s="13">
        <v>7.5472605055736844E-2</v>
      </c>
      <c r="BC258" s="13">
        <v>7.5472605055736844E-2</v>
      </c>
      <c r="BD258" s="13">
        <v>7.5472605055736844E-2</v>
      </c>
      <c r="BE258" s="13">
        <v>7.5472605055736844E-2</v>
      </c>
      <c r="BF258" s="13">
        <v>7.5472605055736844E-2</v>
      </c>
      <c r="BG258" s="13">
        <v>7.5472605055736844E-2</v>
      </c>
    </row>
    <row r="259" spans="1:59" ht="12" customHeight="1" x14ac:dyDescent="0.2">
      <c r="A259" s="1" t="s">
        <v>52</v>
      </c>
      <c r="B259" t="s">
        <v>45</v>
      </c>
      <c r="C259" s="10" t="s">
        <v>46</v>
      </c>
      <c r="D259" s="13">
        <v>0.6190607433697688</v>
      </c>
      <c r="E259" s="13">
        <v>0.57551755873825083</v>
      </c>
      <c r="F259" s="13">
        <v>0.53711941801065</v>
      </c>
      <c r="G259" s="13">
        <v>0.68447133058855836</v>
      </c>
      <c r="H259" s="13">
        <v>0.5265603780343997</v>
      </c>
      <c r="I259" s="13">
        <v>0.43550193677007348</v>
      </c>
      <c r="J259" s="13">
        <v>0.45033832516076899</v>
      </c>
      <c r="K259" s="13">
        <v>0.500545432093781</v>
      </c>
      <c r="L259" s="14">
        <v>0.4255651567971262</v>
      </c>
      <c r="M259" s="13">
        <v>0.40996613768869539</v>
      </c>
      <c r="N259" s="13">
        <v>0.42480355878736742</v>
      </c>
      <c r="O259" s="13">
        <v>0.3586315580051842</v>
      </c>
      <c r="P259" s="13">
        <v>0.35311752189861978</v>
      </c>
      <c r="Q259" s="13">
        <v>0.33006320039410741</v>
      </c>
      <c r="R259" s="13">
        <v>0.33168368929474051</v>
      </c>
      <c r="S259" s="13">
        <v>0.34141543130094548</v>
      </c>
      <c r="T259" s="13">
        <v>0.47379779903709401</v>
      </c>
      <c r="U259" s="13">
        <v>0.42304367074798199</v>
      </c>
      <c r="V259" s="13">
        <v>0.4326373343161643</v>
      </c>
      <c r="W259" s="13">
        <v>0.3977754924456755</v>
      </c>
      <c r="X259" s="13">
        <v>0.37141102402158199</v>
      </c>
      <c r="Y259" s="13">
        <v>0.2949661112444143</v>
      </c>
      <c r="Z259" s="14">
        <v>0.29089788675206713</v>
      </c>
      <c r="AA259" s="14">
        <v>0.29075075063011468</v>
      </c>
      <c r="AB259" s="14">
        <v>0.2081232114017097</v>
      </c>
      <c r="AC259" s="14">
        <v>0.14669287560858121</v>
      </c>
      <c r="AD259" s="14">
        <v>0.25470285699667172</v>
      </c>
      <c r="AE259" s="14">
        <v>0.2899167527953736</v>
      </c>
      <c r="AF259" s="25">
        <v>0.22485892420058406</v>
      </c>
      <c r="AG259" s="13">
        <v>0.22904285240030264</v>
      </c>
      <c r="AH259" s="13">
        <v>0.24963034659823299</v>
      </c>
      <c r="AI259" s="15">
        <v>0.24963034659823299</v>
      </c>
      <c r="AJ259" s="13">
        <v>0.24963034659823299</v>
      </c>
      <c r="AK259" s="13">
        <v>0.24963034659823299</v>
      </c>
      <c r="AL259" s="13">
        <v>0.24963034659823299</v>
      </c>
      <c r="AM259" s="13">
        <v>0.24963034659823299</v>
      </c>
      <c r="AN259" s="13">
        <v>0.24963034659823299</v>
      </c>
      <c r="AO259" s="13">
        <v>0.24963034659823299</v>
      </c>
      <c r="AP259" s="13">
        <v>0.24963034659823299</v>
      </c>
      <c r="AQ259" s="13">
        <v>0.24963034659823299</v>
      </c>
      <c r="AR259" s="13">
        <v>0.24963034659823299</v>
      </c>
      <c r="AS259" s="13">
        <v>0.24963034659823299</v>
      </c>
      <c r="AT259" s="13">
        <v>0.24963034659823299</v>
      </c>
      <c r="AU259" s="13">
        <v>0.24963034659823299</v>
      </c>
      <c r="AV259" s="13">
        <v>0.24963034659823299</v>
      </c>
      <c r="AW259" s="13">
        <v>0.24963034659823299</v>
      </c>
      <c r="AX259" s="13">
        <v>0.24963034659823299</v>
      </c>
      <c r="AY259" s="13">
        <v>0.24963034659823299</v>
      </c>
      <c r="AZ259" s="13">
        <v>0.24963034659823299</v>
      </c>
      <c r="BA259" s="13">
        <v>0.24963034659823299</v>
      </c>
      <c r="BB259" s="13">
        <v>0.24963034659823299</v>
      </c>
      <c r="BC259" s="13">
        <v>0.24963034659823299</v>
      </c>
      <c r="BD259" s="13">
        <v>0.24963034659823299</v>
      </c>
      <c r="BE259" s="13">
        <v>0.24963034659823299</v>
      </c>
      <c r="BF259" s="13">
        <v>0.24963034659823299</v>
      </c>
      <c r="BG259" s="13">
        <v>0.24963034659823299</v>
      </c>
    </row>
    <row r="260" spans="1:59" ht="12" customHeight="1" x14ac:dyDescent="0.2">
      <c r="A260" s="1" t="s">
        <v>53</v>
      </c>
      <c r="B260" t="s">
        <v>45</v>
      </c>
      <c r="C260" s="10" t="s">
        <v>46</v>
      </c>
      <c r="D260" s="13">
        <v>0.49487861058830518</v>
      </c>
      <c r="E260" s="13">
        <v>0.46062436462002643</v>
      </c>
      <c r="F260" s="13">
        <v>0.40197425495348904</v>
      </c>
      <c r="G260" s="13">
        <v>0.38510254799460308</v>
      </c>
      <c r="H260" s="13">
        <v>0.33937583032317348</v>
      </c>
      <c r="I260" s="13">
        <v>0.30621799087731683</v>
      </c>
      <c r="J260" s="13">
        <v>0.25472896398483114</v>
      </c>
      <c r="K260" s="13">
        <v>0.18202239152463845</v>
      </c>
      <c r="L260" s="14">
        <v>0.18142912968267216</v>
      </c>
      <c r="M260" s="13">
        <v>0.16354262689119481</v>
      </c>
      <c r="N260" s="13">
        <v>0.14880225684172327</v>
      </c>
      <c r="O260" s="13">
        <v>0.14279413617545531</v>
      </c>
      <c r="P260" s="13">
        <v>0.12811364200875816</v>
      </c>
      <c r="Q260" s="13">
        <v>0.11277860301101242</v>
      </c>
      <c r="R260" s="13">
        <v>9.6166219644272091E-2</v>
      </c>
      <c r="S260" s="13">
        <v>9.3006602101734295E-2</v>
      </c>
      <c r="T260" s="13">
        <v>8.3029533770038091E-2</v>
      </c>
      <c r="U260" s="13">
        <v>6.7825722162147162E-2</v>
      </c>
      <c r="V260" s="13">
        <v>6.2669945535320667E-2</v>
      </c>
      <c r="W260" s="13">
        <v>6.4494290434711971E-2</v>
      </c>
      <c r="X260" s="13">
        <v>6.9083323821525836E-2</v>
      </c>
      <c r="Y260" s="13">
        <v>7.3439226696725868E-2</v>
      </c>
      <c r="Z260" s="14">
        <v>7.957984477288163E-2</v>
      </c>
      <c r="AA260" s="14">
        <v>8.2941762432927987E-2</v>
      </c>
      <c r="AB260" s="14">
        <v>8.3521602726304392E-2</v>
      </c>
      <c r="AC260" s="14">
        <v>7.7484869745869156E-2</v>
      </c>
      <c r="AD260" s="14">
        <v>7.7484869745869156E-2</v>
      </c>
      <c r="AE260" s="14">
        <v>7.1126125543043386E-2</v>
      </c>
      <c r="AF260" s="25">
        <v>7.7404366940271516E-2</v>
      </c>
      <c r="AG260" s="13">
        <v>7.5875057993763304E-2</v>
      </c>
      <c r="AH260" s="13">
        <v>7.5472605055736844E-2</v>
      </c>
      <c r="AI260" s="15">
        <v>7.5472605055736844E-2</v>
      </c>
      <c r="AJ260" s="13">
        <v>7.5472605055736844E-2</v>
      </c>
      <c r="AK260" s="13">
        <v>7.5472605055736844E-2</v>
      </c>
      <c r="AL260" s="13">
        <v>7.5472605055736844E-2</v>
      </c>
      <c r="AM260" s="13">
        <v>7.5472605055736844E-2</v>
      </c>
      <c r="AN260" s="13">
        <v>7.5472605055736844E-2</v>
      </c>
      <c r="AO260" s="13">
        <v>7.5472605055736844E-2</v>
      </c>
      <c r="AP260" s="13">
        <v>7.5472605055736844E-2</v>
      </c>
      <c r="AQ260" s="13">
        <v>7.5472605055736844E-2</v>
      </c>
      <c r="AR260" s="13">
        <v>7.5472605055736844E-2</v>
      </c>
      <c r="AS260" s="13">
        <v>7.5472605055736844E-2</v>
      </c>
      <c r="AT260" s="13">
        <v>7.5472605055736844E-2</v>
      </c>
      <c r="AU260" s="13">
        <v>7.5472605055736844E-2</v>
      </c>
      <c r="AV260" s="13">
        <v>7.5472605055736844E-2</v>
      </c>
      <c r="AW260" s="13">
        <v>7.5472605055736844E-2</v>
      </c>
      <c r="AX260" s="13">
        <v>7.5472605055736844E-2</v>
      </c>
      <c r="AY260" s="13">
        <v>7.5472605055736844E-2</v>
      </c>
      <c r="AZ260" s="13">
        <v>7.5472605055736844E-2</v>
      </c>
      <c r="BA260" s="13">
        <v>7.5472605055736844E-2</v>
      </c>
      <c r="BB260" s="13">
        <v>7.5472605055736844E-2</v>
      </c>
      <c r="BC260" s="13">
        <v>7.5472605055736844E-2</v>
      </c>
      <c r="BD260" s="13">
        <v>7.5472605055736844E-2</v>
      </c>
      <c r="BE260" s="13">
        <v>7.5472605055736844E-2</v>
      </c>
      <c r="BF260" s="13">
        <v>7.5472605055736844E-2</v>
      </c>
      <c r="BG260" s="13">
        <v>7.5472605055736844E-2</v>
      </c>
    </row>
    <row r="261" spans="1:59" ht="12" customHeight="1" x14ac:dyDescent="0.2">
      <c r="A261" s="1" t="s">
        <v>54</v>
      </c>
      <c r="B261" t="s">
        <v>45</v>
      </c>
      <c r="C261" s="10" t="s">
        <v>46</v>
      </c>
      <c r="D261" s="13">
        <v>0.52199923492853761</v>
      </c>
      <c r="E261" s="13">
        <v>0.3709450798711823</v>
      </c>
      <c r="F261" s="13">
        <v>0.21662658329362711</v>
      </c>
      <c r="G261" s="13">
        <v>0.14172051817737619</v>
      </c>
      <c r="H261" s="13">
        <v>5.1875627188235518E-2</v>
      </c>
      <c r="I261" s="13">
        <v>7.3733748824282894E-2</v>
      </c>
      <c r="J261" s="13">
        <v>0.12595919763978039</v>
      </c>
      <c r="K261" s="13">
        <v>0.2182217033716633</v>
      </c>
      <c r="L261" s="14">
        <v>0.22543325797308161</v>
      </c>
      <c r="M261" s="13">
        <v>0.11646600611198291</v>
      </c>
      <c r="N261" s="13">
        <v>0.1931451040576232</v>
      </c>
      <c r="O261" s="13">
        <v>0.18036488824381641</v>
      </c>
      <c r="P261" s="13">
        <v>0.1674282770659021</v>
      </c>
      <c r="Q261" s="13">
        <v>0.17932711562786369</v>
      </c>
      <c r="R261" s="13">
        <v>0.16243939407821489</v>
      </c>
      <c r="S261" s="13">
        <v>0.2271527475137794</v>
      </c>
      <c r="T261" s="13">
        <v>0.30425675878612629</v>
      </c>
      <c r="U261" s="13">
        <v>0.2182891098032369</v>
      </c>
      <c r="V261" s="13">
        <v>0.29263043266906341</v>
      </c>
      <c r="W261" s="13">
        <v>0.43620327057093589</v>
      </c>
      <c r="X261" s="13">
        <v>0.83269141220657206</v>
      </c>
      <c r="Y261" s="13">
        <v>0.6557387882681841</v>
      </c>
      <c r="Z261" s="14">
        <v>0.84594549197100122</v>
      </c>
      <c r="AA261" s="14">
        <v>0.77536365986874356</v>
      </c>
      <c r="AB261" s="14">
        <v>0.64971805695985818</v>
      </c>
      <c r="AC261" s="14">
        <v>0.62814165057738081</v>
      </c>
      <c r="AD261" s="14">
        <v>0.57408296134582348</v>
      </c>
      <c r="AE261" s="14">
        <v>0.58012868422082975</v>
      </c>
      <c r="AF261" s="25">
        <v>0.60801783827597311</v>
      </c>
      <c r="AG261" s="13">
        <v>0.59759278360500179</v>
      </c>
      <c r="AH261" s="13">
        <v>0.58995556686190698</v>
      </c>
      <c r="AI261" s="15">
        <v>0.58995556686190698</v>
      </c>
      <c r="AJ261" s="13">
        <v>0.58995556686190698</v>
      </c>
      <c r="AK261" s="13">
        <v>0.58995556686190698</v>
      </c>
      <c r="AL261" s="13">
        <v>0.58995556686190698</v>
      </c>
      <c r="AM261" s="13">
        <v>0.58995556686190698</v>
      </c>
      <c r="AN261" s="13">
        <v>0.58995556686190698</v>
      </c>
      <c r="AO261" s="13">
        <v>0.58995556686190698</v>
      </c>
      <c r="AP261" s="13">
        <v>0.58995556686190698</v>
      </c>
      <c r="AQ261" s="13">
        <v>0.58995556686190698</v>
      </c>
      <c r="AR261" s="13">
        <v>0.58995556686190698</v>
      </c>
      <c r="AS261" s="13">
        <v>0.58995556686190698</v>
      </c>
      <c r="AT261" s="13">
        <v>0.58995556686190698</v>
      </c>
      <c r="AU261" s="13">
        <v>0.58995556686190698</v>
      </c>
      <c r="AV261" s="13">
        <v>0.58995556686190698</v>
      </c>
      <c r="AW261" s="13">
        <v>0.58995556686190698</v>
      </c>
      <c r="AX261" s="13">
        <v>0.58995556686190698</v>
      </c>
      <c r="AY261" s="13">
        <v>0.58995556686190698</v>
      </c>
      <c r="AZ261" s="13">
        <v>0.58995556686190698</v>
      </c>
      <c r="BA261" s="13">
        <v>0.58995556686190698</v>
      </c>
      <c r="BB261" s="13">
        <v>0.58995556686190698</v>
      </c>
      <c r="BC261" s="13">
        <v>0.58995556686190698</v>
      </c>
      <c r="BD261" s="13">
        <v>0.58995556686190698</v>
      </c>
      <c r="BE261" s="13">
        <v>0.58995556686190698</v>
      </c>
      <c r="BF261" s="13">
        <v>0.58995556686190698</v>
      </c>
      <c r="BG261" s="13">
        <v>0.58995556686190698</v>
      </c>
    </row>
    <row r="262" spans="1:59" ht="12" customHeight="1" x14ac:dyDescent="0.2">
      <c r="A262" s="1" t="s">
        <v>55</v>
      </c>
      <c r="B262" t="s">
        <v>45</v>
      </c>
      <c r="C262" s="10" t="s">
        <v>46</v>
      </c>
      <c r="D262" s="13">
        <v>0.49487861058830518</v>
      </c>
      <c r="E262" s="13">
        <v>0.46062436462002643</v>
      </c>
      <c r="F262" s="13">
        <v>0.40197425495348904</v>
      </c>
      <c r="G262" s="13">
        <v>0.38510254799460308</v>
      </c>
      <c r="H262" s="13">
        <v>0.33937583032317348</v>
      </c>
      <c r="I262" s="13">
        <v>0.30621799087731683</v>
      </c>
      <c r="J262" s="13">
        <v>0.25472896398483114</v>
      </c>
      <c r="K262" s="13">
        <v>0.18202239152463845</v>
      </c>
      <c r="L262" s="14">
        <v>0.18142912968267216</v>
      </c>
      <c r="M262" s="13">
        <v>0.16354262689119481</v>
      </c>
      <c r="N262" s="13">
        <v>0.14880225684172327</v>
      </c>
      <c r="O262" s="13">
        <v>0.14279413617545531</v>
      </c>
      <c r="P262" s="13">
        <v>0.12811364200875816</v>
      </c>
      <c r="Q262" s="13">
        <v>0.11277860301101242</v>
      </c>
      <c r="R262" s="13">
        <v>9.6166219644272091E-2</v>
      </c>
      <c r="S262" s="13">
        <v>9.3006602101734295E-2</v>
      </c>
      <c r="T262" s="13">
        <v>8.3029533770038091E-2</v>
      </c>
      <c r="U262" s="13">
        <v>6.7825722162147162E-2</v>
      </c>
      <c r="V262" s="13">
        <v>6.2669945535320667E-2</v>
      </c>
      <c r="W262" s="13">
        <v>6.4494290434711971E-2</v>
      </c>
      <c r="X262" s="13">
        <v>6.9083323821525836E-2</v>
      </c>
      <c r="Y262" s="13">
        <v>7.3439226696725868E-2</v>
      </c>
      <c r="Z262" s="14">
        <v>7.957984477288163E-2</v>
      </c>
      <c r="AA262" s="14">
        <v>8.2941762432927987E-2</v>
      </c>
      <c r="AB262" s="14">
        <v>8.3521602726304392E-2</v>
      </c>
      <c r="AC262" s="14">
        <v>7.7484869745869156E-2</v>
      </c>
      <c r="AD262" s="14">
        <v>7.7484869745869156E-2</v>
      </c>
      <c r="AE262" s="14">
        <v>7.1126125543043386E-2</v>
      </c>
      <c r="AF262" s="25">
        <v>7.7404366940271516E-2</v>
      </c>
      <c r="AG262" s="13">
        <v>7.5875057993763304E-2</v>
      </c>
      <c r="AH262" s="13">
        <v>7.5472605055736844E-2</v>
      </c>
      <c r="AI262" s="15">
        <v>7.5472605055736844E-2</v>
      </c>
      <c r="AJ262" s="13">
        <v>7.5472605055736844E-2</v>
      </c>
      <c r="AK262" s="13">
        <v>7.5472605055736844E-2</v>
      </c>
      <c r="AL262" s="13">
        <v>7.5472605055736844E-2</v>
      </c>
      <c r="AM262" s="13">
        <v>7.5472605055736844E-2</v>
      </c>
      <c r="AN262" s="13">
        <v>7.5472605055736844E-2</v>
      </c>
      <c r="AO262" s="13">
        <v>7.5472605055736844E-2</v>
      </c>
      <c r="AP262" s="13">
        <v>7.5472605055736844E-2</v>
      </c>
      <c r="AQ262" s="13">
        <v>7.5472605055736844E-2</v>
      </c>
      <c r="AR262" s="13">
        <v>7.5472605055736844E-2</v>
      </c>
      <c r="AS262" s="13">
        <v>7.5472605055736844E-2</v>
      </c>
      <c r="AT262" s="13">
        <v>7.5472605055736844E-2</v>
      </c>
      <c r="AU262" s="13">
        <v>7.5472605055736844E-2</v>
      </c>
      <c r="AV262" s="13">
        <v>7.5472605055736844E-2</v>
      </c>
      <c r="AW262" s="13">
        <v>7.5472605055736844E-2</v>
      </c>
      <c r="AX262" s="13">
        <v>7.5472605055736844E-2</v>
      </c>
      <c r="AY262" s="13">
        <v>7.5472605055736844E-2</v>
      </c>
      <c r="AZ262" s="13">
        <v>7.5472605055736844E-2</v>
      </c>
      <c r="BA262" s="13">
        <v>7.5472605055736844E-2</v>
      </c>
      <c r="BB262" s="13">
        <v>7.5472605055736844E-2</v>
      </c>
      <c r="BC262" s="13">
        <v>7.5472605055736844E-2</v>
      </c>
      <c r="BD262" s="13">
        <v>7.5472605055736844E-2</v>
      </c>
      <c r="BE262" s="13">
        <v>7.5472605055736844E-2</v>
      </c>
      <c r="BF262" s="13">
        <v>7.5472605055736844E-2</v>
      </c>
      <c r="BG262" s="13">
        <v>7.5472605055736844E-2</v>
      </c>
    </row>
    <row r="263" spans="1:59" ht="12" customHeight="1" x14ac:dyDescent="0.2">
      <c r="A263" s="1" t="s">
        <v>56</v>
      </c>
      <c r="B263" t="s">
        <v>45</v>
      </c>
      <c r="C263" s="10" t="s">
        <v>46</v>
      </c>
      <c r="D263" s="13">
        <v>0.49487861058830518</v>
      </c>
      <c r="E263" s="13">
        <v>0.46062436462002643</v>
      </c>
      <c r="F263" s="13">
        <v>0.40197425495348904</v>
      </c>
      <c r="G263" s="13">
        <v>0.38510254799460308</v>
      </c>
      <c r="H263" s="13">
        <v>0.33937583032317348</v>
      </c>
      <c r="I263" s="13">
        <v>0.30621799087731683</v>
      </c>
      <c r="J263" s="13">
        <v>0.25472896398483114</v>
      </c>
      <c r="K263" s="13">
        <v>0.18202239152463845</v>
      </c>
      <c r="L263" s="14">
        <v>0.18142912968267216</v>
      </c>
      <c r="M263" s="13">
        <v>0.16354262689119481</v>
      </c>
      <c r="N263" s="13">
        <v>0.14880225684172327</v>
      </c>
      <c r="O263" s="13">
        <v>0.14279413617545531</v>
      </c>
      <c r="P263" s="13">
        <v>0.12811364200875816</v>
      </c>
      <c r="Q263" s="13">
        <v>0.11277860301101242</v>
      </c>
      <c r="R263" s="13">
        <v>9.6166219644272091E-2</v>
      </c>
      <c r="S263" s="13">
        <v>9.3006602101734295E-2</v>
      </c>
      <c r="T263" s="13">
        <v>8.3029533770038091E-2</v>
      </c>
      <c r="U263" s="13">
        <v>6.7825722162147162E-2</v>
      </c>
      <c r="V263" s="13">
        <v>6.2669945535320667E-2</v>
      </c>
      <c r="W263" s="13">
        <v>6.4494290434711971E-2</v>
      </c>
      <c r="X263" s="13">
        <v>6.9083323821525836E-2</v>
      </c>
      <c r="Y263" s="13">
        <v>7.3439226696725868E-2</v>
      </c>
      <c r="Z263" s="14">
        <v>7.957984477288163E-2</v>
      </c>
      <c r="AA263" s="14">
        <v>8.2941762432927987E-2</v>
      </c>
      <c r="AB263" s="14">
        <v>8.3521602726304392E-2</v>
      </c>
      <c r="AC263" s="14">
        <v>7.7484869745869156E-2</v>
      </c>
      <c r="AD263" s="14">
        <v>7.7484869745869156E-2</v>
      </c>
      <c r="AE263" s="14">
        <v>7.1126125543043386E-2</v>
      </c>
      <c r="AF263" s="25">
        <v>7.7404366940271516E-2</v>
      </c>
      <c r="AG263" s="13">
        <v>7.5875057993763304E-2</v>
      </c>
      <c r="AH263" s="13">
        <v>7.5472605055736844E-2</v>
      </c>
      <c r="AI263" s="15">
        <v>7.5472605055736844E-2</v>
      </c>
      <c r="AJ263" s="13">
        <v>7.5472605055736844E-2</v>
      </c>
      <c r="AK263" s="13">
        <v>7.5472605055736844E-2</v>
      </c>
      <c r="AL263" s="13">
        <v>7.5472605055736844E-2</v>
      </c>
      <c r="AM263" s="13">
        <v>7.5472605055736844E-2</v>
      </c>
      <c r="AN263" s="13">
        <v>7.5472605055736844E-2</v>
      </c>
      <c r="AO263" s="13">
        <v>7.5472605055736844E-2</v>
      </c>
      <c r="AP263" s="13">
        <v>7.5472605055736844E-2</v>
      </c>
      <c r="AQ263" s="13">
        <v>7.5472605055736844E-2</v>
      </c>
      <c r="AR263" s="13">
        <v>7.5472605055736844E-2</v>
      </c>
      <c r="AS263" s="13">
        <v>7.5472605055736844E-2</v>
      </c>
      <c r="AT263" s="13">
        <v>7.5472605055736844E-2</v>
      </c>
      <c r="AU263" s="13">
        <v>7.5472605055736844E-2</v>
      </c>
      <c r="AV263" s="13">
        <v>7.5472605055736844E-2</v>
      </c>
      <c r="AW263" s="13">
        <v>7.5472605055736844E-2</v>
      </c>
      <c r="AX263" s="13">
        <v>7.5472605055736844E-2</v>
      </c>
      <c r="AY263" s="13">
        <v>7.5472605055736844E-2</v>
      </c>
      <c r="AZ263" s="13">
        <v>7.5472605055736844E-2</v>
      </c>
      <c r="BA263" s="13">
        <v>7.5472605055736844E-2</v>
      </c>
      <c r="BB263" s="13">
        <v>7.5472605055736844E-2</v>
      </c>
      <c r="BC263" s="13">
        <v>7.5472605055736844E-2</v>
      </c>
      <c r="BD263" s="13">
        <v>7.5472605055736844E-2</v>
      </c>
      <c r="BE263" s="13">
        <v>7.5472605055736844E-2</v>
      </c>
      <c r="BF263" s="13">
        <v>7.5472605055736844E-2</v>
      </c>
      <c r="BG263" s="13">
        <v>7.5472605055736844E-2</v>
      </c>
    </row>
    <row r="264" spans="1:59" ht="12" customHeight="1" x14ac:dyDescent="0.2">
      <c r="A264" s="1" t="s">
        <v>57</v>
      </c>
      <c r="B264" t="s">
        <v>45</v>
      </c>
      <c r="C264" s="10" t="s">
        <v>46</v>
      </c>
      <c r="D264" s="13">
        <v>6.7748483715203506E-2</v>
      </c>
      <c r="E264" s="13">
        <v>7.640054451855198E-2</v>
      </c>
      <c r="F264" s="13">
        <v>9.1425774004515431E-2</v>
      </c>
      <c r="G264" s="13">
        <v>0.14016001818152871</v>
      </c>
      <c r="H264" s="13">
        <v>0.10906865980918259</v>
      </c>
      <c r="I264" s="13">
        <v>0.12744276174608671</v>
      </c>
      <c r="J264" s="13">
        <v>7.1439836380146643E-2</v>
      </c>
      <c r="K264" s="13">
        <v>3.2646601206640653E-2</v>
      </c>
      <c r="L264" s="14">
        <v>6.2060253730850209E-2</v>
      </c>
      <c r="M264" s="13">
        <v>8.5277851685715916E-2</v>
      </c>
      <c r="N264" s="13">
        <v>7.2611881494076672E-2</v>
      </c>
      <c r="O264" s="13">
        <v>6.1041671720644647E-2</v>
      </c>
      <c r="P264" s="13">
        <v>9.9022090067800383E-2</v>
      </c>
      <c r="Q264" s="13">
        <v>8.3910442789647405E-2</v>
      </c>
      <c r="R264" s="13">
        <v>5.7060156723753773E-2</v>
      </c>
      <c r="S264" s="13">
        <v>6.2110784615941869E-2</v>
      </c>
      <c r="T264" s="13">
        <v>6.1411549238732273E-2</v>
      </c>
      <c r="U264" s="13">
        <v>7.7346739966482336E-2</v>
      </c>
      <c r="V264" s="13">
        <v>7.286410073205897E-2</v>
      </c>
      <c r="W264" s="13">
        <v>6.8290167289310519E-2</v>
      </c>
      <c r="X264" s="13">
        <v>0.10317552006454191</v>
      </c>
      <c r="Y264" s="13">
        <v>0.118479502708297</v>
      </c>
      <c r="Z264" s="14">
        <v>0.13070502803551731</v>
      </c>
      <c r="AA264" s="14">
        <v>0.1330349841352341</v>
      </c>
      <c r="AB264" s="14">
        <v>0.1232178737447349</v>
      </c>
      <c r="AC264" s="14">
        <v>7.1538707113075903E-2</v>
      </c>
      <c r="AD264" s="14">
        <v>6.6476282571151304E-2</v>
      </c>
      <c r="AE264" s="14">
        <v>0.1052540652554268</v>
      </c>
      <c r="AF264" s="25">
        <v>9.1621732171097231E-2</v>
      </c>
      <c r="AG264" s="13">
        <v>8.3722696777687816E-2</v>
      </c>
      <c r="AH264" s="13">
        <v>8.6768694193840784E-2</v>
      </c>
      <c r="AI264" s="15">
        <v>8.6768694193840784E-2</v>
      </c>
      <c r="AJ264" s="13">
        <v>8.6768694193840784E-2</v>
      </c>
      <c r="AK264" s="13">
        <v>8.6768694193840784E-2</v>
      </c>
      <c r="AL264" s="13">
        <v>8.6768694193840784E-2</v>
      </c>
      <c r="AM264" s="13">
        <v>8.6768694193840784E-2</v>
      </c>
      <c r="AN264" s="13">
        <v>8.6768694193840784E-2</v>
      </c>
      <c r="AO264" s="13">
        <v>8.6768694193840784E-2</v>
      </c>
      <c r="AP264" s="13">
        <v>8.6768694193840784E-2</v>
      </c>
      <c r="AQ264" s="13">
        <v>8.6768694193840784E-2</v>
      </c>
      <c r="AR264" s="13">
        <v>8.6768694193840784E-2</v>
      </c>
      <c r="AS264" s="13">
        <v>8.6768694193840784E-2</v>
      </c>
      <c r="AT264" s="13">
        <v>8.6768694193840784E-2</v>
      </c>
      <c r="AU264" s="13">
        <v>8.6768694193840784E-2</v>
      </c>
      <c r="AV264" s="13">
        <v>8.6768694193840784E-2</v>
      </c>
      <c r="AW264" s="13">
        <v>8.6768694193840784E-2</v>
      </c>
      <c r="AX264" s="13">
        <v>8.6768694193840784E-2</v>
      </c>
      <c r="AY264" s="13">
        <v>8.6768694193840784E-2</v>
      </c>
      <c r="AZ264" s="13">
        <v>8.6768694193840784E-2</v>
      </c>
      <c r="BA264" s="13">
        <v>8.6768694193840784E-2</v>
      </c>
      <c r="BB264" s="13">
        <v>8.6768694193840784E-2</v>
      </c>
      <c r="BC264" s="13">
        <v>8.6768694193840784E-2</v>
      </c>
      <c r="BD264" s="13">
        <v>8.6768694193840784E-2</v>
      </c>
      <c r="BE264" s="13">
        <v>8.6768694193840784E-2</v>
      </c>
      <c r="BF264" s="13">
        <v>8.6768694193840784E-2</v>
      </c>
      <c r="BG264" s="13">
        <v>8.6768694193840784E-2</v>
      </c>
    </row>
    <row r="265" spans="1:59" ht="12" customHeight="1" x14ac:dyDescent="0.2">
      <c r="A265" s="1" t="s">
        <v>58</v>
      </c>
      <c r="B265" t="s">
        <v>45</v>
      </c>
      <c r="C265" s="10" t="s">
        <v>46</v>
      </c>
      <c r="D265" s="13">
        <v>0.23070754714586039</v>
      </c>
      <c r="E265" s="13">
        <v>0.23518078636780509</v>
      </c>
      <c r="F265" s="13">
        <v>9.7399115331124733E-2</v>
      </c>
      <c r="G265" s="13">
        <v>0.23559446802333001</v>
      </c>
      <c r="H265" s="13">
        <v>0.1083979433176972</v>
      </c>
      <c r="I265" s="13">
        <v>9.1187467403301734E-2</v>
      </c>
      <c r="J265" s="13">
        <v>2.098349989322627E-2</v>
      </c>
      <c r="K265" s="13">
        <v>3.5372940841921503E-2</v>
      </c>
      <c r="L265" s="14">
        <v>3.3245377006645607E-2</v>
      </c>
      <c r="M265" s="13">
        <v>1.149181524710788E-2</v>
      </c>
      <c r="N265" s="13">
        <v>7.6951731146307108E-3</v>
      </c>
      <c r="O265" s="13">
        <v>1.038914587336039E-2</v>
      </c>
      <c r="P265" s="13">
        <v>2.3853611903058131E-4</v>
      </c>
      <c r="Q265" s="13">
        <v>1.0544984031558719E-2</v>
      </c>
      <c r="R265" s="13">
        <v>7.9535735834144472E-2</v>
      </c>
      <c r="S265" s="13">
        <v>0.18839633629933311</v>
      </c>
      <c r="T265" s="13">
        <v>0.1580203421276434</v>
      </c>
      <c r="U265" s="13">
        <v>0.14670189381169779</v>
      </c>
      <c r="V265" s="13">
        <v>0.27713987667975581</v>
      </c>
      <c r="W265" s="13">
        <v>0.27104986868072939</v>
      </c>
      <c r="X265" s="13">
        <v>0.40726404266469829</v>
      </c>
      <c r="Y265" s="13">
        <v>0.45754559345719309</v>
      </c>
      <c r="Z265" s="14">
        <v>0.37938042362401209</v>
      </c>
      <c r="AA265" s="14">
        <v>0.29103849131119758</v>
      </c>
      <c r="AB265" s="14">
        <v>0.2374506789559224</v>
      </c>
      <c r="AC265" s="14">
        <v>0.18500728881242481</v>
      </c>
      <c r="AD265" s="14">
        <v>0.1032960554720911</v>
      </c>
      <c r="AE265" s="14">
        <v>0.17450727726895629</v>
      </c>
      <c r="AF265" s="25">
        <v>0.17506532512734865</v>
      </c>
      <c r="AG265" s="13">
        <v>0.1594689866702052</v>
      </c>
      <c r="AH265" s="13">
        <v>0.15308441113465032</v>
      </c>
      <c r="AI265" s="15">
        <v>0.15308441113465032</v>
      </c>
      <c r="AJ265" s="13">
        <v>0.15308441113465032</v>
      </c>
      <c r="AK265" s="13">
        <v>0.15308441113465032</v>
      </c>
      <c r="AL265" s="13">
        <v>0.15308441113465032</v>
      </c>
      <c r="AM265" s="13">
        <v>0.15308441113465032</v>
      </c>
      <c r="AN265" s="13">
        <v>0.15308441113465032</v>
      </c>
      <c r="AO265" s="13">
        <v>0.15308441113465032</v>
      </c>
      <c r="AP265" s="13">
        <v>0.15308441113465032</v>
      </c>
      <c r="AQ265" s="13">
        <v>0.15308441113465032</v>
      </c>
      <c r="AR265" s="13">
        <v>0.15308441113465032</v>
      </c>
      <c r="AS265" s="13">
        <v>0.15308441113465032</v>
      </c>
      <c r="AT265" s="13">
        <v>0.15308441113465032</v>
      </c>
      <c r="AU265" s="13">
        <v>0.15308441113465032</v>
      </c>
      <c r="AV265" s="13">
        <v>0.15308441113465032</v>
      </c>
      <c r="AW265" s="13">
        <v>0.15308441113465032</v>
      </c>
      <c r="AX265" s="13">
        <v>0.15308441113465032</v>
      </c>
      <c r="AY265" s="13">
        <v>0.15308441113465032</v>
      </c>
      <c r="AZ265" s="13">
        <v>0.15308441113465032</v>
      </c>
      <c r="BA265" s="13">
        <v>0.15308441113465032</v>
      </c>
      <c r="BB265" s="13">
        <v>0.15308441113465032</v>
      </c>
      <c r="BC265" s="13">
        <v>0.15308441113465032</v>
      </c>
      <c r="BD265" s="13">
        <v>0.15308441113465032</v>
      </c>
      <c r="BE265" s="13">
        <v>0.15308441113465032</v>
      </c>
      <c r="BF265" s="13">
        <v>0.15308441113465032</v>
      </c>
      <c r="BG265" s="13">
        <v>0.15308441113465032</v>
      </c>
    </row>
    <row r="266" spans="1:59" ht="12" customHeight="1" x14ac:dyDescent="0.2">
      <c r="A266" s="1" t="s">
        <v>59</v>
      </c>
      <c r="B266" t="s">
        <v>45</v>
      </c>
      <c r="C266" s="10" t="s">
        <v>46</v>
      </c>
      <c r="D266" s="13">
        <v>0.14878181046827529</v>
      </c>
      <c r="E266" s="13">
        <v>0.1498984306291487</v>
      </c>
      <c r="F266" s="13">
        <v>9.0813478860413896E-2</v>
      </c>
      <c r="G266" s="13">
        <v>3.9608706368108933E-2</v>
      </c>
      <c r="H266" s="13">
        <v>0.1221308271677992</v>
      </c>
      <c r="I266" s="13">
        <v>0.13938446289727521</v>
      </c>
      <c r="J266" s="13">
        <v>2.494662742541889E-2</v>
      </c>
      <c r="K266" s="13">
        <v>1.9229696328995471E-2</v>
      </c>
      <c r="L266" s="14">
        <v>2.4416570582556259E-2</v>
      </c>
      <c r="M266" s="13">
        <v>9.0382484905542543E-2</v>
      </c>
      <c r="N266" s="13">
        <v>0.1072818868605498</v>
      </c>
      <c r="O266" s="13">
        <v>0.11495230088603479</v>
      </c>
      <c r="P266" s="13">
        <v>8.0187436452653166E-2</v>
      </c>
      <c r="Q266" s="13">
        <v>6.1347187670713538E-2</v>
      </c>
      <c r="R266" s="13">
        <v>0.12579501718348449</v>
      </c>
      <c r="S266" s="13">
        <v>0.19665048456089471</v>
      </c>
      <c r="T266" s="13">
        <v>0.19367822225314091</v>
      </c>
      <c r="U266" s="13">
        <v>0.18179264492579111</v>
      </c>
      <c r="V266" s="13">
        <v>0.19872015899889051</v>
      </c>
      <c r="W266" s="13">
        <v>0.19348110678013611</v>
      </c>
      <c r="X266" s="13">
        <v>0.24123926174556329</v>
      </c>
      <c r="Y266" s="13">
        <v>0.2456873736063547</v>
      </c>
      <c r="Z266" s="14">
        <v>0.21716021777112809</v>
      </c>
      <c r="AA266" s="14">
        <v>0.12005857521178689</v>
      </c>
      <c r="AB266" s="14">
        <v>7.909842204704344E-2</v>
      </c>
      <c r="AC266" s="14">
        <v>9.912575138428828E-2</v>
      </c>
      <c r="AD266" s="14">
        <v>0.16373966781827781</v>
      </c>
      <c r="AE266" s="14">
        <v>0.18711328500392341</v>
      </c>
      <c r="AF266" s="25">
        <v>0.13226928156338325</v>
      </c>
      <c r="AG266" s="13">
        <v>0.1455619964424682</v>
      </c>
      <c r="AH266" s="13">
        <v>0.15717105770701317</v>
      </c>
      <c r="AI266" s="15">
        <v>0.15717105770701317</v>
      </c>
      <c r="AJ266" s="13">
        <v>0.15717105770701317</v>
      </c>
      <c r="AK266" s="13">
        <v>0.15717105770701317</v>
      </c>
      <c r="AL266" s="13">
        <v>0.15717105770701317</v>
      </c>
      <c r="AM266" s="13">
        <v>0.15717105770701317</v>
      </c>
      <c r="AN266" s="13">
        <v>0.15717105770701317</v>
      </c>
      <c r="AO266" s="13">
        <v>0.15717105770701317</v>
      </c>
      <c r="AP266" s="13">
        <v>0.15717105770701317</v>
      </c>
      <c r="AQ266" s="13">
        <v>0.15717105770701317</v>
      </c>
      <c r="AR266" s="13">
        <v>0.15717105770701317</v>
      </c>
      <c r="AS266" s="13">
        <v>0.15717105770701317</v>
      </c>
      <c r="AT266" s="13">
        <v>0.15717105770701317</v>
      </c>
      <c r="AU266" s="13">
        <v>0.15717105770701317</v>
      </c>
      <c r="AV266" s="13">
        <v>0.15717105770701317</v>
      </c>
      <c r="AW266" s="13">
        <v>0.15717105770701317</v>
      </c>
      <c r="AX266" s="13">
        <v>0.15717105770701317</v>
      </c>
      <c r="AY266" s="13">
        <v>0.15717105770701317</v>
      </c>
      <c r="AZ266" s="13">
        <v>0.15717105770701317</v>
      </c>
      <c r="BA266" s="13">
        <v>0.15717105770701317</v>
      </c>
      <c r="BB266" s="13">
        <v>0.15717105770701317</v>
      </c>
      <c r="BC266" s="13">
        <v>0.15717105770701317</v>
      </c>
      <c r="BD266" s="13">
        <v>0.15717105770701317</v>
      </c>
      <c r="BE266" s="13">
        <v>0.15717105770701317</v>
      </c>
      <c r="BF266" s="13">
        <v>0.15717105770701317</v>
      </c>
      <c r="BG266" s="13">
        <v>0.15717105770701317</v>
      </c>
    </row>
    <row r="267" spans="1:59" ht="12" customHeight="1" x14ac:dyDescent="0.2">
      <c r="A267" s="1" t="s">
        <v>60</v>
      </c>
      <c r="B267" t="s">
        <v>45</v>
      </c>
      <c r="C267" s="10" t="s">
        <v>46</v>
      </c>
      <c r="D267" s="13">
        <v>0.49487861058830518</v>
      </c>
      <c r="E267" s="13">
        <v>0.46062436462002643</v>
      </c>
      <c r="F267" s="13">
        <v>0.40197425495348904</v>
      </c>
      <c r="G267" s="13">
        <v>0.38510254799460308</v>
      </c>
      <c r="H267" s="13">
        <v>0.33937583032317348</v>
      </c>
      <c r="I267" s="13">
        <v>0.30621799087731683</v>
      </c>
      <c r="J267" s="13">
        <v>0.25472896398483114</v>
      </c>
      <c r="K267" s="13">
        <v>0.18202239152463845</v>
      </c>
      <c r="L267" s="14">
        <v>0.18142912968267216</v>
      </c>
      <c r="M267" s="13">
        <v>0.16354262689119481</v>
      </c>
      <c r="N267" s="13">
        <v>0.14880225684172327</v>
      </c>
      <c r="O267" s="13">
        <v>0.14279413617545531</v>
      </c>
      <c r="P267" s="13">
        <v>0.12811364200875816</v>
      </c>
      <c r="Q267" s="13">
        <v>0.11277860301101242</v>
      </c>
      <c r="R267" s="13">
        <v>9.6166219644272091E-2</v>
      </c>
      <c r="S267" s="13">
        <v>9.3006602101734295E-2</v>
      </c>
      <c r="T267" s="13">
        <v>8.3029533770038091E-2</v>
      </c>
      <c r="U267" s="13">
        <v>6.7825722162147162E-2</v>
      </c>
      <c r="V267" s="13">
        <v>6.2669945535320667E-2</v>
      </c>
      <c r="W267" s="13">
        <v>6.4494290434711971E-2</v>
      </c>
      <c r="X267" s="13">
        <v>6.9083323821525836E-2</v>
      </c>
      <c r="Y267" s="13">
        <v>7.3439226696725868E-2</v>
      </c>
      <c r="Z267" s="14">
        <v>7.957984477288163E-2</v>
      </c>
      <c r="AA267" s="14">
        <v>8.2941762432927987E-2</v>
      </c>
      <c r="AB267" s="14">
        <v>8.3521602726304392E-2</v>
      </c>
      <c r="AC267" s="14">
        <v>7.7484869745869156E-2</v>
      </c>
      <c r="AD267" s="14">
        <v>7.7484869745869156E-2</v>
      </c>
      <c r="AE267" s="14">
        <v>7.1126125543043386E-2</v>
      </c>
      <c r="AF267" s="25">
        <v>7.7404366940271516E-2</v>
      </c>
      <c r="AG267" s="13">
        <v>7.5875057993763304E-2</v>
      </c>
      <c r="AH267" s="13">
        <v>7.5472605055736844E-2</v>
      </c>
      <c r="AI267" s="15">
        <v>7.5472605055736844E-2</v>
      </c>
      <c r="AJ267" s="13">
        <v>7.5472605055736844E-2</v>
      </c>
      <c r="AK267" s="13">
        <v>7.5472605055736844E-2</v>
      </c>
      <c r="AL267" s="13">
        <v>7.5472605055736844E-2</v>
      </c>
      <c r="AM267" s="13">
        <v>7.5472605055736844E-2</v>
      </c>
      <c r="AN267" s="13">
        <v>7.5472605055736844E-2</v>
      </c>
      <c r="AO267" s="13">
        <v>7.5472605055736844E-2</v>
      </c>
      <c r="AP267" s="13">
        <v>7.5472605055736844E-2</v>
      </c>
      <c r="AQ267" s="13">
        <v>7.5472605055736844E-2</v>
      </c>
      <c r="AR267" s="13">
        <v>7.5472605055736844E-2</v>
      </c>
      <c r="AS267" s="13">
        <v>7.5472605055736844E-2</v>
      </c>
      <c r="AT267" s="13">
        <v>7.5472605055736844E-2</v>
      </c>
      <c r="AU267" s="13">
        <v>7.5472605055736844E-2</v>
      </c>
      <c r="AV267" s="13">
        <v>7.5472605055736844E-2</v>
      </c>
      <c r="AW267" s="13">
        <v>7.5472605055736844E-2</v>
      </c>
      <c r="AX267" s="13">
        <v>7.5472605055736844E-2</v>
      </c>
      <c r="AY267" s="13">
        <v>7.5472605055736844E-2</v>
      </c>
      <c r="AZ267" s="13">
        <v>7.5472605055736844E-2</v>
      </c>
      <c r="BA267" s="13">
        <v>7.5472605055736844E-2</v>
      </c>
      <c r="BB267" s="13">
        <v>7.5472605055736844E-2</v>
      </c>
      <c r="BC267" s="13">
        <v>7.5472605055736844E-2</v>
      </c>
      <c r="BD267" s="13">
        <v>7.5472605055736844E-2</v>
      </c>
      <c r="BE267" s="13">
        <v>7.5472605055736844E-2</v>
      </c>
      <c r="BF267" s="13">
        <v>7.5472605055736844E-2</v>
      </c>
      <c r="BG267" s="13">
        <v>7.5472605055736844E-2</v>
      </c>
    </row>
    <row r="268" spans="1:59" ht="12" customHeight="1" x14ac:dyDescent="0.2">
      <c r="A268" s="1" t="s">
        <v>61</v>
      </c>
      <c r="B268" t="s">
        <v>45</v>
      </c>
      <c r="C268" s="10" t="s">
        <v>46</v>
      </c>
      <c r="D268" s="13">
        <v>0.27094265244454729</v>
      </c>
      <c r="E268" s="13">
        <v>0.38290950929260642</v>
      </c>
      <c r="F268" s="13">
        <v>0.31951012505855908</v>
      </c>
      <c r="G268" s="13">
        <v>0.36654527644523882</v>
      </c>
      <c r="H268" s="13">
        <v>0.54516786843058229</v>
      </c>
      <c r="I268" s="13">
        <v>0.53089616026809772</v>
      </c>
      <c r="J268" s="13">
        <v>0.37284216625316952</v>
      </c>
      <c r="K268" s="13">
        <v>0.31116509399314057</v>
      </c>
      <c r="L268" s="14">
        <v>0.35669881932210518</v>
      </c>
      <c r="M268" s="13">
        <v>0.31718082507262702</v>
      </c>
      <c r="N268" s="13">
        <v>0.26618561594805917</v>
      </c>
      <c r="O268" s="13">
        <v>0.17129883696598949</v>
      </c>
      <c r="P268" s="13">
        <v>0.2885393788065253</v>
      </c>
      <c r="Q268" s="13">
        <v>0.2897711631520874</v>
      </c>
      <c r="R268" s="13">
        <v>0.26573118967642861</v>
      </c>
      <c r="S268" s="13">
        <v>0.14404778684477171</v>
      </c>
      <c r="T268" s="13">
        <v>0.11338891299345651</v>
      </c>
      <c r="U268" s="13">
        <v>0.10117688687633911</v>
      </c>
      <c r="V268" s="13">
        <v>0.1218526707413491</v>
      </c>
      <c r="W268" s="13">
        <v>0.1921147809525113</v>
      </c>
      <c r="X268" s="13">
        <v>0.20276204364054401</v>
      </c>
      <c r="Y268" s="13">
        <v>0.13268747763269259</v>
      </c>
      <c r="Z268" s="14">
        <v>0.12555471858409969</v>
      </c>
      <c r="AA268" s="14">
        <v>0.13521307894656051</v>
      </c>
      <c r="AB268" s="14">
        <v>0.138847445460103</v>
      </c>
      <c r="AC268" s="14">
        <v>0.1324529001774879</v>
      </c>
      <c r="AD268" s="14">
        <v>0.29479843983449289</v>
      </c>
      <c r="AE268" s="14">
        <v>0.28204570730468947</v>
      </c>
      <c r="AF268" s="25">
        <v>0.21203612319419332</v>
      </c>
      <c r="AG268" s="13">
        <v>0.23033329262771587</v>
      </c>
      <c r="AH268" s="13">
        <v>0.25480339074027286</v>
      </c>
      <c r="AI268" s="15">
        <v>0.25480339074027286</v>
      </c>
      <c r="AJ268" s="13">
        <v>0.25480339074027286</v>
      </c>
      <c r="AK268" s="13">
        <v>0.25480339074027286</v>
      </c>
      <c r="AL268" s="13">
        <v>0.25480339074027286</v>
      </c>
      <c r="AM268" s="13">
        <v>0.25480339074027286</v>
      </c>
      <c r="AN268" s="13">
        <v>0.25480339074027286</v>
      </c>
      <c r="AO268" s="13">
        <v>0.25480339074027286</v>
      </c>
      <c r="AP268" s="13">
        <v>0.25480339074027286</v>
      </c>
      <c r="AQ268" s="13">
        <v>0.25480339074027286</v>
      </c>
      <c r="AR268" s="13">
        <v>0.25480339074027286</v>
      </c>
      <c r="AS268" s="13">
        <v>0.25480339074027286</v>
      </c>
      <c r="AT268" s="13">
        <v>0.25480339074027286</v>
      </c>
      <c r="AU268" s="13">
        <v>0.25480339074027286</v>
      </c>
      <c r="AV268" s="13">
        <v>0.25480339074027286</v>
      </c>
      <c r="AW268" s="13">
        <v>0.25480339074027286</v>
      </c>
      <c r="AX268" s="13">
        <v>0.25480339074027286</v>
      </c>
      <c r="AY268" s="13">
        <v>0.25480339074027286</v>
      </c>
      <c r="AZ268" s="13">
        <v>0.25480339074027286</v>
      </c>
      <c r="BA268" s="13">
        <v>0.25480339074027286</v>
      </c>
      <c r="BB268" s="13">
        <v>0.25480339074027286</v>
      </c>
      <c r="BC268" s="13">
        <v>0.25480339074027286</v>
      </c>
      <c r="BD268" s="13">
        <v>0.25480339074027286</v>
      </c>
      <c r="BE268" s="13">
        <v>0.25480339074027286</v>
      </c>
      <c r="BF268" s="13">
        <v>0.25480339074027286</v>
      </c>
      <c r="BG268" s="13">
        <v>0.25480339074027286</v>
      </c>
    </row>
    <row r="269" spans="1:59" ht="12" customHeight="1" x14ac:dyDescent="0.2">
      <c r="A269" s="1" t="s">
        <v>44</v>
      </c>
      <c r="B269" t="s">
        <v>45</v>
      </c>
      <c r="C269" s="10" t="s">
        <v>62</v>
      </c>
      <c r="D269" s="13">
        <v>0.5041211031283741</v>
      </c>
      <c r="E269" s="13">
        <v>0.53844925093087914</v>
      </c>
      <c r="F269" s="13">
        <v>0.59669704683581959</v>
      </c>
      <c r="G269" s="13">
        <v>0.61324360768497765</v>
      </c>
      <c r="H269" s="13">
        <v>0.65904664150022674</v>
      </c>
      <c r="I269" s="13">
        <v>0.69153936812499583</v>
      </c>
      <c r="J269" s="13">
        <v>0.7436360963647618</v>
      </c>
      <c r="K269" s="13">
        <v>0.81523437281155864</v>
      </c>
      <c r="L269" s="14">
        <v>0.80986842817066362</v>
      </c>
      <c r="M269" s="13">
        <v>0.82903068612919839</v>
      </c>
      <c r="N269" s="13">
        <v>0.84548039215814952</v>
      </c>
      <c r="O269" s="13">
        <v>0.85316009539527338</v>
      </c>
      <c r="P269" s="13">
        <v>0.86851878413191308</v>
      </c>
      <c r="Q269" s="13">
        <v>0.87941248604841904</v>
      </c>
      <c r="R269" s="13">
        <v>0.90360491939093934</v>
      </c>
      <c r="S269" s="13">
        <v>0.90653812349687157</v>
      </c>
      <c r="T269" s="13">
        <v>0.91648953353868912</v>
      </c>
      <c r="U269" s="13">
        <v>0.93158601290987664</v>
      </c>
      <c r="V269" s="13">
        <v>0.93665621785743369</v>
      </c>
      <c r="W269" s="13">
        <v>0.93483834654910236</v>
      </c>
      <c r="X269" s="13">
        <v>0.93023033542108369</v>
      </c>
      <c r="Y269" s="13">
        <v>0.92595731720830254</v>
      </c>
      <c r="Z269" s="14">
        <v>0.91994062931882636</v>
      </c>
      <c r="AA269" s="14">
        <v>0.91666715631427531</v>
      </c>
      <c r="AB269" s="14">
        <v>0.91613087586994024</v>
      </c>
      <c r="AC269" s="14">
        <v>0.92221153912624865</v>
      </c>
      <c r="AD269" s="14">
        <v>0.92221153912624865</v>
      </c>
      <c r="AE269" s="14">
        <v>0.9285202450928699</v>
      </c>
      <c r="AF269" s="25">
        <v>0.92226854980382689</v>
      </c>
      <c r="AG269" s="13">
        <v>0.92380296828729846</v>
      </c>
      <c r="AH269" s="13">
        <v>0.924200825577561</v>
      </c>
      <c r="AI269" s="15">
        <v>0.924200825577561</v>
      </c>
      <c r="AJ269" s="13">
        <v>0.924200825577561</v>
      </c>
      <c r="AK269" s="13">
        <v>0.924200825577561</v>
      </c>
      <c r="AL269" s="13">
        <v>0.924200825577561</v>
      </c>
      <c r="AM269" s="13">
        <v>0.924200825577561</v>
      </c>
      <c r="AN269" s="13">
        <v>0.924200825577561</v>
      </c>
      <c r="AO269" s="13">
        <v>0.924200825577561</v>
      </c>
      <c r="AP269" s="13">
        <v>0.924200825577561</v>
      </c>
      <c r="AQ269" s="13">
        <v>0.924200825577561</v>
      </c>
      <c r="AR269" s="13">
        <v>0.924200825577561</v>
      </c>
      <c r="AS269" s="13">
        <v>0.924200825577561</v>
      </c>
      <c r="AT269" s="13">
        <v>0.924200825577561</v>
      </c>
      <c r="AU269" s="13">
        <v>0.924200825577561</v>
      </c>
      <c r="AV269" s="13">
        <v>0.924200825577561</v>
      </c>
      <c r="AW269" s="13">
        <v>0.924200825577561</v>
      </c>
      <c r="AX269" s="13">
        <v>0.924200825577561</v>
      </c>
      <c r="AY269" s="13">
        <v>0.924200825577561</v>
      </c>
      <c r="AZ269" s="13">
        <v>0.924200825577561</v>
      </c>
      <c r="BA269" s="13">
        <v>0.924200825577561</v>
      </c>
      <c r="BB269" s="13">
        <v>0.924200825577561</v>
      </c>
      <c r="BC269" s="13">
        <v>0.924200825577561</v>
      </c>
      <c r="BD269" s="13">
        <v>0.924200825577561</v>
      </c>
      <c r="BE269" s="13">
        <v>0.924200825577561</v>
      </c>
      <c r="BF269" s="13">
        <v>0.924200825577561</v>
      </c>
      <c r="BG269" s="13">
        <v>0.924200825577561</v>
      </c>
    </row>
    <row r="270" spans="1:59" ht="12" customHeight="1" x14ac:dyDescent="0.2">
      <c r="A270" s="1" t="s">
        <v>47</v>
      </c>
      <c r="B270" t="s">
        <v>45</v>
      </c>
      <c r="C270" s="10" t="s">
        <v>62</v>
      </c>
      <c r="D270" s="13">
        <v>0.5041211031283741</v>
      </c>
      <c r="E270" s="13">
        <v>0.53844925093087914</v>
      </c>
      <c r="F270" s="13">
        <v>0.59669704683581959</v>
      </c>
      <c r="G270" s="13">
        <v>0.61324360768497765</v>
      </c>
      <c r="H270" s="13">
        <v>0.65904664150022674</v>
      </c>
      <c r="I270" s="13">
        <v>0.69153936812499583</v>
      </c>
      <c r="J270" s="13">
        <v>0.7436360963647618</v>
      </c>
      <c r="K270" s="13">
        <v>0.81523437281155864</v>
      </c>
      <c r="L270" s="14">
        <v>0.80986842817066362</v>
      </c>
      <c r="M270" s="13">
        <v>0.82903068612919839</v>
      </c>
      <c r="N270" s="13">
        <v>0.84548039215814952</v>
      </c>
      <c r="O270" s="13">
        <v>0.85316009539527338</v>
      </c>
      <c r="P270" s="13">
        <v>0.86851878413191308</v>
      </c>
      <c r="Q270" s="13">
        <v>0.87941248604841904</v>
      </c>
      <c r="R270" s="13">
        <v>0.90360491939093934</v>
      </c>
      <c r="S270" s="13">
        <v>0.90653812349687157</v>
      </c>
      <c r="T270" s="13">
        <v>0.91648953353868912</v>
      </c>
      <c r="U270" s="13">
        <v>0.93158601290987664</v>
      </c>
      <c r="V270" s="13">
        <v>0.93665621785743369</v>
      </c>
      <c r="W270" s="13">
        <v>0.93483834654910236</v>
      </c>
      <c r="X270" s="13">
        <v>0.93023033542108369</v>
      </c>
      <c r="Y270" s="13">
        <v>0.92595731720830254</v>
      </c>
      <c r="Z270" s="14">
        <v>0.91994062931882636</v>
      </c>
      <c r="AA270" s="14">
        <v>0.91666715631427531</v>
      </c>
      <c r="AB270" s="14">
        <v>0.91613087586994024</v>
      </c>
      <c r="AC270" s="14">
        <v>0.92221153912624865</v>
      </c>
      <c r="AD270" s="14">
        <v>0.92221153912624865</v>
      </c>
      <c r="AE270" s="14">
        <v>0.9285202450928699</v>
      </c>
      <c r="AF270" s="25">
        <v>0.92226854980382689</v>
      </c>
      <c r="AG270" s="13">
        <v>0.92380296828729846</v>
      </c>
      <c r="AH270" s="13">
        <v>0.924200825577561</v>
      </c>
      <c r="AI270" s="15">
        <v>0.924200825577561</v>
      </c>
      <c r="AJ270" s="13">
        <v>0.924200825577561</v>
      </c>
      <c r="AK270" s="13">
        <v>0.924200825577561</v>
      </c>
      <c r="AL270" s="13">
        <v>0.924200825577561</v>
      </c>
      <c r="AM270" s="13">
        <v>0.924200825577561</v>
      </c>
      <c r="AN270" s="13">
        <v>0.924200825577561</v>
      </c>
      <c r="AO270" s="13">
        <v>0.924200825577561</v>
      </c>
      <c r="AP270" s="13">
        <v>0.924200825577561</v>
      </c>
      <c r="AQ270" s="13">
        <v>0.924200825577561</v>
      </c>
      <c r="AR270" s="13">
        <v>0.924200825577561</v>
      </c>
      <c r="AS270" s="13">
        <v>0.924200825577561</v>
      </c>
      <c r="AT270" s="13">
        <v>0.924200825577561</v>
      </c>
      <c r="AU270" s="13">
        <v>0.924200825577561</v>
      </c>
      <c r="AV270" s="13">
        <v>0.924200825577561</v>
      </c>
      <c r="AW270" s="13">
        <v>0.924200825577561</v>
      </c>
      <c r="AX270" s="13">
        <v>0.924200825577561</v>
      </c>
      <c r="AY270" s="13">
        <v>0.924200825577561</v>
      </c>
      <c r="AZ270" s="13">
        <v>0.924200825577561</v>
      </c>
      <c r="BA270" s="13">
        <v>0.924200825577561</v>
      </c>
      <c r="BB270" s="13">
        <v>0.924200825577561</v>
      </c>
      <c r="BC270" s="13">
        <v>0.924200825577561</v>
      </c>
      <c r="BD270" s="13">
        <v>0.924200825577561</v>
      </c>
      <c r="BE270" s="13">
        <v>0.924200825577561</v>
      </c>
      <c r="BF270" s="13">
        <v>0.924200825577561</v>
      </c>
      <c r="BG270" s="13">
        <v>0.924200825577561</v>
      </c>
    </row>
    <row r="271" spans="1:59" ht="12" customHeight="1" x14ac:dyDescent="0.2">
      <c r="A271" s="1" t="s">
        <v>48</v>
      </c>
      <c r="B271" t="s">
        <v>45</v>
      </c>
      <c r="C271" s="10" t="s">
        <v>62</v>
      </c>
      <c r="D271" s="13">
        <v>0.5041211031283741</v>
      </c>
      <c r="E271" s="13">
        <v>0.53844925093087914</v>
      </c>
      <c r="F271" s="13">
        <v>0.59669704683581959</v>
      </c>
      <c r="G271" s="13">
        <v>0.61324360768497765</v>
      </c>
      <c r="H271" s="13">
        <v>0.65904664150022674</v>
      </c>
      <c r="I271" s="13">
        <v>0.69153936812499583</v>
      </c>
      <c r="J271" s="13">
        <v>0.7436360963647618</v>
      </c>
      <c r="K271" s="13">
        <v>0.81523437281155864</v>
      </c>
      <c r="L271" s="14">
        <v>0.80986842817066362</v>
      </c>
      <c r="M271" s="13">
        <v>0.82903068612919839</v>
      </c>
      <c r="N271" s="13">
        <v>0.84548039215814952</v>
      </c>
      <c r="O271" s="13">
        <v>0.85316009539527338</v>
      </c>
      <c r="P271" s="13">
        <v>0.86851878413191308</v>
      </c>
      <c r="Q271" s="13">
        <v>0.87941248604841904</v>
      </c>
      <c r="R271" s="13">
        <v>0.90360491939093934</v>
      </c>
      <c r="S271" s="13">
        <v>0.90653812349687157</v>
      </c>
      <c r="T271" s="13">
        <v>0.91648953353868912</v>
      </c>
      <c r="U271" s="13">
        <v>0.93158601290987664</v>
      </c>
      <c r="V271" s="13">
        <v>0.93665621785743369</v>
      </c>
      <c r="W271" s="13">
        <v>0.93483834654910236</v>
      </c>
      <c r="X271" s="13">
        <v>0.93023033542108369</v>
      </c>
      <c r="Y271" s="13">
        <v>0.92595731720830254</v>
      </c>
      <c r="Z271" s="14">
        <v>0.91994062931882636</v>
      </c>
      <c r="AA271" s="14">
        <v>0.91666715631427531</v>
      </c>
      <c r="AB271" s="14">
        <v>0.91613087586994024</v>
      </c>
      <c r="AC271" s="14">
        <v>0.92221153912624865</v>
      </c>
      <c r="AD271" s="14">
        <v>0.92221153912624865</v>
      </c>
      <c r="AE271" s="14">
        <v>0.9285202450928699</v>
      </c>
      <c r="AF271" s="25">
        <v>0.92226854980382689</v>
      </c>
      <c r="AG271" s="13">
        <v>0.92380296828729846</v>
      </c>
      <c r="AH271" s="13">
        <v>0.924200825577561</v>
      </c>
      <c r="AI271" s="15">
        <v>0.924200825577561</v>
      </c>
      <c r="AJ271" s="13">
        <v>0.924200825577561</v>
      </c>
      <c r="AK271" s="13">
        <v>0.924200825577561</v>
      </c>
      <c r="AL271" s="13">
        <v>0.924200825577561</v>
      </c>
      <c r="AM271" s="13">
        <v>0.924200825577561</v>
      </c>
      <c r="AN271" s="13">
        <v>0.924200825577561</v>
      </c>
      <c r="AO271" s="13">
        <v>0.924200825577561</v>
      </c>
      <c r="AP271" s="13">
        <v>0.924200825577561</v>
      </c>
      <c r="AQ271" s="13">
        <v>0.924200825577561</v>
      </c>
      <c r="AR271" s="13">
        <v>0.924200825577561</v>
      </c>
      <c r="AS271" s="13">
        <v>0.924200825577561</v>
      </c>
      <c r="AT271" s="13">
        <v>0.924200825577561</v>
      </c>
      <c r="AU271" s="13">
        <v>0.924200825577561</v>
      </c>
      <c r="AV271" s="13">
        <v>0.924200825577561</v>
      </c>
      <c r="AW271" s="13">
        <v>0.924200825577561</v>
      </c>
      <c r="AX271" s="13">
        <v>0.924200825577561</v>
      </c>
      <c r="AY271" s="13">
        <v>0.924200825577561</v>
      </c>
      <c r="AZ271" s="13">
        <v>0.924200825577561</v>
      </c>
      <c r="BA271" s="13">
        <v>0.924200825577561</v>
      </c>
      <c r="BB271" s="13">
        <v>0.924200825577561</v>
      </c>
      <c r="BC271" s="13">
        <v>0.924200825577561</v>
      </c>
      <c r="BD271" s="13">
        <v>0.924200825577561</v>
      </c>
      <c r="BE271" s="13">
        <v>0.924200825577561</v>
      </c>
      <c r="BF271" s="13">
        <v>0.924200825577561</v>
      </c>
      <c r="BG271" s="13">
        <v>0.924200825577561</v>
      </c>
    </row>
    <row r="272" spans="1:59" ht="12" customHeight="1" x14ac:dyDescent="0.2">
      <c r="A272" s="1" t="s">
        <v>49</v>
      </c>
      <c r="B272" t="s">
        <v>45</v>
      </c>
      <c r="C272" s="10" t="s">
        <v>62</v>
      </c>
      <c r="D272" s="13">
        <v>0.33439879984593168</v>
      </c>
      <c r="E272" s="13">
        <v>0.31988037986034468</v>
      </c>
      <c r="F272" s="13">
        <v>0.41432189355686982</v>
      </c>
      <c r="G272" s="13">
        <v>0.2138952722627569</v>
      </c>
      <c r="H272" s="13">
        <v>0.44024252048559948</v>
      </c>
      <c r="I272" s="13">
        <v>0.51314346374398279</v>
      </c>
      <c r="J272" s="13">
        <v>0.52120182272562987</v>
      </c>
      <c r="K272" s="13">
        <v>0.47962546454861632</v>
      </c>
      <c r="L272" s="14">
        <v>0.53999175836322544</v>
      </c>
      <c r="M272" s="13">
        <v>0.54477167868081822</v>
      </c>
      <c r="N272" s="13">
        <v>0.53808885145511409</v>
      </c>
      <c r="O272" s="13">
        <v>0.59271431101244654</v>
      </c>
      <c r="P272" s="13">
        <v>0.60157649293603843</v>
      </c>
      <c r="Q272" s="13">
        <v>0.62291399667294323</v>
      </c>
      <c r="R272" s="13">
        <v>0.63183959027917524</v>
      </c>
      <c r="S272" s="13">
        <v>0.6246811537707686</v>
      </c>
      <c r="T272" s="13">
        <v>0.43993127247684932</v>
      </c>
      <c r="U272" s="13">
        <v>0.52504744348133792</v>
      </c>
      <c r="V272" s="13">
        <v>0.55188805278478514</v>
      </c>
      <c r="W272" s="13">
        <v>0.58153746868056544</v>
      </c>
      <c r="X272" s="13">
        <v>0.61495264922009651</v>
      </c>
      <c r="Y272" s="13">
        <v>0.693672989337353</v>
      </c>
      <c r="Z272" s="14">
        <v>0.69880549258729419</v>
      </c>
      <c r="AA272" s="14">
        <v>0.7008441397717784</v>
      </c>
      <c r="AB272" s="14">
        <v>0.78531229396945679</v>
      </c>
      <c r="AC272" s="14">
        <v>0.83850815946096779</v>
      </c>
      <c r="AD272" s="14">
        <v>0.71917814097565569</v>
      </c>
      <c r="AE272" s="14">
        <v>0.69870690586911</v>
      </c>
      <c r="AF272" s="25">
        <v>0.76042637506879762</v>
      </c>
      <c r="AG272" s="13">
        <v>0.75420489534363278</v>
      </c>
      <c r="AH272" s="13">
        <v>0.73312907931429905</v>
      </c>
      <c r="AI272" s="15">
        <v>0.73312907931429905</v>
      </c>
      <c r="AJ272" s="13">
        <v>0.73312907931429905</v>
      </c>
      <c r="AK272" s="13">
        <v>0.73312907931429905</v>
      </c>
      <c r="AL272" s="13">
        <v>0.73312907931429905</v>
      </c>
      <c r="AM272" s="13">
        <v>0.73312907931429905</v>
      </c>
      <c r="AN272" s="13">
        <v>0.73312907931429905</v>
      </c>
      <c r="AO272" s="13">
        <v>0.73312907931429905</v>
      </c>
      <c r="AP272" s="13">
        <v>0.73312907931429905</v>
      </c>
      <c r="AQ272" s="13">
        <v>0.73312907931429905</v>
      </c>
      <c r="AR272" s="13">
        <v>0.73312907931429905</v>
      </c>
      <c r="AS272" s="13">
        <v>0.73312907931429905</v>
      </c>
      <c r="AT272" s="13">
        <v>0.73312907931429905</v>
      </c>
      <c r="AU272" s="13">
        <v>0.73312907931429905</v>
      </c>
      <c r="AV272" s="13">
        <v>0.73312907931429905</v>
      </c>
      <c r="AW272" s="13">
        <v>0.73312907931429905</v>
      </c>
      <c r="AX272" s="13">
        <v>0.73312907931429905</v>
      </c>
      <c r="AY272" s="13">
        <v>0.73312907931429905</v>
      </c>
      <c r="AZ272" s="13">
        <v>0.73312907931429905</v>
      </c>
      <c r="BA272" s="13">
        <v>0.73312907931429905</v>
      </c>
      <c r="BB272" s="13">
        <v>0.73312907931429905</v>
      </c>
      <c r="BC272" s="13">
        <v>0.73312907931429905</v>
      </c>
      <c r="BD272" s="13">
        <v>0.73312907931429905</v>
      </c>
      <c r="BE272" s="13">
        <v>0.73312907931429905</v>
      </c>
      <c r="BF272" s="13">
        <v>0.73312907931429905</v>
      </c>
      <c r="BG272" s="13">
        <v>0.73312907931429905</v>
      </c>
    </row>
    <row r="273" spans="1:59" ht="12" customHeight="1" x14ac:dyDescent="0.2">
      <c r="A273" s="1" t="s">
        <v>50</v>
      </c>
      <c r="B273" t="s">
        <v>45</v>
      </c>
      <c r="C273" s="10" t="s">
        <v>62</v>
      </c>
      <c r="D273" s="13">
        <v>0.33439879984593168</v>
      </c>
      <c r="E273" s="13">
        <v>0.31988037986034468</v>
      </c>
      <c r="F273" s="13">
        <v>0.41432189355686982</v>
      </c>
      <c r="G273" s="13">
        <v>0.2138952722627569</v>
      </c>
      <c r="H273" s="13">
        <v>0.44024252048559948</v>
      </c>
      <c r="I273" s="13">
        <v>0.51314346374398279</v>
      </c>
      <c r="J273" s="13">
        <v>0.52120182272562987</v>
      </c>
      <c r="K273" s="13">
        <v>0.47962546454861632</v>
      </c>
      <c r="L273" s="14">
        <v>0.53999175836322544</v>
      </c>
      <c r="M273" s="13">
        <v>0.54477167868081822</v>
      </c>
      <c r="N273" s="13">
        <v>0.53808885145511409</v>
      </c>
      <c r="O273" s="13">
        <v>0.59271431101244654</v>
      </c>
      <c r="P273" s="13">
        <v>0.60157649293603843</v>
      </c>
      <c r="Q273" s="13">
        <v>0.62291399667294323</v>
      </c>
      <c r="R273" s="13">
        <v>0.63183959027917524</v>
      </c>
      <c r="S273" s="13">
        <v>0.6246811537707686</v>
      </c>
      <c r="T273" s="13">
        <v>0.43993127247684932</v>
      </c>
      <c r="U273" s="13">
        <v>0.52504744348133792</v>
      </c>
      <c r="V273" s="13">
        <v>0.55188805278478514</v>
      </c>
      <c r="W273" s="13">
        <v>0.58153746868056544</v>
      </c>
      <c r="X273" s="13">
        <v>0.61495264922009651</v>
      </c>
      <c r="Y273" s="13">
        <v>0.693672989337353</v>
      </c>
      <c r="Z273" s="14">
        <v>0.69880549258729419</v>
      </c>
      <c r="AA273" s="14">
        <v>0.7008441397717784</v>
      </c>
      <c r="AB273" s="14">
        <v>0.78531229396945679</v>
      </c>
      <c r="AC273" s="14">
        <v>0.83850815946096779</v>
      </c>
      <c r="AD273" s="14">
        <v>0.71917814097565569</v>
      </c>
      <c r="AE273" s="14">
        <v>0.69870690586911</v>
      </c>
      <c r="AF273" s="25">
        <v>0.76042637506879762</v>
      </c>
      <c r="AG273" s="13">
        <v>0.75420489534363278</v>
      </c>
      <c r="AH273" s="13">
        <v>0.73312907931429905</v>
      </c>
      <c r="AI273" s="15">
        <v>0.73312907931429905</v>
      </c>
      <c r="AJ273" s="13">
        <v>0.73312907931429905</v>
      </c>
      <c r="AK273" s="13">
        <v>0.73312907931429905</v>
      </c>
      <c r="AL273" s="13">
        <v>0.73312907931429905</v>
      </c>
      <c r="AM273" s="13">
        <v>0.73312907931429905</v>
      </c>
      <c r="AN273" s="13">
        <v>0.73312907931429905</v>
      </c>
      <c r="AO273" s="13">
        <v>0.73312907931429905</v>
      </c>
      <c r="AP273" s="13">
        <v>0.73312907931429905</v>
      </c>
      <c r="AQ273" s="13">
        <v>0.73312907931429905</v>
      </c>
      <c r="AR273" s="13">
        <v>0.73312907931429905</v>
      </c>
      <c r="AS273" s="13">
        <v>0.73312907931429905</v>
      </c>
      <c r="AT273" s="13">
        <v>0.73312907931429905</v>
      </c>
      <c r="AU273" s="13">
        <v>0.73312907931429905</v>
      </c>
      <c r="AV273" s="13">
        <v>0.73312907931429905</v>
      </c>
      <c r="AW273" s="13">
        <v>0.73312907931429905</v>
      </c>
      <c r="AX273" s="13">
        <v>0.73312907931429905</v>
      </c>
      <c r="AY273" s="13">
        <v>0.73312907931429905</v>
      </c>
      <c r="AZ273" s="13">
        <v>0.73312907931429905</v>
      </c>
      <c r="BA273" s="13">
        <v>0.73312907931429905</v>
      </c>
      <c r="BB273" s="13">
        <v>0.73312907931429905</v>
      </c>
      <c r="BC273" s="13">
        <v>0.73312907931429905</v>
      </c>
      <c r="BD273" s="13">
        <v>0.73312907931429905</v>
      </c>
      <c r="BE273" s="13">
        <v>0.73312907931429905</v>
      </c>
      <c r="BF273" s="13">
        <v>0.73312907931429905</v>
      </c>
      <c r="BG273" s="13">
        <v>0.73312907931429905</v>
      </c>
    </row>
    <row r="274" spans="1:59" ht="12" customHeight="1" x14ac:dyDescent="0.2">
      <c r="A274" s="1" t="s">
        <v>51</v>
      </c>
      <c r="B274" t="s">
        <v>45</v>
      </c>
      <c r="C274" s="10" t="s">
        <v>62</v>
      </c>
      <c r="D274" s="13">
        <v>0.5041211031283741</v>
      </c>
      <c r="E274" s="13">
        <v>0.53844925093087914</v>
      </c>
      <c r="F274" s="13">
        <v>0.59669704683581959</v>
      </c>
      <c r="G274" s="13">
        <v>0.61324360768497765</v>
      </c>
      <c r="H274" s="13">
        <v>0.65904664150022674</v>
      </c>
      <c r="I274" s="13">
        <v>0.69153936812499583</v>
      </c>
      <c r="J274" s="13">
        <v>0.7436360963647618</v>
      </c>
      <c r="K274" s="13">
        <v>0.81523437281155864</v>
      </c>
      <c r="L274" s="14">
        <v>0.80986842817066362</v>
      </c>
      <c r="M274" s="13">
        <v>0.82903068612919839</v>
      </c>
      <c r="N274" s="13">
        <v>0.84548039215814952</v>
      </c>
      <c r="O274" s="13">
        <v>0.85316009539527338</v>
      </c>
      <c r="P274" s="13">
        <v>0.86851878413191308</v>
      </c>
      <c r="Q274" s="13">
        <v>0.87941248604841904</v>
      </c>
      <c r="R274" s="13">
        <v>0.90360491939093934</v>
      </c>
      <c r="S274" s="13">
        <v>0.90653812349687157</v>
      </c>
      <c r="T274" s="13">
        <v>0.91648953353868912</v>
      </c>
      <c r="U274" s="13">
        <v>0.93158601290987664</v>
      </c>
      <c r="V274" s="13">
        <v>0.93665621785743369</v>
      </c>
      <c r="W274" s="13">
        <v>0.93483834654910236</v>
      </c>
      <c r="X274" s="13">
        <v>0.93023033542108369</v>
      </c>
      <c r="Y274" s="13">
        <v>0.92595731720830254</v>
      </c>
      <c r="Z274" s="14">
        <v>0.91994062931882636</v>
      </c>
      <c r="AA274" s="14">
        <v>0.91666715631427531</v>
      </c>
      <c r="AB274" s="14">
        <v>0.91613087586994024</v>
      </c>
      <c r="AC274" s="14">
        <v>0.92221153912624865</v>
      </c>
      <c r="AD274" s="14">
        <v>0.92221153912624865</v>
      </c>
      <c r="AE274" s="14">
        <v>0.9285202450928699</v>
      </c>
      <c r="AF274" s="25">
        <v>0.92226854980382689</v>
      </c>
      <c r="AG274" s="13">
        <v>0.92380296828729846</v>
      </c>
      <c r="AH274" s="13">
        <v>0.924200825577561</v>
      </c>
      <c r="AI274" s="15">
        <v>0.924200825577561</v>
      </c>
      <c r="AJ274" s="13">
        <v>0.924200825577561</v>
      </c>
      <c r="AK274" s="13">
        <v>0.924200825577561</v>
      </c>
      <c r="AL274" s="13">
        <v>0.924200825577561</v>
      </c>
      <c r="AM274" s="13">
        <v>0.924200825577561</v>
      </c>
      <c r="AN274" s="13">
        <v>0.924200825577561</v>
      </c>
      <c r="AO274" s="13">
        <v>0.924200825577561</v>
      </c>
      <c r="AP274" s="13">
        <v>0.924200825577561</v>
      </c>
      <c r="AQ274" s="13">
        <v>0.924200825577561</v>
      </c>
      <c r="AR274" s="13">
        <v>0.924200825577561</v>
      </c>
      <c r="AS274" s="13">
        <v>0.924200825577561</v>
      </c>
      <c r="AT274" s="13">
        <v>0.924200825577561</v>
      </c>
      <c r="AU274" s="13">
        <v>0.924200825577561</v>
      </c>
      <c r="AV274" s="13">
        <v>0.924200825577561</v>
      </c>
      <c r="AW274" s="13">
        <v>0.924200825577561</v>
      </c>
      <c r="AX274" s="13">
        <v>0.924200825577561</v>
      </c>
      <c r="AY274" s="13">
        <v>0.924200825577561</v>
      </c>
      <c r="AZ274" s="13">
        <v>0.924200825577561</v>
      </c>
      <c r="BA274" s="13">
        <v>0.924200825577561</v>
      </c>
      <c r="BB274" s="13">
        <v>0.924200825577561</v>
      </c>
      <c r="BC274" s="13">
        <v>0.924200825577561</v>
      </c>
      <c r="BD274" s="13">
        <v>0.924200825577561</v>
      </c>
      <c r="BE274" s="13">
        <v>0.924200825577561</v>
      </c>
      <c r="BF274" s="13">
        <v>0.924200825577561</v>
      </c>
      <c r="BG274" s="13">
        <v>0.924200825577561</v>
      </c>
    </row>
    <row r="275" spans="1:59" ht="12" customHeight="1" x14ac:dyDescent="0.2">
      <c r="A275" s="1" t="s">
        <v>52</v>
      </c>
      <c r="B275" t="s">
        <v>45</v>
      </c>
      <c r="C275" s="10" t="s">
        <v>62</v>
      </c>
      <c r="D275" s="13">
        <v>0.33439879984593168</v>
      </c>
      <c r="E275" s="13">
        <v>0.31988037986034468</v>
      </c>
      <c r="F275" s="13">
        <v>0.41432189355686982</v>
      </c>
      <c r="G275" s="13">
        <v>0.2138952722627569</v>
      </c>
      <c r="H275" s="13">
        <v>0.44024252048559948</v>
      </c>
      <c r="I275" s="13">
        <v>0.51314346374398279</v>
      </c>
      <c r="J275" s="13">
        <v>0.52120182272562987</v>
      </c>
      <c r="K275" s="13">
        <v>0.47962546454861632</v>
      </c>
      <c r="L275" s="14">
        <v>0.53999175836322544</v>
      </c>
      <c r="M275" s="13">
        <v>0.54477167868081822</v>
      </c>
      <c r="N275" s="13">
        <v>0.53808885145511409</v>
      </c>
      <c r="O275" s="13">
        <v>0.59271431101244654</v>
      </c>
      <c r="P275" s="13">
        <v>0.60157649293603843</v>
      </c>
      <c r="Q275" s="13">
        <v>0.62291399667294323</v>
      </c>
      <c r="R275" s="13">
        <v>0.63183959027917524</v>
      </c>
      <c r="S275" s="13">
        <v>0.6246811537707686</v>
      </c>
      <c r="T275" s="13">
        <v>0.43993127247684932</v>
      </c>
      <c r="U275" s="13">
        <v>0.52504744348133792</v>
      </c>
      <c r="V275" s="13">
        <v>0.55188805278478514</v>
      </c>
      <c r="W275" s="13">
        <v>0.58153746868056544</v>
      </c>
      <c r="X275" s="13">
        <v>0.61495264922009651</v>
      </c>
      <c r="Y275" s="13">
        <v>0.693672989337353</v>
      </c>
      <c r="Z275" s="14">
        <v>0.69880549258729419</v>
      </c>
      <c r="AA275" s="14">
        <v>0.7008441397717784</v>
      </c>
      <c r="AB275" s="14">
        <v>0.78531229396945679</v>
      </c>
      <c r="AC275" s="14">
        <v>0.83850815946096779</v>
      </c>
      <c r="AD275" s="14">
        <v>0.71917814097565569</v>
      </c>
      <c r="AE275" s="14">
        <v>0.69870690586911</v>
      </c>
      <c r="AF275" s="25">
        <v>0.76042637506879762</v>
      </c>
      <c r="AG275" s="13">
        <v>0.75420489534363278</v>
      </c>
      <c r="AH275" s="13">
        <v>0.73312907931429905</v>
      </c>
      <c r="AI275" s="15">
        <v>0.73312907931429905</v>
      </c>
      <c r="AJ275" s="13">
        <v>0.73312907931429905</v>
      </c>
      <c r="AK275" s="13">
        <v>0.73312907931429905</v>
      </c>
      <c r="AL275" s="13">
        <v>0.73312907931429905</v>
      </c>
      <c r="AM275" s="13">
        <v>0.73312907931429905</v>
      </c>
      <c r="AN275" s="13">
        <v>0.73312907931429905</v>
      </c>
      <c r="AO275" s="13">
        <v>0.73312907931429905</v>
      </c>
      <c r="AP275" s="13">
        <v>0.73312907931429905</v>
      </c>
      <c r="AQ275" s="13">
        <v>0.73312907931429905</v>
      </c>
      <c r="AR275" s="13">
        <v>0.73312907931429905</v>
      </c>
      <c r="AS275" s="13">
        <v>0.73312907931429905</v>
      </c>
      <c r="AT275" s="13">
        <v>0.73312907931429905</v>
      </c>
      <c r="AU275" s="13">
        <v>0.73312907931429905</v>
      </c>
      <c r="AV275" s="13">
        <v>0.73312907931429905</v>
      </c>
      <c r="AW275" s="13">
        <v>0.73312907931429905</v>
      </c>
      <c r="AX275" s="13">
        <v>0.73312907931429905</v>
      </c>
      <c r="AY275" s="13">
        <v>0.73312907931429905</v>
      </c>
      <c r="AZ275" s="13">
        <v>0.73312907931429905</v>
      </c>
      <c r="BA275" s="13">
        <v>0.73312907931429905</v>
      </c>
      <c r="BB275" s="13">
        <v>0.73312907931429905</v>
      </c>
      <c r="BC275" s="13">
        <v>0.73312907931429905</v>
      </c>
      <c r="BD275" s="13">
        <v>0.73312907931429905</v>
      </c>
      <c r="BE275" s="13">
        <v>0.73312907931429905</v>
      </c>
      <c r="BF275" s="13">
        <v>0.73312907931429905</v>
      </c>
      <c r="BG275" s="13">
        <v>0.73312907931429905</v>
      </c>
    </row>
    <row r="276" spans="1:59" ht="12" customHeight="1" x14ac:dyDescent="0.2">
      <c r="A276" s="1" t="s">
        <v>53</v>
      </c>
      <c r="B276" t="s">
        <v>45</v>
      </c>
      <c r="C276" s="10" t="s">
        <v>62</v>
      </c>
      <c r="D276" s="13">
        <v>0.5041211031283741</v>
      </c>
      <c r="E276" s="13">
        <v>0.53844925093087914</v>
      </c>
      <c r="F276" s="13">
        <v>0.59669704683581959</v>
      </c>
      <c r="G276" s="13">
        <v>0.61324360768497765</v>
      </c>
      <c r="H276" s="13">
        <v>0.65904664150022674</v>
      </c>
      <c r="I276" s="13">
        <v>0.69153936812499583</v>
      </c>
      <c r="J276" s="13">
        <v>0.7436360963647618</v>
      </c>
      <c r="K276" s="13">
        <v>0.81523437281155864</v>
      </c>
      <c r="L276" s="14">
        <v>0.80986842817066362</v>
      </c>
      <c r="M276" s="13">
        <v>0.82903068612919839</v>
      </c>
      <c r="N276" s="13">
        <v>0.84548039215814952</v>
      </c>
      <c r="O276" s="13">
        <v>0.85316009539527338</v>
      </c>
      <c r="P276" s="13">
        <v>0.86851878413191308</v>
      </c>
      <c r="Q276" s="13">
        <v>0.87941248604841904</v>
      </c>
      <c r="R276" s="13">
        <v>0.90360491939093934</v>
      </c>
      <c r="S276" s="13">
        <v>0.90653812349687157</v>
      </c>
      <c r="T276" s="13">
        <v>0.91648953353868912</v>
      </c>
      <c r="U276" s="13">
        <v>0.93158601290987664</v>
      </c>
      <c r="V276" s="13">
        <v>0.93665621785743369</v>
      </c>
      <c r="W276" s="13">
        <v>0.93483834654910236</v>
      </c>
      <c r="X276" s="13">
        <v>0.93023033542108369</v>
      </c>
      <c r="Y276" s="13">
        <v>0.92595731720830254</v>
      </c>
      <c r="Z276" s="14">
        <v>0.91994062931882636</v>
      </c>
      <c r="AA276" s="14">
        <v>0.91666715631427531</v>
      </c>
      <c r="AB276" s="14">
        <v>0.91613087586994024</v>
      </c>
      <c r="AC276" s="14">
        <v>0.92221153912624865</v>
      </c>
      <c r="AD276" s="14">
        <v>0.92221153912624865</v>
      </c>
      <c r="AE276" s="14">
        <v>0.9285202450928699</v>
      </c>
      <c r="AF276" s="25">
        <v>0.92226854980382689</v>
      </c>
      <c r="AG276" s="13">
        <v>0.92380296828729846</v>
      </c>
      <c r="AH276" s="13">
        <v>0.924200825577561</v>
      </c>
      <c r="AI276" s="15">
        <v>0.924200825577561</v>
      </c>
      <c r="AJ276" s="13">
        <v>0.924200825577561</v>
      </c>
      <c r="AK276" s="13">
        <v>0.924200825577561</v>
      </c>
      <c r="AL276" s="13">
        <v>0.924200825577561</v>
      </c>
      <c r="AM276" s="13">
        <v>0.924200825577561</v>
      </c>
      <c r="AN276" s="13">
        <v>0.924200825577561</v>
      </c>
      <c r="AO276" s="13">
        <v>0.924200825577561</v>
      </c>
      <c r="AP276" s="13">
        <v>0.924200825577561</v>
      </c>
      <c r="AQ276" s="13">
        <v>0.924200825577561</v>
      </c>
      <c r="AR276" s="13">
        <v>0.924200825577561</v>
      </c>
      <c r="AS276" s="13">
        <v>0.924200825577561</v>
      </c>
      <c r="AT276" s="13">
        <v>0.924200825577561</v>
      </c>
      <c r="AU276" s="13">
        <v>0.924200825577561</v>
      </c>
      <c r="AV276" s="13">
        <v>0.924200825577561</v>
      </c>
      <c r="AW276" s="13">
        <v>0.924200825577561</v>
      </c>
      <c r="AX276" s="13">
        <v>0.924200825577561</v>
      </c>
      <c r="AY276" s="13">
        <v>0.924200825577561</v>
      </c>
      <c r="AZ276" s="13">
        <v>0.924200825577561</v>
      </c>
      <c r="BA276" s="13">
        <v>0.924200825577561</v>
      </c>
      <c r="BB276" s="13">
        <v>0.924200825577561</v>
      </c>
      <c r="BC276" s="13">
        <v>0.924200825577561</v>
      </c>
      <c r="BD276" s="13">
        <v>0.924200825577561</v>
      </c>
      <c r="BE276" s="13">
        <v>0.924200825577561</v>
      </c>
      <c r="BF276" s="13">
        <v>0.924200825577561</v>
      </c>
      <c r="BG276" s="13">
        <v>0.924200825577561</v>
      </c>
    </row>
    <row r="277" spans="1:59" ht="12" customHeight="1" x14ac:dyDescent="0.2">
      <c r="A277" s="1" t="s">
        <v>54</v>
      </c>
      <c r="B277" t="s">
        <v>45</v>
      </c>
      <c r="C277" s="10" t="s">
        <v>62</v>
      </c>
      <c r="D277" s="13">
        <v>0.47800076507146227</v>
      </c>
      <c r="E277" s="13">
        <v>0.1116861846958541</v>
      </c>
      <c r="F277" s="13">
        <v>0.63745149219595221</v>
      </c>
      <c r="G277" s="13">
        <v>0.80399259415569813</v>
      </c>
      <c r="H277" s="13">
        <v>0.92150952771416361</v>
      </c>
      <c r="I277" s="13">
        <v>0.89600670272474359</v>
      </c>
      <c r="J277" s="13">
        <v>0.7816846321839368</v>
      </c>
      <c r="K277" s="13">
        <v>0.63454787345708563</v>
      </c>
      <c r="L277" s="14">
        <v>0.64402649395843525</v>
      </c>
      <c r="M277" s="13">
        <v>0.85231372735022504</v>
      </c>
      <c r="N277" s="13">
        <v>0.73624937933783852</v>
      </c>
      <c r="O277" s="13">
        <v>0.74745204564346435</v>
      </c>
      <c r="P277" s="13">
        <v>0.82100781428441472</v>
      </c>
      <c r="Q277" s="13">
        <v>0.78830280142778841</v>
      </c>
      <c r="R277" s="13">
        <v>0.81176818164390019</v>
      </c>
      <c r="S277" s="13">
        <v>0.73365506831656968</v>
      </c>
      <c r="T277" s="13">
        <v>0.66399530539521356</v>
      </c>
      <c r="U277" s="13">
        <v>0.74977926176884213</v>
      </c>
      <c r="V277" s="13">
        <v>0.67749754876172164</v>
      </c>
      <c r="W277" s="13">
        <v>0.504462508531204</v>
      </c>
      <c r="X277" s="13">
        <v>2.3467774162464039E-2</v>
      </c>
      <c r="Y277" s="13">
        <v>0.27325416355573129</v>
      </c>
      <c r="Z277" s="14">
        <v>1.8323901414362929E-2</v>
      </c>
      <c r="AA277" s="14">
        <v>2.6976858730844679E-2</v>
      </c>
      <c r="AB277" s="14">
        <v>7.1430639829095166E-3</v>
      </c>
      <c r="AC277" s="14">
        <v>3.2094934079155091E-2</v>
      </c>
      <c r="AD277" s="14">
        <v>3.8881844224936297E-2</v>
      </c>
      <c r="AE277" s="14">
        <v>8.261501748005802E-2</v>
      </c>
      <c r="AF277" s="25">
        <v>4.0183714941764731E-2</v>
      </c>
      <c r="AG277" s="13">
        <v>4.844387768147853E-2</v>
      </c>
      <c r="AH277" s="13">
        <v>5.2531113582059398E-2</v>
      </c>
      <c r="AI277" s="15">
        <v>5.2531113582059398E-2</v>
      </c>
      <c r="AJ277" s="13">
        <v>5.2531113582059398E-2</v>
      </c>
      <c r="AK277" s="13">
        <v>5.2531113582059398E-2</v>
      </c>
      <c r="AL277" s="13">
        <v>5.2531113582059398E-2</v>
      </c>
      <c r="AM277" s="13">
        <v>5.2531113582059398E-2</v>
      </c>
      <c r="AN277" s="13">
        <v>5.2531113582059398E-2</v>
      </c>
      <c r="AO277" s="13">
        <v>5.2531113582059398E-2</v>
      </c>
      <c r="AP277" s="13">
        <v>5.2531113582059398E-2</v>
      </c>
      <c r="AQ277" s="13">
        <v>5.2531113582059398E-2</v>
      </c>
      <c r="AR277" s="13">
        <v>5.2531113582059398E-2</v>
      </c>
      <c r="AS277" s="13">
        <v>5.2531113582059398E-2</v>
      </c>
      <c r="AT277" s="13">
        <v>5.2531113582059398E-2</v>
      </c>
      <c r="AU277" s="13">
        <v>5.2531113582059398E-2</v>
      </c>
      <c r="AV277" s="13">
        <v>5.2531113582059398E-2</v>
      </c>
      <c r="AW277" s="13">
        <v>5.2531113582059398E-2</v>
      </c>
      <c r="AX277" s="13">
        <v>5.2531113582059398E-2</v>
      </c>
      <c r="AY277" s="13">
        <v>5.2531113582059398E-2</v>
      </c>
      <c r="AZ277" s="13">
        <v>5.2531113582059398E-2</v>
      </c>
      <c r="BA277" s="13">
        <v>5.2531113582059398E-2</v>
      </c>
      <c r="BB277" s="13">
        <v>5.2531113582059398E-2</v>
      </c>
      <c r="BC277" s="13">
        <v>5.2531113582059398E-2</v>
      </c>
      <c r="BD277" s="13">
        <v>5.2531113582059398E-2</v>
      </c>
      <c r="BE277" s="13">
        <v>5.2531113582059398E-2</v>
      </c>
      <c r="BF277" s="13">
        <v>5.2531113582059398E-2</v>
      </c>
      <c r="BG277" s="13">
        <v>5.2531113582059398E-2</v>
      </c>
    </row>
    <row r="278" spans="1:59" ht="12" customHeight="1" x14ac:dyDescent="0.2">
      <c r="A278" s="1" t="s">
        <v>55</v>
      </c>
      <c r="B278" t="s">
        <v>45</v>
      </c>
      <c r="C278" s="10" t="s">
        <v>62</v>
      </c>
      <c r="D278" s="13">
        <v>0.5041211031283741</v>
      </c>
      <c r="E278" s="13">
        <v>0.53844925093087914</v>
      </c>
      <c r="F278" s="13">
        <v>0.59669704683581959</v>
      </c>
      <c r="G278" s="13">
        <v>0.61324360768497765</v>
      </c>
      <c r="H278" s="13">
        <v>0.65904664150022674</v>
      </c>
      <c r="I278" s="13">
        <v>0.69153936812499583</v>
      </c>
      <c r="J278" s="13">
        <v>0.7436360963647618</v>
      </c>
      <c r="K278" s="13">
        <v>0.81523437281155864</v>
      </c>
      <c r="L278" s="14">
        <v>0.80986842817066362</v>
      </c>
      <c r="M278" s="13">
        <v>0.82903068612919839</v>
      </c>
      <c r="N278" s="13">
        <v>0.84548039215814952</v>
      </c>
      <c r="O278" s="13">
        <v>0.85316009539527338</v>
      </c>
      <c r="P278" s="13">
        <v>0.86851878413191308</v>
      </c>
      <c r="Q278" s="13">
        <v>0.87941248604841904</v>
      </c>
      <c r="R278" s="13">
        <v>0.90360491939093934</v>
      </c>
      <c r="S278" s="13">
        <v>0.90653812349687157</v>
      </c>
      <c r="T278" s="13">
        <v>0.91648953353868912</v>
      </c>
      <c r="U278" s="13">
        <v>0.93158601290987664</v>
      </c>
      <c r="V278" s="13">
        <v>0.93665621785743369</v>
      </c>
      <c r="W278" s="13">
        <v>0.93483834654910236</v>
      </c>
      <c r="X278" s="13">
        <v>0.93023033542108369</v>
      </c>
      <c r="Y278" s="13">
        <v>0.92595731720830254</v>
      </c>
      <c r="Z278" s="14">
        <v>0.91994062931882636</v>
      </c>
      <c r="AA278" s="14">
        <v>0.91666715631427531</v>
      </c>
      <c r="AB278" s="14">
        <v>0.91613087586994024</v>
      </c>
      <c r="AC278" s="14">
        <v>0.92221153912624865</v>
      </c>
      <c r="AD278" s="14">
        <v>0.92221153912624865</v>
      </c>
      <c r="AE278" s="14">
        <v>0.9285202450928699</v>
      </c>
      <c r="AF278" s="25">
        <v>0.92226854980382689</v>
      </c>
      <c r="AG278" s="13">
        <v>0.92380296828729846</v>
      </c>
      <c r="AH278" s="13">
        <v>0.924200825577561</v>
      </c>
      <c r="AI278" s="15">
        <v>0.924200825577561</v>
      </c>
      <c r="AJ278" s="13">
        <v>0.924200825577561</v>
      </c>
      <c r="AK278" s="13">
        <v>0.924200825577561</v>
      </c>
      <c r="AL278" s="13">
        <v>0.924200825577561</v>
      </c>
      <c r="AM278" s="13">
        <v>0.924200825577561</v>
      </c>
      <c r="AN278" s="13">
        <v>0.924200825577561</v>
      </c>
      <c r="AO278" s="13">
        <v>0.924200825577561</v>
      </c>
      <c r="AP278" s="13">
        <v>0.924200825577561</v>
      </c>
      <c r="AQ278" s="13">
        <v>0.924200825577561</v>
      </c>
      <c r="AR278" s="13">
        <v>0.924200825577561</v>
      </c>
      <c r="AS278" s="13">
        <v>0.924200825577561</v>
      </c>
      <c r="AT278" s="13">
        <v>0.924200825577561</v>
      </c>
      <c r="AU278" s="13">
        <v>0.924200825577561</v>
      </c>
      <c r="AV278" s="13">
        <v>0.924200825577561</v>
      </c>
      <c r="AW278" s="13">
        <v>0.924200825577561</v>
      </c>
      <c r="AX278" s="13">
        <v>0.924200825577561</v>
      </c>
      <c r="AY278" s="13">
        <v>0.924200825577561</v>
      </c>
      <c r="AZ278" s="13">
        <v>0.924200825577561</v>
      </c>
      <c r="BA278" s="13">
        <v>0.924200825577561</v>
      </c>
      <c r="BB278" s="13">
        <v>0.924200825577561</v>
      </c>
      <c r="BC278" s="13">
        <v>0.924200825577561</v>
      </c>
      <c r="BD278" s="13">
        <v>0.924200825577561</v>
      </c>
      <c r="BE278" s="13">
        <v>0.924200825577561</v>
      </c>
      <c r="BF278" s="13">
        <v>0.924200825577561</v>
      </c>
      <c r="BG278" s="13">
        <v>0.924200825577561</v>
      </c>
    </row>
    <row r="279" spans="1:59" ht="12" customHeight="1" x14ac:dyDescent="0.2">
      <c r="A279" s="1" t="s">
        <v>56</v>
      </c>
      <c r="B279" t="s">
        <v>45</v>
      </c>
      <c r="C279" s="10" t="s">
        <v>62</v>
      </c>
      <c r="D279" s="13">
        <v>0.5041211031283741</v>
      </c>
      <c r="E279" s="13">
        <v>0.53844925093087914</v>
      </c>
      <c r="F279" s="13">
        <v>0.59669704683581959</v>
      </c>
      <c r="G279" s="13">
        <v>0.61324360768497765</v>
      </c>
      <c r="H279" s="13">
        <v>0.65904664150022674</v>
      </c>
      <c r="I279" s="13">
        <v>0.69153936812499583</v>
      </c>
      <c r="J279" s="13">
        <v>0.7436360963647618</v>
      </c>
      <c r="K279" s="13">
        <v>0.81523437281155864</v>
      </c>
      <c r="L279" s="14">
        <v>0.80986842817066362</v>
      </c>
      <c r="M279" s="13">
        <v>0.82903068612919839</v>
      </c>
      <c r="N279" s="13">
        <v>0.84548039215814952</v>
      </c>
      <c r="O279" s="13">
        <v>0.85316009539527338</v>
      </c>
      <c r="P279" s="13">
        <v>0.86851878413191308</v>
      </c>
      <c r="Q279" s="13">
        <v>0.87941248604841904</v>
      </c>
      <c r="R279" s="13">
        <v>0.90360491939093934</v>
      </c>
      <c r="S279" s="13">
        <v>0.90653812349687157</v>
      </c>
      <c r="T279" s="13">
        <v>0.91648953353868912</v>
      </c>
      <c r="U279" s="13">
        <v>0.93158601290987664</v>
      </c>
      <c r="V279" s="13">
        <v>0.93665621785743369</v>
      </c>
      <c r="W279" s="13">
        <v>0.93483834654910236</v>
      </c>
      <c r="X279" s="13">
        <v>0.93023033542108369</v>
      </c>
      <c r="Y279" s="13">
        <v>0.92595731720830254</v>
      </c>
      <c r="Z279" s="14">
        <v>0.91994062931882636</v>
      </c>
      <c r="AA279" s="14">
        <v>0.91666715631427531</v>
      </c>
      <c r="AB279" s="14">
        <v>0.91613087586994024</v>
      </c>
      <c r="AC279" s="14">
        <v>0.92221153912624865</v>
      </c>
      <c r="AD279" s="14">
        <v>0.92221153912624865</v>
      </c>
      <c r="AE279" s="14">
        <v>0.9285202450928699</v>
      </c>
      <c r="AF279" s="25">
        <v>0.92226854980382689</v>
      </c>
      <c r="AG279" s="13">
        <v>0.92380296828729846</v>
      </c>
      <c r="AH279" s="13">
        <v>0.924200825577561</v>
      </c>
      <c r="AI279" s="15">
        <v>0.924200825577561</v>
      </c>
      <c r="AJ279" s="13">
        <v>0.924200825577561</v>
      </c>
      <c r="AK279" s="13">
        <v>0.924200825577561</v>
      </c>
      <c r="AL279" s="13">
        <v>0.924200825577561</v>
      </c>
      <c r="AM279" s="13">
        <v>0.924200825577561</v>
      </c>
      <c r="AN279" s="13">
        <v>0.924200825577561</v>
      </c>
      <c r="AO279" s="13">
        <v>0.924200825577561</v>
      </c>
      <c r="AP279" s="13">
        <v>0.924200825577561</v>
      </c>
      <c r="AQ279" s="13">
        <v>0.924200825577561</v>
      </c>
      <c r="AR279" s="13">
        <v>0.924200825577561</v>
      </c>
      <c r="AS279" s="13">
        <v>0.924200825577561</v>
      </c>
      <c r="AT279" s="13">
        <v>0.924200825577561</v>
      </c>
      <c r="AU279" s="13">
        <v>0.924200825577561</v>
      </c>
      <c r="AV279" s="13">
        <v>0.924200825577561</v>
      </c>
      <c r="AW279" s="13">
        <v>0.924200825577561</v>
      </c>
      <c r="AX279" s="13">
        <v>0.924200825577561</v>
      </c>
      <c r="AY279" s="13">
        <v>0.924200825577561</v>
      </c>
      <c r="AZ279" s="13">
        <v>0.924200825577561</v>
      </c>
      <c r="BA279" s="13">
        <v>0.924200825577561</v>
      </c>
      <c r="BB279" s="13">
        <v>0.924200825577561</v>
      </c>
      <c r="BC279" s="13">
        <v>0.924200825577561</v>
      </c>
      <c r="BD279" s="13">
        <v>0.924200825577561</v>
      </c>
      <c r="BE279" s="13">
        <v>0.924200825577561</v>
      </c>
      <c r="BF279" s="13">
        <v>0.924200825577561</v>
      </c>
      <c r="BG279" s="13">
        <v>0.924200825577561</v>
      </c>
    </row>
    <row r="280" spans="1:59" ht="12" customHeight="1" x14ac:dyDescent="0.2">
      <c r="A280" s="1" t="s">
        <v>57</v>
      </c>
      <c r="B280" t="s">
        <v>45</v>
      </c>
      <c r="C280" s="10" t="s">
        <v>62</v>
      </c>
      <c r="D280" s="13">
        <v>0.9322431216419903</v>
      </c>
      <c r="E280" s="13">
        <v>0.92112481122725032</v>
      </c>
      <c r="F280" s="13">
        <v>0.89605860041146002</v>
      </c>
      <c r="G280" s="13">
        <v>0.85701260395055334</v>
      </c>
      <c r="H280" s="13">
        <v>0.8837521262899658</v>
      </c>
      <c r="I280" s="13">
        <v>0.8643204551218544</v>
      </c>
      <c r="J280" s="13">
        <v>0.90974015923105545</v>
      </c>
      <c r="K280" s="13">
        <v>0.95588923719590557</v>
      </c>
      <c r="L280" s="14">
        <v>0.93724378415606513</v>
      </c>
      <c r="M280" s="13">
        <v>0.9134746472385995</v>
      </c>
      <c r="N280" s="13">
        <v>0.92609440231756024</v>
      </c>
      <c r="O280" s="13">
        <v>0.93751956410954573</v>
      </c>
      <c r="P280" s="13">
        <v>0.89900723559516726</v>
      </c>
      <c r="Q280" s="13">
        <v>0.91485427083758553</v>
      </c>
      <c r="R280" s="13">
        <v>0.94286963573377192</v>
      </c>
      <c r="S280" s="13">
        <v>0.93787098648596445</v>
      </c>
      <c r="T280" s="13">
        <v>0.93843751634377015</v>
      </c>
      <c r="U280" s="13">
        <v>0.92139006637052301</v>
      </c>
      <c r="V280" s="13">
        <v>0.92662038549824899</v>
      </c>
      <c r="W280" s="13">
        <v>0.93135299644008551</v>
      </c>
      <c r="X280" s="13">
        <v>0.8958575169291173</v>
      </c>
      <c r="Y280" s="13">
        <v>0.881104122010678</v>
      </c>
      <c r="Z280" s="14">
        <v>0.86881358620603522</v>
      </c>
      <c r="AA280" s="14">
        <v>0.86664032617554043</v>
      </c>
      <c r="AB280" s="14">
        <v>0.87674611816845816</v>
      </c>
      <c r="AC280" s="14">
        <v>0.92709878443098759</v>
      </c>
      <c r="AD280" s="14">
        <v>0.93323945526317709</v>
      </c>
      <c r="AE280" s="14">
        <v>0.89427791893282838</v>
      </c>
      <c r="AF280" s="25">
        <v>0.90784056919886269</v>
      </c>
      <c r="AG280" s="13">
        <v>0.91561418195646382</v>
      </c>
      <c r="AH280" s="13">
        <v>0.91274303133783308</v>
      </c>
      <c r="AI280" s="15">
        <v>0.91274303133783308</v>
      </c>
      <c r="AJ280" s="13">
        <v>0.91274303133783308</v>
      </c>
      <c r="AK280" s="13">
        <v>0.91274303133783308</v>
      </c>
      <c r="AL280" s="13">
        <v>0.91274303133783308</v>
      </c>
      <c r="AM280" s="13">
        <v>0.91274303133783308</v>
      </c>
      <c r="AN280" s="13">
        <v>0.91274303133783308</v>
      </c>
      <c r="AO280" s="13">
        <v>0.91274303133783308</v>
      </c>
      <c r="AP280" s="13">
        <v>0.91274303133783308</v>
      </c>
      <c r="AQ280" s="13">
        <v>0.91274303133783308</v>
      </c>
      <c r="AR280" s="13">
        <v>0.91274303133783308</v>
      </c>
      <c r="AS280" s="13">
        <v>0.91274303133783308</v>
      </c>
      <c r="AT280" s="13">
        <v>0.91274303133783308</v>
      </c>
      <c r="AU280" s="13">
        <v>0.91274303133783308</v>
      </c>
      <c r="AV280" s="13">
        <v>0.91274303133783308</v>
      </c>
      <c r="AW280" s="13">
        <v>0.91274303133783308</v>
      </c>
      <c r="AX280" s="13">
        <v>0.91274303133783308</v>
      </c>
      <c r="AY280" s="13">
        <v>0.91274303133783308</v>
      </c>
      <c r="AZ280" s="13">
        <v>0.91274303133783308</v>
      </c>
      <c r="BA280" s="13">
        <v>0.91274303133783308</v>
      </c>
      <c r="BB280" s="13">
        <v>0.91274303133783308</v>
      </c>
      <c r="BC280" s="13">
        <v>0.91274303133783308</v>
      </c>
      <c r="BD280" s="13">
        <v>0.91274303133783308</v>
      </c>
      <c r="BE280" s="13">
        <v>0.91274303133783308</v>
      </c>
      <c r="BF280" s="13">
        <v>0.91274303133783308</v>
      </c>
      <c r="BG280" s="13">
        <v>0.91274303133783308</v>
      </c>
    </row>
    <row r="281" spans="1:59" ht="12" customHeight="1" x14ac:dyDescent="0.2">
      <c r="A281" s="1" t="s">
        <v>58</v>
      </c>
      <c r="B281" t="s">
        <v>45</v>
      </c>
      <c r="C281" s="10" t="s">
        <v>62</v>
      </c>
      <c r="D281" s="13">
        <v>0.76704196469340769</v>
      </c>
      <c r="E281" s="13">
        <v>0.54176602195586365</v>
      </c>
      <c r="F281" s="13">
        <v>0.8900784453411964</v>
      </c>
      <c r="G281" s="13">
        <v>0.76438129694411006</v>
      </c>
      <c r="H281" s="13">
        <v>0.84925426667615223</v>
      </c>
      <c r="I281" s="13">
        <v>0.90723829728265004</v>
      </c>
      <c r="J281" s="13">
        <v>0.97823442585377074</v>
      </c>
      <c r="K281" s="13">
        <v>0.9644239405234134</v>
      </c>
      <c r="L281" s="14">
        <v>0.96655846341203522</v>
      </c>
      <c r="M281" s="13">
        <v>0.98811354107305371</v>
      </c>
      <c r="N281" s="13">
        <v>0.99230482688536936</v>
      </c>
      <c r="O281" s="13">
        <v>0.98961085412663963</v>
      </c>
      <c r="P281" s="13">
        <v>0.99976146388096943</v>
      </c>
      <c r="Q281" s="13">
        <v>0.98803690356082208</v>
      </c>
      <c r="R281" s="13">
        <v>0.89575383980474887</v>
      </c>
      <c r="S281" s="13">
        <v>0.79334433725861786</v>
      </c>
      <c r="T281" s="13">
        <v>0.81630598757856387</v>
      </c>
      <c r="U281" s="13">
        <v>0.83382010844276921</v>
      </c>
      <c r="V281" s="13">
        <v>0.70931254368751695</v>
      </c>
      <c r="W281" s="13">
        <v>0.71054020051668831</v>
      </c>
      <c r="X281" s="13">
        <v>0.57801427154759899</v>
      </c>
      <c r="Y281" s="13">
        <v>0.5273327593964372</v>
      </c>
      <c r="Z281" s="14">
        <v>0.61245869901107608</v>
      </c>
      <c r="AA281" s="14">
        <v>0.70453391716380986</v>
      </c>
      <c r="AB281" s="14">
        <v>0.75960847840280177</v>
      </c>
      <c r="AC281" s="14">
        <v>0.81313343737630395</v>
      </c>
      <c r="AD281" s="14">
        <v>0.89619622104732422</v>
      </c>
      <c r="AE281" s="14">
        <v>0.82448711727587243</v>
      </c>
      <c r="AF281" s="25">
        <v>0.82335631352557559</v>
      </c>
      <c r="AG281" s="13">
        <v>0.83929327230626904</v>
      </c>
      <c r="AH281" s="13">
        <v>0.8458332310387604</v>
      </c>
      <c r="AI281" s="15">
        <v>0.8458332310387604</v>
      </c>
      <c r="AJ281" s="13">
        <v>0.8458332310387604</v>
      </c>
      <c r="AK281" s="13">
        <v>0.8458332310387604</v>
      </c>
      <c r="AL281" s="13">
        <v>0.8458332310387604</v>
      </c>
      <c r="AM281" s="13">
        <v>0.8458332310387604</v>
      </c>
      <c r="AN281" s="13">
        <v>0.8458332310387604</v>
      </c>
      <c r="AO281" s="13">
        <v>0.8458332310387604</v>
      </c>
      <c r="AP281" s="13">
        <v>0.8458332310387604</v>
      </c>
      <c r="AQ281" s="13">
        <v>0.8458332310387604</v>
      </c>
      <c r="AR281" s="13">
        <v>0.8458332310387604</v>
      </c>
      <c r="AS281" s="13">
        <v>0.8458332310387604</v>
      </c>
      <c r="AT281" s="13">
        <v>0.8458332310387604</v>
      </c>
      <c r="AU281" s="13">
        <v>0.8458332310387604</v>
      </c>
      <c r="AV281" s="13">
        <v>0.8458332310387604</v>
      </c>
      <c r="AW281" s="13">
        <v>0.8458332310387604</v>
      </c>
      <c r="AX281" s="13">
        <v>0.8458332310387604</v>
      </c>
      <c r="AY281" s="13">
        <v>0.8458332310387604</v>
      </c>
      <c r="AZ281" s="13">
        <v>0.8458332310387604</v>
      </c>
      <c r="BA281" s="13">
        <v>0.8458332310387604</v>
      </c>
      <c r="BB281" s="13">
        <v>0.8458332310387604</v>
      </c>
      <c r="BC281" s="13">
        <v>0.8458332310387604</v>
      </c>
      <c r="BD281" s="13">
        <v>0.8458332310387604</v>
      </c>
      <c r="BE281" s="13">
        <v>0.8458332310387604</v>
      </c>
      <c r="BF281" s="13">
        <v>0.8458332310387604</v>
      </c>
      <c r="BG281" s="13">
        <v>0.8458332310387604</v>
      </c>
    </row>
    <row r="282" spans="1:59" ht="12" customHeight="1" x14ac:dyDescent="0.2">
      <c r="A282" s="1" t="s">
        <v>59</v>
      </c>
      <c r="B282" t="s">
        <v>45</v>
      </c>
      <c r="C282" s="10" t="s">
        <v>62</v>
      </c>
      <c r="D282" s="13">
        <v>0.85108985507987289</v>
      </c>
      <c r="E282" s="13">
        <v>0.84572061015915467</v>
      </c>
      <c r="F282" s="13">
        <v>0.90839833734849373</v>
      </c>
      <c r="G282" s="13">
        <v>0.96038501110272867</v>
      </c>
      <c r="H282" s="13">
        <v>0.8724712323076933</v>
      </c>
      <c r="I282" s="13">
        <v>0.82055674748712715</v>
      </c>
      <c r="J282" s="13">
        <v>0.97384684808654443</v>
      </c>
      <c r="K282" s="13">
        <v>0.97992783463589572</v>
      </c>
      <c r="L282" s="14">
        <v>0.97384656438350237</v>
      </c>
      <c r="M282" s="13">
        <v>0.90936507564422076</v>
      </c>
      <c r="N282" s="13">
        <v>0.89263477245747835</v>
      </c>
      <c r="O282" s="13">
        <v>0.88493933293793303</v>
      </c>
      <c r="P282" s="13">
        <v>0.91979389684516621</v>
      </c>
      <c r="Q282" s="13">
        <v>0.93738054797710979</v>
      </c>
      <c r="R282" s="13">
        <v>0.8742047598551228</v>
      </c>
      <c r="S282" s="13">
        <v>0.80127691999275907</v>
      </c>
      <c r="T282" s="13">
        <v>0.80413847339421829</v>
      </c>
      <c r="U282" s="13">
        <v>0.81379677405535678</v>
      </c>
      <c r="V282" s="13">
        <v>0.78510301724492093</v>
      </c>
      <c r="W282" s="13">
        <v>0.7871010053648555</v>
      </c>
      <c r="X282" s="13">
        <v>0.73730771140943907</v>
      </c>
      <c r="Y282" s="13">
        <v>0.72216065358229131</v>
      </c>
      <c r="Z282" s="14">
        <v>0.76045611248121414</v>
      </c>
      <c r="AA282" s="14">
        <v>0.86250171247094909</v>
      </c>
      <c r="AB282" s="14">
        <v>0.91344349853792084</v>
      </c>
      <c r="AC282" s="14">
        <v>0.89425570791559561</v>
      </c>
      <c r="AD282" s="14">
        <v>0.83343656067351601</v>
      </c>
      <c r="AE282" s="14">
        <v>0.80363933209679628</v>
      </c>
      <c r="AF282" s="25">
        <v>0.86119377480595716</v>
      </c>
      <c r="AG282" s="13">
        <v>0.84813134387296629</v>
      </c>
      <c r="AH282" s="13">
        <v>0.83660025286230888</v>
      </c>
      <c r="AI282" s="15">
        <v>0.83660025286230888</v>
      </c>
      <c r="AJ282" s="13">
        <v>0.83660025286230888</v>
      </c>
      <c r="AK282" s="13">
        <v>0.83660025286230888</v>
      </c>
      <c r="AL282" s="13">
        <v>0.83660025286230888</v>
      </c>
      <c r="AM282" s="13">
        <v>0.83660025286230888</v>
      </c>
      <c r="AN282" s="13">
        <v>0.83660025286230888</v>
      </c>
      <c r="AO282" s="13">
        <v>0.83660025286230888</v>
      </c>
      <c r="AP282" s="13">
        <v>0.83660025286230888</v>
      </c>
      <c r="AQ282" s="13">
        <v>0.83660025286230888</v>
      </c>
      <c r="AR282" s="13">
        <v>0.83660025286230888</v>
      </c>
      <c r="AS282" s="13">
        <v>0.83660025286230888</v>
      </c>
      <c r="AT282" s="13">
        <v>0.83660025286230888</v>
      </c>
      <c r="AU282" s="13">
        <v>0.83660025286230888</v>
      </c>
      <c r="AV282" s="13">
        <v>0.83660025286230888</v>
      </c>
      <c r="AW282" s="13">
        <v>0.83660025286230888</v>
      </c>
      <c r="AX282" s="13">
        <v>0.83660025286230888</v>
      </c>
      <c r="AY282" s="13">
        <v>0.83660025286230888</v>
      </c>
      <c r="AZ282" s="13">
        <v>0.83660025286230888</v>
      </c>
      <c r="BA282" s="13">
        <v>0.83660025286230888</v>
      </c>
      <c r="BB282" s="13">
        <v>0.83660025286230888</v>
      </c>
      <c r="BC282" s="13">
        <v>0.83660025286230888</v>
      </c>
      <c r="BD282" s="13">
        <v>0.83660025286230888</v>
      </c>
      <c r="BE282" s="13">
        <v>0.83660025286230888</v>
      </c>
      <c r="BF282" s="13">
        <v>0.83660025286230888</v>
      </c>
      <c r="BG282" s="13">
        <v>0.83660025286230888</v>
      </c>
    </row>
    <row r="283" spans="1:59" ht="12" customHeight="1" x14ac:dyDescent="0.2">
      <c r="A283" s="1" t="s">
        <v>60</v>
      </c>
      <c r="B283" t="s">
        <v>45</v>
      </c>
      <c r="C283" s="10" t="s">
        <v>62</v>
      </c>
      <c r="D283" s="13">
        <v>0.5041211031283741</v>
      </c>
      <c r="E283" s="13">
        <v>0.53844925093087914</v>
      </c>
      <c r="F283" s="13">
        <v>0.59669704683581959</v>
      </c>
      <c r="G283" s="13">
        <v>0.61324360768497765</v>
      </c>
      <c r="H283" s="13">
        <v>0.65904664150022674</v>
      </c>
      <c r="I283" s="13">
        <v>0.69153936812499583</v>
      </c>
      <c r="J283" s="13">
        <v>0.7436360963647618</v>
      </c>
      <c r="K283" s="13">
        <v>0.81523437281155864</v>
      </c>
      <c r="L283" s="14">
        <v>0.80986842817066362</v>
      </c>
      <c r="M283" s="13">
        <v>0.82903068612919839</v>
      </c>
      <c r="N283" s="13">
        <v>0.84548039215814952</v>
      </c>
      <c r="O283" s="13">
        <v>0.85316009539527338</v>
      </c>
      <c r="P283" s="13">
        <v>0.86851878413191308</v>
      </c>
      <c r="Q283" s="13">
        <v>0.87941248604841904</v>
      </c>
      <c r="R283" s="13">
        <v>0.90360491939093934</v>
      </c>
      <c r="S283" s="13">
        <v>0.90653812349687157</v>
      </c>
      <c r="T283" s="13">
        <v>0.91648953353868912</v>
      </c>
      <c r="U283" s="13">
        <v>0.93158601290987664</v>
      </c>
      <c r="V283" s="13">
        <v>0.93665621785743369</v>
      </c>
      <c r="W283" s="13">
        <v>0.93483834654910236</v>
      </c>
      <c r="X283" s="13">
        <v>0.93023033542108369</v>
      </c>
      <c r="Y283" s="13">
        <v>0.92595731720830254</v>
      </c>
      <c r="Z283" s="14">
        <v>0.91994062931882636</v>
      </c>
      <c r="AA283" s="14">
        <v>0.91666715631427531</v>
      </c>
      <c r="AB283" s="14">
        <v>0.91613087586994024</v>
      </c>
      <c r="AC283" s="14">
        <v>0.92221153912624865</v>
      </c>
      <c r="AD283" s="14">
        <v>0.92221153912624865</v>
      </c>
      <c r="AE283" s="14">
        <v>0.9285202450928699</v>
      </c>
      <c r="AF283" s="25">
        <v>0.92226854980382689</v>
      </c>
      <c r="AG283" s="13">
        <v>0.92380296828729846</v>
      </c>
      <c r="AH283" s="13">
        <v>0.924200825577561</v>
      </c>
      <c r="AI283" s="15">
        <v>0.924200825577561</v>
      </c>
      <c r="AJ283" s="13">
        <v>0.924200825577561</v>
      </c>
      <c r="AK283" s="13">
        <v>0.924200825577561</v>
      </c>
      <c r="AL283" s="13">
        <v>0.924200825577561</v>
      </c>
      <c r="AM283" s="13">
        <v>0.924200825577561</v>
      </c>
      <c r="AN283" s="13">
        <v>0.924200825577561</v>
      </c>
      <c r="AO283" s="13">
        <v>0.924200825577561</v>
      </c>
      <c r="AP283" s="13">
        <v>0.924200825577561</v>
      </c>
      <c r="AQ283" s="13">
        <v>0.924200825577561</v>
      </c>
      <c r="AR283" s="13">
        <v>0.924200825577561</v>
      </c>
      <c r="AS283" s="13">
        <v>0.924200825577561</v>
      </c>
      <c r="AT283" s="13">
        <v>0.924200825577561</v>
      </c>
      <c r="AU283" s="13">
        <v>0.924200825577561</v>
      </c>
      <c r="AV283" s="13">
        <v>0.924200825577561</v>
      </c>
      <c r="AW283" s="13">
        <v>0.924200825577561</v>
      </c>
      <c r="AX283" s="13">
        <v>0.924200825577561</v>
      </c>
      <c r="AY283" s="13">
        <v>0.924200825577561</v>
      </c>
      <c r="AZ283" s="13">
        <v>0.924200825577561</v>
      </c>
      <c r="BA283" s="13">
        <v>0.924200825577561</v>
      </c>
      <c r="BB283" s="13">
        <v>0.924200825577561</v>
      </c>
      <c r="BC283" s="13">
        <v>0.924200825577561</v>
      </c>
      <c r="BD283" s="13">
        <v>0.924200825577561</v>
      </c>
      <c r="BE283" s="13">
        <v>0.924200825577561</v>
      </c>
      <c r="BF283" s="13">
        <v>0.924200825577561</v>
      </c>
      <c r="BG283" s="13">
        <v>0.924200825577561</v>
      </c>
    </row>
    <row r="284" spans="1:59" ht="12" customHeight="1" x14ac:dyDescent="0.2">
      <c r="A284" s="1" t="s">
        <v>61</v>
      </c>
      <c r="B284" t="s">
        <v>45</v>
      </c>
      <c r="C284" s="10" t="s">
        <v>62</v>
      </c>
      <c r="D284" s="13">
        <v>0.70884039910823038</v>
      </c>
      <c r="E284" s="13">
        <v>0.60125982362448649</v>
      </c>
      <c r="F284" s="13">
        <v>0.65552010134889904</v>
      </c>
      <c r="G284" s="13">
        <v>0.61722503892165503</v>
      </c>
      <c r="H284" s="13">
        <v>0.42607381761370738</v>
      </c>
      <c r="I284" s="13">
        <v>0.44796853668048231</v>
      </c>
      <c r="J284" s="13">
        <v>0.60111673002840671</v>
      </c>
      <c r="K284" s="13">
        <v>0.6604380690939321</v>
      </c>
      <c r="L284" s="14">
        <v>0.61711607829962767</v>
      </c>
      <c r="M284" s="13">
        <v>0.6279160633966463</v>
      </c>
      <c r="N284" s="13">
        <v>0.69913342839901482</v>
      </c>
      <c r="O284" s="13">
        <v>0.79390956364207865</v>
      </c>
      <c r="P284" s="13">
        <v>0.67324022942256578</v>
      </c>
      <c r="Q284" s="13">
        <v>0.66006830897443702</v>
      </c>
      <c r="R284" s="13">
        <v>0.69435393150668323</v>
      </c>
      <c r="S284" s="13">
        <v>0.82272751510497399</v>
      </c>
      <c r="T284" s="13">
        <v>0.85991541722907849</v>
      </c>
      <c r="U284" s="13">
        <v>0.88121612056731891</v>
      </c>
      <c r="V284" s="13">
        <v>0.85933923284509961</v>
      </c>
      <c r="W284" s="13">
        <v>0.78101047523317901</v>
      </c>
      <c r="X284" s="13">
        <v>0.76886702512646399</v>
      </c>
      <c r="Y284" s="13">
        <v>0.83257246155546694</v>
      </c>
      <c r="Z284" s="14">
        <v>0.86223783598473047</v>
      </c>
      <c r="AA284" s="14">
        <v>0.8550752179947797</v>
      </c>
      <c r="AB284" s="14">
        <v>0.85345046452564743</v>
      </c>
      <c r="AC284" s="14">
        <v>0.85743720557703684</v>
      </c>
      <c r="AD284" s="14">
        <v>0.6950083738615751</v>
      </c>
      <c r="AE284" s="14">
        <v>0.70931919977541136</v>
      </c>
      <c r="AF284" s="25">
        <v>0.77880381093491757</v>
      </c>
      <c r="AG284" s="13">
        <v>0.76014214753723519</v>
      </c>
      <c r="AH284" s="13">
        <v>0.73581838302728486</v>
      </c>
      <c r="AI284" s="15">
        <v>0.73581838302728486</v>
      </c>
      <c r="AJ284" s="13">
        <v>0.73581838302728486</v>
      </c>
      <c r="AK284" s="13">
        <v>0.73581838302728486</v>
      </c>
      <c r="AL284" s="13">
        <v>0.73581838302728486</v>
      </c>
      <c r="AM284" s="13">
        <v>0.73581838302728486</v>
      </c>
      <c r="AN284" s="13">
        <v>0.73581838302728486</v>
      </c>
      <c r="AO284" s="13">
        <v>0.73581838302728486</v>
      </c>
      <c r="AP284" s="13">
        <v>0.73581838302728486</v>
      </c>
      <c r="AQ284" s="13">
        <v>0.73581838302728486</v>
      </c>
      <c r="AR284" s="13">
        <v>0.73581838302728486</v>
      </c>
      <c r="AS284" s="13">
        <v>0.73581838302728486</v>
      </c>
      <c r="AT284" s="13">
        <v>0.73581838302728486</v>
      </c>
      <c r="AU284" s="13">
        <v>0.73581838302728486</v>
      </c>
      <c r="AV284" s="13">
        <v>0.73581838302728486</v>
      </c>
      <c r="AW284" s="13">
        <v>0.73581838302728486</v>
      </c>
      <c r="AX284" s="13">
        <v>0.73581838302728486</v>
      </c>
      <c r="AY284" s="13">
        <v>0.73581838302728486</v>
      </c>
      <c r="AZ284" s="13">
        <v>0.73581838302728486</v>
      </c>
      <c r="BA284" s="13">
        <v>0.73581838302728486</v>
      </c>
      <c r="BB284" s="13">
        <v>0.73581838302728486</v>
      </c>
      <c r="BC284" s="13">
        <v>0.73581838302728486</v>
      </c>
      <c r="BD284" s="13">
        <v>0.73581838302728486</v>
      </c>
      <c r="BE284" s="13">
        <v>0.73581838302728486</v>
      </c>
      <c r="BF284" s="13">
        <v>0.73581838302728486</v>
      </c>
      <c r="BG284" s="13">
        <v>0.73581838302728486</v>
      </c>
    </row>
    <row r="285" spans="1:59" ht="12" customHeight="1" x14ac:dyDescent="0.2">
      <c r="A285" s="1" t="s">
        <v>44</v>
      </c>
      <c r="B285" t="s">
        <v>45</v>
      </c>
      <c r="C285" s="10" t="s">
        <v>63</v>
      </c>
      <c r="D285" s="13">
        <v>1.0002862833207058E-3</v>
      </c>
      <c r="E285" s="13">
        <v>9.2638444909461353E-4</v>
      </c>
      <c r="F285" s="13">
        <v>1.328698210691482E-3</v>
      </c>
      <c r="G285" s="13">
        <v>1.653844320419202E-3</v>
      </c>
      <c r="H285" s="13">
        <v>1.577528176599782E-3</v>
      </c>
      <c r="I285" s="13">
        <v>2.2426409976873175E-3</v>
      </c>
      <c r="J285" s="13">
        <v>1.6349396504070368E-3</v>
      </c>
      <c r="K285" s="13">
        <v>2.7432356638028596E-3</v>
      </c>
      <c r="L285" s="14">
        <v>8.7024421466641334E-3</v>
      </c>
      <c r="M285" s="13">
        <v>7.4266869796068341E-3</v>
      </c>
      <c r="N285" s="13">
        <v>5.7173510001272288E-3</v>
      </c>
      <c r="O285" s="13">
        <v>4.0457684292713831E-3</v>
      </c>
      <c r="P285" s="13">
        <v>3.3675738593286738E-3</v>
      </c>
      <c r="Q285" s="13">
        <v>7.8089109405685038E-3</v>
      </c>
      <c r="R285" s="13">
        <v>2.2886096478868642E-4</v>
      </c>
      <c r="S285" s="13">
        <v>4.5527440139417227E-4</v>
      </c>
      <c r="T285" s="13">
        <v>4.8093269127273528E-4</v>
      </c>
      <c r="U285" s="13">
        <v>5.8826492797620967E-4</v>
      </c>
      <c r="V285" s="13">
        <v>6.7383660724563152E-4</v>
      </c>
      <c r="W285" s="13">
        <v>6.6736301618581845E-4</v>
      </c>
      <c r="X285" s="13">
        <v>6.863407573905534E-4</v>
      </c>
      <c r="Y285" s="13">
        <v>6.0345609497160842E-4</v>
      </c>
      <c r="Z285" s="14">
        <v>4.7952590829187483E-4</v>
      </c>
      <c r="AA285" s="14">
        <v>3.9108125279663892E-4</v>
      </c>
      <c r="AB285" s="14">
        <v>3.4752140375527519E-4</v>
      </c>
      <c r="AC285" s="14">
        <v>3.0359112788237301E-4</v>
      </c>
      <c r="AD285" s="14">
        <v>3.0359112788237301E-4</v>
      </c>
      <c r="AE285" s="14">
        <v>3.5362936408669292E-4</v>
      </c>
      <c r="AF285" s="25">
        <v>3.2708325590167852E-4</v>
      </c>
      <c r="AG285" s="13">
        <v>3.2197371893827938E-4</v>
      </c>
      <c r="AH285" s="13">
        <v>3.2656936670225599E-4</v>
      </c>
      <c r="AI285" s="15">
        <v>3.2656936670225599E-4</v>
      </c>
      <c r="AJ285" s="13">
        <v>3.2656936670225599E-4</v>
      </c>
      <c r="AK285" s="13">
        <v>3.2656936670225599E-4</v>
      </c>
      <c r="AL285" s="13">
        <v>3.2656936670225599E-4</v>
      </c>
      <c r="AM285" s="13">
        <v>3.2656936670225599E-4</v>
      </c>
      <c r="AN285" s="13">
        <v>3.2656936670225599E-4</v>
      </c>
      <c r="AO285" s="13">
        <v>3.2656936670225599E-4</v>
      </c>
      <c r="AP285" s="13">
        <v>3.2656936670225599E-4</v>
      </c>
      <c r="AQ285" s="13">
        <v>3.2656936670225599E-4</v>
      </c>
      <c r="AR285" s="13">
        <v>3.2656936670225599E-4</v>
      </c>
      <c r="AS285" s="13">
        <v>3.2656936670225599E-4</v>
      </c>
      <c r="AT285" s="13">
        <v>3.2656936670225599E-4</v>
      </c>
      <c r="AU285" s="13">
        <v>3.2656936670225599E-4</v>
      </c>
      <c r="AV285" s="13">
        <v>3.2656936670225599E-4</v>
      </c>
      <c r="AW285" s="13">
        <v>3.2656936670225599E-4</v>
      </c>
      <c r="AX285" s="13">
        <v>3.2656936670225599E-4</v>
      </c>
      <c r="AY285" s="13">
        <v>3.2656936670225599E-4</v>
      </c>
      <c r="AZ285" s="13">
        <v>3.2656936670225599E-4</v>
      </c>
      <c r="BA285" s="13">
        <v>3.2656936670225599E-4</v>
      </c>
      <c r="BB285" s="13">
        <v>3.2656936670225599E-4</v>
      </c>
      <c r="BC285" s="13">
        <v>3.2656936670225599E-4</v>
      </c>
      <c r="BD285" s="13">
        <v>3.2656936670225599E-4</v>
      </c>
      <c r="BE285" s="13">
        <v>3.2656936670225599E-4</v>
      </c>
      <c r="BF285" s="13">
        <v>3.2656936670225599E-4</v>
      </c>
      <c r="BG285" s="13">
        <v>3.2656936670225599E-4</v>
      </c>
    </row>
    <row r="286" spans="1:59" ht="12" customHeight="1" x14ac:dyDescent="0.2">
      <c r="A286" s="1" t="s">
        <v>47</v>
      </c>
      <c r="B286" t="s">
        <v>45</v>
      </c>
      <c r="C286" s="10" t="s">
        <v>63</v>
      </c>
      <c r="D286" s="13">
        <v>1.0002862833207058E-3</v>
      </c>
      <c r="E286" s="13">
        <v>9.2638444909461353E-4</v>
      </c>
      <c r="F286" s="13">
        <v>1.328698210691482E-3</v>
      </c>
      <c r="G286" s="13">
        <v>1.653844320419202E-3</v>
      </c>
      <c r="H286" s="13">
        <v>1.577528176599782E-3</v>
      </c>
      <c r="I286" s="13">
        <v>2.2426409976873175E-3</v>
      </c>
      <c r="J286" s="13">
        <v>1.6349396504070368E-3</v>
      </c>
      <c r="K286" s="13">
        <v>2.7432356638028596E-3</v>
      </c>
      <c r="L286" s="14">
        <v>8.7024421466641334E-3</v>
      </c>
      <c r="M286" s="13">
        <v>7.4266869796068341E-3</v>
      </c>
      <c r="N286" s="13">
        <v>5.7173510001272288E-3</v>
      </c>
      <c r="O286" s="13">
        <v>4.0457684292713831E-3</v>
      </c>
      <c r="P286" s="13">
        <v>3.3675738593286738E-3</v>
      </c>
      <c r="Q286" s="13">
        <v>7.8089109405685038E-3</v>
      </c>
      <c r="R286" s="13">
        <v>2.2886096478868642E-4</v>
      </c>
      <c r="S286" s="13">
        <v>4.5527440139417227E-4</v>
      </c>
      <c r="T286" s="13">
        <v>4.8093269127273528E-4</v>
      </c>
      <c r="U286" s="13">
        <v>5.8826492797620967E-4</v>
      </c>
      <c r="V286" s="13">
        <v>6.7383660724563152E-4</v>
      </c>
      <c r="W286" s="13">
        <v>6.6736301618581845E-4</v>
      </c>
      <c r="X286" s="13">
        <v>6.863407573905534E-4</v>
      </c>
      <c r="Y286" s="13">
        <v>6.0345609497160842E-4</v>
      </c>
      <c r="Z286" s="14">
        <v>4.7952590829187483E-4</v>
      </c>
      <c r="AA286" s="14">
        <v>3.9108125279663892E-4</v>
      </c>
      <c r="AB286" s="14">
        <v>3.4752140375527519E-4</v>
      </c>
      <c r="AC286" s="14">
        <v>3.0359112788237301E-4</v>
      </c>
      <c r="AD286" s="14">
        <v>3.0359112788237301E-4</v>
      </c>
      <c r="AE286" s="14">
        <v>3.5362936408669292E-4</v>
      </c>
      <c r="AF286" s="25">
        <v>3.2708325590167852E-4</v>
      </c>
      <c r="AG286" s="13">
        <v>3.2197371893827938E-4</v>
      </c>
      <c r="AH286" s="13">
        <v>3.2656936670225599E-4</v>
      </c>
      <c r="AI286" s="15">
        <v>3.2656936670225599E-4</v>
      </c>
      <c r="AJ286" s="13">
        <v>3.2656936670225599E-4</v>
      </c>
      <c r="AK286" s="13">
        <v>3.2656936670225599E-4</v>
      </c>
      <c r="AL286" s="13">
        <v>3.2656936670225599E-4</v>
      </c>
      <c r="AM286" s="13">
        <v>3.2656936670225599E-4</v>
      </c>
      <c r="AN286" s="13">
        <v>3.2656936670225599E-4</v>
      </c>
      <c r="AO286" s="13">
        <v>3.2656936670225599E-4</v>
      </c>
      <c r="AP286" s="13">
        <v>3.2656936670225599E-4</v>
      </c>
      <c r="AQ286" s="13">
        <v>3.2656936670225599E-4</v>
      </c>
      <c r="AR286" s="13">
        <v>3.2656936670225599E-4</v>
      </c>
      <c r="AS286" s="13">
        <v>3.2656936670225599E-4</v>
      </c>
      <c r="AT286" s="13">
        <v>3.2656936670225599E-4</v>
      </c>
      <c r="AU286" s="13">
        <v>3.2656936670225599E-4</v>
      </c>
      <c r="AV286" s="13">
        <v>3.2656936670225599E-4</v>
      </c>
      <c r="AW286" s="13">
        <v>3.2656936670225599E-4</v>
      </c>
      <c r="AX286" s="13">
        <v>3.2656936670225599E-4</v>
      </c>
      <c r="AY286" s="13">
        <v>3.2656936670225599E-4</v>
      </c>
      <c r="AZ286" s="13">
        <v>3.2656936670225599E-4</v>
      </c>
      <c r="BA286" s="13">
        <v>3.2656936670225599E-4</v>
      </c>
      <c r="BB286" s="13">
        <v>3.2656936670225599E-4</v>
      </c>
      <c r="BC286" s="13">
        <v>3.2656936670225599E-4</v>
      </c>
      <c r="BD286" s="13">
        <v>3.2656936670225599E-4</v>
      </c>
      <c r="BE286" s="13">
        <v>3.2656936670225599E-4</v>
      </c>
      <c r="BF286" s="13">
        <v>3.2656936670225599E-4</v>
      </c>
      <c r="BG286" s="13">
        <v>3.2656936670225599E-4</v>
      </c>
    </row>
    <row r="287" spans="1:59" ht="12" customHeight="1" x14ac:dyDescent="0.2">
      <c r="A287" s="1" t="s">
        <v>48</v>
      </c>
      <c r="B287" t="s">
        <v>45</v>
      </c>
      <c r="C287" s="10" t="s">
        <v>63</v>
      </c>
      <c r="D287" s="13">
        <v>1.0002862833207058E-3</v>
      </c>
      <c r="E287" s="13">
        <v>9.2638444909461353E-4</v>
      </c>
      <c r="F287" s="13">
        <v>1.328698210691482E-3</v>
      </c>
      <c r="G287" s="13">
        <v>1.653844320419202E-3</v>
      </c>
      <c r="H287" s="13">
        <v>1.577528176599782E-3</v>
      </c>
      <c r="I287" s="13">
        <v>2.2426409976873175E-3</v>
      </c>
      <c r="J287" s="13">
        <v>1.6349396504070368E-3</v>
      </c>
      <c r="K287" s="13">
        <v>2.7432356638028596E-3</v>
      </c>
      <c r="L287" s="14">
        <v>8.7024421466641334E-3</v>
      </c>
      <c r="M287" s="13">
        <v>7.4266869796068341E-3</v>
      </c>
      <c r="N287" s="13">
        <v>5.7173510001272288E-3</v>
      </c>
      <c r="O287" s="13">
        <v>4.0457684292713831E-3</v>
      </c>
      <c r="P287" s="13">
        <v>3.3675738593286738E-3</v>
      </c>
      <c r="Q287" s="13">
        <v>7.8089109405685038E-3</v>
      </c>
      <c r="R287" s="13">
        <v>2.2886096478868642E-4</v>
      </c>
      <c r="S287" s="13">
        <v>4.5527440139417227E-4</v>
      </c>
      <c r="T287" s="13">
        <v>4.8093269127273528E-4</v>
      </c>
      <c r="U287" s="13">
        <v>5.8826492797620967E-4</v>
      </c>
      <c r="V287" s="13">
        <v>6.7383660724563152E-4</v>
      </c>
      <c r="W287" s="13">
        <v>6.6736301618581845E-4</v>
      </c>
      <c r="X287" s="13">
        <v>6.863407573905534E-4</v>
      </c>
      <c r="Y287" s="13">
        <v>6.0345609497160842E-4</v>
      </c>
      <c r="Z287" s="14">
        <v>4.7952590829187483E-4</v>
      </c>
      <c r="AA287" s="14">
        <v>3.9108125279663892E-4</v>
      </c>
      <c r="AB287" s="14">
        <v>3.4752140375527519E-4</v>
      </c>
      <c r="AC287" s="14">
        <v>3.0359112788237301E-4</v>
      </c>
      <c r="AD287" s="14">
        <v>3.0359112788237301E-4</v>
      </c>
      <c r="AE287" s="14">
        <v>3.5362936408669292E-4</v>
      </c>
      <c r="AF287" s="25">
        <v>3.2708325590167852E-4</v>
      </c>
      <c r="AG287" s="13">
        <v>3.2197371893827938E-4</v>
      </c>
      <c r="AH287" s="13">
        <v>3.2656936670225599E-4</v>
      </c>
      <c r="AI287" s="15">
        <v>3.2656936670225599E-4</v>
      </c>
      <c r="AJ287" s="13">
        <v>3.2656936670225599E-4</v>
      </c>
      <c r="AK287" s="13">
        <v>3.2656936670225599E-4</v>
      </c>
      <c r="AL287" s="13">
        <v>3.2656936670225599E-4</v>
      </c>
      <c r="AM287" s="13">
        <v>3.2656936670225599E-4</v>
      </c>
      <c r="AN287" s="13">
        <v>3.2656936670225599E-4</v>
      </c>
      <c r="AO287" s="13">
        <v>3.2656936670225599E-4</v>
      </c>
      <c r="AP287" s="13">
        <v>3.2656936670225599E-4</v>
      </c>
      <c r="AQ287" s="13">
        <v>3.2656936670225599E-4</v>
      </c>
      <c r="AR287" s="13">
        <v>3.2656936670225599E-4</v>
      </c>
      <c r="AS287" s="13">
        <v>3.2656936670225599E-4</v>
      </c>
      <c r="AT287" s="13">
        <v>3.2656936670225599E-4</v>
      </c>
      <c r="AU287" s="13">
        <v>3.2656936670225599E-4</v>
      </c>
      <c r="AV287" s="13">
        <v>3.2656936670225599E-4</v>
      </c>
      <c r="AW287" s="13">
        <v>3.2656936670225599E-4</v>
      </c>
      <c r="AX287" s="13">
        <v>3.2656936670225599E-4</v>
      </c>
      <c r="AY287" s="13">
        <v>3.2656936670225599E-4</v>
      </c>
      <c r="AZ287" s="13">
        <v>3.2656936670225599E-4</v>
      </c>
      <c r="BA287" s="13">
        <v>3.2656936670225599E-4</v>
      </c>
      <c r="BB287" s="13">
        <v>3.2656936670225599E-4</v>
      </c>
      <c r="BC287" s="13">
        <v>3.2656936670225599E-4</v>
      </c>
      <c r="BD287" s="13">
        <v>3.2656936670225599E-4</v>
      </c>
      <c r="BE287" s="13">
        <v>3.2656936670225599E-4</v>
      </c>
      <c r="BF287" s="13">
        <v>3.2656936670225599E-4</v>
      </c>
      <c r="BG287" s="13">
        <v>3.2656936670225599E-4</v>
      </c>
    </row>
    <row r="288" spans="1:59" ht="12" customHeight="1" x14ac:dyDescent="0.2">
      <c r="A288" s="1" t="s">
        <v>49</v>
      </c>
      <c r="B288" t="s">
        <v>45</v>
      </c>
      <c r="C288" s="10" t="s">
        <v>63</v>
      </c>
      <c r="D288" s="13">
        <v>3.8766727875471953E-2</v>
      </c>
      <c r="E288" s="13">
        <v>5.6622217505143152E-2</v>
      </c>
      <c r="F288" s="13">
        <v>4.5427715614174941E-2</v>
      </c>
      <c r="G288" s="13">
        <v>0.1016306658035396</v>
      </c>
      <c r="H288" s="13">
        <v>2.5096746202040731E-2</v>
      </c>
      <c r="I288" s="13">
        <v>1.9799201570121501E-2</v>
      </c>
      <c r="J288" s="13">
        <v>2.7885884350902931E-2</v>
      </c>
      <c r="K288" s="13">
        <v>1.6865908731912529E-2</v>
      </c>
      <c r="L288" s="14">
        <v>2.9398574450907801E-2</v>
      </c>
      <c r="M288" s="13">
        <v>3.2493459703100691E-2</v>
      </c>
      <c r="N288" s="13">
        <v>3.6740047991386672E-2</v>
      </c>
      <c r="O288" s="13">
        <v>4.86519880630207E-2</v>
      </c>
      <c r="P288" s="13">
        <v>3.6496471176014469E-2</v>
      </c>
      <c r="Q288" s="13">
        <v>3.8784879072044053E-2</v>
      </c>
      <c r="R288" s="13">
        <v>3.0151484350386049E-2</v>
      </c>
      <c r="S288" s="13">
        <v>2.9354719287392961E-2</v>
      </c>
      <c r="T288" s="13">
        <v>8.6270928486056622E-2</v>
      </c>
      <c r="U288" s="13">
        <v>5.1908885770679918E-2</v>
      </c>
      <c r="V288" s="13">
        <v>1.547461289905056E-2</v>
      </c>
      <c r="W288" s="13">
        <v>2.0687038873758942E-2</v>
      </c>
      <c r="X288" s="13">
        <v>1.363632675832145E-2</v>
      </c>
      <c r="Y288" s="13">
        <v>1.1360899418232651E-2</v>
      </c>
      <c r="Z288" s="14">
        <v>1.029662066063868E-2</v>
      </c>
      <c r="AA288" s="14">
        <v>8.4051095981067768E-3</v>
      </c>
      <c r="AB288" s="14">
        <v>6.5644946288335136E-3</v>
      </c>
      <c r="AC288" s="14">
        <v>1.4798964930450969E-2</v>
      </c>
      <c r="AD288" s="14">
        <v>2.6119002027672651E-2</v>
      </c>
      <c r="AE288" s="14">
        <v>1.137634133551634E-2</v>
      </c>
      <c r="AF288" s="25">
        <v>1.4714700730618369E-2</v>
      </c>
      <c r="AG288" s="13">
        <v>1.6752252256064581E-2</v>
      </c>
      <c r="AH288" s="13">
        <v>1.7240574087467986E-2</v>
      </c>
      <c r="AI288" s="15">
        <v>1.7240574087467986E-2</v>
      </c>
      <c r="AJ288" s="13">
        <v>1.7240574087467986E-2</v>
      </c>
      <c r="AK288" s="13">
        <v>1.7240574087467986E-2</v>
      </c>
      <c r="AL288" s="13">
        <v>1.7240574087467986E-2</v>
      </c>
      <c r="AM288" s="13">
        <v>1.7240574087467986E-2</v>
      </c>
      <c r="AN288" s="13">
        <v>1.7240574087467986E-2</v>
      </c>
      <c r="AO288" s="13">
        <v>1.7240574087467986E-2</v>
      </c>
      <c r="AP288" s="13">
        <v>1.7240574087467986E-2</v>
      </c>
      <c r="AQ288" s="13">
        <v>1.7240574087467986E-2</v>
      </c>
      <c r="AR288" s="13">
        <v>1.7240574087467986E-2</v>
      </c>
      <c r="AS288" s="13">
        <v>1.7240574087467986E-2</v>
      </c>
      <c r="AT288" s="13">
        <v>1.7240574087467986E-2</v>
      </c>
      <c r="AU288" s="13">
        <v>1.7240574087467986E-2</v>
      </c>
      <c r="AV288" s="13">
        <v>1.7240574087467986E-2</v>
      </c>
      <c r="AW288" s="13">
        <v>1.7240574087467986E-2</v>
      </c>
      <c r="AX288" s="13">
        <v>1.7240574087467986E-2</v>
      </c>
      <c r="AY288" s="13">
        <v>1.7240574087467986E-2</v>
      </c>
      <c r="AZ288" s="13">
        <v>1.7240574087467986E-2</v>
      </c>
      <c r="BA288" s="13">
        <v>1.7240574087467986E-2</v>
      </c>
      <c r="BB288" s="13">
        <v>1.7240574087467986E-2</v>
      </c>
      <c r="BC288" s="13">
        <v>1.7240574087467986E-2</v>
      </c>
      <c r="BD288" s="13">
        <v>1.7240574087467986E-2</v>
      </c>
      <c r="BE288" s="13">
        <v>1.7240574087467986E-2</v>
      </c>
      <c r="BF288" s="13">
        <v>1.7240574087467986E-2</v>
      </c>
      <c r="BG288" s="13">
        <v>1.7240574087467986E-2</v>
      </c>
    </row>
    <row r="289" spans="1:59" ht="12" customHeight="1" x14ac:dyDescent="0.2">
      <c r="A289" s="1" t="s">
        <v>50</v>
      </c>
      <c r="B289" t="s">
        <v>45</v>
      </c>
      <c r="C289" s="10" t="s">
        <v>63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4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25">
        <v>0</v>
      </c>
      <c r="AG289" s="13">
        <v>0</v>
      </c>
      <c r="AH289" s="13">
        <v>0</v>
      </c>
      <c r="AI289" s="15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</row>
    <row r="290" spans="1:59" ht="12" customHeight="1" x14ac:dyDescent="0.2">
      <c r="A290" s="1" t="s">
        <v>51</v>
      </c>
      <c r="B290" t="s">
        <v>45</v>
      </c>
      <c r="C290" s="10" t="s">
        <v>63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4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25">
        <v>0</v>
      </c>
      <c r="AG290" s="13">
        <v>0</v>
      </c>
      <c r="AH290" s="13">
        <v>0</v>
      </c>
      <c r="AI290" s="15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</row>
    <row r="291" spans="1:59" ht="12" customHeight="1" x14ac:dyDescent="0.2">
      <c r="A291" s="1" t="s">
        <v>52</v>
      </c>
      <c r="B291" t="s">
        <v>45</v>
      </c>
      <c r="C291" s="10" t="s">
        <v>63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4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25">
        <v>0</v>
      </c>
      <c r="AG291" s="13">
        <v>0</v>
      </c>
      <c r="AH291" s="13">
        <v>0</v>
      </c>
      <c r="AI291" s="15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</row>
    <row r="292" spans="1:59" ht="12" customHeight="1" x14ac:dyDescent="0.2">
      <c r="A292" s="1" t="s">
        <v>53</v>
      </c>
      <c r="B292" t="s">
        <v>45</v>
      </c>
      <c r="C292" s="10" t="s">
        <v>63</v>
      </c>
      <c r="D292" s="13">
        <v>1.0002862833207058E-3</v>
      </c>
      <c r="E292" s="13">
        <v>9.2638444909461353E-4</v>
      </c>
      <c r="F292" s="13">
        <v>1.328698210691482E-3</v>
      </c>
      <c r="G292" s="13">
        <v>1.653844320419202E-3</v>
      </c>
      <c r="H292" s="13">
        <v>1.577528176599782E-3</v>
      </c>
      <c r="I292" s="13">
        <v>2.2426409976873175E-3</v>
      </c>
      <c r="J292" s="13">
        <v>1.6349396504070368E-3</v>
      </c>
      <c r="K292" s="13">
        <v>2.7432356638028596E-3</v>
      </c>
      <c r="L292" s="14">
        <v>8.7024421466641334E-3</v>
      </c>
      <c r="M292" s="13">
        <v>7.4266869796068341E-3</v>
      </c>
      <c r="N292" s="13">
        <v>5.7173510001272288E-3</v>
      </c>
      <c r="O292" s="13">
        <v>4.0457684292713831E-3</v>
      </c>
      <c r="P292" s="13">
        <v>3.3675738593286738E-3</v>
      </c>
      <c r="Q292" s="13">
        <v>7.8089109405685038E-3</v>
      </c>
      <c r="R292" s="13">
        <v>2.2886096478868642E-4</v>
      </c>
      <c r="S292" s="13">
        <v>4.5527440139417227E-4</v>
      </c>
      <c r="T292" s="13">
        <v>4.8093269127273528E-4</v>
      </c>
      <c r="U292" s="13">
        <v>5.8826492797620967E-4</v>
      </c>
      <c r="V292" s="13">
        <v>6.7383660724563152E-4</v>
      </c>
      <c r="W292" s="13">
        <v>6.6736301618581845E-4</v>
      </c>
      <c r="X292" s="13">
        <v>6.863407573905534E-4</v>
      </c>
      <c r="Y292" s="13">
        <v>6.0345609497160842E-4</v>
      </c>
      <c r="Z292" s="14">
        <v>4.7952590829187483E-4</v>
      </c>
      <c r="AA292" s="14">
        <v>3.9108125279663892E-4</v>
      </c>
      <c r="AB292" s="14">
        <v>3.4752140375527519E-4</v>
      </c>
      <c r="AC292" s="14">
        <v>3.0359112788237301E-4</v>
      </c>
      <c r="AD292" s="14">
        <v>3.0359112788237301E-4</v>
      </c>
      <c r="AE292" s="14">
        <v>3.5362936408669292E-4</v>
      </c>
      <c r="AF292" s="25">
        <v>3.2708325590167852E-4</v>
      </c>
      <c r="AG292" s="13">
        <v>3.2197371893827938E-4</v>
      </c>
      <c r="AH292" s="13">
        <v>3.2656936670225599E-4</v>
      </c>
      <c r="AI292" s="15">
        <v>3.2656936670225599E-4</v>
      </c>
      <c r="AJ292" s="13">
        <v>3.2656936670225599E-4</v>
      </c>
      <c r="AK292" s="13">
        <v>3.2656936670225599E-4</v>
      </c>
      <c r="AL292" s="13">
        <v>3.2656936670225599E-4</v>
      </c>
      <c r="AM292" s="13">
        <v>3.2656936670225599E-4</v>
      </c>
      <c r="AN292" s="13">
        <v>3.2656936670225599E-4</v>
      </c>
      <c r="AO292" s="13">
        <v>3.2656936670225599E-4</v>
      </c>
      <c r="AP292" s="13">
        <v>3.2656936670225599E-4</v>
      </c>
      <c r="AQ292" s="13">
        <v>3.2656936670225599E-4</v>
      </c>
      <c r="AR292" s="13">
        <v>3.2656936670225599E-4</v>
      </c>
      <c r="AS292" s="13">
        <v>3.2656936670225599E-4</v>
      </c>
      <c r="AT292" s="13">
        <v>3.2656936670225599E-4</v>
      </c>
      <c r="AU292" s="13">
        <v>3.2656936670225599E-4</v>
      </c>
      <c r="AV292" s="13">
        <v>3.2656936670225599E-4</v>
      </c>
      <c r="AW292" s="13">
        <v>3.2656936670225599E-4</v>
      </c>
      <c r="AX292" s="13">
        <v>3.2656936670225599E-4</v>
      </c>
      <c r="AY292" s="13">
        <v>3.2656936670225599E-4</v>
      </c>
      <c r="AZ292" s="13">
        <v>3.2656936670225599E-4</v>
      </c>
      <c r="BA292" s="13">
        <v>3.2656936670225599E-4</v>
      </c>
      <c r="BB292" s="13">
        <v>3.2656936670225599E-4</v>
      </c>
      <c r="BC292" s="13">
        <v>3.2656936670225599E-4</v>
      </c>
      <c r="BD292" s="13">
        <v>3.2656936670225599E-4</v>
      </c>
      <c r="BE292" s="13">
        <v>3.2656936670225599E-4</v>
      </c>
      <c r="BF292" s="13">
        <v>3.2656936670225599E-4</v>
      </c>
      <c r="BG292" s="13">
        <v>3.2656936670225599E-4</v>
      </c>
    </row>
    <row r="293" spans="1:59" ht="12" customHeight="1" x14ac:dyDescent="0.2">
      <c r="A293" s="1" t="s">
        <v>54</v>
      </c>
      <c r="B293" t="s">
        <v>45</v>
      </c>
      <c r="C293" s="10" t="s">
        <v>63</v>
      </c>
      <c r="D293" s="13">
        <v>0</v>
      </c>
      <c r="E293" s="13">
        <v>0.5173687354329638</v>
      </c>
      <c r="F293" s="13">
        <v>0.1459219245104206</v>
      </c>
      <c r="G293" s="13">
        <v>5.4286887666925673E-2</v>
      </c>
      <c r="H293" s="13">
        <v>2.6614845097600998E-2</v>
      </c>
      <c r="I293" s="13">
        <v>3.025954845097354E-2</v>
      </c>
      <c r="J293" s="13">
        <v>9.2356170176282712E-2</v>
      </c>
      <c r="K293" s="13">
        <v>0.1472304231712511</v>
      </c>
      <c r="L293" s="14">
        <v>0.13054024806848319</v>
      </c>
      <c r="M293" s="13">
        <v>3.1220266537792231E-2</v>
      </c>
      <c r="N293" s="13">
        <v>7.0605516604538177E-2</v>
      </c>
      <c r="O293" s="13">
        <v>7.2183066112719199E-2</v>
      </c>
      <c r="P293" s="13">
        <v>1.156390864968335E-2</v>
      </c>
      <c r="Q293" s="13">
        <v>3.2370082944347831E-2</v>
      </c>
      <c r="R293" s="13">
        <v>2.5792424277884939E-2</v>
      </c>
      <c r="S293" s="13">
        <v>3.9192184169650937E-2</v>
      </c>
      <c r="T293" s="13">
        <v>3.1747935818660089E-2</v>
      </c>
      <c r="U293" s="13">
        <v>3.1931628427921029E-2</v>
      </c>
      <c r="V293" s="13">
        <v>2.9872018569214849E-2</v>
      </c>
      <c r="W293" s="13">
        <v>5.9334220897860092E-2</v>
      </c>
      <c r="X293" s="13">
        <v>0.14384081363096399</v>
      </c>
      <c r="Y293" s="13">
        <v>7.1007048176084539E-2</v>
      </c>
      <c r="Z293" s="14">
        <v>0.13573060661463579</v>
      </c>
      <c r="AA293" s="14">
        <v>0.19765948140041181</v>
      </c>
      <c r="AB293" s="14">
        <v>0.34313887905723228</v>
      </c>
      <c r="AC293" s="14">
        <v>0.33976341534346421</v>
      </c>
      <c r="AD293" s="14">
        <v>0.38703519442924023</v>
      </c>
      <c r="AE293" s="14">
        <v>0.33725629829911219</v>
      </c>
      <c r="AF293" s="25">
        <v>0.35179844678226224</v>
      </c>
      <c r="AG293" s="13">
        <v>0.3539633387135197</v>
      </c>
      <c r="AH293" s="13">
        <v>0.3575133195560336</v>
      </c>
      <c r="AI293" s="15">
        <v>0.3575133195560336</v>
      </c>
      <c r="AJ293" s="13">
        <v>0.3575133195560336</v>
      </c>
      <c r="AK293" s="13">
        <v>0.3575133195560336</v>
      </c>
      <c r="AL293" s="13">
        <v>0.3575133195560336</v>
      </c>
      <c r="AM293" s="13">
        <v>0.3575133195560336</v>
      </c>
      <c r="AN293" s="13">
        <v>0.3575133195560336</v>
      </c>
      <c r="AO293" s="13">
        <v>0.3575133195560336</v>
      </c>
      <c r="AP293" s="13">
        <v>0.3575133195560336</v>
      </c>
      <c r="AQ293" s="13">
        <v>0.3575133195560336</v>
      </c>
      <c r="AR293" s="13">
        <v>0.3575133195560336</v>
      </c>
      <c r="AS293" s="13">
        <v>0.3575133195560336</v>
      </c>
      <c r="AT293" s="13">
        <v>0.3575133195560336</v>
      </c>
      <c r="AU293" s="13">
        <v>0.3575133195560336</v>
      </c>
      <c r="AV293" s="13">
        <v>0.3575133195560336</v>
      </c>
      <c r="AW293" s="13">
        <v>0.3575133195560336</v>
      </c>
      <c r="AX293" s="13">
        <v>0.3575133195560336</v>
      </c>
      <c r="AY293" s="13">
        <v>0.3575133195560336</v>
      </c>
      <c r="AZ293" s="13">
        <v>0.3575133195560336</v>
      </c>
      <c r="BA293" s="13">
        <v>0.3575133195560336</v>
      </c>
      <c r="BB293" s="13">
        <v>0.3575133195560336</v>
      </c>
      <c r="BC293" s="13">
        <v>0.3575133195560336</v>
      </c>
      <c r="BD293" s="13">
        <v>0.3575133195560336</v>
      </c>
      <c r="BE293" s="13">
        <v>0.3575133195560336</v>
      </c>
      <c r="BF293" s="13">
        <v>0.3575133195560336</v>
      </c>
      <c r="BG293" s="13">
        <v>0.3575133195560336</v>
      </c>
    </row>
    <row r="294" spans="1:59" ht="12" customHeight="1" x14ac:dyDescent="0.2">
      <c r="A294" s="1" t="s">
        <v>55</v>
      </c>
      <c r="B294" t="s">
        <v>45</v>
      </c>
      <c r="C294" s="10" t="s">
        <v>63</v>
      </c>
      <c r="D294" s="13">
        <v>1.0002862833207058E-3</v>
      </c>
      <c r="E294" s="13">
        <v>9.2638444909461353E-4</v>
      </c>
      <c r="F294" s="13">
        <v>1.328698210691482E-3</v>
      </c>
      <c r="G294" s="13">
        <v>1.653844320419202E-3</v>
      </c>
      <c r="H294" s="13">
        <v>1.577528176599782E-3</v>
      </c>
      <c r="I294" s="13">
        <v>2.2426409976873175E-3</v>
      </c>
      <c r="J294" s="13">
        <v>1.6349396504070368E-3</v>
      </c>
      <c r="K294" s="13">
        <v>2.7432356638028596E-3</v>
      </c>
      <c r="L294" s="14">
        <v>8.7024421466641334E-3</v>
      </c>
      <c r="M294" s="13">
        <v>7.4266869796068341E-3</v>
      </c>
      <c r="N294" s="13">
        <v>5.7173510001272288E-3</v>
      </c>
      <c r="O294" s="13">
        <v>4.0457684292713831E-3</v>
      </c>
      <c r="P294" s="13">
        <v>3.3675738593286738E-3</v>
      </c>
      <c r="Q294" s="13">
        <v>7.8089109405685038E-3</v>
      </c>
      <c r="R294" s="13">
        <v>2.2886096478868642E-4</v>
      </c>
      <c r="S294" s="13">
        <v>4.5527440139417227E-4</v>
      </c>
      <c r="T294" s="13">
        <v>4.8093269127273528E-4</v>
      </c>
      <c r="U294" s="13">
        <v>5.8826492797620967E-4</v>
      </c>
      <c r="V294" s="13">
        <v>6.7383660724563152E-4</v>
      </c>
      <c r="W294" s="13">
        <v>6.6736301618581845E-4</v>
      </c>
      <c r="X294" s="13">
        <v>6.863407573905534E-4</v>
      </c>
      <c r="Y294" s="13">
        <v>6.0345609497160842E-4</v>
      </c>
      <c r="Z294" s="14">
        <v>4.7952590829187483E-4</v>
      </c>
      <c r="AA294" s="14">
        <v>3.9108125279663892E-4</v>
      </c>
      <c r="AB294" s="14">
        <v>3.4752140375527519E-4</v>
      </c>
      <c r="AC294" s="14">
        <v>3.0359112788237301E-4</v>
      </c>
      <c r="AD294" s="14">
        <v>3.0359112788237301E-4</v>
      </c>
      <c r="AE294" s="14">
        <v>3.5362936408669292E-4</v>
      </c>
      <c r="AF294" s="25">
        <v>3.2708325590167852E-4</v>
      </c>
      <c r="AG294" s="13">
        <v>3.2197371893827938E-4</v>
      </c>
      <c r="AH294" s="13">
        <v>3.2656936670225599E-4</v>
      </c>
      <c r="AI294" s="15">
        <v>3.2656936670225599E-4</v>
      </c>
      <c r="AJ294" s="13">
        <v>3.2656936670225599E-4</v>
      </c>
      <c r="AK294" s="13">
        <v>3.2656936670225599E-4</v>
      </c>
      <c r="AL294" s="13">
        <v>3.2656936670225599E-4</v>
      </c>
      <c r="AM294" s="13">
        <v>3.2656936670225599E-4</v>
      </c>
      <c r="AN294" s="13">
        <v>3.2656936670225599E-4</v>
      </c>
      <c r="AO294" s="13">
        <v>3.2656936670225599E-4</v>
      </c>
      <c r="AP294" s="13">
        <v>3.2656936670225599E-4</v>
      </c>
      <c r="AQ294" s="13">
        <v>3.2656936670225599E-4</v>
      </c>
      <c r="AR294" s="13">
        <v>3.2656936670225599E-4</v>
      </c>
      <c r="AS294" s="13">
        <v>3.2656936670225599E-4</v>
      </c>
      <c r="AT294" s="13">
        <v>3.2656936670225599E-4</v>
      </c>
      <c r="AU294" s="13">
        <v>3.2656936670225599E-4</v>
      </c>
      <c r="AV294" s="13">
        <v>3.2656936670225599E-4</v>
      </c>
      <c r="AW294" s="13">
        <v>3.2656936670225599E-4</v>
      </c>
      <c r="AX294" s="13">
        <v>3.2656936670225599E-4</v>
      </c>
      <c r="AY294" s="13">
        <v>3.2656936670225599E-4</v>
      </c>
      <c r="AZ294" s="13">
        <v>3.2656936670225599E-4</v>
      </c>
      <c r="BA294" s="13">
        <v>3.2656936670225599E-4</v>
      </c>
      <c r="BB294" s="13">
        <v>3.2656936670225599E-4</v>
      </c>
      <c r="BC294" s="13">
        <v>3.2656936670225599E-4</v>
      </c>
      <c r="BD294" s="13">
        <v>3.2656936670225599E-4</v>
      </c>
      <c r="BE294" s="13">
        <v>3.2656936670225599E-4</v>
      </c>
      <c r="BF294" s="13">
        <v>3.2656936670225599E-4</v>
      </c>
      <c r="BG294" s="13">
        <v>3.2656936670225599E-4</v>
      </c>
    </row>
    <row r="295" spans="1:59" ht="12" customHeight="1" x14ac:dyDescent="0.2">
      <c r="A295" s="1" t="s">
        <v>56</v>
      </c>
      <c r="B295" t="s">
        <v>45</v>
      </c>
      <c r="C295" s="10" t="s">
        <v>63</v>
      </c>
      <c r="D295" s="13">
        <v>1.0002862833207058E-3</v>
      </c>
      <c r="E295" s="13">
        <v>9.2638444909461353E-4</v>
      </c>
      <c r="F295" s="13">
        <v>1.328698210691482E-3</v>
      </c>
      <c r="G295" s="13">
        <v>1.653844320419202E-3</v>
      </c>
      <c r="H295" s="13">
        <v>1.577528176599782E-3</v>
      </c>
      <c r="I295" s="13">
        <v>2.2426409976873175E-3</v>
      </c>
      <c r="J295" s="13">
        <v>1.6349396504070368E-3</v>
      </c>
      <c r="K295" s="13">
        <v>2.7432356638028596E-3</v>
      </c>
      <c r="L295" s="14">
        <v>8.7024421466641334E-3</v>
      </c>
      <c r="M295" s="13">
        <v>7.4266869796068341E-3</v>
      </c>
      <c r="N295" s="13">
        <v>5.7173510001272288E-3</v>
      </c>
      <c r="O295" s="13">
        <v>4.0457684292713831E-3</v>
      </c>
      <c r="P295" s="13">
        <v>3.3675738593286738E-3</v>
      </c>
      <c r="Q295" s="13">
        <v>7.8089109405685038E-3</v>
      </c>
      <c r="R295" s="13">
        <v>2.2886096478868642E-4</v>
      </c>
      <c r="S295" s="13">
        <v>4.5527440139417227E-4</v>
      </c>
      <c r="T295" s="13">
        <v>4.8093269127273528E-4</v>
      </c>
      <c r="U295" s="13">
        <v>5.8826492797620967E-4</v>
      </c>
      <c r="V295" s="13">
        <v>6.7383660724563152E-4</v>
      </c>
      <c r="W295" s="13">
        <v>6.6736301618581845E-4</v>
      </c>
      <c r="X295" s="13">
        <v>6.863407573905534E-4</v>
      </c>
      <c r="Y295" s="13">
        <v>6.0345609497160842E-4</v>
      </c>
      <c r="Z295" s="14">
        <v>4.7952590829187483E-4</v>
      </c>
      <c r="AA295" s="14">
        <v>3.9108125279663892E-4</v>
      </c>
      <c r="AB295" s="14">
        <v>3.4752140375527519E-4</v>
      </c>
      <c r="AC295" s="14">
        <v>3.0359112788237301E-4</v>
      </c>
      <c r="AD295" s="14">
        <v>3.0359112788237301E-4</v>
      </c>
      <c r="AE295" s="14">
        <v>3.5362936408669292E-4</v>
      </c>
      <c r="AF295" s="25">
        <v>3.2708325590167852E-4</v>
      </c>
      <c r="AG295" s="13">
        <v>3.2197371893827938E-4</v>
      </c>
      <c r="AH295" s="13">
        <v>3.2656936670225599E-4</v>
      </c>
      <c r="AI295" s="15">
        <v>3.2656936670225599E-4</v>
      </c>
      <c r="AJ295" s="13">
        <v>3.2656936670225599E-4</v>
      </c>
      <c r="AK295" s="13">
        <v>3.2656936670225599E-4</v>
      </c>
      <c r="AL295" s="13">
        <v>3.2656936670225599E-4</v>
      </c>
      <c r="AM295" s="13">
        <v>3.2656936670225599E-4</v>
      </c>
      <c r="AN295" s="13">
        <v>3.2656936670225599E-4</v>
      </c>
      <c r="AO295" s="13">
        <v>3.2656936670225599E-4</v>
      </c>
      <c r="AP295" s="13">
        <v>3.2656936670225599E-4</v>
      </c>
      <c r="AQ295" s="13">
        <v>3.2656936670225599E-4</v>
      </c>
      <c r="AR295" s="13">
        <v>3.2656936670225599E-4</v>
      </c>
      <c r="AS295" s="13">
        <v>3.2656936670225599E-4</v>
      </c>
      <c r="AT295" s="13">
        <v>3.2656936670225599E-4</v>
      </c>
      <c r="AU295" s="13">
        <v>3.2656936670225599E-4</v>
      </c>
      <c r="AV295" s="13">
        <v>3.2656936670225599E-4</v>
      </c>
      <c r="AW295" s="13">
        <v>3.2656936670225599E-4</v>
      </c>
      <c r="AX295" s="13">
        <v>3.2656936670225599E-4</v>
      </c>
      <c r="AY295" s="13">
        <v>3.2656936670225599E-4</v>
      </c>
      <c r="AZ295" s="13">
        <v>3.2656936670225599E-4</v>
      </c>
      <c r="BA295" s="13">
        <v>3.2656936670225599E-4</v>
      </c>
      <c r="BB295" s="13">
        <v>3.2656936670225599E-4</v>
      </c>
      <c r="BC295" s="13">
        <v>3.2656936670225599E-4</v>
      </c>
      <c r="BD295" s="13">
        <v>3.2656936670225599E-4</v>
      </c>
      <c r="BE295" s="13">
        <v>3.2656936670225599E-4</v>
      </c>
      <c r="BF295" s="13">
        <v>3.2656936670225599E-4</v>
      </c>
      <c r="BG295" s="13">
        <v>3.2656936670225599E-4</v>
      </c>
    </row>
    <row r="296" spans="1:59" ht="12" customHeight="1" x14ac:dyDescent="0.2">
      <c r="A296" s="1" t="s">
        <v>57</v>
      </c>
      <c r="B296" t="s">
        <v>45</v>
      </c>
      <c r="C296" s="10" t="s">
        <v>63</v>
      </c>
      <c r="D296" s="13">
        <v>2.878303118487269E-6</v>
      </c>
      <c r="E296" s="13">
        <v>1.5309283004614739E-4</v>
      </c>
      <c r="F296" s="13">
        <v>2.2375512126923451E-5</v>
      </c>
      <c r="G296" s="13">
        <v>1.9908648948929549E-4</v>
      </c>
      <c r="H296" s="13">
        <v>3.2108632291669541E-5</v>
      </c>
      <c r="I296" s="13">
        <v>3.8074772878103573E-5</v>
      </c>
      <c r="J296" s="13">
        <v>3.3604774505336022E-4</v>
      </c>
      <c r="K296" s="13">
        <v>8.6241159065250964E-4</v>
      </c>
      <c r="L296" s="14">
        <v>6.9245876919267642E-4</v>
      </c>
      <c r="M296" s="13">
        <v>1.247501075684547E-3</v>
      </c>
      <c r="N296" s="13">
        <v>1.293716188363011E-3</v>
      </c>
      <c r="O296" s="13">
        <v>1.4387641698096281E-3</v>
      </c>
      <c r="P296" s="13">
        <v>1.9706743370323759E-3</v>
      </c>
      <c r="Q296" s="13">
        <v>1.2352863727670841E-3</v>
      </c>
      <c r="R296" s="13">
        <v>1.2317800620360381E-5</v>
      </c>
      <c r="S296" s="13">
        <v>1.822889809360994E-5</v>
      </c>
      <c r="T296" s="13">
        <v>1.5093441749759081E-4</v>
      </c>
      <c r="U296" s="13">
        <v>1.26319366299471E-3</v>
      </c>
      <c r="V296" s="13">
        <v>5.1551376969201379E-4</v>
      </c>
      <c r="W296" s="13">
        <v>3.5683627060396038E-4</v>
      </c>
      <c r="X296" s="13">
        <v>9.669630063407421E-4</v>
      </c>
      <c r="Y296" s="13">
        <v>4.1637528102501269E-4</v>
      </c>
      <c r="Z296" s="14">
        <v>4.8138575844753272E-4</v>
      </c>
      <c r="AA296" s="14">
        <v>3.2468968922552959E-4</v>
      </c>
      <c r="AB296" s="14">
        <v>3.6008086806937891E-5</v>
      </c>
      <c r="AC296" s="14">
        <v>1.362508455936468E-3</v>
      </c>
      <c r="AD296" s="14">
        <v>2.8426216567159582E-4</v>
      </c>
      <c r="AE296" s="14">
        <v>4.6801581174492899E-4</v>
      </c>
      <c r="AF296" s="25">
        <v>5.3769863003998262E-4</v>
      </c>
      <c r="AG296" s="13">
        <v>6.6312126584824383E-4</v>
      </c>
      <c r="AH296" s="13">
        <v>4.882744683261878E-4</v>
      </c>
      <c r="AI296" s="15">
        <v>4.882744683261878E-4</v>
      </c>
      <c r="AJ296" s="13">
        <v>4.882744683261878E-4</v>
      </c>
      <c r="AK296" s="13">
        <v>4.882744683261878E-4</v>
      </c>
      <c r="AL296" s="13">
        <v>4.882744683261878E-4</v>
      </c>
      <c r="AM296" s="13">
        <v>4.882744683261878E-4</v>
      </c>
      <c r="AN296" s="13">
        <v>4.882744683261878E-4</v>
      </c>
      <c r="AO296" s="13">
        <v>4.882744683261878E-4</v>
      </c>
      <c r="AP296" s="13">
        <v>4.882744683261878E-4</v>
      </c>
      <c r="AQ296" s="13">
        <v>4.882744683261878E-4</v>
      </c>
      <c r="AR296" s="13">
        <v>4.882744683261878E-4</v>
      </c>
      <c r="AS296" s="13">
        <v>4.882744683261878E-4</v>
      </c>
      <c r="AT296" s="13">
        <v>4.882744683261878E-4</v>
      </c>
      <c r="AU296" s="13">
        <v>4.882744683261878E-4</v>
      </c>
      <c r="AV296" s="13">
        <v>4.882744683261878E-4</v>
      </c>
      <c r="AW296" s="13">
        <v>4.882744683261878E-4</v>
      </c>
      <c r="AX296" s="13">
        <v>4.882744683261878E-4</v>
      </c>
      <c r="AY296" s="13">
        <v>4.882744683261878E-4</v>
      </c>
      <c r="AZ296" s="13">
        <v>4.882744683261878E-4</v>
      </c>
      <c r="BA296" s="13">
        <v>4.882744683261878E-4</v>
      </c>
      <c r="BB296" s="13">
        <v>4.882744683261878E-4</v>
      </c>
      <c r="BC296" s="13">
        <v>4.882744683261878E-4</v>
      </c>
      <c r="BD296" s="13">
        <v>4.882744683261878E-4</v>
      </c>
      <c r="BE296" s="13">
        <v>4.882744683261878E-4</v>
      </c>
      <c r="BF296" s="13">
        <v>4.882744683261878E-4</v>
      </c>
      <c r="BG296" s="13">
        <v>4.882744683261878E-4</v>
      </c>
    </row>
    <row r="297" spans="1:59" ht="12" customHeight="1" x14ac:dyDescent="0.2">
      <c r="A297" s="1" t="s">
        <v>58</v>
      </c>
      <c r="B297" t="s">
        <v>45</v>
      </c>
      <c r="C297" s="10" t="s">
        <v>63</v>
      </c>
      <c r="D297" s="13">
        <v>2.2504881607318551E-3</v>
      </c>
      <c r="E297" s="13">
        <v>5.6373950907010464E-3</v>
      </c>
      <c r="F297" s="13">
        <v>1.252243932767884E-2</v>
      </c>
      <c r="G297" s="13">
        <v>2.4235032559976261E-5</v>
      </c>
      <c r="H297" s="13">
        <v>2.3717336492591081E-2</v>
      </c>
      <c r="I297" s="13">
        <v>1.5742353140481939E-3</v>
      </c>
      <c r="J297" s="13">
        <v>7.8207425300292678E-4</v>
      </c>
      <c r="K297" s="13">
        <v>2.0311863466525231E-4</v>
      </c>
      <c r="L297" s="14">
        <v>1.9615958131923321E-4</v>
      </c>
      <c r="M297" s="13">
        <v>3.9464367983846739E-4</v>
      </c>
      <c r="N297" s="13">
        <v>0</v>
      </c>
      <c r="O297" s="13">
        <v>0</v>
      </c>
      <c r="P297" s="13">
        <v>0</v>
      </c>
      <c r="Q297" s="13">
        <v>1.4181124076190789E-3</v>
      </c>
      <c r="R297" s="13">
        <v>2.471042436110666E-2</v>
      </c>
      <c r="S297" s="13">
        <v>1.8259326442049049E-2</v>
      </c>
      <c r="T297" s="13">
        <v>2.5673670293792729E-2</v>
      </c>
      <c r="U297" s="13">
        <v>1.9477997745532979E-2</v>
      </c>
      <c r="V297" s="13">
        <v>1.3547579632727321E-2</v>
      </c>
      <c r="W297" s="13">
        <v>1.8409930802582269E-2</v>
      </c>
      <c r="X297" s="13">
        <v>1.4721685787702591E-2</v>
      </c>
      <c r="Y297" s="13">
        <v>1.5121647146369771E-2</v>
      </c>
      <c r="Z297" s="14">
        <v>8.1608773649117766E-3</v>
      </c>
      <c r="AA297" s="14">
        <v>4.427591524992355E-3</v>
      </c>
      <c r="AB297" s="14">
        <v>2.9408426412758119E-3</v>
      </c>
      <c r="AC297" s="14">
        <v>1.859273811271272E-3</v>
      </c>
      <c r="AD297" s="14">
        <v>5.0772348058463954E-4</v>
      </c>
      <c r="AE297" s="14">
        <v>6.8825138219655345E-4</v>
      </c>
      <c r="AF297" s="25">
        <v>1.4990228288320694E-3</v>
      </c>
      <c r="AG297" s="13">
        <v>1.1385678757211337E-3</v>
      </c>
      <c r="AH297" s="13">
        <v>9.5839139183359905E-4</v>
      </c>
      <c r="AI297" s="15">
        <v>9.5839139183359905E-4</v>
      </c>
      <c r="AJ297" s="13">
        <v>9.5839139183359905E-4</v>
      </c>
      <c r="AK297" s="13">
        <v>9.5839139183359905E-4</v>
      </c>
      <c r="AL297" s="13">
        <v>9.5839139183359905E-4</v>
      </c>
      <c r="AM297" s="13">
        <v>9.5839139183359905E-4</v>
      </c>
      <c r="AN297" s="13">
        <v>9.5839139183359905E-4</v>
      </c>
      <c r="AO297" s="13">
        <v>9.5839139183359905E-4</v>
      </c>
      <c r="AP297" s="13">
        <v>9.5839139183359905E-4</v>
      </c>
      <c r="AQ297" s="13">
        <v>9.5839139183359905E-4</v>
      </c>
      <c r="AR297" s="13">
        <v>9.5839139183359905E-4</v>
      </c>
      <c r="AS297" s="13">
        <v>9.5839139183359905E-4</v>
      </c>
      <c r="AT297" s="13">
        <v>9.5839139183359905E-4</v>
      </c>
      <c r="AU297" s="13">
        <v>9.5839139183359905E-4</v>
      </c>
      <c r="AV297" s="13">
        <v>9.5839139183359905E-4</v>
      </c>
      <c r="AW297" s="13">
        <v>9.5839139183359905E-4</v>
      </c>
      <c r="AX297" s="13">
        <v>9.5839139183359905E-4</v>
      </c>
      <c r="AY297" s="13">
        <v>9.5839139183359905E-4</v>
      </c>
      <c r="AZ297" s="13">
        <v>9.5839139183359905E-4</v>
      </c>
      <c r="BA297" s="13">
        <v>9.5839139183359905E-4</v>
      </c>
      <c r="BB297" s="13">
        <v>9.5839139183359905E-4</v>
      </c>
      <c r="BC297" s="13">
        <v>9.5839139183359905E-4</v>
      </c>
      <c r="BD297" s="13">
        <v>9.5839139183359905E-4</v>
      </c>
      <c r="BE297" s="13">
        <v>9.5839139183359905E-4</v>
      </c>
      <c r="BF297" s="13">
        <v>9.5839139183359905E-4</v>
      </c>
      <c r="BG297" s="13">
        <v>9.5839139183359905E-4</v>
      </c>
    </row>
    <row r="298" spans="1:59" ht="12" customHeight="1" x14ac:dyDescent="0.2">
      <c r="A298" s="1" t="s">
        <v>59</v>
      </c>
      <c r="B298" t="s">
        <v>45</v>
      </c>
      <c r="C298" s="10" t="s">
        <v>63</v>
      </c>
      <c r="D298" s="13">
        <v>1.451082488760491E-5</v>
      </c>
      <c r="E298" s="13">
        <v>2.1693596767832998E-6</v>
      </c>
      <c r="F298" s="13">
        <v>7.8818379109239084E-4</v>
      </c>
      <c r="G298" s="13">
        <v>6.2825291623742726E-6</v>
      </c>
      <c r="H298" s="13">
        <v>0</v>
      </c>
      <c r="I298" s="13">
        <v>3.805231884167758E-4</v>
      </c>
      <c r="J298" s="13">
        <v>8.0259930067239896E-4</v>
      </c>
      <c r="K298" s="13">
        <v>8.4246903510887369E-4</v>
      </c>
      <c r="L298" s="14">
        <v>1.7368650339412929E-3</v>
      </c>
      <c r="M298" s="13">
        <v>8.9058448122855975E-5</v>
      </c>
      <c r="N298" s="13">
        <v>8.3340681971800116E-5</v>
      </c>
      <c r="O298" s="13">
        <v>1.083661760322118E-4</v>
      </c>
      <c r="P298" s="13">
        <v>1.866670218059388E-5</v>
      </c>
      <c r="Q298" s="13">
        <v>1.5048987304127611E-5</v>
      </c>
      <c r="R298" s="13">
        <v>2.2296139275723419E-7</v>
      </c>
      <c r="S298" s="13">
        <v>2.0675338602454442E-3</v>
      </c>
      <c r="T298" s="13">
        <v>2.183304352640825E-3</v>
      </c>
      <c r="U298" s="13">
        <v>4.4105810188521163E-3</v>
      </c>
      <c r="V298" s="13">
        <v>1.617682375618857E-2</v>
      </c>
      <c r="W298" s="13">
        <v>1.9417887855008462E-2</v>
      </c>
      <c r="X298" s="13">
        <v>2.1453026844997589E-2</v>
      </c>
      <c r="Y298" s="13">
        <v>3.2151972811353943E-2</v>
      </c>
      <c r="Z298" s="14">
        <v>2.2383669747657729E-2</v>
      </c>
      <c r="AA298" s="14">
        <v>1.743971231726402E-2</v>
      </c>
      <c r="AB298" s="14">
        <v>7.458079415035835E-3</v>
      </c>
      <c r="AC298" s="14">
        <v>6.6185407001161274E-3</v>
      </c>
      <c r="AD298" s="14">
        <v>2.8237715082060789E-3</v>
      </c>
      <c r="AE298" s="14">
        <v>9.247382899280298E-3</v>
      </c>
      <c r="AF298" s="25">
        <v>6.5369436306595844E-3</v>
      </c>
      <c r="AG298" s="13">
        <v>6.3066596845655215E-3</v>
      </c>
      <c r="AH298" s="13">
        <v>6.2286894306778709E-3</v>
      </c>
      <c r="AI298" s="15">
        <v>6.2286894306778709E-3</v>
      </c>
      <c r="AJ298" s="13">
        <v>6.2286894306778709E-3</v>
      </c>
      <c r="AK298" s="13">
        <v>6.2286894306778709E-3</v>
      </c>
      <c r="AL298" s="13">
        <v>6.2286894306778709E-3</v>
      </c>
      <c r="AM298" s="13">
        <v>6.2286894306778709E-3</v>
      </c>
      <c r="AN298" s="13">
        <v>6.2286894306778709E-3</v>
      </c>
      <c r="AO298" s="13">
        <v>6.2286894306778709E-3</v>
      </c>
      <c r="AP298" s="13">
        <v>6.2286894306778709E-3</v>
      </c>
      <c r="AQ298" s="13">
        <v>6.2286894306778709E-3</v>
      </c>
      <c r="AR298" s="13">
        <v>6.2286894306778709E-3</v>
      </c>
      <c r="AS298" s="13">
        <v>6.2286894306778709E-3</v>
      </c>
      <c r="AT298" s="13">
        <v>6.2286894306778709E-3</v>
      </c>
      <c r="AU298" s="13">
        <v>6.2286894306778709E-3</v>
      </c>
      <c r="AV298" s="13">
        <v>6.2286894306778709E-3</v>
      </c>
      <c r="AW298" s="13">
        <v>6.2286894306778709E-3</v>
      </c>
      <c r="AX298" s="13">
        <v>6.2286894306778709E-3</v>
      </c>
      <c r="AY298" s="13">
        <v>6.2286894306778709E-3</v>
      </c>
      <c r="AZ298" s="13">
        <v>6.2286894306778709E-3</v>
      </c>
      <c r="BA298" s="13">
        <v>6.2286894306778709E-3</v>
      </c>
      <c r="BB298" s="13">
        <v>6.2286894306778709E-3</v>
      </c>
      <c r="BC298" s="13">
        <v>6.2286894306778709E-3</v>
      </c>
      <c r="BD298" s="13">
        <v>6.2286894306778709E-3</v>
      </c>
      <c r="BE298" s="13">
        <v>6.2286894306778709E-3</v>
      </c>
      <c r="BF298" s="13">
        <v>6.2286894306778709E-3</v>
      </c>
      <c r="BG298" s="13">
        <v>6.2286894306778709E-3</v>
      </c>
    </row>
    <row r="299" spans="1:59" ht="12" customHeight="1" x14ac:dyDescent="0.2">
      <c r="A299" s="1" t="s">
        <v>60</v>
      </c>
      <c r="B299" t="s">
        <v>45</v>
      </c>
      <c r="C299" s="10" t="s">
        <v>63</v>
      </c>
      <c r="D299" s="13">
        <v>1.0002862833207058E-3</v>
      </c>
      <c r="E299" s="13">
        <v>9.2638444909461353E-4</v>
      </c>
      <c r="F299" s="13">
        <v>1.328698210691482E-3</v>
      </c>
      <c r="G299" s="13">
        <v>1.653844320419202E-3</v>
      </c>
      <c r="H299" s="13">
        <v>1.577528176599782E-3</v>
      </c>
      <c r="I299" s="13">
        <v>2.2426409976873175E-3</v>
      </c>
      <c r="J299" s="13">
        <v>1.6349396504070368E-3</v>
      </c>
      <c r="K299" s="13">
        <v>2.7432356638028596E-3</v>
      </c>
      <c r="L299" s="14">
        <v>8.7024421466641334E-3</v>
      </c>
      <c r="M299" s="13">
        <v>7.4266869796068341E-3</v>
      </c>
      <c r="N299" s="13">
        <v>5.7173510001272288E-3</v>
      </c>
      <c r="O299" s="13">
        <v>4.0457684292713831E-3</v>
      </c>
      <c r="P299" s="13">
        <v>3.3675738593286738E-3</v>
      </c>
      <c r="Q299" s="13">
        <v>7.8089109405685038E-3</v>
      </c>
      <c r="R299" s="13">
        <v>2.2886096478868642E-4</v>
      </c>
      <c r="S299" s="13">
        <v>4.5527440139417227E-4</v>
      </c>
      <c r="T299" s="13">
        <v>4.8093269127273528E-4</v>
      </c>
      <c r="U299" s="13">
        <v>5.8826492797620967E-4</v>
      </c>
      <c r="V299" s="13">
        <v>6.7383660724563152E-4</v>
      </c>
      <c r="W299" s="13">
        <v>6.6736301618581845E-4</v>
      </c>
      <c r="X299" s="13">
        <v>6.863407573905534E-4</v>
      </c>
      <c r="Y299" s="13">
        <v>6.0345609497160842E-4</v>
      </c>
      <c r="Z299" s="14">
        <v>4.7952590829187483E-4</v>
      </c>
      <c r="AA299" s="14">
        <v>3.9108125279663892E-4</v>
      </c>
      <c r="AB299" s="14">
        <v>3.4752140375527519E-4</v>
      </c>
      <c r="AC299" s="14">
        <v>3.0359112788237301E-4</v>
      </c>
      <c r="AD299" s="14">
        <v>3.0359112788237301E-4</v>
      </c>
      <c r="AE299" s="14">
        <v>3.5362936408669292E-4</v>
      </c>
      <c r="AF299" s="25">
        <v>3.2708325590167852E-4</v>
      </c>
      <c r="AG299" s="13">
        <v>3.2197371893827938E-4</v>
      </c>
      <c r="AH299" s="13">
        <v>3.2656936670225599E-4</v>
      </c>
      <c r="AI299" s="15">
        <v>3.2656936670225599E-4</v>
      </c>
      <c r="AJ299" s="13">
        <v>3.2656936670225599E-4</v>
      </c>
      <c r="AK299" s="13">
        <v>3.2656936670225599E-4</v>
      </c>
      <c r="AL299" s="13">
        <v>3.2656936670225599E-4</v>
      </c>
      <c r="AM299" s="13">
        <v>3.2656936670225599E-4</v>
      </c>
      <c r="AN299" s="13">
        <v>3.2656936670225599E-4</v>
      </c>
      <c r="AO299" s="13">
        <v>3.2656936670225599E-4</v>
      </c>
      <c r="AP299" s="13">
        <v>3.2656936670225599E-4</v>
      </c>
      <c r="AQ299" s="13">
        <v>3.2656936670225599E-4</v>
      </c>
      <c r="AR299" s="13">
        <v>3.2656936670225599E-4</v>
      </c>
      <c r="AS299" s="13">
        <v>3.2656936670225599E-4</v>
      </c>
      <c r="AT299" s="13">
        <v>3.2656936670225599E-4</v>
      </c>
      <c r="AU299" s="13">
        <v>3.2656936670225599E-4</v>
      </c>
      <c r="AV299" s="13">
        <v>3.2656936670225599E-4</v>
      </c>
      <c r="AW299" s="13">
        <v>3.2656936670225599E-4</v>
      </c>
      <c r="AX299" s="13">
        <v>3.2656936670225599E-4</v>
      </c>
      <c r="AY299" s="13">
        <v>3.2656936670225599E-4</v>
      </c>
      <c r="AZ299" s="13">
        <v>3.2656936670225599E-4</v>
      </c>
      <c r="BA299" s="13">
        <v>3.2656936670225599E-4</v>
      </c>
      <c r="BB299" s="13">
        <v>3.2656936670225599E-4</v>
      </c>
      <c r="BC299" s="13">
        <v>3.2656936670225599E-4</v>
      </c>
      <c r="BD299" s="13">
        <v>3.2656936670225599E-4</v>
      </c>
      <c r="BE299" s="13">
        <v>3.2656936670225599E-4</v>
      </c>
      <c r="BF299" s="13">
        <v>3.2656936670225599E-4</v>
      </c>
      <c r="BG299" s="13">
        <v>3.2656936670225599E-4</v>
      </c>
    </row>
    <row r="300" spans="1:59" ht="12" customHeight="1" x14ac:dyDescent="0.2">
      <c r="A300" s="1" t="s">
        <v>61</v>
      </c>
      <c r="B300" t="s">
        <v>45</v>
      </c>
      <c r="C300" s="10" t="s">
        <v>63</v>
      </c>
      <c r="D300" s="13">
        <v>1.044989071588337E-2</v>
      </c>
      <c r="E300" s="13">
        <v>8.7920799137970428E-3</v>
      </c>
      <c r="F300" s="13">
        <v>1.2823233676367649E-2</v>
      </c>
      <c r="G300" s="13">
        <v>1.6229684633106211E-2</v>
      </c>
      <c r="H300" s="13">
        <v>2.2511194490541751E-2</v>
      </c>
      <c r="I300" s="13">
        <v>1.7837176594591119E-2</v>
      </c>
      <c r="J300" s="13">
        <v>1.933013341848203E-2</v>
      </c>
      <c r="K300" s="13">
        <v>2.1976324954397879E-2</v>
      </c>
      <c r="L300" s="14">
        <v>2.5318184911821869E-2</v>
      </c>
      <c r="M300" s="13">
        <v>3.7357126580765447E-2</v>
      </c>
      <c r="N300" s="13">
        <v>3.3898149021791307E-2</v>
      </c>
      <c r="O300" s="13">
        <v>3.4791599391931993E-2</v>
      </c>
      <c r="P300" s="13">
        <v>3.8220391770908843E-2</v>
      </c>
      <c r="Q300" s="13">
        <v>5.0160527873475642E-2</v>
      </c>
      <c r="R300" s="13">
        <v>3.9914878816888218E-2</v>
      </c>
      <c r="S300" s="13">
        <v>3.3224698050254312E-2</v>
      </c>
      <c r="T300" s="13">
        <v>2.6695669777465059E-2</v>
      </c>
      <c r="U300" s="13">
        <v>1.7606992556341981E-2</v>
      </c>
      <c r="V300" s="13">
        <v>1.8808096413551391E-2</v>
      </c>
      <c r="W300" s="13">
        <v>2.6874743814309689E-2</v>
      </c>
      <c r="X300" s="13">
        <v>2.8370931232991909E-2</v>
      </c>
      <c r="Y300" s="13">
        <v>3.4740060811840327E-2</v>
      </c>
      <c r="Z300" s="14">
        <v>1.2207445431169771E-2</v>
      </c>
      <c r="AA300" s="14">
        <v>9.7117030586598152E-3</v>
      </c>
      <c r="AB300" s="14">
        <v>7.702090014249572E-3</v>
      </c>
      <c r="AC300" s="14">
        <v>1.01098942454752E-2</v>
      </c>
      <c r="AD300" s="14">
        <v>1.0193186303932121E-2</v>
      </c>
      <c r="AE300" s="14">
        <v>8.6350929198991833E-3</v>
      </c>
      <c r="AF300" s="25">
        <v>9.1600658708890191E-3</v>
      </c>
      <c r="AG300" s="13">
        <v>9.5245598350488792E-3</v>
      </c>
      <c r="AH300" s="13">
        <v>9.3782262324423014E-3</v>
      </c>
      <c r="AI300" s="15">
        <v>9.3782262324423014E-3</v>
      </c>
      <c r="AJ300" s="13">
        <v>9.3782262324423014E-3</v>
      </c>
      <c r="AK300" s="13">
        <v>9.3782262324423014E-3</v>
      </c>
      <c r="AL300" s="13">
        <v>9.3782262324423014E-3</v>
      </c>
      <c r="AM300" s="13">
        <v>9.3782262324423014E-3</v>
      </c>
      <c r="AN300" s="13">
        <v>9.3782262324423014E-3</v>
      </c>
      <c r="AO300" s="13">
        <v>9.3782262324423014E-3</v>
      </c>
      <c r="AP300" s="13">
        <v>9.3782262324423014E-3</v>
      </c>
      <c r="AQ300" s="13">
        <v>9.3782262324423014E-3</v>
      </c>
      <c r="AR300" s="13">
        <v>9.3782262324423014E-3</v>
      </c>
      <c r="AS300" s="13">
        <v>9.3782262324423014E-3</v>
      </c>
      <c r="AT300" s="13">
        <v>9.3782262324423014E-3</v>
      </c>
      <c r="AU300" s="13">
        <v>9.3782262324423014E-3</v>
      </c>
      <c r="AV300" s="13">
        <v>9.3782262324423014E-3</v>
      </c>
      <c r="AW300" s="13">
        <v>9.3782262324423014E-3</v>
      </c>
      <c r="AX300" s="13">
        <v>9.3782262324423014E-3</v>
      </c>
      <c r="AY300" s="13">
        <v>9.3782262324423014E-3</v>
      </c>
      <c r="AZ300" s="13">
        <v>9.3782262324423014E-3</v>
      </c>
      <c r="BA300" s="13">
        <v>9.3782262324423014E-3</v>
      </c>
      <c r="BB300" s="13">
        <v>9.3782262324423014E-3</v>
      </c>
      <c r="BC300" s="13">
        <v>9.3782262324423014E-3</v>
      </c>
      <c r="BD300" s="13">
        <v>9.3782262324423014E-3</v>
      </c>
      <c r="BE300" s="13">
        <v>9.3782262324423014E-3</v>
      </c>
      <c r="BF300" s="13">
        <v>9.3782262324423014E-3</v>
      </c>
      <c r="BG300" s="13">
        <v>9.3782262324423014E-3</v>
      </c>
    </row>
    <row r="301" spans="1:59" ht="12" customHeight="1" x14ac:dyDescent="0.2">
      <c r="A301" s="1" t="s">
        <v>44</v>
      </c>
      <c r="B301" t="s">
        <v>64</v>
      </c>
      <c r="C301" s="10" t="s">
        <v>46</v>
      </c>
      <c r="D301" s="13">
        <v>0.24891069467667695</v>
      </c>
      <c r="E301" s="13">
        <v>0.24441627623187262</v>
      </c>
      <c r="F301" s="13">
        <v>0.21012714436395782</v>
      </c>
      <c r="G301" s="13">
        <v>0.1506300195833038</v>
      </c>
      <c r="H301" s="13">
        <v>0.11996730512154775</v>
      </c>
      <c r="I301" s="13">
        <v>0.10290144803935697</v>
      </c>
      <c r="J301" s="13">
        <v>8.651855894826202E-2</v>
      </c>
      <c r="K301" s="13">
        <v>6.9759258770279831E-2</v>
      </c>
      <c r="L301" s="14">
        <v>4.7421936331959846E-2</v>
      </c>
      <c r="M301" s="13">
        <v>4.2978009353990508E-2</v>
      </c>
      <c r="N301" s="13">
        <v>3.7381583192693316E-2</v>
      </c>
      <c r="O301" s="13">
        <v>3.5453833410481077E-2</v>
      </c>
      <c r="P301" s="13">
        <v>2.9421772726318778E-2</v>
      </c>
      <c r="Q301" s="13">
        <v>2.735382539520731E-2</v>
      </c>
      <c r="R301" s="13">
        <v>3.1900010661145756E-2</v>
      </c>
      <c r="S301" s="13">
        <v>2.6231483540663042E-2</v>
      </c>
      <c r="T301" s="13">
        <v>2.0846577404776852E-2</v>
      </c>
      <c r="U301" s="13">
        <v>1.8252076106526197E-2</v>
      </c>
      <c r="V301" s="13">
        <v>1.6565126031497283E-2</v>
      </c>
      <c r="W301" s="13">
        <v>1.6651641402522375E-2</v>
      </c>
      <c r="X301" s="13">
        <v>1.6660268157352966E-2</v>
      </c>
      <c r="Y301" s="13">
        <v>1.811186891745464E-2</v>
      </c>
      <c r="Z301" s="14">
        <v>1.7023595970177077E-2</v>
      </c>
      <c r="AA301" s="14">
        <v>1.6267549114943634E-2</v>
      </c>
      <c r="AB301" s="14">
        <v>1.6142683687081927E-2</v>
      </c>
      <c r="AC301" s="14">
        <v>1.2893961469943427E-2</v>
      </c>
      <c r="AD301" s="14">
        <v>1.2893961469943427E-2</v>
      </c>
      <c r="AE301" s="14">
        <v>1.4663571652213658E-2</v>
      </c>
      <c r="AF301" s="25">
        <v>1.4148544569795609E-2</v>
      </c>
      <c r="AG301" s="13">
        <v>1.3650009790474031E-2</v>
      </c>
      <c r="AH301" s="13">
        <v>1.3839021870606682E-2</v>
      </c>
      <c r="AI301" s="15">
        <v>1.3839021870606682E-2</v>
      </c>
      <c r="AJ301" s="13">
        <v>1.3839021870606682E-2</v>
      </c>
      <c r="AK301" s="13">
        <v>1.3839021870606682E-2</v>
      </c>
      <c r="AL301" s="13">
        <v>1.3839021870606682E-2</v>
      </c>
      <c r="AM301" s="13">
        <v>1.3839021870606682E-2</v>
      </c>
      <c r="AN301" s="13">
        <v>1.3839021870606682E-2</v>
      </c>
      <c r="AO301" s="13">
        <v>1.3839021870606682E-2</v>
      </c>
      <c r="AP301" s="13">
        <v>1.3839021870606682E-2</v>
      </c>
      <c r="AQ301" s="13">
        <v>1.3839021870606682E-2</v>
      </c>
      <c r="AR301" s="13">
        <v>1.3839021870606682E-2</v>
      </c>
      <c r="AS301" s="13">
        <v>1.3839021870606682E-2</v>
      </c>
      <c r="AT301" s="13">
        <v>1.3839021870606682E-2</v>
      </c>
      <c r="AU301" s="13">
        <v>1.3839021870606682E-2</v>
      </c>
      <c r="AV301" s="13">
        <v>1.3839021870606682E-2</v>
      </c>
      <c r="AW301" s="13">
        <v>1.3839021870606682E-2</v>
      </c>
      <c r="AX301" s="13">
        <v>1.3839021870606682E-2</v>
      </c>
      <c r="AY301" s="13">
        <v>1.3839021870606682E-2</v>
      </c>
      <c r="AZ301" s="13">
        <v>1.3839021870606682E-2</v>
      </c>
      <c r="BA301" s="13">
        <v>1.3839021870606682E-2</v>
      </c>
      <c r="BB301" s="13">
        <v>1.3839021870606682E-2</v>
      </c>
      <c r="BC301" s="13">
        <v>1.3839021870606682E-2</v>
      </c>
      <c r="BD301" s="13">
        <v>1.3839021870606682E-2</v>
      </c>
      <c r="BE301" s="13">
        <v>1.3839021870606682E-2</v>
      </c>
      <c r="BF301" s="13">
        <v>1.3839021870606682E-2</v>
      </c>
      <c r="BG301" s="13">
        <v>1.3839021870606682E-2</v>
      </c>
    </row>
    <row r="302" spans="1:59" ht="12" customHeight="1" x14ac:dyDescent="0.2">
      <c r="A302" s="1" t="s">
        <v>47</v>
      </c>
      <c r="B302" t="s">
        <v>64</v>
      </c>
      <c r="C302" s="10" t="s">
        <v>46</v>
      </c>
      <c r="D302" s="13">
        <v>1.9734438029572761E-2</v>
      </c>
      <c r="E302" s="13">
        <v>1.8364032600169489E-2</v>
      </c>
      <c r="F302" s="13">
        <v>2.048903976288597E-2</v>
      </c>
      <c r="G302" s="13">
        <v>2.4442993672074399E-2</v>
      </c>
      <c r="H302" s="13">
        <v>2.2147735252210411E-2</v>
      </c>
      <c r="I302" s="13">
        <v>3.2619710243878032E-2</v>
      </c>
      <c r="J302" s="13">
        <v>5.3663528366749119E-2</v>
      </c>
      <c r="K302" s="13">
        <v>4.6839164826568302E-2</v>
      </c>
      <c r="L302" s="14">
        <v>4.8788344924870441E-2</v>
      </c>
      <c r="M302" s="13">
        <v>4.3792184871185073E-2</v>
      </c>
      <c r="N302" s="13">
        <v>4.7361757075232359E-2</v>
      </c>
      <c r="O302" s="13">
        <v>4.3649769094663733E-2</v>
      </c>
      <c r="P302" s="13">
        <v>2.7304065326058221E-2</v>
      </c>
      <c r="Q302" s="13">
        <v>3.9338419696799527E-2</v>
      </c>
      <c r="R302" s="13">
        <v>2.131094669902605E-2</v>
      </c>
      <c r="S302" s="13">
        <v>2.7718553476274371E-2</v>
      </c>
      <c r="T302" s="13">
        <v>1.28037960971513E-2</v>
      </c>
      <c r="U302" s="13">
        <v>1.540950332057908E-2</v>
      </c>
      <c r="V302" s="13">
        <v>9.9313637323308369E-3</v>
      </c>
      <c r="W302" s="13">
        <v>6.5135549399452921E-3</v>
      </c>
      <c r="X302" s="13">
        <v>9.6124302786228192E-3</v>
      </c>
      <c r="Y302" s="13">
        <v>7.5204662935106793E-3</v>
      </c>
      <c r="Z302" s="14">
        <v>3.8204545667255168E-3</v>
      </c>
      <c r="AA302" s="14">
        <v>7.47758896570713E-3</v>
      </c>
      <c r="AB302" s="14">
        <v>1.5986941546455961E-2</v>
      </c>
      <c r="AC302" s="14">
        <v>2.763813654033058E-2</v>
      </c>
      <c r="AD302" s="14">
        <v>3.9610456618022469E-2</v>
      </c>
      <c r="AE302" s="14">
        <v>4.0434271846571022E-2</v>
      </c>
      <c r="AF302" s="25">
        <v>3.0917451637845011E-2</v>
      </c>
      <c r="AG302" s="13">
        <v>3.4650079160692272E-2</v>
      </c>
      <c r="AH302" s="13">
        <v>3.640306481578269E-2</v>
      </c>
      <c r="AI302" s="15">
        <v>3.640306481578269E-2</v>
      </c>
      <c r="AJ302" s="13">
        <v>3.640306481578269E-2</v>
      </c>
      <c r="AK302" s="13">
        <v>3.640306481578269E-2</v>
      </c>
      <c r="AL302" s="13">
        <v>3.640306481578269E-2</v>
      </c>
      <c r="AM302" s="13">
        <v>3.640306481578269E-2</v>
      </c>
      <c r="AN302" s="13">
        <v>3.640306481578269E-2</v>
      </c>
      <c r="AO302" s="13">
        <v>3.640306481578269E-2</v>
      </c>
      <c r="AP302" s="13">
        <v>3.640306481578269E-2</v>
      </c>
      <c r="AQ302" s="13">
        <v>3.640306481578269E-2</v>
      </c>
      <c r="AR302" s="13">
        <v>3.640306481578269E-2</v>
      </c>
      <c r="AS302" s="13">
        <v>3.640306481578269E-2</v>
      </c>
      <c r="AT302" s="13">
        <v>3.640306481578269E-2</v>
      </c>
      <c r="AU302" s="13">
        <v>3.640306481578269E-2</v>
      </c>
      <c r="AV302" s="13">
        <v>3.640306481578269E-2</v>
      </c>
      <c r="AW302" s="13">
        <v>3.640306481578269E-2</v>
      </c>
      <c r="AX302" s="13">
        <v>3.640306481578269E-2</v>
      </c>
      <c r="AY302" s="13">
        <v>3.640306481578269E-2</v>
      </c>
      <c r="AZ302" s="13">
        <v>3.640306481578269E-2</v>
      </c>
      <c r="BA302" s="13">
        <v>3.640306481578269E-2</v>
      </c>
      <c r="BB302" s="13">
        <v>3.640306481578269E-2</v>
      </c>
      <c r="BC302" s="13">
        <v>3.640306481578269E-2</v>
      </c>
      <c r="BD302" s="13">
        <v>3.640306481578269E-2</v>
      </c>
      <c r="BE302" s="13">
        <v>3.640306481578269E-2</v>
      </c>
      <c r="BF302" s="13">
        <v>3.640306481578269E-2</v>
      </c>
      <c r="BG302" s="13">
        <v>3.640306481578269E-2</v>
      </c>
    </row>
    <row r="303" spans="1:59" ht="12" customHeight="1" x14ac:dyDescent="0.2">
      <c r="A303" s="1" t="s">
        <v>48</v>
      </c>
      <c r="B303" t="s">
        <v>64</v>
      </c>
      <c r="C303" s="10" t="s">
        <v>46</v>
      </c>
      <c r="D303" s="13">
        <v>0.32609185351483039</v>
      </c>
      <c r="E303" s="13">
        <v>0.43747998613876049</v>
      </c>
      <c r="F303" s="13">
        <v>0.43627833752667272</v>
      </c>
      <c r="G303" s="13">
        <v>0.40683763643445298</v>
      </c>
      <c r="H303" s="13">
        <v>0.47687297273767809</v>
      </c>
      <c r="I303" s="13">
        <v>0.47414385936536352</v>
      </c>
      <c r="J303" s="13">
        <v>0.34074154410996338</v>
      </c>
      <c r="K303" s="13">
        <v>0.33578288614396617</v>
      </c>
      <c r="L303" s="14">
        <v>0.29633451587469822</v>
      </c>
      <c r="M303" s="13">
        <v>0.24956019492169901</v>
      </c>
      <c r="N303" s="13">
        <v>0.20692297190934689</v>
      </c>
      <c r="O303" s="13">
        <v>0.19693830946265861</v>
      </c>
      <c r="P303" s="13">
        <v>0.26335244187170648</v>
      </c>
      <c r="Q303" s="13">
        <v>0.22453067748755509</v>
      </c>
      <c r="R303" s="13">
        <v>0.2007126026817812</v>
      </c>
      <c r="S303" s="13">
        <v>9.067106537536028E-2</v>
      </c>
      <c r="T303" s="13">
        <v>8.2379846271607757E-2</v>
      </c>
      <c r="U303" s="13">
        <v>7.7635399467966867E-2</v>
      </c>
      <c r="V303" s="13">
        <v>7.241170330564016E-2</v>
      </c>
      <c r="W303" s="13">
        <v>5.4224224537900052E-2</v>
      </c>
      <c r="X303" s="13">
        <v>5.1866433872178333E-2</v>
      </c>
      <c r="Y303" s="13">
        <v>4.2107353056951118E-2</v>
      </c>
      <c r="Z303" s="14">
        <v>3.6090414472549411E-2</v>
      </c>
      <c r="AA303" s="14">
        <v>3.6217505616286269E-2</v>
      </c>
      <c r="AB303" s="14">
        <v>3.8342561395148932E-2</v>
      </c>
      <c r="AC303" s="14">
        <v>4.0461057407783149E-2</v>
      </c>
      <c r="AD303" s="14">
        <v>4.3252414762108581E-2</v>
      </c>
      <c r="AE303" s="14">
        <v>4.5140629841093571E-2</v>
      </c>
      <c r="AF303" s="25">
        <v>4.1799165851533558E-2</v>
      </c>
      <c r="AG303" s="13">
        <v>4.2663316965629715E-2</v>
      </c>
      <c r="AH303" s="13">
        <v>4.3213881855091361E-2</v>
      </c>
      <c r="AI303" s="15">
        <v>4.3213881855091361E-2</v>
      </c>
      <c r="AJ303" s="13">
        <v>4.3213881855091361E-2</v>
      </c>
      <c r="AK303" s="13">
        <v>4.3213881855091361E-2</v>
      </c>
      <c r="AL303" s="13">
        <v>4.3213881855091361E-2</v>
      </c>
      <c r="AM303" s="13">
        <v>4.3213881855091361E-2</v>
      </c>
      <c r="AN303" s="13">
        <v>4.3213881855091361E-2</v>
      </c>
      <c r="AO303" s="13">
        <v>4.3213881855091361E-2</v>
      </c>
      <c r="AP303" s="13">
        <v>4.3213881855091361E-2</v>
      </c>
      <c r="AQ303" s="13">
        <v>4.3213881855091361E-2</v>
      </c>
      <c r="AR303" s="13">
        <v>4.3213881855091361E-2</v>
      </c>
      <c r="AS303" s="13">
        <v>4.3213881855091361E-2</v>
      </c>
      <c r="AT303" s="13">
        <v>4.3213881855091361E-2</v>
      </c>
      <c r="AU303" s="13">
        <v>4.3213881855091361E-2</v>
      </c>
      <c r="AV303" s="13">
        <v>4.3213881855091361E-2</v>
      </c>
      <c r="AW303" s="13">
        <v>4.3213881855091361E-2</v>
      </c>
      <c r="AX303" s="13">
        <v>4.3213881855091361E-2</v>
      </c>
      <c r="AY303" s="13">
        <v>4.3213881855091361E-2</v>
      </c>
      <c r="AZ303" s="13">
        <v>4.3213881855091361E-2</v>
      </c>
      <c r="BA303" s="13">
        <v>4.3213881855091361E-2</v>
      </c>
      <c r="BB303" s="13">
        <v>4.3213881855091361E-2</v>
      </c>
      <c r="BC303" s="13">
        <v>4.3213881855091361E-2</v>
      </c>
      <c r="BD303" s="13">
        <v>4.3213881855091361E-2</v>
      </c>
      <c r="BE303" s="13">
        <v>4.3213881855091361E-2</v>
      </c>
      <c r="BF303" s="13">
        <v>4.3213881855091361E-2</v>
      </c>
      <c r="BG303" s="13">
        <v>4.3213881855091361E-2</v>
      </c>
    </row>
    <row r="304" spans="1:59" ht="12" customHeight="1" x14ac:dyDescent="0.2">
      <c r="A304" s="1" t="s">
        <v>49</v>
      </c>
      <c r="B304" t="s">
        <v>64</v>
      </c>
      <c r="C304" s="10" t="s">
        <v>46</v>
      </c>
      <c r="D304" s="13">
        <v>2.8093918621628321E-2</v>
      </c>
      <c r="E304" s="13">
        <v>2.6693126212550052E-2</v>
      </c>
      <c r="F304" s="13">
        <v>6.8996674795985244E-2</v>
      </c>
      <c r="G304" s="13">
        <v>8.5884546042887866E-2</v>
      </c>
      <c r="H304" s="13">
        <v>1.535944935509089E-2</v>
      </c>
      <c r="I304" s="13">
        <v>9.1044113629494203E-3</v>
      </c>
      <c r="J304" s="13">
        <v>6.8637161512231371E-3</v>
      </c>
      <c r="K304" s="13">
        <v>4.0348402106140067E-3</v>
      </c>
      <c r="L304" s="14">
        <v>5.2314323117758918E-3</v>
      </c>
      <c r="M304" s="13">
        <v>4.2117535122669749E-3</v>
      </c>
      <c r="N304" s="13">
        <v>3.949001421494366E-3</v>
      </c>
      <c r="O304" s="13">
        <v>2.7333061373302778E-3</v>
      </c>
      <c r="P304" s="13">
        <v>6.1324940435341221E-3</v>
      </c>
      <c r="Q304" s="13">
        <v>2.833435379108757E-3</v>
      </c>
      <c r="R304" s="13">
        <v>2.6523330608874008E-3</v>
      </c>
      <c r="S304" s="13">
        <v>4.5153100118008058E-3</v>
      </c>
      <c r="T304" s="13">
        <v>4.6427634534342956E-3</v>
      </c>
      <c r="U304" s="13">
        <v>6.0424257280400464E-3</v>
      </c>
      <c r="V304" s="13">
        <v>6.7574999407600386E-3</v>
      </c>
      <c r="W304" s="13">
        <v>6.2764242075058979E-3</v>
      </c>
      <c r="X304" s="13">
        <v>5.9222766960118382E-3</v>
      </c>
      <c r="Y304" s="13">
        <v>5.8933937985900693E-3</v>
      </c>
      <c r="Z304" s="14">
        <v>5.2806483489862659E-3</v>
      </c>
      <c r="AA304" s="14">
        <v>6.1564519000421791E-3</v>
      </c>
      <c r="AB304" s="14">
        <v>4.6689618164358444E-3</v>
      </c>
      <c r="AC304" s="14">
        <v>1.167132863786878E-2</v>
      </c>
      <c r="AD304" s="14">
        <v>6.6856326460286563E-3</v>
      </c>
      <c r="AE304" s="14">
        <v>1.0174432409925979E-2</v>
      </c>
      <c r="AF304" s="25">
        <v>8.3000888775648148E-3</v>
      </c>
      <c r="AG304" s="13">
        <v>9.2078706428470585E-3</v>
      </c>
      <c r="AH304" s="13">
        <v>8.5920061440916285E-3</v>
      </c>
      <c r="AI304" s="15">
        <v>8.5920061440916285E-3</v>
      </c>
      <c r="AJ304" s="13">
        <v>8.5920061440916285E-3</v>
      </c>
      <c r="AK304" s="13">
        <v>8.5920061440916285E-3</v>
      </c>
      <c r="AL304" s="13">
        <v>8.5920061440916285E-3</v>
      </c>
      <c r="AM304" s="13">
        <v>8.5920061440916285E-3</v>
      </c>
      <c r="AN304" s="13">
        <v>8.5920061440916285E-3</v>
      </c>
      <c r="AO304" s="13">
        <v>8.5920061440916285E-3</v>
      </c>
      <c r="AP304" s="13">
        <v>8.5920061440916285E-3</v>
      </c>
      <c r="AQ304" s="13">
        <v>8.5920061440916285E-3</v>
      </c>
      <c r="AR304" s="13">
        <v>8.5920061440916285E-3</v>
      </c>
      <c r="AS304" s="13">
        <v>8.5920061440916285E-3</v>
      </c>
      <c r="AT304" s="13">
        <v>8.5920061440916285E-3</v>
      </c>
      <c r="AU304" s="13">
        <v>8.5920061440916285E-3</v>
      </c>
      <c r="AV304" s="13">
        <v>8.5920061440916285E-3</v>
      </c>
      <c r="AW304" s="13">
        <v>8.5920061440916285E-3</v>
      </c>
      <c r="AX304" s="13">
        <v>8.5920061440916285E-3</v>
      </c>
      <c r="AY304" s="13">
        <v>8.5920061440916285E-3</v>
      </c>
      <c r="AZ304" s="13">
        <v>8.5920061440916285E-3</v>
      </c>
      <c r="BA304" s="13">
        <v>8.5920061440916285E-3</v>
      </c>
      <c r="BB304" s="13">
        <v>8.5920061440916285E-3</v>
      </c>
      <c r="BC304" s="13">
        <v>8.5920061440916285E-3</v>
      </c>
      <c r="BD304" s="13">
        <v>8.5920061440916285E-3</v>
      </c>
      <c r="BE304" s="13">
        <v>8.5920061440916285E-3</v>
      </c>
      <c r="BF304" s="13">
        <v>8.5920061440916285E-3</v>
      </c>
      <c r="BG304" s="13">
        <v>8.5920061440916285E-3</v>
      </c>
    </row>
    <row r="305" spans="1:59" ht="12" customHeight="1" x14ac:dyDescent="0.2">
      <c r="A305" s="1" t="s">
        <v>50</v>
      </c>
      <c r="B305" t="s">
        <v>64</v>
      </c>
      <c r="C305" s="10" t="s">
        <v>46</v>
      </c>
      <c r="D305" s="13">
        <v>9.9066643047779996E-4</v>
      </c>
      <c r="E305" s="13">
        <v>5.7218912297594341E-4</v>
      </c>
      <c r="F305" s="13">
        <v>1.650022648690902E-2</v>
      </c>
      <c r="G305" s="13">
        <v>1.6754373053718762E-2</v>
      </c>
      <c r="H305" s="13">
        <v>7.6408223075021778E-4</v>
      </c>
      <c r="I305" s="13">
        <v>9.03502219512624E-3</v>
      </c>
      <c r="J305" s="13">
        <v>6.8257551376307575E-4</v>
      </c>
      <c r="K305" s="13">
        <v>1.9203905385706699E-3</v>
      </c>
      <c r="L305" s="14">
        <v>3.9880344005521796E-3</v>
      </c>
      <c r="M305" s="13">
        <v>4.380354432465418E-3</v>
      </c>
      <c r="N305" s="13">
        <v>2.6920176080322692E-3</v>
      </c>
      <c r="O305" s="13">
        <v>3.4193321786295818E-3</v>
      </c>
      <c r="P305" s="13">
        <v>5.1564899223362779E-3</v>
      </c>
      <c r="Q305" s="13">
        <v>5.203573982230935E-3</v>
      </c>
      <c r="R305" s="13">
        <v>6.228952874653978E-3</v>
      </c>
      <c r="S305" s="13">
        <v>6.8957318146785429E-3</v>
      </c>
      <c r="T305" s="13">
        <v>5.2431063451915524E-3</v>
      </c>
      <c r="U305" s="13">
        <v>4.1703171999104378E-3</v>
      </c>
      <c r="V305" s="13">
        <v>4.0179172316252929E-3</v>
      </c>
      <c r="W305" s="13">
        <v>3.6361790204674188E-3</v>
      </c>
      <c r="X305" s="13">
        <v>3.7796470887765509E-3</v>
      </c>
      <c r="Y305" s="13">
        <v>3.266037518590155E-3</v>
      </c>
      <c r="Z305" s="14">
        <v>4.8328371067070516E-3</v>
      </c>
      <c r="AA305" s="14">
        <v>3.612330102405224E-3</v>
      </c>
      <c r="AB305" s="14">
        <v>4.3720319681785072E-3</v>
      </c>
      <c r="AC305" s="14">
        <v>2.1898254034721652E-2</v>
      </c>
      <c r="AD305" s="14">
        <v>5.3644209178523418E-3</v>
      </c>
      <c r="AE305" s="14">
        <v>4.7760718472617822E-3</v>
      </c>
      <c r="AF305" s="25">
        <v>9.1026946920035705E-3</v>
      </c>
      <c r="AG305" s="13">
        <v>1.0285360372959837E-2</v>
      </c>
      <c r="AH305" s="13">
        <v>7.3821369575193824E-3</v>
      </c>
      <c r="AI305" s="15">
        <v>7.3821369575193824E-3</v>
      </c>
      <c r="AJ305" s="13">
        <v>7.3821369575193824E-3</v>
      </c>
      <c r="AK305" s="13">
        <v>7.3821369575193824E-3</v>
      </c>
      <c r="AL305" s="13">
        <v>7.3821369575193824E-3</v>
      </c>
      <c r="AM305" s="13">
        <v>7.3821369575193824E-3</v>
      </c>
      <c r="AN305" s="13">
        <v>7.3821369575193824E-3</v>
      </c>
      <c r="AO305" s="13">
        <v>7.3821369575193824E-3</v>
      </c>
      <c r="AP305" s="13">
        <v>7.3821369575193824E-3</v>
      </c>
      <c r="AQ305" s="13">
        <v>7.3821369575193824E-3</v>
      </c>
      <c r="AR305" s="13">
        <v>7.3821369575193824E-3</v>
      </c>
      <c r="AS305" s="13">
        <v>7.3821369575193824E-3</v>
      </c>
      <c r="AT305" s="13">
        <v>7.3821369575193824E-3</v>
      </c>
      <c r="AU305" s="13">
        <v>7.3821369575193824E-3</v>
      </c>
      <c r="AV305" s="13">
        <v>7.3821369575193824E-3</v>
      </c>
      <c r="AW305" s="13">
        <v>7.3821369575193824E-3</v>
      </c>
      <c r="AX305" s="13">
        <v>7.3821369575193824E-3</v>
      </c>
      <c r="AY305" s="13">
        <v>7.3821369575193824E-3</v>
      </c>
      <c r="AZ305" s="13">
        <v>7.3821369575193824E-3</v>
      </c>
      <c r="BA305" s="13">
        <v>7.3821369575193824E-3</v>
      </c>
      <c r="BB305" s="13">
        <v>7.3821369575193824E-3</v>
      </c>
      <c r="BC305" s="13">
        <v>7.3821369575193824E-3</v>
      </c>
      <c r="BD305" s="13">
        <v>7.3821369575193824E-3</v>
      </c>
      <c r="BE305" s="13">
        <v>7.3821369575193824E-3</v>
      </c>
      <c r="BF305" s="13">
        <v>7.3821369575193824E-3</v>
      </c>
      <c r="BG305" s="13">
        <v>7.3821369575193824E-3</v>
      </c>
    </row>
    <row r="306" spans="1:59" ht="12" customHeight="1" x14ac:dyDescent="0.2">
      <c r="A306" s="1" t="s">
        <v>51</v>
      </c>
      <c r="B306" t="s">
        <v>64</v>
      </c>
      <c r="C306" s="10" t="s">
        <v>46</v>
      </c>
      <c r="D306" s="13">
        <v>6.77241828033479E-4</v>
      </c>
      <c r="E306" s="13">
        <v>2.6793826451619141E-2</v>
      </c>
      <c r="F306" s="13">
        <v>6.5854129672649628E-2</v>
      </c>
      <c r="G306" s="13">
        <v>8.520942046044816E-2</v>
      </c>
      <c r="H306" s="13">
        <v>1.9214298281066949E-2</v>
      </c>
      <c r="I306" s="13">
        <v>9.1301389743370334E-2</v>
      </c>
      <c r="J306" s="13">
        <v>2.500393713285734E-2</v>
      </c>
      <c r="K306" s="13">
        <v>2.2179721354351941E-4</v>
      </c>
      <c r="L306" s="14">
        <v>2.3849365479662249E-4</v>
      </c>
      <c r="M306" s="13">
        <v>7.48181298474173E-4</v>
      </c>
      <c r="N306" s="13">
        <v>3.0167603614888468E-4</v>
      </c>
      <c r="O306" s="13">
        <v>5.503395441935477E-4</v>
      </c>
      <c r="P306" s="13">
        <v>2.3376870306156369E-3</v>
      </c>
      <c r="Q306" s="13">
        <v>9.9400314343382865E-4</v>
      </c>
      <c r="R306" s="13">
        <v>1.149434921281407E-4</v>
      </c>
      <c r="S306" s="13">
        <v>3.591209713261219E-4</v>
      </c>
      <c r="T306" s="13">
        <v>3.9270365204949789E-4</v>
      </c>
      <c r="U306" s="13">
        <v>2.7335018816385971E-4</v>
      </c>
      <c r="V306" s="13">
        <v>4.0081727891724318E-4</v>
      </c>
      <c r="W306" s="13">
        <v>4.1996454372478101E-3</v>
      </c>
      <c r="X306" s="13">
        <v>7.0378883312170511E-3</v>
      </c>
      <c r="Y306" s="13">
        <v>6.2580177154289143E-3</v>
      </c>
      <c r="Z306" s="14">
        <v>8.8138178057889961E-3</v>
      </c>
      <c r="AA306" s="14">
        <v>6.0211479519730032E-3</v>
      </c>
      <c r="AB306" s="14">
        <v>6.0291674145860643E-4</v>
      </c>
      <c r="AC306" s="14">
        <v>2.0284274318958649E-2</v>
      </c>
      <c r="AD306" s="14">
        <v>6.9521135436497003E-4</v>
      </c>
      <c r="AE306" s="14">
        <v>3.6412166456562078E-3</v>
      </c>
      <c r="AF306" s="25">
        <v>6.3059047651096078E-3</v>
      </c>
      <c r="AG306" s="13">
        <v>7.7316517710223588E-3</v>
      </c>
      <c r="AH306" s="13">
        <v>4.5934961340382864E-3</v>
      </c>
      <c r="AI306" s="15">
        <v>4.5934961340382864E-3</v>
      </c>
      <c r="AJ306" s="13">
        <v>4.5934961340382864E-3</v>
      </c>
      <c r="AK306" s="13">
        <v>4.5934961340382864E-3</v>
      </c>
      <c r="AL306" s="13">
        <v>4.5934961340382864E-3</v>
      </c>
      <c r="AM306" s="13">
        <v>4.5934961340382864E-3</v>
      </c>
      <c r="AN306" s="13">
        <v>4.5934961340382864E-3</v>
      </c>
      <c r="AO306" s="13">
        <v>4.5934961340382864E-3</v>
      </c>
      <c r="AP306" s="13">
        <v>4.5934961340382864E-3</v>
      </c>
      <c r="AQ306" s="13">
        <v>4.5934961340382864E-3</v>
      </c>
      <c r="AR306" s="13">
        <v>4.5934961340382864E-3</v>
      </c>
      <c r="AS306" s="13">
        <v>4.5934961340382864E-3</v>
      </c>
      <c r="AT306" s="13">
        <v>4.5934961340382864E-3</v>
      </c>
      <c r="AU306" s="13">
        <v>4.5934961340382864E-3</v>
      </c>
      <c r="AV306" s="13">
        <v>4.5934961340382864E-3</v>
      </c>
      <c r="AW306" s="13">
        <v>4.5934961340382864E-3</v>
      </c>
      <c r="AX306" s="13">
        <v>4.5934961340382864E-3</v>
      </c>
      <c r="AY306" s="13">
        <v>4.5934961340382864E-3</v>
      </c>
      <c r="AZ306" s="13">
        <v>4.5934961340382864E-3</v>
      </c>
      <c r="BA306" s="13">
        <v>4.5934961340382864E-3</v>
      </c>
      <c r="BB306" s="13">
        <v>4.5934961340382864E-3</v>
      </c>
      <c r="BC306" s="13">
        <v>4.5934961340382864E-3</v>
      </c>
      <c r="BD306" s="13">
        <v>4.5934961340382864E-3</v>
      </c>
      <c r="BE306" s="13">
        <v>4.5934961340382864E-3</v>
      </c>
      <c r="BF306" s="13">
        <v>4.5934961340382864E-3</v>
      </c>
      <c r="BG306" s="13">
        <v>4.5934961340382864E-3</v>
      </c>
    </row>
    <row r="307" spans="1:59" ht="12" customHeight="1" x14ac:dyDescent="0.2">
      <c r="A307" s="1" t="s">
        <v>52</v>
      </c>
      <c r="B307" t="s">
        <v>64</v>
      </c>
      <c r="C307" s="10" t="s">
        <v>46</v>
      </c>
      <c r="D307" s="13">
        <v>4.3231555858639463E-2</v>
      </c>
      <c r="E307" s="13">
        <v>2.589439769312844E-2</v>
      </c>
      <c r="F307" s="13">
        <v>2.6755729166560431E-2</v>
      </c>
      <c r="G307" s="13">
        <v>2.5545570222919461E-2</v>
      </c>
      <c r="H307" s="13">
        <v>4.6630623349122859E-2</v>
      </c>
      <c r="I307" s="13">
        <v>6.8503358096050862E-2</v>
      </c>
      <c r="J307" s="13">
        <v>2.380675320117057E-2</v>
      </c>
      <c r="K307" s="13">
        <v>2.9830268550604172E-3</v>
      </c>
      <c r="L307" s="14">
        <v>3.865448126441122E-3</v>
      </c>
      <c r="M307" s="13">
        <v>5.3183649588049858E-3</v>
      </c>
      <c r="N307" s="13">
        <v>6.5214472812579454E-3</v>
      </c>
      <c r="O307" s="13">
        <v>6.3919388983421799E-3</v>
      </c>
      <c r="P307" s="13">
        <v>8.7148932779625744E-3</v>
      </c>
      <c r="Q307" s="13">
        <v>6.306262676564642E-3</v>
      </c>
      <c r="R307" s="13">
        <v>9.7486057623394837E-3</v>
      </c>
      <c r="S307" s="13">
        <v>5.2032606264796298E-3</v>
      </c>
      <c r="T307" s="13">
        <v>5.3714286013801819E-3</v>
      </c>
      <c r="U307" s="13">
        <v>5.1024602384126799E-3</v>
      </c>
      <c r="V307" s="13">
        <v>4.9441093032159093E-3</v>
      </c>
      <c r="W307" s="13">
        <v>5.4282684117203687E-3</v>
      </c>
      <c r="X307" s="13">
        <v>6.049088259736656E-3</v>
      </c>
      <c r="Y307" s="13">
        <v>7.3856480113345269E-3</v>
      </c>
      <c r="Z307" s="14">
        <v>5.4435296811973007E-3</v>
      </c>
      <c r="AA307" s="14">
        <v>5.2257092813231213E-3</v>
      </c>
      <c r="AB307" s="14">
        <v>5.3035487808907921E-3</v>
      </c>
      <c r="AC307" s="14">
        <v>1.8447334616832949E-2</v>
      </c>
      <c r="AD307" s="14">
        <v>1.805633273598191E-3</v>
      </c>
      <c r="AE307" s="14">
        <v>7.268944636546858E-3</v>
      </c>
      <c r="AF307" s="25">
        <v>8.2063653269671966E-3</v>
      </c>
      <c r="AG307" s="13">
        <v>8.9320694634862988E-3</v>
      </c>
      <c r="AH307" s="13">
        <v>6.5532531751496363E-3</v>
      </c>
      <c r="AI307" s="15">
        <v>6.5532531751496363E-3</v>
      </c>
      <c r="AJ307" s="13">
        <v>6.5532531751496363E-3</v>
      </c>
      <c r="AK307" s="13">
        <v>6.5532531751496363E-3</v>
      </c>
      <c r="AL307" s="13">
        <v>6.5532531751496363E-3</v>
      </c>
      <c r="AM307" s="13">
        <v>6.5532531751496363E-3</v>
      </c>
      <c r="AN307" s="13">
        <v>6.5532531751496363E-3</v>
      </c>
      <c r="AO307" s="13">
        <v>6.5532531751496363E-3</v>
      </c>
      <c r="AP307" s="13">
        <v>6.5532531751496363E-3</v>
      </c>
      <c r="AQ307" s="13">
        <v>6.5532531751496363E-3</v>
      </c>
      <c r="AR307" s="13">
        <v>6.5532531751496363E-3</v>
      </c>
      <c r="AS307" s="13">
        <v>6.5532531751496363E-3</v>
      </c>
      <c r="AT307" s="13">
        <v>6.5532531751496363E-3</v>
      </c>
      <c r="AU307" s="13">
        <v>6.5532531751496363E-3</v>
      </c>
      <c r="AV307" s="13">
        <v>6.5532531751496363E-3</v>
      </c>
      <c r="AW307" s="13">
        <v>6.5532531751496363E-3</v>
      </c>
      <c r="AX307" s="13">
        <v>6.5532531751496363E-3</v>
      </c>
      <c r="AY307" s="13">
        <v>6.5532531751496363E-3</v>
      </c>
      <c r="AZ307" s="13">
        <v>6.5532531751496363E-3</v>
      </c>
      <c r="BA307" s="13">
        <v>6.5532531751496363E-3</v>
      </c>
      <c r="BB307" s="13">
        <v>6.5532531751496363E-3</v>
      </c>
      <c r="BC307" s="13">
        <v>6.5532531751496363E-3</v>
      </c>
      <c r="BD307" s="13">
        <v>6.5532531751496363E-3</v>
      </c>
      <c r="BE307" s="13">
        <v>6.5532531751496363E-3</v>
      </c>
      <c r="BF307" s="13">
        <v>6.5532531751496363E-3</v>
      </c>
      <c r="BG307" s="13">
        <v>6.5532531751496363E-3</v>
      </c>
    </row>
    <row r="308" spans="1:59" ht="12" customHeight="1" x14ac:dyDescent="0.2">
      <c r="A308" s="1" t="s">
        <v>53</v>
      </c>
      <c r="B308" t="s">
        <v>64</v>
      </c>
      <c r="C308" s="10" t="s">
        <v>46</v>
      </c>
      <c r="D308" s="13">
        <v>5.1706261098552787E-2</v>
      </c>
      <c r="E308" s="13">
        <v>1.529978378564972E-2</v>
      </c>
      <c r="F308" s="13">
        <v>2.1111953139458468E-2</v>
      </c>
      <c r="G308" s="13">
        <v>0.1089035101767681</v>
      </c>
      <c r="H308" s="13">
        <v>6.3321631046585086E-2</v>
      </c>
      <c r="I308" s="13">
        <v>6.567137245100417E-2</v>
      </c>
      <c r="J308" s="13">
        <v>0.14269257017967671</v>
      </c>
      <c r="K308" s="13">
        <v>0.21241800917135731</v>
      </c>
      <c r="L308" s="14">
        <v>0.1888963881016579</v>
      </c>
      <c r="M308" s="13">
        <v>0.26532879393893471</v>
      </c>
      <c r="N308" s="13">
        <v>0.28985089648822793</v>
      </c>
      <c r="O308" s="13">
        <v>0.23011580052932529</v>
      </c>
      <c r="P308" s="13">
        <v>0.29256646713182438</v>
      </c>
      <c r="Q308" s="13">
        <v>0.1137601263796689</v>
      </c>
      <c r="R308" s="13">
        <v>3.0885935397329509E-2</v>
      </c>
      <c r="S308" s="13">
        <v>2.642701564925512E-2</v>
      </c>
      <c r="T308" s="13">
        <v>2.5280038351668369E-2</v>
      </c>
      <c r="U308" s="13">
        <v>3.3560938085221162E-2</v>
      </c>
      <c r="V308" s="13">
        <v>3.1736172603737338E-2</v>
      </c>
      <c r="W308" s="13">
        <v>3.6846018894388807E-2</v>
      </c>
      <c r="X308" s="13">
        <v>4.9147166283298703E-2</v>
      </c>
      <c r="Y308" s="13">
        <v>9.0868842161627744E-2</v>
      </c>
      <c r="Z308" s="14">
        <v>0.12359645162320609</v>
      </c>
      <c r="AA308" s="14">
        <v>6.073128328357183E-2</v>
      </c>
      <c r="AB308" s="14">
        <v>6.1402336727647798E-2</v>
      </c>
      <c r="AC308" s="14">
        <v>3.1670307664444598E-2</v>
      </c>
      <c r="AD308" s="14">
        <v>5.7391999420219768E-2</v>
      </c>
      <c r="AE308" s="14">
        <v>0.17982842865928619</v>
      </c>
      <c r="AF308" s="25">
        <v>8.2573268117899584E-2</v>
      </c>
      <c r="AG308" s="13">
        <v>8.7866000965462543E-2</v>
      </c>
      <c r="AH308" s="13">
        <v>0.10191492429071702</v>
      </c>
      <c r="AI308" s="15">
        <v>0.10191492429071702</v>
      </c>
      <c r="AJ308" s="13">
        <v>0.10191492429071702</v>
      </c>
      <c r="AK308" s="13">
        <v>0.10191492429071702</v>
      </c>
      <c r="AL308" s="13">
        <v>0.10191492429071702</v>
      </c>
      <c r="AM308" s="13">
        <v>0.10191492429071702</v>
      </c>
      <c r="AN308" s="13">
        <v>0.10191492429071702</v>
      </c>
      <c r="AO308" s="13">
        <v>0.10191492429071702</v>
      </c>
      <c r="AP308" s="13">
        <v>0.10191492429071702</v>
      </c>
      <c r="AQ308" s="13">
        <v>0.10191492429071702</v>
      </c>
      <c r="AR308" s="13">
        <v>0.10191492429071702</v>
      </c>
      <c r="AS308" s="13">
        <v>0.10191492429071702</v>
      </c>
      <c r="AT308" s="13">
        <v>0.10191492429071702</v>
      </c>
      <c r="AU308" s="13">
        <v>0.10191492429071702</v>
      </c>
      <c r="AV308" s="13">
        <v>0.10191492429071702</v>
      </c>
      <c r="AW308" s="13">
        <v>0.10191492429071702</v>
      </c>
      <c r="AX308" s="13">
        <v>0.10191492429071702</v>
      </c>
      <c r="AY308" s="13">
        <v>0.10191492429071702</v>
      </c>
      <c r="AZ308" s="13">
        <v>0.10191492429071702</v>
      </c>
      <c r="BA308" s="13">
        <v>0.10191492429071702</v>
      </c>
      <c r="BB308" s="13">
        <v>0.10191492429071702</v>
      </c>
      <c r="BC308" s="13">
        <v>0.10191492429071702</v>
      </c>
      <c r="BD308" s="13">
        <v>0.10191492429071702</v>
      </c>
      <c r="BE308" s="13">
        <v>0.10191492429071702</v>
      </c>
      <c r="BF308" s="13">
        <v>0.10191492429071702</v>
      </c>
      <c r="BG308" s="13">
        <v>0.10191492429071702</v>
      </c>
    </row>
    <row r="309" spans="1:59" ht="12" customHeight="1" x14ac:dyDescent="0.2">
      <c r="A309" s="1" t="s">
        <v>54</v>
      </c>
      <c r="B309" t="s">
        <v>64</v>
      </c>
      <c r="C309" s="10" t="s">
        <v>46</v>
      </c>
      <c r="D309" s="13">
        <v>0.48957963337673049</v>
      </c>
      <c r="E309" s="13">
        <v>0.28566709415519309</v>
      </c>
      <c r="F309" s="13">
        <v>0.12890141479244849</v>
      </c>
      <c r="G309" s="13">
        <v>2.7529437929018508E-2</v>
      </c>
      <c r="H309" s="13">
        <v>8.0320564875227367E-3</v>
      </c>
      <c r="I309" s="13">
        <v>2.465474927659992E-2</v>
      </c>
      <c r="J309" s="13">
        <v>1.466661886962064E-2</v>
      </c>
      <c r="K309" s="13">
        <v>1.858835162681418E-2</v>
      </c>
      <c r="L309" s="14">
        <v>3.1720476714209557E-2</v>
      </c>
      <c r="M309" s="13">
        <v>1.592905985522141E-2</v>
      </c>
      <c r="N309" s="13">
        <v>2.1480793181887649E-2</v>
      </c>
      <c r="O309" s="13">
        <v>1.6750765967833751E-2</v>
      </c>
      <c r="P309" s="13">
        <v>1.1346979261013501E-2</v>
      </c>
      <c r="Q309" s="13">
        <v>1.3540685786107639E-2</v>
      </c>
      <c r="R309" s="13">
        <v>1.7504370563597701E-2</v>
      </c>
      <c r="S309" s="13">
        <v>2.94632544107447E-2</v>
      </c>
      <c r="T309" s="13">
        <v>3.9562613412595947E-2</v>
      </c>
      <c r="U309" s="13">
        <v>4.2827924132475902E-2</v>
      </c>
      <c r="V309" s="13">
        <v>7.5019183866794015E-2</v>
      </c>
      <c r="W309" s="13">
        <v>8.6678551217575894E-2</v>
      </c>
      <c r="X309" s="13">
        <v>8.7075440893165629E-2</v>
      </c>
      <c r="Y309" s="13">
        <v>0.12814908644602829</v>
      </c>
      <c r="Z309" s="14">
        <v>0.12893445734122999</v>
      </c>
      <c r="AA309" s="14">
        <v>0.1351548560946613</v>
      </c>
      <c r="AB309" s="14">
        <v>0.18409820247875761</v>
      </c>
      <c r="AC309" s="14">
        <v>0.20686434818974669</v>
      </c>
      <c r="AD309" s="14">
        <v>0.27259427954244431</v>
      </c>
      <c r="AE309" s="14">
        <v>9.0431508846983116E-2</v>
      </c>
      <c r="AF309" s="25">
        <v>0.18849708476448293</v>
      </c>
      <c r="AG309" s="13">
        <v>0.18959680533591425</v>
      </c>
      <c r="AH309" s="13">
        <v>0.18527991962245616</v>
      </c>
      <c r="AI309" s="15">
        <v>0.18527991962245616</v>
      </c>
      <c r="AJ309" s="13">
        <v>0.18527991962245616</v>
      </c>
      <c r="AK309" s="13">
        <v>0.18527991962245616</v>
      </c>
      <c r="AL309" s="13">
        <v>0.18527991962245616</v>
      </c>
      <c r="AM309" s="13">
        <v>0.18527991962245616</v>
      </c>
      <c r="AN309" s="13">
        <v>0.18527991962245616</v>
      </c>
      <c r="AO309" s="13">
        <v>0.18527991962245616</v>
      </c>
      <c r="AP309" s="13">
        <v>0.18527991962245616</v>
      </c>
      <c r="AQ309" s="13">
        <v>0.18527991962245616</v>
      </c>
      <c r="AR309" s="13">
        <v>0.18527991962245616</v>
      </c>
      <c r="AS309" s="13">
        <v>0.18527991962245616</v>
      </c>
      <c r="AT309" s="13">
        <v>0.18527991962245616</v>
      </c>
      <c r="AU309" s="13">
        <v>0.18527991962245616</v>
      </c>
      <c r="AV309" s="13">
        <v>0.18527991962245616</v>
      </c>
      <c r="AW309" s="13">
        <v>0.18527991962245616</v>
      </c>
      <c r="AX309" s="13">
        <v>0.18527991962245616</v>
      </c>
      <c r="AY309" s="13">
        <v>0.18527991962245616</v>
      </c>
      <c r="AZ309" s="13">
        <v>0.18527991962245616</v>
      </c>
      <c r="BA309" s="13">
        <v>0.18527991962245616</v>
      </c>
      <c r="BB309" s="13">
        <v>0.18527991962245616</v>
      </c>
      <c r="BC309" s="13">
        <v>0.18527991962245616</v>
      </c>
      <c r="BD309" s="13">
        <v>0.18527991962245616</v>
      </c>
      <c r="BE309" s="13">
        <v>0.18527991962245616</v>
      </c>
      <c r="BF309" s="13">
        <v>0.18527991962245616</v>
      </c>
      <c r="BG309" s="13">
        <v>0.18527991962245616</v>
      </c>
    </row>
    <row r="310" spans="1:59" ht="12" customHeight="1" x14ac:dyDescent="0.2">
      <c r="A310" s="1" t="s">
        <v>55</v>
      </c>
      <c r="B310" t="s">
        <v>64</v>
      </c>
      <c r="C310" s="10" t="s">
        <v>46</v>
      </c>
      <c r="D310" s="13">
        <v>4.8957823052280733E-2</v>
      </c>
      <c r="E310" s="13">
        <v>6.3144295918921428E-2</v>
      </c>
      <c r="F310" s="13">
        <v>7.7009786651495923E-2</v>
      </c>
      <c r="G310" s="13">
        <v>8.3497718746024838E-2</v>
      </c>
      <c r="H310" s="13">
        <v>2.345577981789046E-2</v>
      </c>
      <c r="I310" s="13">
        <v>5.1421927132058051E-2</v>
      </c>
      <c r="J310" s="13">
        <v>2.8375439853132189E-2</v>
      </c>
      <c r="K310" s="13">
        <v>2.442768558395244E-2</v>
      </c>
      <c r="L310" s="14">
        <v>1.6473142881471281E-2</v>
      </c>
      <c r="M310" s="13">
        <v>3.0614606478897841E-2</v>
      </c>
      <c r="N310" s="13">
        <v>1.33489262065972E-2</v>
      </c>
      <c r="O310" s="13">
        <v>1.595848344813908E-2</v>
      </c>
      <c r="P310" s="13">
        <v>1.7952503225144061E-2</v>
      </c>
      <c r="Q310" s="13">
        <v>1.958561938478133E-2</v>
      </c>
      <c r="R310" s="13">
        <v>1.5065193992129151E-2</v>
      </c>
      <c r="S310" s="13">
        <v>1.6812936902688511E-2</v>
      </c>
      <c r="T310" s="13">
        <v>1.1054230280011779E-2</v>
      </c>
      <c r="U310" s="13">
        <v>1.074140430225211E-2</v>
      </c>
      <c r="V310" s="13">
        <v>1.307678342849318E-2</v>
      </c>
      <c r="W310" s="13">
        <v>1.3398848931100689E-2</v>
      </c>
      <c r="X310" s="13">
        <v>1.2671519004258039E-2</v>
      </c>
      <c r="Y310" s="13">
        <v>1.205752622110089E-2</v>
      </c>
      <c r="Z310" s="14">
        <v>1.378577784237201E-2</v>
      </c>
      <c r="AA310" s="14">
        <v>1.482232243910891E-2</v>
      </c>
      <c r="AB310" s="14">
        <v>1.6862284337974889E-2</v>
      </c>
      <c r="AC310" s="14">
        <v>1.743230198394044E-2</v>
      </c>
      <c r="AD310" s="14">
        <v>2.0458079324785841E-2</v>
      </c>
      <c r="AE310" s="14">
        <v>2.272347416459794E-2</v>
      </c>
      <c r="AF310" s="25">
        <v>1.9369034952824778E-2</v>
      </c>
      <c r="AG310" s="13">
        <v>1.9995722606537251E-2</v>
      </c>
      <c r="AH310" s="13">
        <v>2.0636577762186456E-2</v>
      </c>
      <c r="AI310" s="15">
        <v>2.0636577762186456E-2</v>
      </c>
      <c r="AJ310" s="13">
        <v>2.0636577762186456E-2</v>
      </c>
      <c r="AK310" s="13">
        <v>2.0636577762186456E-2</v>
      </c>
      <c r="AL310" s="13">
        <v>2.0636577762186456E-2</v>
      </c>
      <c r="AM310" s="13">
        <v>2.0636577762186456E-2</v>
      </c>
      <c r="AN310" s="13">
        <v>2.0636577762186456E-2</v>
      </c>
      <c r="AO310" s="13">
        <v>2.0636577762186456E-2</v>
      </c>
      <c r="AP310" s="13">
        <v>2.0636577762186456E-2</v>
      </c>
      <c r="AQ310" s="13">
        <v>2.0636577762186456E-2</v>
      </c>
      <c r="AR310" s="13">
        <v>2.0636577762186456E-2</v>
      </c>
      <c r="AS310" s="13">
        <v>2.0636577762186456E-2</v>
      </c>
      <c r="AT310" s="13">
        <v>2.0636577762186456E-2</v>
      </c>
      <c r="AU310" s="13">
        <v>2.0636577762186456E-2</v>
      </c>
      <c r="AV310" s="13">
        <v>2.0636577762186456E-2</v>
      </c>
      <c r="AW310" s="13">
        <v>2.0636577762186456E-2</v>
      </c>
      <c r="AX310" s="13">
        <v>2.0636577762186456E-2</v>
      </c>
      <c r="AY310" s="13">
        <v>2.0636577762186456E-2</v>
      </c>
      <c r="AZ310" s="13">
        <v>2.0636577762186456E-2</v>
      </c>
      <c r="BA310" s="13">
        <v>2.0636577762186456E-2</v>
      </c>
      <c r="BB310" s="13">
        <v>2.0636577762186456E-2</v>
      </c>
      <c r="BC310" s="13">
        <v>2.0636577762186456E-2</v>
      </c>
      <c r="BD310" s="13">
        <v>2.0636577762186456E-2</v>
      </c>
      <c r="BE310" s="13">
        <v>2.0636577762186456E-2</v>
      </c>
      <c r="BF310" s="13">
        <v>2.0636577762186456E-2</v>
      </c>
      <c r="BG310" s="13">
        <v>2.0636577762186456E-2</v>
      </c>
    </row>
    <row r="311" spans="1:59" ht="12" customHeight="1" x14ac:dyDescent="0.2">
      <c r="A311" s="1" t="s">
        <v>56</v>
      </c>
      <c r="B311" t="s">
        <v>64</v>
      </c>
      <c r="C311" s="10" t="s">
        <v>46</v>
      </c>
      <c r="D311" s="13">
        <v>6.6756979792584492E-2</v>
      </c>
      <c r="E311" s="13">
        <v>3.0917305986535162E-2</v>
      </c>
      <c r="F311" s="13">
        <v>8.4104964653329159E-2</v>
      </c>
      <c r="G311" s="13">
        <v>6.2747201765729191E-2</v>
      </c>
      <c r="H311" s="13">
        <v>1.2210820964773101E-2</v>
      </c>
      <c r="I311" s="13">
        <v>2.992991909209208E-2</v>
      </c>
      <c r="J311" s="13">
        <v>8.7334810537597393E-3</v>
      </c>
      <c r="K311" s="13">
        <v>1.6774759495314619E-2</v>
      </c>
      <c r="L311" s="14">
        <v>1.6295214041424311E-2</v>
      </c>
      <c r="M311" s="13">
        <v>1.4453573418305299E-2</v>
      </c>
      <c r="N311" s="13">
        <v>1.162527936675267E-2</v>
      </c>
      <c r="O311" s="13">
        <v>1.2901587629275039E-2</v>
      </c>
      <c r="P311" s="13">
        <v>4.86105947825564E-3</v>
      </c>
      <c r="Q311" s="13">
        <v>2.3596188532938291E-2</v>
      </c>
      <c r="R311" s="13">
        <v>3.8016458893317749E-2</v>
      </c>
      <c r="S311" s="13">
        <v>4.3817030461305549E-2</v>
      </c>
      <c r="T311" s="13">
        <v>4.4310886005053493E-2</v>
      </c>
      <c r="U311" s="13">
        <v>5.4547317785681497E-2</v>
      </c>
      <c r="V311" s="13">
        <v>6.6055282084288444E-2</v>
      </c>
      <c r="W311" s="13">
        <v>7.3689315424565818E-2</v>
      </c>
      <c r="X311" s="13">
        <v>9.5578469368158114E-2</v>
      </c>
      <c r="Y311" s="13">
        <v>9.1381728212673E-2</v>
      </c>
      <c r="Z311" s="14">
        <v>9.6348443656212868E-2</v>
      </c>
      <c r="AA311" s="14">
        <v>0.1048374262461967</v>
      </c>
      <c r="AB311" s="14">
        <v>0.10680420128682459</v>
      </c>
      <c r="AC311" s="14">
        <v>5.2512793523644657E-2</v>
      </c>
      <c r="AD311" s="14">
        <v>3.660414257699459E-2</v>
      </c>
      <c r="AE311" s="14">
        <v>0.1006527464028403</v>
      </c>
      <c r="AF311" s="25">
        <v>7.4143470947576035E-2</v>
      </c>
      <c r="AG311" s="13">
        <v>6.5978288362763898E-2</v>
      </c>
      <c r="AH311" s="13">
        <v>6.9344662072543709E-2</v>
      </c>
      <c r="AI311" s="15">
        <v>6.9344662072543709E-2</v>
      </c>
      <c r="AJ311" s="13">
        <v>6.9344662072543709E-2</v>
      </c>
      <c r="AK311" s="13">
        <v>6.9344662072543709E-2</v>
      </c>
      <c r="AL311" s="13">
        <v>6.9344662072543709E-2</v>
      </c>
      <c r="AM311" s="13">
        <v>6.9344662072543709E-2</v>
      </c>
      <c r="AN311" s="13">
        <v>6.9344662072543709E-2</v>
      </c>
      <c r="AO311" s="13">
        <v>6.9344662072543709E-2</v>
      </c>
      <c r="AP311" s="13">
        <v>6.9344662072543709E-2</v>
      </c>
      <c r="AQ311" s="13">
        <v>6.9344662072543709E-2</v>
      </c>
      <c r="AR311" s="13">
        <v>6.9344662072543709E-2</v>
      </c>
      <c r="AS311" s="13">
        <v>6.9344662072543709E-2</v>
      </c>
      <c r="AT311" s="13">
        <v>6.9344662072543709E-2</v>
      </c>
      <c r="AU311" s="13">
        <v>6.9344662072543709E-2</v>
      </c>
      <c r="AV311" s="13">
        <v>6.9344662072543709E-2</v>
      </c>
      <c r="AW311" s="13">
        <v>6.9344662072543709E-2</v>
      </c>
      <c r="AX311" s="13">
        <v>6.9344662072543709E-2</v>
      </c>
      <c r="AY311" s="13">
        <v>6.9344662072543709E-2</v>
      </c>
      <c r="AZ311" s="13">
        <v>6.9344662072543709E-2</v>
      </c>
      <c r="BA311" s="13">
        <v>6.9344662072543709E-2</v>
      </c>
      <c r="BB311" s="13">
        <v>6.9344662072543709E-2</v>
      </c>
      <c r="BC311" s="13">
        <v>6.9344662072543709E-2</v>
      </c>
      <c r="BD311" s="13">
        <v>6.9344662072543709E-2</v>
      </c>
      <c r="BE311" s="13">
        <v>6.9344662072543709E-2</v>
      </c>
      <c r="BF311" s="13">
        <v>6.9344662072543709E-2</v>
      </c>
      <c r="BG311" s="13">
        <v>6.9344662072543709E-2</v>
      </c>
    </row>
    <row r="312" spans="1:59" ht="12" customHeight="1" x14ac:dyDescent="0.2">
      <c r="A312" s="1" t="s">
        <v>57</v>
      </c>
      <c r="B312" t="s">
        <v>64</v>
      </c>
      <c r="C312" s="10" t="s">
        <v>46</v>
      </c>
      <c r="D312" s="13">
        <v>9.7024321940075466E-3</v>
      </c>
      <c r="E312" s="13">
        <v>1.945396228019651E-2</v>
      </c>
      <c r="F312" s="13">
        <v>4.6285177412212913E-2</v>
      </c>
      <c r="G312" s="13">
        <v>4.9459635417634748E-2</v>
      </c>
      <c r="H312" s="13">
        <v>2.822170846665744E-2</v>
      </c>
      <c r="I312" s="13">
        <v>3.4298718209040242E-2</v>
      </c>
      <c r="J312" s="13">
        <v>1.082144374162043E-2</v>
      </c>
      <c r="K312" s="13">
        <v>2.9897635488980892E-3</v>
      </c>
      <c r="L312" s="14">
        <v>7.0439746888270524E-3</v>
      </c>
      <c r="M312" s="13">
        <v>6.3724051525897328E-3</v>
      </c>
      <c r="N312" s="13">
        <v>6.4266555007666893E-3</v>
      </c>
      <c r="O312" s="13">
        <v>8.481001445625351E-3</v>
      </c>
      <c r="P312" s="13">
        <v>8.6643873258391863E-3</v>
      </c>
      <c r="Q312" s="13">
        <v>1.014638959723174E-2</v>
      </c>
      <c r="R312" s="13">
        <v>7.1650228316728123E-3</v>
      </c>
      <c r="S312" s="13">
        <v>7.5983995464498676E-3</v>
      </c>
      <c r="T312" s="13">
        <v>6.9201687069162304E-3</v>
      </c>
      <c r="U312" s="13">
        <v>8.4365570307624611E-3</v>
      </c>
      <c r="V312" s="13">
        <v>9.9047577422737652E-3</v>
      </c>
      <c r="W312" s="13">
        <v>1.010947885361338E-2</v>
      </c>
      <c r="X312" s="13">
        <v>1.124126065640034E-2</v>
      </c>
      <c r="Y312" s="13">
        <v>1.151954143918347E-2</v>
      </c>
      <c r="Z312" s="14">
        <v>1.330936534122833E-2</v>
      </c>
      <c r="AA312" s="14">
        <v>1.541953706260151E-2</v>
      </c>
      <c r="AB312" s="14">
        <v>1.3756960580471199E-2</v>
      </c>
      <c r="AC312" s="14">
        <v>1.003175317486849E-2</v>
      </c>
      <c r="AD312" s="14">
        <v>9.2630203819323697E-3</v>
      </c>
      <c r="AE312" s="14">
        <v>1.5040648143388E-2</v>
      </c>
      <c r="AF312" s="25">
        <v>1.2023095570165015E-2</v>
      </c>
      <c r="AG312" s="13">
        <v>1.1589629317588468E-2</v>
      </c>
      <c r="AH312" s="13">
        <v>1.1979098353268464E-2</v>
      </c>
      <c r="AI312" s="15">
        <v>1.1979098353268464E-2</v>
      </c>
      <c r="AJ312" s="13">
        <v>1.1979098353268464E-2</v>
      </c>
      <c r="AK312" s="13">
        <v>1.1979098353268464E-2</v>
      </c>
      <c r="AL312" s="13">
        <v>1.1979098353268464E-2</v>
      </c>
      <c r="AM312" s="13">
        <v>1.1979098353268464E-2</v>
      </c>
      <c r="AN312" s="13">
        <v>1.1979098353268464E-2</v>
      </c>
      <c r="AO312" s="13">
        <v>1.1979098353268464E-2</v>
      </c>
      <c r="AP312" s="13">
        <v>1.1979098353268464E-2</v>
      </c>
      <c r="AQ312" s="13">
        <v>1.1979098353268464E-2</v>
      </c>
      <c r="AR312" s="13">
        <v>1.1979098353268464E-2</v>
      </c>
      <c r="AS312" s="13">
        <v>1.1979098353268464E-2</v>
      </c>
      <c r="AT312" s="13">
        <v>1.1979098353268464E-2</v>
      </c>
      <c r="AU312" s="13">
        <v>1.1979098353268464E-2</v>
      </c>
      <c r="AV312" s="13">
        <v>1.1979098353268464E-2</v>
      </c>
      <c r="AW312" s="13">
        <v>1.1979098353268464E-2</v>
      </c>
      <c r="AX312" s="13">
        <v>1.1979098353268464E-2</v>
      </c>
      <c r="AY312" s="13">
        <v>1.1979098353268464E-2</v>
      </c>
      <c r="AZ312" s="13">
        <v>1.1979098353268464E-2</v>
      </c>
      <c r="BA312" s="13">
        <v>1.1979098353268464E-2</v>
      </c>
      <c r="BB312" s="13">
        <v>1.1979098353268464E-2</v>
      </c>
      <c r="BC312" s="13">
        <v>1.1979098353268464E-2</v>
      </c>
      <c r="BD312" s="13">
        <v>1.1979098353268464E-2</v>
      </c>
      <c r="BE312" s="13">
        <v>1.1979098353268464E-2</v>
      </c>
      <c r="BF312" s="13">
        <v>1.1979098353268464E-2</v>
      </c>
      <c r="BG312" s="13">
        <v>1.1979098353268464E-2</v>
      </c>
    </row>
    <row r="313" spans="1:59" ht="12" customHeight="1" x14ac:dyDescent="0.2">
      <c r="A313" s="1" t="s">
        <v>58</v>
      </c>
      <c r="B313" t="s">
        <v>64</v>
      </c>
      <c r="C313" s="10" t="s">
        <v>46</v>
      </c>
      <c r="D313" s="13">
        <v>6.2044053680854777E-2</v>
      </c>
      <c r="E313" s="13">
        <v>2.674948056404949E-2</v>
      </c>
      <c r="F313" s="13">
        <v>2.392832320548112E-2</v>
      </c>
      <c r="G313" s="13">
        <v>6.8105940471131221E-2</v>
      </c>
      <c r="H313" s="13">
        <v>2.595868586476793E-2</v>
      </c>
      <c r="I313" s="13">
        <v>1.6624238981954139E-2</v>
      </c>
      <c r="J313" s="13">
        <v>1.087027015140335E-2</v>
      </c>
      <c r="K313" s="13">
        <v>7.8410027528339945E-3</v>
      </c>
      <c r="L313" s="14">
        <v>1.060697766630664E-2</v>
      </c>
      <c r="M313" s="13">
        <v>8.5265174486649047E-3</v>
      </c>
      <c r="N313" s="13">
        <v>1.0285362743397501E-2</v>
      </c>
      <c r="O313" s="13">
        <v>6.3193662066231334E-3</v>
      </c>
      <c r="P313" s="13">
        <v>4.4766996561745086E-3</v>
      </c>
      <c r="Q313" s="13">
        <v>8.4577657125170253E-3</v>
      </c>
      <c r="R313" s="13">
        <v>2.161997106674891E-2</v>
      </c>
      <c r="S313" s="13">
        <v>3.4003474000219518E-2</v>
      </c>
      <c r="T313" s="13">
        <v>4.8188415972619789E-2</v>
      </c>
      <c r="U313" s="13">
        <v>4.0592012104115213E-2</v>
      </c>
      <c r="V313" s="13">
        <v>4.3869901881025769E-2</v>
      </c>
      <c r="W313" s="13">
        <v>4.3318035116221287E-2</v>
      </c>
      <c r="X313" s="13">
        <v>4.250408721852382E-2</v>
      </c>
      <c r="Y313" s="13">
        <v>4.4859443007735408E-2</v>
      </c>
      <c r="Z313" s="14">
        <v>4.2848357511776923E-2</v>
      </c>
      <c r="AA313" s="14">
        <v>2.8005095707665521E-2</v>
      </c>
      <c r="AB313" s="14">
        <v>2.4745620843897271E-2</v>
      </c>
      <c r="AC313" s="14">
        <v>1.0555811791360311E-2</v>
      </c>
      <c r="AD313" s="14">
        <v>1.732588673196906E-2</v>
      </c>
      <c r="AE313" s="14">
        <v>3.009307776651534E-2</v>
      </c>
      <c r="AF313" s="25">
        <v>2.0680099283435498E-2</v>
      </c>
      <c r="AG313" s="13">
        <v>1.9663718893320054E-2</v>
      </c>
      <c r="AH313" s="13">
        <v>2.194069566880999E-2</v>
      </c>
      <c r="AI313" s="15">
        <v>2.194069566880999E-2</v>
      </c>
      <c r="AJ313" s="13">
        <v>2.194069566880999E-2</v>
      </c>
      <c r="AK313" s="13">
        <v>2.194069566880999E-2</v>
      </c>
      <c r="AL313" s="13">
        <v>2.194069566880999E-2</v>
      </c>
      <c r="AM313" s="13">
        <v>2.194069566880999E-2</v>
      </c>
      <c r="AN313" s="13">
        <v>2.194069566880999E-2</v>
      </c>
      <c r="AO313" s="13">
        <v>2.194069566880999E-2</v>
      </c>
      <c r="AP313" s="13">
        <v>2.194069566880999E-2</v>
      </c>
      <c r="AQ313" s="13">
        <v>2.194069566880999E-2</v>
      </c>
      <c r="AR313" s="13">
        <v>2.194069566880999E-2</v>
      </c>
      <c r="AS313" s="13">
        <v>2.194069566880999E-2</v>
      </c>
      <c r="AT313" s="13">
        <v>2.194069566880999E-2</v>
      </c>
      <c r="AU313" s="13">
        <v>2.194069566880999E-2</v>
      </c>
      <c r="AV313" s="13">
        <v>2.194069566880999E-2</v>
      </c>
      <c r="AW313" s="13">
        <v>2.194069566880999E-2</v>
      </c>
      <c r="AX313" s="13">
        <v>2.194069566880999E-2</v>
      </c>
      <c r="AY313" s="13">
        <v>2.194069566880999E-2</v>
      </c>
      <c r="AZ313" s="13">
        <v>2.194069566880999E-2</v>
      </c>
      <c r="BA313" s="13">
        <v>2.194069566880999E-2</v>
      </c>
      <c r="BB313" s="13">
        <v>2.194069566880999E-2</v>
      </c>
      <c r="BC313" s="13">
        <v>2.194069566880999E-2</v>
      </c>
      <c r="BD313" s="13">
        <v>2.194069566880999E-2</v>
      </c>
      <c r="BE313" s="13">
        <v>2.194069566880999E-2</v>
      </c>
      <c r="BF313" s="13">
        <v>2.194069566880999E-2</v>
      </c>
      <c r="BG313" s="13">
        <v>2.194069566880999E-2</v>
      </c>
    </row>
    <row r="314" spans="1:59" ht="12" customHeight="1" x14ac:dyDescent="0.2">
      <c r="A314" s="1" t="s">
        <v>59</v>
      </c>
      <c r="B314" t="s">
        <v>64</v>
      </c>
      <c r="C314" s="10" t="s">
        <v>46</v>
      </c>
      <c r="D314" s="13">
        <v>6.8627392100309589E-2</v>
      </c>
      <c r="E314" s="13">
        <v>4.7015096068295438E-2</v>
      </c>
      <c r="F314" s="13">
        <v>0.12304242035484581</v>
      </c>
      <c r="G314" s="13">
        <v>0.19636935643373771</v>
      </c>
      <c r="H314" s="13">
        <v>3.8963142000224688E-2</v>
      </c>
      <c r="I314" s="13">
        <v>2.6570535863170139E-2</v>
      </c>
      <c r="J314" s="13">
        <v>1.232284268794466E-2</v>
      </c>
      <c r="K314" s="13">
        <v>1.2537236969054351E-2</v>
      </c>
      <c r="L314" s="14">
        <v>1.428932254528056E-2</v>
      </c>
      <c r="M314" s="13">
        <v>1.156110050925366E-2</v>
      </c>
      <c r="N314" s="13">
        <v>1.281252283460914E-2</v>
      </c>
      <c r="O314" s="13">
        <v>5.1911545723903512E-3</v>
      </c>
      <c r="P314" s="13">
        <v>1.0918356123632849E-2</v>
      </c>
      <c r="Q314" s="13">
        <v>4.5023587654905361E-3</v>
      </c>
      <c r="R314" s="13">
        <v>1.7969772654834432E-2</v>
      </c>
      <c r="S314" s="13">
        <v>1.5689790456942219E-2</v>
      </c>
      <c r="T314" s="13">
        <v>1.6779375076535871E-2</v>
      </c>
      <c r="U314" s="13">
        <v>1.8399309103795738E-2</v>
      </c>
      <c r="V314" s="13">
        <v>2.2233952973447171E-2</v>
      </c>
      <c r="W314" s="13">
        <v>1.940604704451649E-2</v>
      </c>
      <c r="X314" s="13">
        <v>1.8180689462765218E-2</v>
      </c>
      <c r="Y314" s="13">
        <v>2.109248990239988E-2</v>
      </c>
      <c r="Z314" s="14">
        <v>2.2920887672457989E-2</v>
      </c>
      <c r="AA314" s="14">
        <v>2.9190607646072921E-2</v>
      </c>
      <c r="AB314" s="14">
        <v>1.8745402461130899E-2</v>
      </c>
      <c r="AC314" s="14">
        <v>1.3308190634787789E-2</v>
      </c>
      <c r="AD314" s="14">
        <v>1.6697316314804381E-2</v>
      </c>
      <c r="AE314" s="14">
        <v>2.004289571669244E-2</v>
      </c>
      <c r="AF314" s="25">
        <v>1.7198451281853877E-2</v>
      </c>
      <c r="AG314" s="13">
        <v>1.681171348703462E-2</v>
      </c>
      <c r="AH314" s="13">
        <v>1.7687594200096329E-2</v>
      </c>
      <c r="AI314" s="15">
        <v>1.7687594200096329E-2</v>
      </c>
      <c r="AJ314" s="13">
        <v>1.7687594200096329E-2</v>
      </c>
      <c r="AK314" s="13">
        <v>1.7687594200096329E-2</v>
      </c>
      <c r="AL314" s="13">
        <v>1.7687594200096329E-2</v>
      </c>
      <c r="AM314" s="13">
        <v>1.7687594200096329E-2</v>
      </c>
      <c r="AN314" s="13">
        <v>1.7687594200096329E-2</v>
      </c>
      <c r="AO314" s="13">
        <v>1.7687594200096329E-2</v>
      </c>
      <c r="AP314" s="13">
        <v>1.7687594200096329E-2</v>
      </c>
      <c r="AQ314" s="13">
        <v>1.7687594200096329E-2</v>
      </c>
      <c r="AR314" s="13">
        <v>1.7687594200096329E-2</v>
      </c>
      <c r="AS314" s="13">
        <v>1.7687594200096329E-2</v>
      </c>
      <c r="AT314" s="13">
        <v>1.7687594200096329E-2</v>
      </c>
      <c r="AU314" s="13">
        <v>1.7687594200096329E-2</v>
      </c>
      <c r="AV314" s="13">
        <v>1.7687594200096329E-2</v>
      </c>
      <c r="AW314" s="13">
        <v>1.7687594200096329E-2</v>
      </c>
      <c r="AX314" s="13">
        <v>1.7687594200096329E-2</v>
      </c>
      <c r="AY314" s="13">
        <v>1.7687594200096329E-2</v>
      </c>
      <c r="AZ314" s="13">
        <v>1.7687594200096329E-2</v>
      </c>
      <c r="BA314" s="13">
        <v>1.7687594200096329E-2</v>
      </c>
      <c r="BB314" s="13">
        <v>1.7687594200096329E-2</v>
      </c>
      <c r="BC314" s="13">
        <v>1.7687594200096329E-2</v>
      </c>
      <c r="BD314" s="13">
        <v>1.7687594200096329E-2</v>
      </c>
      <c r="BE314" s="13">
        <v>1.7687594200096329E-2</v>
      </c>
      <c r="BF314" s="13">
        <v>1.7687594200096329E-2</v>
      </c>
      <c r="BG314" s="13">
        <v>1.7687594200096329E-2</v>
      </c>
    </row>
    <row r="315" spans="1:59" ht="12" customHeight="1" x14ac:dyDescent="0.2">
      <c r="A315" s="1" t="s">
        <v>60</v>
      </c>
      <c r="B315" t="s">
        <v>64</v>
      </c>
      <c r="C315" s="10" t="s">
        <v>46</v>
      </c>
      <c r="D315" s="13">
        <v>3.1556876772634239E-2</v>
      </c>
      <c r="E315" s="13">
        <v>3.2511082408586738E-2</v>
      </c>
      <c r="F315" s="13">
        <v>5.7419295384960232E-2</v>
      </c>
      <c r="G315" s="13">
        <v>5.2625477033514577E-2</v>
      </c>
      <c r="H315" s="13">
        <v>3.6519821625842337E-2</v>
      </c>
      <c r="I315" s="13">
        <v>4.4443662067938587E-2</v>
      </c>
      <c r="J315" s="13">
        <v>2.9881336615239881E-2</v>
      </c>
      <c r="K315" s="13">
        <v>8.8922880568281445E-3</v>
      </c>
      <c r="L315" s="14">
        <v>1.8523256835807769E-2</v>
      </c>
      <c r="M315" s="13">
        <v>1.593982579423215E-2</v>
      </c>
      <c r="N315" s="13">
        <v>1.7848479032351271E-2</v>
      </c>
      <c r="O315" s="13">
        <v>1.5890063670425121E-2</v>
      </c>
      <c r="P315" s="13">
        <v>2.3940950914859462E-2</v>
      </c>
      <c r="Q315" s="13">
        <v>7.8948722582853938E-3</v>
      </c>
      <c r="R315" s="13">
        <v>1.432762255902776E-2</v>
      </c>
      <c r="S315" s="13">
        <v>8.6585506133945236E-3</v>
      </c>
      <c r="T315" s="13">
        <v>7.2843342529488606E-3</v>
      </c>
      <c r="U315" s="13">
        <v>5.9517330930190819E-3</v>
      </c>
      <c r="V315" s="13">
        <v>7.1530482791099482E-3</v>
      </c>
      <c r="W315" s="13">
        <v>9.2787419992759902E-3</v>
      </c>
      <c r="X315" s="13">
        <v>1.008455959897743E-2</v>
      </c>
      <c r="Y315" s="13">
        <v>6.4731583523901246E-3</v>
      </c>
      <c r="Z315" s="14">
        <v>4.1968925523774431E-3</v>
      </c>
      <c r="AA315" s="14">
        <v>5.7377411230197187E-3</v>
      </c>
      <c r="AB315" s="14">
        <v>4.2190115582333241E-3</v>
      </c>
      <c r="AC315" s="14">
        <v>1.7345569470073732E-2</v>
      </c>
      <c r="AD315" s="14">
        <v>3.887448537628152E-3</v>
      </c>
      <c r="AE315" s="14">
        <v>5.7106099825498394E-3</v>
      </c>
      <c r="AF315" s="25">
        <v>7.790659887121262E-3</v>
      </c>
      <c r="AG315" s="13">
        <v>8.6835719693432456E-3</v>
      </c>
      <c r="AH315" s="13">
        <v>6.518072594160625E-3</v>
      </c>
      <c r="AI315" s="15">
        <v>6.518072594160625E-3</v>
      </c>
      <c r="AJ315" s="13">
        <v>6.518072594160625E-3</v>
      </c>
      <c r="AK315" s="13">
        <v>6.518072594160625E-3</v>
      </c>
      <c r="AL315" s="13">
        <v>6.518072594160625E-3</v>
      </c>
      <c r="AM315" s="13">
        <v>6.518072594160625E-3</v>
      </c>
      <c r="AN315" s="13">
        <v>6.518072594160625E-3</v>
      </c>
      <c r="AO315" s="13">
        <v>6.518072594160625E-3</v>
      </c>
      <c r="AP315" s="13">
        <v>6.518072594160625E-3</v>
      </c>
      <c r="AQ315" s="13">
        <v>6.518072594160625E-3</v>
      </c>
      <c r="AR315" s="13">
        <v>6.518072594160625E-3</v>
      </c>
      <c r="AS315" s="13">
        <v>6.518072594160625E-3</v>
      </c>
      <c r="AT315" s="13">
        <v>6.518072594160625E-3</v>
      </c>
      <c r="AU315" s="13">
        <v>6.518072594160625E-3</v>
      </c>
      <c r="AV315" s="13">
        <v>6.518072594160625E-3</v>
      </c>
      <c r="AW315" s="13">
        <v>6.518072594160625E-3</v>
      </c>
      <c r="AX315" s="13">
        <v>6.518072594160625E-3</v>
      </c>
      <c r="AY315" s="13">
        <v>6.518072594160625E-3</v>
      </c>
      <c r="AZ315" s="13">
        <v>6.518072594160625E-3</v>
      </c>
      <c r="BA315" s="13">
        <v>6.518072594160625E-3</v>
      </c>
      <c r="BB315" s="13">
        <v>6.518072594160625E-3</v>
      </c>
      <c r="BC315" s="13">
        <v>6.518072594160625E-3</v>
      </c>
      <c r="BD315" s="13">
        <v>6.518072594160625E-3</v>
      </c>
      <c r="BE315" s="13">
        <v>6.518072594160625E-3</v>
      </c>
      <c r="BF315" s="13">
        <v>6.518072594160625E-3</v>
      </c>
      <c r="BG315" s="13">
        <v>6.518072594160625E-3</v>
      </c>
    </row>
    <row r="316" spans="1:59" ht="12" customHeight="1" x14ac:dyDescent="0.2">
      <c r="A316" s="1" t="s">
        <v>61</v>
      </c>
      <c r="B316" t="s">
        <v>64</v>
      </c>
      <c r="C316" s="10" t="s">
        <v>46</v>
      </c>
      <c r="D316" s="13">
        <v>0.11930938053270269</v>
      </c>
      <c r="E316" s="13">
        <v>0.26873161713895088</v>
      </c>
      <c r="F316" s="13">
        <v>0.30502828789498238</v>
      </c>
      <c r="G316" s="13">
        <v>0.31829779083981091</v>
      </c>
      <c r="H316" s="13">
        <v>0.2259601417570207</v>
      </c>
      <c r="I316" s="13">
        <v>0.26301382627160591</v>
      </c>
      <c r="J316" s="13">
        <v>0.23167638456540851</v>
      </c>
      <c r="K316" s="13">
        <v>0.22439331819018449</v>
      </c>
      <c r="L316" s="14">
        <v>0.16921810534704751</v>
      </c>
      <c r="M316" s="13">
        <v>0.1087651849987739</v>
      </c>
      <c r="N316" s="13">
        <v>0.120862746576719</v>
      </c>
      <c r="O316" s="13">
        <v>0.10318650633297501</v>
      </c>
      <c r="P316" s="13">
        <v>0.115510359724427</v>
      </c>
      <c r="Q316" s="13">
        <v>0.1114829426756082</v>
      </c>
      <c r="R316" s="13">
        <v>0.1073399721805363</v>
      </c>
      <c r="S316" s="13">
        <v>9.912831716399495E-2</v>
      </c>
      <c r="T316" s="13">
        <v>8.3265477603861091E-2</v>
      </c>
      <c r="U316" s="13">
        <v>5.5484712211068862E-2</v>
      </c>
      <c r="V316" s="13">
        <v>5.7747136703772357E-2</v>
      </c>
      <c r="W316" s="13">
        <v>5.810740713239531E-2</v>
      </c>
      <c r="X316" s="13">
        <v>6.2391442151207267E-2</v>
      </c>
      <c r="Y316" s="13">
        <v>3.7170202455152457E-2</v>
      </c>
      <c r="Z316" s="14">
        <v>4.3596325735498313E-2</v>
      </c>
      <c r="AA316" s="14">
        <v>5.6482594273385658E-2</v>
      </c>
      <c r="AB316" s="14">
        <v>5.0954653780961867E-2</v>
      </c>
      <c r="AC316" s="14">
        <v>5.0318975500843653E-2</v>
      </c>
      <c r="AD316" s="14">
        <v>5.8701069378187767E-2</v>
      </c>
      <c r="AE316" s="14">
        <v>5.5131898851561632E-2</v>
      </c>
      <c r="AF316" s="25">
        <v>5.3776649377888737E-2</v>
      </c>
      <c r="AG316" s="13">
        <v>5.4482148277120446E-2</v>
      </c>
      <c r="AH316" s="13">
        <v>5.5522941471189642E-2</v>
      </c>
      <c r="AI316" s="15">
        <v>5.5522941471189642E-2</v>
      </c>
      <c r="AJ316" s="13">
        <v>5.5522941471189642E-2</v>
      </c>
      <c r="AK316" s="13">
        <v>5.5522941471189642E-2</v>
      </c>
      <c r="AL316" s="13">
        <v>5.5522941471189642E-2</v>
      </c>
      <c r="AM316" s="13">
        <v>5.5522941471189642E-2</v>
      </c>
      <c r="AN316" s="13">
        <v>5.5522941471189642E-2</v>
      </c>
      <c r="AO316" s="13">
        <v>5.5522941471189642E-2</v>
      </c>
      <c r="AP316" s="13">
        <v>5.5522941471189642E-2</v>
      </c>
      <c r="AQ316" s="13">
        <v>5.5522941471189642E-2</v>
      </c>
      <c r="AR316" s="13">
        <v>5.5522941471189642E-2</v>
      </c>
      <c r="AS316" s="13">
        <v>5.5522941471189642E-2</v>
      </c>
      <c r="AT316" s="13">
        <v>5.5522941471189642E-2</v>
      </c>
      <c r="AU316" s="13">
        <v>5.5522941471189642E-2</v>
      </c>
      <c r="AV316" s="13">
        <v>5.5522941471189642E-2</v>
      </c>
      <c r="AW316" s="13">
        <v>5.5522941471189642E-2</v>
      </c>
      <c r="AX316" s="13">
        <v>5.5522941471189642E-2</v>
      </c>
      <c r="AY316" s="13">
        <v>5.5522941471189642E-2</v>
      </c>
      <c r="AZ316" s="13">
        <v>5.5522941471189642E-2</v>
      </c>
      <c r="BA316" s="13">
        <v>5.5522941471189642E-2</v>
      </c>
      <c r="BB316" s="13">
        <v>5.5522941471189642E-2</v>
      </c>
      <c r="BC316" s="13">
        <v>5.5522941471189642E-2</v>
      </c>
      <c r="BD316" s="13">
        <v>5.5522941471189642E-2</v>
      </c>
      <c r="BE316" s="13">
        <v>5.5522941471189642E-2</v>
      </c>
      <c r="BF316" s="13">
        <v>5.5522941471189642E-2</v>
      </c>
      <c r="BG316" s="13">
        <v>5.5522941471189642E-2</v>
      </c>
    </row>
    <row r="317" spans="1:59" ht="12" customHeight="1" x14ac:dyDescent="0.2">
      <c r="A317" s="1" t="s">
        <v>44</v>
      </c>
      <c r="B317" t="s">
        <v>64</v>
      </c>
      <c r="C317" s="10" t="s">
        <v>62</v>
      </c>
      <c r="D317" s="13">
        <v>0.750184459606275</v>
      </c>
      <c r="E317" s="13">
        <v>0.75392917312777286</v>
      </c>
      <c r="F317" s="13">
        <v>0.78874711053182389</v>
      </c>
      <c r="G317" s="13">
        <v>0.84869022891197665</v>
      </c>
      <c r="H317" s="13">
        <v>0.87892297334790315</v>
      </c>
      <c r="I317" s="13">
        <v>0.89645751756635639</v>
      </c>
      <c r="J317" s="13">
        <v>0.9133282106777888</v>
      </c>
      <c r="K317" s="13">
        <v>0.92999525320025012</v>
      </c>
      <c r="L317" s="14">
        <v>0.95249528196734889</v>
      </c>
      <c r="M317" s="13">
        <v>0.95690039936631899</v>
      </c>
      <c r="N317" s="13">
        <v>0.96250568919336199</v>
      </c>
      <c r="O317" s="13">
        <v>0.96445553473365131</v>
      </c>
      <c r="P317" s="13">
        <v>0.97049659168737701</v>
      </c>
      <c r="Q317" s="13">
        <v>0.97219584126824354</v>
      </c>
      <c r="R317" s="13">
        <v>0.96799534564092982</v>
      </c>
      <c r="S317" s="13">
        <v>0.97364475391695493</v>
      </c>
      <c r="T317" s="13">
        <v>0.9790676144112862</v>
      </c>
      <c r="U317" s="13">
        <v>0.98163834861766153</v>
      </c>
      <c r="V317" s="13">
        <v>0.98332544305762504</v>
      </c>
      <c r="W317" s="13">
        <v>0.98327108768591664</v>
      </c>
      <c r="X317" s="13">
        <v>0.98326069623124657</v>
      </c>
      <c r="Y317" s="13">
        <v>0.98180984741508037</v>
      </c>
      <c r="Z317" s="14">
        <v>0.98288375089974811</v>
      </c>
      <c r="AA317" s="14">
        <v>0.98365137680609704</v>
      </c>
      <c r="AB317" s="14">
        <v>0.98379154746456254</v>
      </c>
      <c r="AC317" s="14">
        <v>0.9870731964017927</v>
      </c>
      <c r="AD317" s="14">
        <v>0.9870731964017927</v>
      </c>
      <c r="AE317" s="14">
        <v>0.98531190230938226</v>
      </c>
      <c r="AF317" s="25">
        <v>0.98581246064438255</v>
      </c>
      <c r="AG317" s="13">
        <v>0.98631768893933747</v>
      </c>
      <c r="AH317" s="13">
        <v>0.98612881207372372</v>
      </c>
      <c r="AI317" s="15">
        <v>0.98612881207372372</v>
      </c>
      <c r="AJ317" s="13">
        <v>0.98612881207372372</v>
      </c>
      <c r="AK317" s="13">
        <v>0.98612881207372372</v>
      </c>
      <c r="AL317" s="13">
        <v>0.98612881207372372</v>
      </c>
      <c r="AM317" s="13">
        <v>0.98612881207372372</v>
      </c>
      <c r="AN317" s="13">
        <v>0.98612881207372372</v>
      </c>
      <c r="AO317" s="13">
        <v>0.98612881207372372</v>
      </c>
      <c r="AP317" s="13">
        <v>0.98612881207372372</v>
      </c>
      <c r="AQ317" s="13">
        <v>0.98612881207372372</v>
      </c>
      <c r="AR317" s="13">
        <v>0.98612881207372372</v>
      </c>
      <c r="AS317" s="13">
        <v>0.98612881207372372</v>
      </c>
      <c r="AT317" s="13">
        <v>0.98612881207372372</v>
      </c>
      <c r="AU317" s="13">
        <v>0.98612881207372372</v>
      </c>
      <c r="AV317" s="13">
        <v>0.98612881207372372</v>
      </c>
      <c r="AW317" s="13">
        <v>0.98612881207372372</v>
      </c>
      <c r="AX317" s="13">
        <v>0.98612881207372372</v>
      </c>
      <c r="AY317" s="13">
        <v>0.98612881207372372</v>
      </c>
      <c r="AZ317" s="13">
        <v>0.98612881207372372</v>
      </c>
      <c r="BA317" s="13">
        <v>0.98612881207372372</v>
      </c>
      <c r="BB317" s="13">
        <v>0.98612881207372372</v>
      </c>
      <c r="BC317" s="13">
        <v>0.98612881207372372</v>
      </c>
      <c r="BD317" s="13">
        <v>0.98612881207372372</v>
      </c>
      <c r="BE317" s="13">
        <v>0.98612881207372372</v>
      </c>
      <c r="BF317" s="13">
        <v>0.98612881207372372</v>
      </c>
      <c r="BG317" s="13">
        <v>0.98612881207372372</v>
      </c>
    </row>
    <row r="318" spans="1:59" ht="12" customHeight="1" x14ac:dyDescent="0.2">
      <c r="A318" s="1" t="s">
        <v>47</v>
      </c>
      <c r="B318" t="s">
        <v>64</v>
      </c>
      <c r="C318" s="10" t="s">
        <v>62</v>
      </c>
      <c r="D318" s="13">
        <v>0.97296330954202903</v>
      </c>
      <c r="E318" s="13">
        <v>0.97703097933209304</v>
      </c>
      <c r="F318" s="13">
        <v>0.97938505910351858</v>
      </c>
      <c r="G318" s="13">
        <v>0.97534026698052456</v>
      </c>
      <c r="H318" s="13">
        <v>0.9745764117470852</v>
      </c>
      <c r="I318" s="13">
        <v>0.96226995659055914</v>
      </c>
      <c r="J318" s="13">
        <v>0.94513607755558582</v>
      </c>
      <c r="K318" s="13">
        <v>0.9083997731230159</v>
      </c>
      <c r="L318" s="14">
        <v>0.95035847596831358</v>
      </c>
      <c r="M318" s="13">
        <v>0.95265876609801836</v>
      </c>
      <c r="N318" s="13">
        <v>0.95171535362859927</v>
      </c>
      <c r="O318" s="13">
        <v>0.95540428660615029</v>
      </c>
      <c r="P318" s="13">
        <v>0.97174305600134592</v>
      </c>
      <c r="Q318" s="13">
        <v>0.95971335759060872</v>
      </c>
      <c r="R318" s="13">
        <v>0.97838262148720334</v>
      </c>
      <c r="S318" s="13">
        <v>0.97223621590149301</v>
      </c>
      <c r="T318" s="13">
        <v>0.98692548662364221</v>
      </c>
      <c r="U318" s="13">
        <v>0.98411987813342128</v>
      </c>
      <c r="V318" s="13">
        <v>0.98979416865140479</v>
      </c>
      <c r="W318" s="13">
        <v>0.99334251537791796</v>
      </c>
      <c r="X318" s="13">
        <v>0.9902890285073459</v>
      </c>
      <c r="Y318" s="13">
        <v>0.99246028407559228</v>
      </c>
      <c r="Z318" s="14">
        <v>0.99615976590620392</v>
      </c>
      <c r="AA318" s="14">
        <v>0.99250001081243377</v>
      </c>
      <c r="AB318" s="14">
        <v>0.98400812998012754</v>
      </c>
      <c r="AC318" s="14">
        <v>0.972357620208953</v>
      </c>
      <c r="AD318" s="14">
        <v>0.95189850609457782</v>
      </c>
      <c r="AE318" s="14">
        <v>0.9595603703858947</v>
      </c>
      <c r="AF318" s="25">
        <v>0.96695615666738821</v>
      </c>
      <c r="AG318" s="13">
        <v>0.96269316333920341</v>
      </c>
      <c r="AH318" s="13">
        <v>0.96027704912176604</v>
      </c>
      <c r="AI318" s="15">
        <v>0.96027704912176604</v>
      </c>
      <c r="AJ318" s="13">
        <v>0.96027704912176604</v>
      </c>
      <c r="AK318" s="13">
        <v>0.96027704912176604</v>
      </c>
      <c r="AL318" s="13">
        <v>0.96027704912176604</v>
      </c>
      <c r="AM318" s="13">
        <v>0.96027704912176604</v>
      </c>
      <c r="AN318" s="13">
        <v>0.96027704912176604</v>
      </c>
      <c r="AO318" s="13">
        <v>0.96027704912176604</v>
      </c>
      <c r="AP318" s="13">
        <v>0.96027704912176604</v>
      </c>
      <c r="AQ318" s="13">
        <v>0.96027704912176604</v>
      </c>
      <c r="AR318" s="13">
        <v>0.96027704912176604</v>
      </c>
      <c r="AS318" s="13">
        <v>0.96027704912176604</v>
      </c>
      <c r="AT318" s="13">
        <v>0.96027704912176604</v>
      </c>
      <c r="AU318" s="13">
        <v>0.96027704912176604</v>
      </c>
      <c r="AV318" s="13">
        <v>0.96027704912176604</v>
      </c>
      <c r="AW318" s="13">
        <v>0.96027704912176604</v>
      </c>
      <c r="AX318" s="13">
        <v>0.96027704912176604</v>
      </c>
      <c r="AY318" s="13">
        <v>0.96027704912176604</v>
      </c>
      <c r="AZ318" s="13">
        <v>0.96027704912176604</v>
      </c>
      <c r="BA318" s="13">
        <v>0.96027704912176604</v>
      </c>
      <c r="BB318" s="13">
        <v>0.96027704912176604</v>
      </c>
      <c r="BC318" s="13">
        <v>0.96027704912176604</v>
      </c>
      <c r="BD318" s="13">
        <v>0.96027704912176604</v>
      </c>
      <c r="BE318" s="13">
        <v>0.96027704912176604</v>
      </c>
      <c r="BF318" s="13">
        <v>0.96027704912176604</v>
      </c>
      <c r="BG318" s="13">
        <v>0.96027704912176604</v>
      </c>
    </row>
    <row r="319" spans="1:59" ht="12" customHeight="1" x14ac:dyDescent="0.2">
      <c r="A319" s="1" t="s">
        <v>48</v>
      </c>
      <c r="B319" t="s">
        <v>64</v>
      </c>
      <c r="C319" s="10" t="s">
        <v>62</v>
      </c>
      <c r="D319" s="13">
        <v>0.66830576409186127</v>
      </c>
      <c r="E319" s="13">
        <v>0.56135214963452229</v>
      </c>
      <c r="F319" s="13">
        <v>0.56301571174112452</v>
      </c>
      <c r="G319" s="13">
        <v>0.59134405359061615</v>
      </c>
      <c r="H319" s="13">
        <v>0.51877080355991523</v>
      </c>
      <c r="I319" s="13">
        <v>0.52460842865447699</v>
      </c>
      <c r="J319" s="13">
        <v>0.63459723316966299</v>
      </c>
      <c r="K319" s="13">
        <v>0.64493334586885753</v>
      </c>
      <c r="L319" s="14">
        <v>0.70037762921983282</v>
      </c>
      <c r="M319" s="13">
        <v>0.74827002791803343</v>
      </c>
      <c r="N319" s="13">
        <v>0.79152466466904492</v>
      </c>
      <c r="O319" s="13">
        <v>0.801423728282604</v>
      </c>
      <c r="P319" s="13">
        <v>0.73550165819673985</v>
      </c>
      <c r="Q319" s="13">
        <v>0.77438861519418178</v>
      </c>
      <c r="R319" s="13">
        <v>0.79839645408087145</v>
      </c>
      <c r="S319" s="13">
        <v>0.90764905685573694</v>
      </c>
      <c r="T319" s="13">
        <v>0.91635292583223005</v>
      </c>
      <c r="U319" s="13">
        <v>0.92104521199897693</v>
      </c>
      <c r="V319" s="13">
        <v>0.92634505041168735</v>
      </c>
      <c r="W319" s="13">
        <v>0.9438307877794363</v>
      </c>
      <c r="X319" s="13">
        <v>0.94489932703209745</v>
      </c>
      <c r="Y319" s="13">
        <v>0.95102940624744514</v>
      </c>
      <c r="Z319" s="14">
        <v>0.95992061874727141</v>
      </c>
      <c r="AA319" s="14">
        <v>0.95976222130391486</v>
      </c>
      <c r="AB319" s="14">
        <v>0.9574971693001747</v>
      </c>
      <c r="AC319" s="14">
        <v>0.95647728722186098</v>
      </c>
      <c r="AD319" s="14">
        <v>0.95534933126115285</v>
      </c>
      <c r="AE319" s="14">
        <v>0.95335863505745233</v>
      </c>
      <c r="AF319" s="25">
        <v>0.95567060571016027</v>
      </c>
      <c r="AG319" s="13">
        <v>0.95521396481265664</v>
      </c>
      <c r="AH319" s="13">
        <v>0.95489813421035552</v>
      </c>
      <c r="AI319" s="15">
        <v>0.95489813421035552</v>
      </c>
      <c r="AJ319" s="13">
        <v>0.95489813421035552</v>
      </c>
      <c r="AK319" s="13">
        <v>0.95489813421035552</v>
      </c>
      <c r="AL319" s="13">
        <v>0.95489813421035552</v>
      </c>
      <c r="AM319" s="13">
        <v>0.95489813421035552</v>
      </c>
      <c r="AN319" s="13">
        <v>0.95489813421035552</v>
      </c>
      <c r="AO319" s="13">
        <v>0.95489813421035552</v>
      </c>
      <c r="AP319" s="13">
        <v>0.95489813421035552</v>
      </c>
      <c r="AQ319" s="13">
        <v>0.95489813421035552</v>
      </c>
      <c r="AR319" s="13">
        <v>0.95489813421035552</v>
      </c>
      <c r="AS319" s="13">
        <v>0.95489813421035552</v>
      </c>
      <c r="AT319" s="13">
        <v>0.95489813421035552</v>
      </c>
      <c r="AU319" s="13">
        <v>0.95489813421035552</v>
      </c>
      <c r="AV319" s="13">
        <v>0.95489813421035552</v>
      </c>
      <c r="AW319" s="13">
        <v>0.95489813421035552</v>
      </c>
      <c r="AX319" s="13">
        <v>0.95489813421035552</v>
      </c>
      <c r="AY319" s="13">
        <v>0.95489813421035552</v>
      </c>
      <c r="AZ319" s="13">
        <v>0.95489813421035552</v>
      </c>
      <c r="BA319" s="13">
        <v>0.95489813421035552</v>
      </c>
      <c r="BB319" s="13">
        <v>0.95489813421035552</v>
      </c>
      <c r="BC319" s="13">
        <v>0.95489813421035552</v>
      </c>
      <c r="BD319" s="13">
        <v>0.95489813421035552</v>
      </c>
      <c r="BE319" s="13">
        <v>0.95489813421035552</v>
      </c>
      <c r="BF319" s="13">
        <v>0.95489813421035552</v>
      </c>
      <c r="BG319" s="13">
        <v>0.95489813421035552</v>
      </c>
    </row>
    <row r="320" spans="1:59" ht="12" customHeight="1" x14ac:dyDescent="0.2">
      <c r="A320" s="1" t="s">
        <v>49</v>
      </c>
      <c r="B320" t="s">
        <v>64</v>
      </c>
      <c r="C320" s="10" t="s">
        <v>62</v>
      </c>
      <c r="D320" s="13">
        <v>0.97017717974250883</v>
      </c>
      <c r="E320" s="13">
        <v>0.9601671726690072</v>
      </c>
      <c r="F320" s="13">
        <v>0.92553871853813341</v>
      </c>
      <c r="G320" s="13">
        <v>0.91195651246468135</v>
      </c>
      <c r="H320" s="13">
        <v>0.96901954164472781</v>
      </c>
      <c r="I320" s="13">
        <v>0.97226097651066146</v>
      </c>
      <c r="J320" s="13">
        <v>0.98778772136533055</v>
      </c>
      <c r="K320" s="13">
        <v>0.9934183482801493</v>
      </c>
      <c r="L320" s="14">
        <v>0.99342399612965449</v>
      </c>
      <c r="M320" s="13">
        <v>0.99482491408065632</v>
      </c>
      <c r="N320" s="13">
        <v>0.99428515967374365</v>
      </c>
      <c r="O320" s="13">
        <v>0.99552751071908419</v>
      </c>
      <c r="P320" s="13">
        <v>0.99181838014303692</v>
      </c>
      <c r="Q320" s="13">
        <v>0.99658721299293729</v>
      </c>
      <c r="R320" s="13">
        <v>0.99679506435465326</v>
      </c>
      <c r="S320" s="13">
        <v>0.99517922244260215</v>
      </c>
      <c r="T320" s="13">
        <v>0.99515941713737788</v>
      </c>
      <c r="U320" s="13">
        <v>0.9938080857637529</v>
      </c>
      <c r="V320" s="13">
        <v>0.99308584754381024</v>
      </c>
      <c r="W320" s="13">
        <v>0.99361090064548896</v>
      </c>
      <c r="X320" s="13">
        <v>0.99396569957651082</v>
      </c>
      <c r="Y320" s="13">
        <v>0.99393355747278511</v>
      </c>
      <c r="Z320" s="14">
        <v>0.99446908984115712</v>
      </c>
      <c r="AA320" s="14">
        <v>0.99362510808944804</v>
      </c>
      <c r="AB320" s="14">
        <v>0.99503732513674725</v>
      </c>
      <c r="AC320" s="14">
        <v>0.988161477717999</v>
      </c>
      <c r="AD320" s="14">
        <v>0.99313204025669777</v>
      </c>
      <c r="AE320" s="14">
        <v>0.98953584649247295</v>
      </c>
      <c r="AF320" s="25">
        <v>0.9914666724009793</v>
      </c>
      <c r="AG320" s="13">
        <v>0.99057400921703731</v>
      </c>
      <c r="AH320" s="13">
        <v>0.99117714209179686</v>
      </c>
      <c r="AI320" s="15">
        <v>0.99117714209179686</v>
      </c>
      <c r="AJ320" s="13">
        <v>0.99117714209179686</v>
      </c>
      <c r="AK320" s="13">
        <v>0.99117714209179686</v>
      </c>
      <c r="AL320" s="13">
        <v>0.99117714209179686</v>
      </c>
      <c r="AM320" s="13">
        <v>0.99117714209179686</v>
      </c>
      <c r="AN320" s="13">
        <v>0.99117714209179686</v>
      </c>
      <c r="AO320" s="13">
        <v>0.99117714209179686</v>
      </c>
      <c r="AP320" s="13">
        <v>0.99117714209179686</v>
      </c>
      <c r="AQ320" s="13">
        <v>0.99117714209179686</v>
      </c>
      <c r="AR320" s="13">
        <v>0.99117714209179686</v>
      </c>
      <c r="AS320" s="13">
        <v>0.99117714209179686</v>
      </c>
      <c r="AT320" s="13">
        <v>0.99117714209179686</v>
      </c>
      <c r="AU320" s="13">
        <v>0.99117714209179686</v>
      </c>
      <c r="AV320" s="13">
        <v>0.99117714209179686</v>
      </c>
      <c r="AW320" s="13">
        <v>0.99117714209179686</v>
      </c>
      <c r="AX320" s="13">
        <v>0.99117714209179686</v>
      </c>
      <c r="AY320" s="13">
        <v>0.99117714209179686</v>
      </c>
      <c r="AZ320" s="13">
        <v>0.99117714209179686</v>
      </c>
      <c r="BA320" s="13">
        <v>0.99117714209179686</v>
      </c>
      <c r="BB320" s="13">
        <v>0.99117714209179686</v>
      </c>
      <c r="BC320" s="13">
        <v>0.99117714209179686</v>
      </c>
      <c r="BD320" s="13">
        <v>0.99117714209179686</v>
      </c>
      <c r="BE320" s="13">
        <v>0.99117714209179686</v>
      </c>
      <c r="BF320" s="13">
        <v>0.99117714209179686</v>
      </c>
      <c r="BG320" s="13">
        <v>0.99117714209179686</v>
      </c>
    </row>
    <row r="321" spans="1:59" ht="12" customHeight="1" x14ac:dyDescent="0.2">
      <c r="A321" s="1" t="s">
        <v>50</v>
      </c>
      <c r="B321" t="s">
        <v>64</v>
      </c>
      <c r="C321" s="10" t="s">
        <v>62</v>
      </c>
      <c r="D321" s="13">
        <v>0.99370861616578754</v>
      </c>
      <c r="E321" s="13">
        <v>0.99433796159509757</v>
      </c>
      <c r="F321" s="13">
        <v>0.97780536375026594</v>
      </c>
      <c r="G321" s="13">
        <v>0.97890735412329133</v>
      </c>
      <c r="H321" s="13">
        <v>0.97964238778243318</v>
      </c>
      <c r="I321" s="13">
        <v>0.96939567745920296</v>
      </c>
      <c r="J321" s="13">
        <v>0.99821338245321811</v>
      </c>
      <c r="K321" s="13">
        <v>0.9980052664345449</v>
      </c>
      <c r="L321" s="14">
        <v>0.99600280904910299</v>
      </c>
      <c r="M321" s="13">
        <v>0.99561964556753457</v>
      </c>
      <c r="N321" s="13">
        <v>0.99730798239196772</v>
      </c>
      <c r="O321" s="13">
        <v>0.99616312006399554</v>
      </c>
      <c r="P321" s="13">
        <v>0.99380463771786554</v>
      </c>
      <c r="Q321" s="13">
        <v>0.99438927129727328</v>
      </c>
      <c r="R321" s="13">
        <v>0.99310173888974473</v>
      </c>
      <c r="S321" s="13">
        <v>0.99310426818532138</v>
      </c>
      <c r="T321" s="13">
        <v>0.99475689365480846</v>
      </c>
      <c r="U321" s="13">
        <v>0.99582968280008954</v>
      </c>
      <c r="V321" s="13">
        <v>0.99598208276837474</v>
      </c>
      <c r="W321" s="13">
        <v>0.99636382097953258</v>
      </c>
      <c r="X321" s="13">
        <v>0.99622035291122335</v>
      </c>
      <c r="Y321" s="13">
        <v>0.99673396248140989</v>
      </c>
      <c r="Z321" s="14">
        <v>0.99516716289329299</v>
      </c>
      <c r="AA321" s="14">
        <v>0.99638766989759475</v>
      </c>
      <c r="AB321" s="14">
        <v>0.99562796803182152</v>
      </c>
      <c r="AC321" s="14">
        <v>0.97810174596527832</v>
      </c>
      <c r="AD321" s="14">
        <v>0.99463557908214761</v>
      </c>
      <c r="AE321" s="14">
        <v>0.99522392815273808</v>
      </c>
      <c r="AF321" s="25">
        <v>0.99089730530799636</v>
      </c>
      <c r="AG321" s="13">
        <v>0.98971463962703998</v>
      </c>
      <c r="AH321" s="13">
        <v>0.99261786304248056</v>
      </c>
      <c r="AI321" s="15">
        <v>0.99261786304248056</v>
      </c>
      <c r="AJ321" s="13">
        <v>0.99261786304248056</v>
      </c>
      <c r="AK321" s="13">
        <v>0.99261786304248056</v>
      </c>
      <c r="AL321" s="13">
        <v>0.99261786304248056</v>
      </c>
      <c r="AM321" s="13">
        <v>0.99261786304248056</v>
      </c>
      <c r="AN321" s="13">
        <v>0.99261786304248056</v>
      </c>
      <c r="AO321" s="13">
        <v>0.99261786304248056</v>
      </c>
      <c r="AP321" s="13">
        <v>0.99261786304248056</v>
      </c>
      <c r="AQ321" s="13">
        <v>0.99261786304248056</v>
      </c>
      <c r="AR321" s="13">
        <v>0.99261786304248056</v>
      </c>
      <c r="AS321" s="13">
        <v>0.99261786304248056</v>
      </c>
      <c r="AT321" s="13">
        <v>0.99261786304248056</v>
      </c>
      <c r="AU321" s="13">
        <v>0.99261786304248056</v>
      </c>
      <c r="AV321" s="13">
        <v>0.99261786304248056</v>
      </c>
      <c r="AW321" s="13">
        <v>0.99261786304248056</v>
      </c>
      <c r="AX321" s="13">
        <v>0.99261786304248056</v>
      </c>
      <c r="AY321" s="13">
        <v>0.99261786304248056</v>
      </c>
      <c r="AZ321" s="13">
        <v>0.99261786304248056</v>
      </c>
      <c r="BA321" s="13">
        <v>0.99261786304248056</v>
      </c>
      <c r="BB321" s="13">
        <v>0.99261786304248056</v>
      </c>
      <c r="BC321" s="13">
        <v>0.99261786304248056</v>
      </c>
      <c r="BD321" s="13">
        <v>0.99261786304248056</v>
      </c>
      <c r="BE321" s="13">
        <v>0.99261786304248056</v>
      </c>
      <c r="BF321" s="13">
        <v>0.99261786304248056</v>
      </c>
      <c r="BG321" s="13">
        <v>0.99261786304248056</v>
      </c>
    </row>
    <row r="322" spans="1:59" ht="12" customHeight="1" x14ac:dyDescent="0.2">
      <c r="A322" s="1" t="s">
        <v>51</v>
      </c>
      <c r="B322" t="s">
        <v>64</v>
      </c>
      <c r="C322" s="10" t="s">
        <v>62</v>
      </c>
      <c r="D322" s="13">
        <v>0.99932275817196659</v>
      </c>
      <c r="E322" s="13">
        <v>0.97131064691256286</v>
      </c>
      <c r="F322" s="13">
        <v>0.92578738827663254</v>
      </c>
      <c r="G322" s="13">
        <v>0.9147855651082164</v>
      </c>
      <c r="H322" s="13">
        <v>0.97061195772140429</v>
      </c>
      <c r="I322" s="13">
        <v>0.89722950292451287</v>
      </c>
      <c r="J322" s="13">
        <v>0.97382661609365562</v>
      </c>
      <c r="K322" s="13">
        <v>0.99977429025289744</v>
      </c>
      <c r="L322" s="14">
        <v>0.99976150634520333</v>
      </c>
      <c r="M322" s="13">
        <v>0.99767678047997954</v>
      </c>
      <c r="N322" s="13">
        <v>0.99969832396385105</v>
      </c>
      <c r="O322" s="13">
        <v>0.99944966045580652</v>
      </c>
      <c r="P322" s="13">
        <v>0.99766231296938435</v>
      </c>
      <c r="Q322" s="13">
        <v>0.9990059968565661</v>
      </c>
      <c r="R322" s="13">
        <v>0.9956080996788651</v>
      </c>
      <c r="S322" s="13">
        <v>0.99964087902867393</v>
      </c>
      <c r="T322" s="13">
        <v>0.99960729634795054</v>
      </c>
      <c r="U322" s="13">
        <v>0.99972664981183612</v>
      </c>
      <c r="V322" s="13">
        <v>0.99959918272108272</v>
      </c>
      <c r="W322" s="13">
        <v>0.99580035456275229</v>
      </c>
      <c r="X322" s="13">
        <v>0.9929621116687829</v>
      </c>
      <c r="Y322" s="13">
        <v>0.993741982284571</v>
      </c>
      <c r="Z322" s="14">
        <v>0.99118618219421106</v>
      </c>
      <c r="AA322" s="14">
        <v>0.99397885204802694</v>
      </c>
      <c r="AB322" s="14">
        <v>0.99939707443921777</v>
      </c>
      <c r="AC322" s="14">
        <v>0.97971571004185554</v>
      </c>
      <c r="AD322" s="14">
        <v>0.9993047886456351</v>
      </c>
      <c r="AE322" s="14">
        <v>0.99634020480390872</v>
      </c>
      <c r="AF322" s="25">
        <v>0.99368944448265428</v>
      </c>
      <c r="AG322" s="13">
        <v>0.99226253699351341</v>
      </c>
      <c r="AH322" s="13">
        <v>0.99539924373142796</v>
      </c>
      <c r="AI322" s="15">
        <v>0.99539924373142796</v>
      </c>
      <c r="AJ322" s="13">
        <v>0.99539924373142796</v>
      </c>
      <c r="AK322" s="13">
        <v>0.99539924373142796</v>
      </c>
      <c r="AL322" s="13">
        <v>0.99539924373142796</v>
      </c>
      <c r="AM322" s="13">
        <v>0.99539924373142796</v>
      </c>
      <c r="AN322" s="13">
        <v>0.99539924373142796</v>
      </c>
      <c r="AO322" s="13">
        <v>0.99539924373142796</v>
      </c>
      <c r="AP322" s="13">
        <v>0.99539924373142796</v>
      </c>
      <c r="AQ322" s="13">
        <v>0.99539924373142796</v>
      </c>
      <c r="AR322" s="13">
        <v>0.99539924373142796</v>
      </c>
      <c r="AS322" s="13">
        <v>0.99539924373142796</v>
      </c>
      <c r="AT322" s="13">
        <v>0.99539924373142796</v>
      </c>
      <c r="AU322" s="13">
        <v>0.99539924373142796</v>
      </c>
      <c r="AV322" s="13">
        <v>0.99539924373142796</v>
      </c>
      <c r="AW322" s="13">
        <v>0.99539924373142796</v>
      </c>
      <c r="AX322" s="13">
        <v>0.99539924373142796</v>
      </c>
      <c r="AY322" s="13">
        <v>0.99539924373142796</v>
      </c>
      <c r="AZ322" s="13">
        <v>0.99539924373142796</v>
      </c>
      <c r="BA322" s="13">
        <v>0.99539924373142796</v>
      </c>
      <c r="BB322" s="13">
        <v>0.99539924373142796</v>
      </c>
      <c r="BC322" s="13">
        <v>0.99539924373142796</v>
      </c>
      <c r="BD322" s="13">
        <v>0.99539924373142796</v>
      </c>
      <c r="BE322" s="13">
        <v>0.99539924373142796</v>
      </c>
      <c r="BF322" s="13">
        <v>0.99539924373142796</v>
      </c>
      <c r="BG322" s="13">
        <v>0.99539924373142796</v>
      </c>
    </row>
    <row r="323" spans="1:59" ht="12" customHeight="1" x14ac:dyDescent="0.2">
      <c r="A323" s="1" t="s">
        <v>52</v>
      </c>
      <c r="B323" t="s">
        <v>64</v>
      </c>
      <c r="C323" s="10" t="s">
        <v>62</v>
      </c>
      <c r="D323" s="13">
        <v>0.95410292539862795</v>
      </c>
      <c r="E323" s="13">
        <v>0.97293107780687249</v>
      </c>
      <c r="F323" s="13">
        <v>0.97168298558016619</v>
      </c>
      <c r="G323" s="13">
        <v>0.97224975359522003</v>
      </c>
      <c r="H323" s="13">
        <v>0.94544316392917949</v>
      </c>
      <c r="I323" s="13">
        <v>0.9086026718681437</v>
      </c>
      <c r="J323" s="13">
        <v>0.97619260529906071</v>
      </c>
      <c r="K323" s="13">
        <v>0.99701590237081705</v>
      </c>
      <c r="L323" s="14">
        <v>0.99613326465142149</v>
      </c>
      <c r="M323" s="13">
        <v>0.994681635041195</v>
      </c>
      <c r="N323" s="13">
        <v>0.99347855271874197</v>
      </c>
      <c r="O323" s="13">
        <v>0.99360806110165778</v>
      </c>
      <c r="P323" s="13">
        <v>0.9912851067220374</v>
      </c>
      <c r="Q323" s="13">
        <v>0.99266151534646119</v>
      </c>
      <c r="R323" s="13">
        <v>0.9902513942376604</v>
      </c>
      <c r="S323" s="13">
        <v>0.99479673937352031</v>
      </c>
      <c r="T323" s="13">
        <v>0.99462857139861982</v>
      </c>
      <c r="U323" s="13">
        <v>0.99489125822883651</v>
      </c>
      <c r="V323" s="13">
        <v>0.99505589069678402</v>
      </c>
      <c r="W323" s="13">
        <v>0.99457173158827961</v>
      </c>
      <c r="X323" s="13">
        <v>0.9939509117402634</v>
      </c>
      <c r="Y323" s="13">
        <v>0.99261435198866543</v>
      </c>
      <c r="Z323" s="14">
        <v>0.99451221805127155</v>
      </c>
      <c r="AA323" s="14">
        <v>0.99474900027822488</v>
      </c>
      <c r="AB323" s="14">
        <v>0.99464145876422283</v>
      </c>
      <c r="AC323" s="14">
        <v>0.98155266538316699</v>
      </c>
      <c r="AD323" s="14">
        <v>0.99819436672640183</v>
      </c>
      <c r="AE323" s="14">
        <v>0.97870163809150945</v>
      </c>
      <c r="AF323" s="25">
        <v>0.98827253224132527</v>
      </c>
      <c r="AG323" s="13">
        <v>0.98668030061060086</v>
      </c>
      <c r="AH323" s="13">
        <v>0.98796220941745938</v>
      </c>
      <c r="AI323" s="15">
        <v>0.98796220941745938</v>
      </c>
      <c r="AJ323" s="13">
        <v>0.98796220941745938</v>
      </c>
      <c r="AK323" s="13">
        <v>0.98796220941745938</v>
      </c>
      <c r="AL323" s="13">
        <v>0.98796220941745938</v>
      </c>
      <c r="AM323" s="13">
        <v>0.98796220941745938</v>
      </c>
      <c r="AN323" s="13">
        <v>0.98796220941745938</v>
      </c>
      <c r="AO323" s="13">
        <v>0.98796220941745938</v>
      </c>
      <c r="AP323" s="13">
        <v>0.98796220941745938</v>
      </c>
      <c r="AQ323" s="13">
        <v>0.98796220941745938</v>
      </c>
      <c r="AR323" s="13">
        <v>0.98796220941745938</v>
      </c>
      <c r="AS323" s="13">
        <v>0.98796220941745938</v>
      </c>
      <c r="AT323" s="13">
        <v>0.98796220941745938</v>
      </c>
      <c r="AU323" s="13">
        <v>0.98796220941745938</v>
      </c>
      <c r="AV323" s="13">
        <v>0.98796220941745938</v>
      </c>
      <c r="AW323" s="13">
        <v>0.98796220941745938</v>
      </c>
      <c r="AX323" s="13">
        <v>0.98796220941745938</v>
      </c>
      <c r="AY323" s="13">
        <v>0.98796220941745938</v>
      </c>
      <c r="AZ323" s="13">
        <v>0.98796220941745938</v>
      </c>
      <c r="BA323" s="13">
        <v>0.98796220941745938</v>
      </c>
      <c r="BB323" s="13">
        <v>0.98796220941745938</v>
      </c>
      <c r="BC323" s="13">
        <v>0.98796220941745938</v>
      </c>
      <c r="BD323" s="13">
        <v>0.98796220941745938</v>
      </c>
      <c r="BE323" s="13">
        <v>0.98796220941745938</v>
      </c>
      <c r="BF323" s="13">
        <v>0.98796220941745938</v>
      </c>
      <c r="BG323" s="13">
        <v>0.98796220941745938</v>
      </c>
    </row>
    <row r="324" spans="1:59" ht="12" customHeight="1" x14ac:dyDescent="0.2">
      <c r="A324" s="1" t="s">
        <v>53</v>
      </c>
      <c r="B324" t="s">
        <v>64</v>
      </c>
      <c r="C324" s="10" t="s">
        <v>62</v>
      </c>
      <c r="D324" s="13">
        <v>0.948177062687382</v>
      </c>
      <c r="E324" s="13">
        <v>0.98363210416792235</v>
      </c>
      <c r="F324" s="13">
        <v>0.97812966578569893</v>
      </c>
      <c r="G324" s="13">
        <v>0.88935397542907335</v>
      </c>
      <c r="H324" s="13">
        <v>0.93600933683350962</v>
      </c>
      <c r="I324" s="13">
        <v>0.92836939624253256</v>
      </c>
      <c r="J324" s="13">
        <v>0.85621712954164453</v>
      </c>
      <c r="K324" s="13">
        <v>0.78607099831481697</v>
      </c>
      <c r="L324" s="14">
        <v>0.80932510990667783</v>
      </c>
      <c r="M324" s="13">
        <v>0.7305495479709827</v>
      </c>
      <c r="N324" s="13">
        <v>0.70392867961797168</v>
      </c>
      <c r="O324" s="13">
        <v>0.76833976384446312</v>
      </c>
      <c r="P324" s="13">
        <v>0.70473128836805454</v>
      </c>
      <c r="Q324" s="13">
        <v>0.88555935328376423</v>
      </c>
      <c r="R324" s="13">
        <v>0.96860533087864664</v>
      </c>
      <c r="S324" s="13">
        <v>0.97340956258969946</v>
      </c>
      <c r="T324" s="13">
        <v>0.97439351267310259</v>
      </c>
      <c r="U324" s="13">
        <v>0.96611549937727803</v>
      </c>
      <c r="V324" s="13">
        <v>0.96790727472411364</v>
      </c>
      <c r="W324" s="13">
        <v>0.96267876113346806</v>
      </c>
      <c r="X324" s="13">
        <v>0.95025987286442681</v>
      </c>
      <c r="Y324" s="13">
        <v>0.90712694316135967</v>
      </c>
      <c r="Z324" s="14">
        <v>0.86832885480518052</v>
      </c>
      <c r="AA324" s="14">
        <v>0.92920629673404453</v>
      </c>
      <c r="AB324" s="14">
        <v>0.92929042707775777</v>
      </c>
      <c r="AC324" s="14">
        <v>0.96626141279072941</v>
      </c>
      <c r="AD324" s="14">
        <v>0.94190733852950481</v>
      </c>
      <c r="AE324" s="14">
        <v>0.81680422037544498</v>
      </c>
      <c r="AF324" s="25">
        <v>0.91356584969335919</v>
      </c>
      <c r="AG324" s="13">
        <v>0.90963470534725954</v>
      </c>
      <c r="AH324" s="13">
        <v>0.89547802848639213</v>
      </c>
      <c r="AI324" s="15">
        <v>0.89547802848639213</v>
      </c>
      <c r="AJ324" s="13">
        <v>0.89547802848639213</v>
      </c>
      <c r="AK324" s="13">
        <v>0.89547802848639213</v>
      </c>
      <c r="AL324" s="13">
        <v>0.89547802848639213</v>
      </c>
      <c r="AM324" s="13">
        <v>0.89547802848639213</v>
      </c>
      <c r="AN324" s="13">
        <v>0.89547802848639213</v>
      </c>
      <c r="AO324" s="13">
        <v>0.89547802848639213</v>
      </c>
      <c r="AP324" s="13">
        <v>0.89547802848639213</v>
      </c>
      <c r="AQ324" s="13">
        <v>0.89547802848639213</v>
      </c>
      <c r="AR324" s="13">
        <v>0.89547802848639213</v>
      </c>
      <c r="AS324" s="13">
        <v>0.89547802848639213</v>
      </c>
      <c r="AT324" s="13">
        <v>0.89547802848639213</v>
      </c>
      <c r="AU324" s="13">
        <v>0.89547802848639213</v>
      </c>
      <c r="AV324" s="13">
        <v>0.89547802848639213</v>
      </c>
      <c r="AW324" s="13">
        <v>0.89547802848639213</v>
      </c>
      <c r="AX324" s="13">
        <v>0.89547802848639213</v>
      </c>
      <c r="AY324" s="13">
        <v>0.89547802848639213</v>
      </c>
      <c r="AZ324" s="13">
        <v>0.89547802848639213</v>
      </c>
      <c r="BA324" s="13">
        <v>0.89547802848639213</v>
      </c>
      <c r="BB324" s="13">
        <v>0.89547802848639213</v>
      </c>
      <c r="BC324" s="13">
        <v>0.89547802848639213</v>
      </c>
      <c r="BD324" s="13">
        <v>0.89547802848639213</v>
      </c>
      <c r="BE324" s="13">
        <v>0.89547802848639213</v>
      </c>
      <c r="BF324" s="13">
        <v>0.89547802848639213</v>
      </c>
      <c r="BG324" s="13">
        <v>0.89547802848639213</v>
      </c>
    </row>
    <row r="325" spans="1:59" ht="12" customHeight="1" x14ac:dyDescent="0.2">
      <c r="A325" s="1" t="s">
        <v>54</v>
      </c>
      <c r="B325" t="s">
        <v>64</v>
      </c>
      <c r="C325" s="10" t="s">
        <v>62</v>
      </c>
      <c r="D325" s="13">
        <v>0.50162836525703436</v>
      </c>
      <c r="E325" s="13">
        <v>0.25571366914882238</v>
      </c>
      <c r="F325" s="13">
        <v>0.85531509730516164</v>
      </c>
      <c r="G325" s="13">
        <v>0.97211133996548416</v>
      </c>
      <c r="H325" s="13">
        <v>0.99062521349929589</v>
      </c>
      <c r="I325" s="13">
        <v>0.84859017478928145</v>
      </c>
      <c r="J325" s="13">
        <v>0.98335711063742692</v>
      </c>
      <c r="K325" s="13">
        <v>0.97932275980601469</v>
      </c>
      <c r="L325" s="14">
        <v>0.95731210183463533</v>
      </c>
      <c r="M325" s="13">
        <v>0.98213157417119679</v>
      </c>
      <c r="N325" s="13">
        <v>0.9738752104078815</v>
      </c>
      <c r="O325" s="13">
        <v>0.98088867891108344</v>
      </c>
      <c r="P325" s="13">
        <v>0.98693356724784564</v>
      </c>
      <c r="Q325" s="13">
        <v>0.98479224999044601</v>
      </c>
      <c r="R325" s="13">
        <v>0.98012196978819111</v>
      </c>
      <c r="S325" s="13">
        <v>0.96819864799758493</v>
      </c>
      <c r="T325" s="13">
        <v>0.95730919417652161</v>
      </c>
      <c r="U325" s="13">
        <v>0.95528693994941283</v>
      </c>
      <c r="V325" s="13">
        <v>0.92273988801193407</v>
      </c>
      <c r="W325" s="13">
        <v>0.91149267049873983</v>
      </c>
      <c r="X325" s="13">
        <v>0.908224678003825</v>
      </c>
      <c r="Y325" s="13">
        <v>0.86563425136713212</v>
      </c>
      <c r="Z325" s="14">
        <v>0.85295541100443395</v>
      </c>
      <c r="AA325" s="14">
        <v>0.8427024169601911</v>
      </c>
      <c r="AB325" s="14">
        <v>0.77852339778885404</v>
      </c>
      <c r="AC325" s="14">
        <v>0.73697790589689993</v>
      </c>
      <c r="AD325" s="14">
        <v>0.71529805029146609</v>
      </c>
      <c r="AE325" s="14">
        <v>0.90479522826337588</v>
      </c>
      <c r="AF325" s="25">
        <v>0.78389864556014899</v>
      </c>
      <c r="AG325" s="13">
        <v>0.78524245750297272</v>
      </c>
      <c r="AH325" s="13">
        <v>0.79730859540449095</v>
      </c>
      <c r="AI325" s="15">
        <v>0.79730859540449095</v>
      </c>
      <c r="AJ325" s="13">
        <v>0.79730859540449095</v>
      </c>
      <c r="AK325" s="13">
        <v>0.79730859540449095</v>
      </c>
      <c r="AL325" s="13">
        <v>0.79730859540449095</v>
      </c>
      <c r="AM325" s="13">
        <v>0.79730859540449095</v>
      </c>
      <c r="AN325" s="13">
        <v>0.79730859540449095</v>
      </c>
      <c r="AO325" s="13">
        <v>0.79730859540449095</v>
      </c>
      <c r="AP325" s="13">
        <v>0.79730859540449095</v>
      </c>
      <c r="AQ325" s="13">
        <v>0.79730859540449095</v>
      </c>
      <c r="AR325" s="13">
        <v>0.79730859540449095</v>
      </c>
      <c r="AS325" s="13">
        <v>0.79730859540449095</v>
      </c>
      <c r="AT325" s="13">
        <v>0.79730859540449095</v>
      </c>
      <c r="AU325" s="13">
        <v>0.79730859540449095</v>
      </c>
      <c r="AV325" s="13">
        <v>0.79730859540449095</v>
      </c>
      <c r="AW325" s="13">
        <v>0.79730859540449095</v>
      </c>
      <c r="AX325" s="13">
        <v>0.79730859540449095</v>
      </c>
      <c r="AY325" s="13">
        <v>0.79730859540449095</v>
      </c>
      <c r="AZ325" s="13">
        <v>0.79730859540449095</v>
      </c>
      <c r="BA325" s="13">
        <v>0.79730859540449095</v>
      </c>
      <c r="BB325" s="13">
        <v>0.79730859540449095</v>
      </c>
      <c r="BC325" s="13">
        <v>0.79730859540449095</v>
      </c>
      <c r="BD325" s="13">
        <v>0.79730859540449095</v>
      </c>
      <c r="BE325" s="13">
        <v>0.79730859540449095</v>
      </c>
      <c r="BF325" s="13">
        <v>0.79730859540449095</v>
      </c>
      <c r="BG325" s="13">
        <v>0.79730859540449095</v>
      </c>
    </row>
    <row r="326" spans="1:59" ht="12" customHeight="1" x14ac:dyDescent="0.2">
      <c r="A326" s="1" t="s">
        <v>55</v>
      </c>
      <c r="B326" t="s">
        <v>64</v>
      </c>
      <c r="C326" s="10" t="s">
        <v>62</v>
      </c>
      <c r="D326" s="13">
        <v>0.95104217694771931</v>
      </c>
      <c r="E326" s="13">
        <v>0.93684742401434051</v>
      </c>
      <c r="F326" s="13">
        <v>0.92299021334850406</v>
      </c>
      <c r="G326" s="13">
        <v>0.91615343443843877</v>
      </c>
      <c r="H326" s="13">
        <v>0.88789198674735514</v>
      </c>
      <c r="I326" s="13">
        <v>0.88718963066343548</v>
      </c>
      <c r="J326" s="13">
        <v>0.96884488292570847</v>
      </c>
      <c r="K326" s="13">
        <v>0.97451069478327168</v>
      </c>
      <c r="L326" s="14">
        <v>0.98352508174638864</v>
      </c>
      <c r="M326" s="13">
        <v>0.96938505091372107</v>
      </c>
      <c r="N326" s="13">
        <v>0.9866502616191164</v>
      </c>
      <c r="O326" s="13">
        <v>0.98309027811305194</v>
      </c>
      <c r="P326" s="13">
        <v>0.98071696355834725</v>
      </c>
      <c r="Q326" s="13">
        <v>0.97976285901240823</v>
      </c>
      <c r="R326" s="13">
        <v>0.98481316084926507</v>
      </c>
      <c r="S326" s="13">
        <v>0.98317658763928983</v>
      </c>
      <c r="T326" s="13">
        <v>0.98893909852702022</v>
      </c>
      <c r="U326" s="13">
        <v>0.98924913968089989</v>
      </c>
      <c r="V326" s="13">
        <v>0.98690483395790918</v>
      </c>
      <c r="W326" s="13">
        <v>0.98651214305126012</v>
      </c>
      <c r="X326" s="13">
        <v>0.987243444150114</v>
      </c>
      <c r="Y326" s="13">
        <v>0.98788061188470466</v>
      </c>
      <c r="Z326" s="14">
        <v>0.98619387720260288</v>
      </c>
      <c r="AA326" s="14">
        <v>0.985162484379976</v>
      </c>
      <c r="AB326" s="14">
        <v>0.98311633267743059</v>
      </c>
      <c r="AC326" s="14">
        <v>0.9825650044121349</v>
      </c>
      <c r="AD326" s="14">
        <v>0.97954192067521417</v>
      </c>
      <c r="AE326" s="14">
        <v>0.97727623012281262</v>
      </c>
      <c r="AF326" s="25">
        <v>0.98062487197189807</v>
      </c>
      <c r="AG326" s="13">
        <v>0.98000200679551486</v>
      </c>
      <c r="AH326" s="13">
        <v>0.97936125739135993</v>
      </c>
      <c r="AI326" s="15">
        <v>0.97936125739135993</v>
      </c>
      <c r="AJ326" s="13">
        <v>0.97936125739135993</v>
      </c>
      <c r="AK326" s="13">
        <v>0.97936125739135993</v>
      </c>
      <c r="AL326" s="13">
        <v>0.97936125739135993</v>
      </c>
      <c r="AM326" s="13">
        <v>0.97936125739135993</v>
      </c>
      <c r="AN326" s="13">
        <v>0.97936125739135993</v>
      </c>
      <c r="AO326" s="13">
        <v>0.97936125739135993</v>
      </c>
      <c r="AP326" s="13">
        <v>0.97936125739135993</v>
      </c>
      <c r="AQ326" s="13">
        <v>0.97936125739135993</v>
      </c>
      <c r="AR326" s="13">
        <v>0.97936125739135993</v>
      </c>
      <c r="AS326" s="13">
        <v>0.97936125739135993</v>
      </c>
      <c r="AT326" s="13">
        <v>0.97936125739135993</v>
      </c>
      <c r="AU326" s="13">
        <v>0.97936125739135993</v>
      </c>
      <c r="AV326" s="13">
        <v>0.97936125739135993</v>
      </c>
      <c r="AW326" s="13">
        <v>0.97936125739135993</v>
      </c>
      <c r="AX326" s="13">
        <v>0.97936125739135993</v>
      </c>
      <c r="AY326" s="13">
        <v>0.97936125739135993</v>
      </c>
      <c r="AZ326" s="13">
        <v>0.97936125739135993</v>
      </c>
      <c r="BA326" s="13">
        <v>0.97936125739135993</v>
      </c>
      <c r="BB326" s="13">
        <v>0.97936125739135993</v>
      </c>
      <c r="BC326" s="13">
        <v>0.97936125739135993</v>
      </c>
      <c r="BD326" s="13">
        <v>0.97936125739135993</v>
      </c>
      <c r="BE326" s="13">
        <v>0.97936125739135993</v>
      </c>
      <c r="BF326" s="13">
        <v>0.97936125739135993</v>
      </c>
      <c r="BG326" s="13">
        <v>0.97936125739135993</v>
      </c>
    </row>
    <row r="327" spans="1:59" ht="12" customHeight="1" x14ac:dyDescent="0.2">
      <c r="A327" s="1" t="s">
        <v>56</v>
      </c>
      <c r="B327" t="s">
        <v>64</v>
      </c>
      <c r="C327" s="10" t="s">
        <v>62</v>
      </c>
      <c r="D327" s="13">
        <v>0.92331626894935592</v>
      </c>
      <c r="E327" s="13">
        <v>0.84757677368863249</v>
      </c>
      <c r="F327" s="13">
        <v>0.89957674806773424</v>
      </c>
      <c r="G327" s="13">
        <v>0.93716434191148867</v>
      </c>
      <c r="H327" s="13">
        <v>0.95881312791437223</v>
      </c>
      <c r="I327" s="13">
        <v>0.95883324148925142</v>
      </c>
      <c r="J327" s="13">
        <v>0.99034441464106426</v>
      </c>
      <c r="K327" s="13">
        <v>0.98172719116361884</v>
      </c>
      <c r="L327" s="14">
        <v>0.9837047859585758</v>
      </c>
      <c r="M327" s="13">
        <v>0.98554314222743467</v>
      </c>
      <c r="N327" s="13">
        <v>0.98837472063324738</v>
      </c>
      <c r="O327" s="13">
        <v>0.98709841237072493</v>
      </c>
      <c r="P327" s="13">
        <v>0.99513894052174445</v>
      </c>
      <c r="Q327" s="13">
        <v>0.9764012950061588</v>
      </c>
      <c r="R327" s="13">
        <v>0.96198242402122625</v>
      </c>
      <c r="S327" s="13">
        <v>0.95618206260573957</v>
      </c>
      <c r="T327" s="13">
        <v>0.95554500354682725</v>
      </c>
      <c r="U327" s="13">
        <v>0.94512654734765722</v>
      </c>
      <c r="V327" s="13">
        <v>0.9334889850005228</v>
      </c>
      <c r="W327" s="13">
        <v>0.92590380324335231</v>
      </c>
      <c r="X327" s="13">
        <v>0.90325559528840937</v>
      </c>
      <c r="Y327" s="13">
        <v>0.90852671901551796</v>
      </c>
      <c r="Z327" s="14">
        <v>0.90358907796551424</v>
      </c>
      <c r="AA327" s="14">
        <v>0.89513964851589056</v>
      </c>
      <c r="AB327" s="14">
        <v>0.89318594588928446</v>
      </c>
      <c r="AC327" s="14">
        <v>0.94747316504619727</v>
      </c>
      <c r="AD327" s="14">
        <v>0.96338820247321444</v>
      </c>
      <c r="AE327" s="14">
        <v>0.89864408787664207</v>
      </c>
      <c r="AF327" s="25">
        <v>0.92567285032133451</v>
      </c>
      <c r="AG327" s="13">
        <v>0.93379457642934716</v>
      </c>
      <c r="AH327" s="13">
        <v>0.93037492927513454</v>
      </c>
      <c r="AI327" s="15">
        <v>0.93037492927513454</v>
      </c>
      <c r="AJ327" s="13">
        <v>0.93037492927513454</v>
      </c>
      <c r="AK327" s="13">
        <v>0.93037492927513454</v>
      </c>
      <c r="AL327" s="13">
        <v>0.93037492927513454</v>
      </c>
      <c r="AM327" s="13">
        <v>0.93037492927513454</v>
      </c>
      <c r="AN327" s="13">
        <v>0.93037492927513454</v>
      </c>
      <c r="AO327" s="13">
        <v>0.93037492927513454</v>
      </c>
      <c r="AP327" s="13">
        <v>0.93037492927513454</v>
      </c>
      <c r="AQ327" s="13">
        <v>0.93037492927513454</v>
      </c>
      <c r="AR327" s="13">
        <v>0.93037492927513454</v>
      </c>
      <c r="AS327" s="13">
        <v>0.93037492927513454</v>
      </c>
      <c r="AT327" s="13">
        <v>0.93037492927513454</v>
      </c>
      <c r="AU327" s="13">
        <v>0.93037492927513454</v>
      </c>
      <c r="AV327" s="13">
        <v>0.93037492927513454</v>
      </c>
      <c r="AW327" s="13">
        <v>0.93037492927513454</v>
      </c>
      <c r="AX327" s="13">
        <v>0.93037492927513454</v>
      </c>
      <c r="AY327" s="13">
        <v>0.93037492927513454</v>
      </c>
      <c r="AZ327" s="13">
        <v>0.93037492927513454</v>
      </c>
      <c r="BA327" s="13">
        <v>0.93037492927513454</v>
      </c>
      <c r="BB327" s="13">
        <v>0.93037492927513454</v>
      </c>
      <c r="BC327" s="13">
        <v>0.93037492927513454</v>
      </c>
      <c r="BD327" s="13">
        <v>0.93037492927513454</v>
      </c>
      <c r="BE327" s="13">
        <v>0.93037492927513454</v>
      </c>
      <c r="BF327" s="13">
        <v>0.93037492927513454</v>
      </c>
      <c r="BG327" s="13">
        <v>0.93037492927513454</v>
      </c>
    </row>
    <row r="328" spans="1:59" ht="12" customHeight="1" x14ac:dyDescent="0.2">
      <c r="A328" s="1" t="s">
        <v>57</v>
      </c>
      <c r="B328" t="s">
        <v>64</v>
      </c>
      <c r="C328" s="10" t="s">
        <v>62</v>
      </c>
      <c r="D328" s="13">
        <v>0.98254912036902942</v>
      </c>
      <c r="E328" s="13">
        <v>0.96259501904243294</v>
      </c>
      <c r="F328" s="13">
        <v>0.93994508102743457</v>
      </c>
      <c r="G328" s="13">
        <v>0.94260391951982214</v>
      </c>
      <c r="H328" s="13">
        <v>0.96006180000577956</v>
      </c>
      <c r="I328" s="13">
        <v>0.94934026718029174</v>
      </c>
      <c r="J328" s="13">
        <v>0.98409973235412174</v>
      </c>
      <c r="K328" s="13">
        <v>0.99691957712428192</v>
      </c>
      <c r="L328" s="14">
        <v>0.992956025311173</v>
      </c>
      <c r="M328" s="13">
        <v>0.99167540699667922</v>
      </c>
      <c r="N328" s="13">
        <v>0.98613889925853926</v>
      </c>
      <c r="O328" s="13">
        <v>0.984503620339653</v>
      </c>
      <c r="P328" s="13">
        <v>0.98390000993215765</v>
      </c>
      <c r="Q328" s="13">
        <v>0.98982491978085174</v>
      </c>
      <c r="R328" s="13">
        <v>0.99018123888259413</v>
      </c>
      <c r="S328" s="13">
        <v>0.99239279636204614</v>
      </c>
      <c r="T328" s="13">
        <v>0.99302954938661658</v>
      </c>
      <c r="U328" s="13">
        <v>0.99147369020036724</v>
      </c>
      <c r="V328" s="13">
        <v>0.98998257111862809</v>
      </c>
      <c r="W328" s="13">
        <v>0.98975324144560783</v>
      </c>
      <c r="X328" s="13">
        <v>0.98869463130209134</v>
      </c>
      <c r="Y328" s="13">
        <v>0.98844108153189603</v>
      </c>
      <c r="Z328" s="14">
        <v>0.98668016708161677</v>
      </c>
      <c r="AA328" s="14">
        <v>0.98457249679328784</v>
      </c>
      <c r="AB328" s="14">
        <v>0.98623331702724171</v>
      </c>
      <c r="AC328" s="14">
        <v>0.989966225504186</v>
      </c>
      <c r="AD328" s="14">
        <v>0.99073676641435449</v>
      </c>
      <c r="AE328" s="14">
        <v>0.98490523217063697</v>
      </c>
      <c r="AF328" s="25">
        <v>0.98796038527910479</v>
      </c>
      <c r="AG328" s="13">
        <v>0.98839215234207056</v>
      </c>
      <c r="AH328" s="13">
        <v>0.98799863405154176</v>
      </c>
      <c r="AI328" s="15">
        <v>0.98799863405154176</v>
      </c>
      <c r="AJ328" s="13">
        <v>0.98799863405154176</v>
      </c>
      <c r="AK328" s="13">
        <v>0.98799863405154176</v>
      </c>
      <c r="AL328" s="13">
        <v>0.98799863405154176</v>
      </c>
      <c r="AM328" s="13">
        <v>0.98799863405154176</v>
      </c>
      <c r="AN328" s="13">
        <v>0.98799863405154176</v>
      </c>
      <c r="AO328" s="13">
        <v>0.98799863405154176</v>
      </c>
      <c r="AP328" s="13">
        <v>0.98799863405154176</v>
      </c>
      <c r="AQ328" s="13">
        <v>0.98799863405154176</v>
      </c>
      <c r="AR328" s="13">
        <v>0.98799863405154176</v>
      </c>
      <c r="AS328" s="13">
        <v>0.98799863405154176</v>
      </c>
      <c r="AT328" s="13">
        <v>0.98799863405154176</v>
      </c>
      <c r="AU328" s="13">
        <v>0.98799863405154176</v>
      </c>
      <c r="AV328" s="13">
        <v>0.98799863405154176</v>
      </c>
      <c r="AW328" s="13">
        <v>0.98799863405154176</v>
      </c>
      <c r="AX328" s="13">
        <v>0.98799863405154176</v>
      </c>
      <c r="AY328" s="13">
        <v>0.98799863405154176</v>
      </c>
      <c r="AZ328" s="13">
        <v>0.98799863405154176</v>
      </c>
      <c r="BA328" s="13">
        <v>0.98799863405154176</v>
      </c>
      <c r="BB328" s="13">
        <v>0.98799863405154176</v>
      </c>
      <c r="BC328" s="13">
        <v>0.98799863405154176</v>
      </c>
      <c r="BD328" s="13">
        <v>0.98799863405154176</v>
      </c>
      <c r="BE328" s="13">
        <v>0.98799863405154176</v>
      </c>
      <c r="BF328" s="13">
        <v>0.98799863405154176</v>
      </c>
      <c r="BG328" s="13">
        <v>0.98799863405154176</v>
      </c>
    </row>
    <row r="329" spans="1:59" ht="12" customHeight="1" x14ac:dyDescent="0.2">
      <c r="A329" s="1" t="s">
        <v>58</v>
      </c>
      <c r="B329" t="s">
        <v>64</v>
      </c>
      <c r="C329" s="10" t="s">
        <v>62</v>
      </c>
      <c r="D329" s="13">
        <v>0.93773638584035446</v>
      </c>
      <c r="E329" s="13">
        <v>0.92108583181368986</v>
      </c>
      <c r="F329" s="13">
        <v>0.95883711610733202</v>
      </c>
      <c r="G329" s="13">
        <v>0.92046225794816994</v>
      </c>
      <c r="H329" s="13">
        <v>0.9396297350606504</v>
      </c>
      <c r="I329" s="13">
        <v>0.92861529209491689</v>
      </c>
      <c r="J329" s="13">
        <v>0.98310839700835384</v>
      </c>
      <c r="K329" s="13">
        <v>0.99208948581592638</v>
      </c>
      <c r="L329" s="14">
        <v>0.98930793830160901</v>
      </c>
      <c r="M329" s="13">
        <v>0.99132958073819855</v>
      </c>
      <c r="N329" s="13">
        <v>0.97427940481302744</v>
      </c>
      <c r="O329" s="13">
        <v>0.9826180133580511</v>
      </c>
      <c r="P329" s="13">
        <v>0.98371116240658563</v>
      </c>
      <c r="Q329" s="13">
        <v>0.99150180049095815</v>
      </c>
      <c r="R329" s="13">
        <v>0.97803588207564218</v>
      </c>
      <c r="S329" s="13">
        <v>0.9655066468325163</v>
      </c>
      <c r="T329" s="13">
        <v>0.95113922104043369</v>
      </c>
      <c r="U329" s="13">
        <v>0.95894793478741946</v>
      </c>
      <c r="V329" s="13">
        <v>0.9557456709444514</v>
      </c>
      <c r="W329" s="13">
        <v>0.95620281346786684</v>
      </c>
      <c r="X329" s="13">
        <v>0.95713845789619312</v>
      </c>
      <c r="Y329" s="13">
        <v>0.95465017130397523</v>
      </c>
      <c r="Z329" s="14">
        <v>0.95601864037011264</v>
      </c>
      <c r="AA329" s="14">
        <v>0.97156662790117876</v>
      </c>
      <c r="AB329" s="14">
        <v>0.97482867686661812</v>
      </c>
      <c r="AC329" s="14">
        <v>0.98935573310953773</v>
      </c>
      <c r="AD329" s="14">
        <v>0.98264838205461236</v>
      </c>
      <c r="AE329" s="14">
        <v>0.96978056997507645</v>
      </c>
      <c r="AF329" s="25">
        <v>0.97915334050146119</v>
      </c>
      <c r="AG329" s="13">
        <v>0.98023450641017185</v>
      </c>
      <c r="AH329" s="13">
        <v>0.97795419973533049</v>
      </c>
      <c r="AI329" s="15">
        <v>0.97795419973533049</v>
      </c>
      <c r="AJ329" s="13">
        <v>0.97795419973533049</v>
      </c>
      <c r="AK329" s="13">
        <v>0.97795419973533049</v>
      </c>
      <c r="AL329" s="13">
        <v>0.97795419973533049</v>
      </c>
      <c r="AM329" s="13">
        <v>0.97795419973533049</v>
      </c>
      <c r="AN329" s="13">
        <v>0.97795419973533049</v>
      </c>
      <c r="AO329" s="13">
        <v>0.97795419973533049</v>
      </c>
      <c r="AP329" s="13">
        <v>0.97795419973533049</v>
      </c>
      <c r="AQ329" s="13">
        <v>0.97795419973533049</v>
      </c>
      <c r="AR329" s="13">
        <v>0.97795419973533049</v>
      </c>
      <c r="AS329" s="13">
        <v>0.97795419973533049</v>
      </c>
      <c r="AT329" s="13">
        <v>0.97795419973533049</v>
      </c>
      <c r="AU329" s="13">
        <v>0.97795419973533049</v>
      </c>
      <c r="AV329" s="13">
        <v>0.97795419973533049</v>
      </c>
      <c r="AW329" s="13">
        <v>0.97795419973533049</v>
      </c>
      <c r="AX329" s="13">
        <v>0.97795419973533049</v>
      </c>
      <c r="AY329" s="13">
        <v>0.97795419973533049</v>
      </c>
      <c r="AZ329" s="13">
        <v>0.97795419973533049</v>
      </c>
      <c r="BA329" s="13">
        <v>0.97795419973533049</v>
      </c>
      <c r="BB329" s="13">
        <v>0.97795419973533049</v>
      </c>
      <c r="BC329" s="13">
        <v>0.97795419973533049</v>
      </c>
      <c r="BD329" s="13">
        <v>0.97795419973533049</v>
      </c>
      <c r="BE329" s="13">
        <v>0.97795419973533049</v>
      </c>
      <c r="BF329" s="13">
        <v>0.97795419973533049</v>
      </c>
      <c r="BG329" s="13">
        <v>0.97795419973533049</v>
      </c>
    </row>
    <row r="330" spans="1:59" ht="12" customHeight="1" x14ac:dyDescent="0.2">
      <c r="A330" s="1" t="s">
        <v>59</v>
      </c>
      <c r="B330" t="s">
        <v>64</v>
      </c>
      <c r="C330" s="10" t="s">
        <v>62</v>
      </c>
      <c r="D330" s="13">
        <v>0.93130915310083373</v>
      </c>
      <c r="E330" s="13">
        <v>0.94349583908365242</v>
      </c>
      <c r="F330" s="13">
        <v>0.87695757964515419</v>
      </c>
      <c r="G330" s="13">
        <v>0.80298698333158491</v>
      </c>
      <c r="H330" s="13">
        <v>0.96054165616778486</v>
      </c>
      <c r="I330" s="13">
        <v>0.97039023367737753</v>
      </c>
      <c r="J330" s="13">
        <v>0.98703764517173542</v>
      </c>
      <c r="K330" s="13">
        <v>0.98734190034367952</v>
      </c>
      <c r="L330" s="14">
        <v>0.9848101906498582</v>
      </c>
      <c r="M330" s="13">
        <v>0.98833657110696316</v>
      </c>
      <c r="N330" s="13">
        <v>0.9871808816106028</v>
      </c>
      <c r="O330" s="13">
        <v>0.99479519483163814</v>
      </c>
      <c r="P330" s="13">
        <v>0.98767956926021871</v>
      </c>
      <c r="Q330" s="13">
        <v>0.99524082722522389</v>
      </c>
      <c r="R330" s="13">
        <v>0.98102189467192891</v>
      </c>
      <c r="S330" s="13">
        <v>0.9840794353245389</v>
      </c>
      <c r="T330" s="13">
        <v>0.9829839984251979</v>
      </c>
      <c r="U330" s="13">
        <v>0.98132382157375231</v>
      </c>
      <c r="V330" s="13">
        <v>0.97749451717819891</v>
      </c>
      <c r="W330" s="13">
        <v>0.98037103493446542</v>
      </c>
      <c r="X330" s="13">
        <v>0.98163508553754009</v>
      </c>
      <c r="Y330" s="13">
        <v>0.9787026772160009</v>
      </c>
      <c r="Z330" s="14">
        <v>0.97590661217623731</v>
      </c>
      <c r="AA330" s="14">
        <v>0.96945654988637986</v>
      </c>
      <c r="AB330" s="14">
        <v>0.9804520623273324</v>
      </c>
      <c r="AC330" s="14">
        <v>0.98635552003047633</v>
      </c>
      <c r="AD330" s="14">
        <v>0.98293504882882077</v>
      </c>
      <c r="AE330" s="14">
        <v>0.97994743737572365</v>
      </c>
      <c r="AF330" s="25">
        <v>0.98242251714058837</v>
      </c>
      <c r="AG330" s="13">
        <v>0.98291513084390225</v>
      </c>
      <c r="AH330" s="13">
        <v>0.98205503354725876</v>
      </c>
      <c r="AI330" s="15">
        <v>0.98205503354725876</v>
      </c>
      <c r="AJ330" s="13">
        <v>0.98205503354725876</v>
      </c>
      <c r="AK330" s="13">
        <v>0.98205503354725876</v>
      </c>
      <c r="AL330" s="13">
        <v>0.98205503354725876</v>
      </c>
      <c r="AM330" s="13">
        <v>0.98205503354725876</v>
      </c>
      <c r="AN330" s="13">
        <v>0.98205503354725876</v>
      </c>
      <c r="AO330" s="13">
        <v>0.98205503354725876</v>
      </c>
      <c r="AP330" s="13">
        <v>0.98205503354725876</v>
      </c>
      <c r="AQ330" s="13">
        <v>0.98205503354725876</v>
      </c>
      <c r="AR330" s="13">
        <v>0.98205503354725876</v>
      </c>
      <c r="AS330" s="13">
        <v>0.98205503354725876</v>
      </c>
      <c r="AT330" s="13">
        <v>0.98205503354725876</v>
      </c>
      <c r="AU330" s="13">
        <v>0.98205503354725876</v>
      </c>
      <c r="AV330" s="13">
        <v>0.98205503354725876</v>
      </c>
      <c r="AW330" s="13">
        <v>0.98205503354725876</v>
      </c>
      <c r="AX330" s="13">
        <v>0.98205503354725876</v>
      </c>
      <c r="AY330" s="13">
        <v>0.98205503354725876</v>
      </c>
      <c r="AZ330" s="13">
        <v>0.98205503354725876</v>
      </c>
      <c r="BA330" s="13">
        <v>0.98205503354725876</v>
      </c>
      <c r="BB330" s="13">
        <v>0.98205503354725876</v>
      </c>
      <c r="BC330" s="13">
        <v>0.98205503354725876</v>
      </c>
      <c r="BD330" s="13">
        <v>0.98205503354725876</v>
      </c>
      <c r="BE330" s="13">
        <v>0.98205503354725876</v>
      </c>
      <c r="BF330" s="13">
        <v>0.98205503354725876</v>
      </c>
      <c r="BG330" s="13">
        <v>0.98205503354725876</v>
      </c>
    </row>
    <row r="331" spans="1:59" ht="12" customHeight="1" x14ac:dyDescent="0.2">
      <c r="A331" s="1" t="s">
        <v>60</v>
      </c>
      <c r="B331" t="s">
        <v>64</v>
      </c>
      <c r="C331" s="10" t="s">
        <v>62</v>
      </c>
      <c r="D331" s="13">
        <v>0.96843546472115027</v>
      </c>
      <c r="E331" s="13">
        <v>0.95808563163311422</v>
      </c>
      <c r="F331" s="13">
        <v>0.93442772264235097</v>
      </c>
      <c r="G331" s="13">
        <v>0.94736493606628747</v>
      </c>
      <c r="H331" s="13">
        <v>0.96348017837415767</v>
      </c>
      <c r="I331" s="13">
        <v>0.95551162865307171</v>
      </c>
      <c r="J331" s="13">
        <v>0.96996963482435694</v>
      </c>
      <c r="K331" s="13">
        <v>0.99110335302734065</v>
      </c>
      <c r="L331" s="14">
        <v>0.9137880599141005</v>
      </c>
      <c r="M331" s="13">
        <v>0.98267967073446594</v>
      </c>
      <c r="N331" s="13">
        <v>0.98048259090020551</v>
      </c>
      <c r="O331" s="13">
        <v>0.98129092602988088</v>
      </c>
      <c r="P331" s="13">
        <v>0.97532561474614121</v>
      </c>
      <c r="Q331" s="13">
        <v>0.99207698727082139</v>
      </c>
      <c r="R331" s="13">
        <v>0.98558898497225378</v>
      </c>
      <c r="S331" s="13">
        <v>0.99117375022130383</v>
      </c>
      <c r="T331" s="13">
        <v>0.99271559109644025</v>
      </c>
      <c r="U331" s="13">
        <v>0.99401364256647129</v>
      </c>
      <c r="V331" s="13">
        <v>0.99282176917658582</v>
      </c>
      <c r="W331" s="13">
        <v>0.99063367684165626</v>
      </c>
      <c r="X331" s="13">
        <v>0.98983371822654032</v>
      </c>
      <c r="Y331" s="13">
        <v>0.99352269746848854</v>
      </c>
      <c r="Z331" s="14">
        <v>0.99564247366856695</v>
      </c>
      <c r="AA331" s="14">
        <v>0.99421795141900549</v>
      </c>
      <c r="AB331" s="14">
        <v>0.99574821451141005</v>
      </c>
      <c r="AC331" s="14">
        <v>0.98264994690706087</v>
      </c>
      <c r="AD331" s="14">
        <v>0.99611151371816165</v>
      </c>
      <c r="AE331" s="14">
        <v>0.9942847909893785</v>
      </c>
      <c r="AF331" s="25">
        <v>0.99219861653150276</v>
      </c>
      <c r="AG331" s="13">
        <v>0.99131121703652592</v>
      </c>
      <c r="AH331" s="13">
        <v>0.99347653456889229</v>
      </c>
      <c r="AI331" s="15">
        <v>0.99347653456889229</v>
      </c>
      <c r="AJ331" s="13">
        <v>0.99347653456889229</v>
      </c>
      <c r="AK331" s="13">
        <v>0.99347653456889229</v>
      </c>
      <c r="AL331" s="13">
        <v>0.99347653456889229</v>
      </c>
      <c r="AM331" s="13">
        <v>0.99347653456889229</v>
      </c>
      <c r="AN331" s="13">
        <v>0.99347653456889229</v>
      </c>
      <c r="AO331" s="13">
        <v>0.99347653456889229</v>
      </c>
      <c r="AP331" s="13">
        <v>0.99347653456889229</v>
      </c>
      <c r="AQ331" s="13">
        <v>0.99347653456889229</v>
      </c>
      <c r="AR331" s="13">
        <v>0.99347653456889229</v>
      </c>
      <c r="AS331" s="13">
        <v>0.99347653456889229</v>
      </c>
      <c r="AT331" s="13">
        <v>0.99347653456889229</v>
      </c>
      <c r="AU331" s="13">
        <v>0.99347653456889229</v>
      </c>
      <c r="AV331" s="13">
        <v>0.99347653456889229</v>
      </c>
      <c r="AW331" s="13">
        <v>0.99347653456889229</v>
      </c>
      <c r="AX331" s="13">
        <v>0.99347653456889229</v>
      </c>
      <c r="AY331" s="13">
        <v>0.99347653456889229</v>
      </c>
      <c r="AZ331" s="13">
        <v>0.99347653456889229</v>
      </c>
      <c r="BA331" s="13">
        <v>0.99347653456889229</v>
      </c>
      <c r="BB331" s="13">
        <v>0.99347653456889229</v>
      </c>
      <c r="BC331" s="13">
        <v>0.99347653456889229</v>
      </c>
      <c r="BD331" s="13">
        <v>0.99347653456889229</v>
      </c>
      <c r="BE331" s="13">
        <v>0.99347653456889229</v>
      </c>
      <c r="BF331" s="13">
        <v>0.99347653456889229</v>
      </c>
      <c r="BG331" s="13">
        <v>0.99347653456889229</v>
      </c>
    </row>
    <row r="332" spans="1:59" ht="12" customHeight="1" x14ac:dyDescent="0.2">
      <c r="A332" s="1" t="s">
        <v>61</v>
      </c>
      <c r="B332" t="s">
        <v>64</v>
      </c>
      <c r="C332" s="10" t="s">
        <v>62</v>
      </c>
      <c r="D332" s="13">
        <v>0.87934606414542349</v>
      </c>
      <c r="E332" s="13">
        <v>0.72824991927103799</v>
      </c>
      <c r="F332" s="13">
        <v>0.67833407933352907</v>
      </c>
      <c r="G332" s="13">
        <v>0.68071562327474822</v>
      </c>
      <c r="H332" s="13">
        <v>0.77345875149531051</v>
      </c>
      <c r="I332" s="13">
        <v>0.73593035738499535</v>
      </c>
      <c r="J332" s="13">
        <v>0.75930955022631785</v>
      </c>
      <c r="K332" s="13">
        <v>0.76523144900726614</v>
      </c>
      <c r="L332" s="14">
        <v>0.81510405635281469</v>
      </c>
      <c r="M332" s="13">
        <v>0.89036273386871057</v>
      </c>
      <c r="N332" s="13">
        <v>0.87735668801664357</v>
      </c>
      <c r="O332" s="13">
        <v>0.8951859448505034</v>
      </c>
      <c r="P332" s="13">
        <v>0.88348035650564793</v>
      </c>
      <c r="Q332" s="13">
        <v>0.88780125122742559</v>
      </c>
      <c r="R332" s="13">
        <v>0.89191426181323563</v>
      </c>
      <c r="S332" s="13">
        <v>0.90022859178370651</v>
      </c>
      <c r="T332" s="13">
        <v>0.91613757301950172</v>
      </c>
      <c r="U332" s="13">
        <v>0.94383900265663168</v>
      </c>
      <c r="V332" s="13">
        <v>0.94158259927714161</v>
      </c>
      <c r="W332" s="13">
        <v>0.94124403048642369</v>
      </c>
      <c r="X332" s="13">
        <v>0.93677487557172712</v>
      </c>
      <c r="Y332" s="13">
        <v>0.96156531424146097</v>
      </c>
      <c r="Z332" s="14">
        <v>0.95574896037241519</v>
      </c>
      <c r="AA332" s="14">
        <v>0.94277889476901744</v>
      </c>
      <c r="AB332" s="14">
        <v>0.94844620158275594</v>
      </c>
      <c r="AC332" s="14">
        <v>0.94886894978528602</v>
      </c>
      <c r="AD332" s="14">
        <v>0.94046757178220131</v>
      </c>
      <c r="AE332" s="14">
        <v>0.94347237380346904</v>
      </c>
      <c r="AF332" s="25">
        <v>0.94531377423842811</v>
      </c>
      <c r="AG332" s="13">
        <v>0.94453066740234615</v>
      </c>
      <c r="AH332" s="13">
        <v>0.94344609680661118</v>
      </c>
      <c r="AI332" s="15">
        <v>0.94344609680661118</v>
      </c>
      <c r="AJ332" s="13">
        <v>0.94344609680661118</v>
      </c>
      <c r="AK332" s="13">
        <v>0.94344609680661118</v>
      </c>
      <c r="AL332" s="13">
        <v>0.94344609680661118</v>
      </c>
      <c r="AM332" s="13">
        <v>0.94344609680661118</v>
      </c>
      <c r="AN332" s="13">
        <v>0.94344609680661118</v>
      </c>
      <c r="AO332" s="13">
        <v>0.94344609680661118</v>
      </c>
      <c r="AP332" s="13">
        <v>0.94344609680661118</v>
      </c>
      <c r="AQ332" s="13">
        <v>0.94344609680661118</v>
      </c>
      <c r="AR332" s="13">
        <v>0.94344609680661118</v>
      </c>
      <c r="AS332" s="13">
        <v>0.94344609680661118</v>
      </c>
      <c r="AT332" s="13">
        <v>0.94344609680661118</v>
      </c>
      <c r="AU332" s="13">
        <v>0.94344609680661118</v>
      </c>
      <c r="AV332" s="13">
        <v>0.94344609680661118</v>
      </c>
      <c r="AW332" s="13">
        <v>0.94344609680661118</v>
      </c>
      <c r="AX332" s="13">
        <v>0.94344609680661118</v>
      </c>
      <c r="AY332" s="13">
        <v>0.94344609680661118</v>
      </c>
      <c r="AZ332" s="13">
        <v>0.94344609680661118</v>
      </c>
      <c r="BA332" s="13">
        <v>0.94344609680661118</v>
      </c>
      <c r="BB332" s="13">
        <v>0.94344609680661118</v>
      </c>
      <c r="BC332" s="13">
        <v>0.94344609680661118</v>
      </c>
      <c r="BD332" s="13">
        <v>0.94344609680661118</v>
      </c>
      <c r="BE332" s="13">
        <v>0.94344609680661118</v>
      </c>
      <c r="BF332" s="13">
        <v>0.94344609680661118</v>
      </c>
      <c r="BG332" s="13">
        <v>0.94344609680661118</v>
      </c>
    </row>
    <row r="333" spans="1:59" ht="12" customHeight="1" x14ac:dyDescent="0.2">
      <c r="A333" s="1" t="s">
        <v>44</v>
      </c>
      <c r="B333" t="s">
        <v>64</v>
      </c>
      <c r="C333" s="10" t="s">
        <v>63</v>
      </c>
      <c r="D333" s="13">
        <v>9.048457170480114E-4</v>
      </c>
      <c r="E333" s="13">
        <v>1.6545506403545694E-3</v>
      </c>
      <c r="F333" s="13">
        <v>1.1257451042183378E-3</v>
      </c>
      <c r="G333" s="13">
        <v>6.7975150471963775E-4</v>
      </c>
      <c r="H333" s="13">
        <v>1.1097215305491887E-3</v>
      </c>
      <c r="I333" s="13">
        <v>6.410343942867459E-4</v>
      </c>
      <c r="J333" s="13">
        <v>1.5323037394922997E-4</v>
      </c>
      <c r="K333" s="13">
        <v>2.4548802947021433E-4</v>
      </c>
      <c r="L333" s="14">
        <v>8.278170069123998E-5</v>
      </c>
      <c r="M333" s="13">
        <v>1.2159127969051495E-4</v>
      </c>
      <c r="N333" s="13">
        <v>1.1272761394473025E-4</v>
      </c>
      <c r="O333" s="13">
        <v>9.0631855867563012E-5</v>
      </c>
      <c r="P333" s="13">
        <v>8.1635586304095985E-5</v>
      </c>
      <c r="Q333" s="13">
        <v>4.5033333654916725E-4</v>
      </c>
      <c r="R333" s="13">
        <v>1.0464369792443808E-4</v>
      </c>
      <c r="S333" s="13">
        <v>1.2376254238191566E-4</v>
      </c>
      <c r="T333" s="13">
        <v>8.5808183936958156E-5</v>
      </c>
      <c r="U333" s="13">
        <v>1.0957527581224779E-4</v>
      </c>
      <c r="V333" s="13">
        <v>1.0943091087763231E-4</v>
      </c>
      <c r="W333" s="13">
        <v>7.727091156099281E-5</v>
      </c>
      <c r="X333" s="13">
        <v>7.9035611400537272E-5</v>
      </c>
      <c r="Y333" s="13">
        <v>7.8283667464876239E-5</v>
      </c>
      <c r="Z333" s="14">
        <v>9.2653130074866983E-5</v>
      </c>
      <c r="AA333" s="14">
        <v>8.1074078959264857E-5</v>
      </c>
      <c r="AB333" s="14">
        <v>6.5768848355592574E-5</v>
      </c>
      <c r="AC333" s="14">
        <v>3.2842128263702707E-5</v>
      </c>
      <c r="AD333" s="14">
        <v>3.2842128263702707E-5</v>
      </c>
      <c r="AE333" s="14">
        <v>2.4526038404095454E-5</v>
      </c>
      <c r="AF333" s="25">
        <v>3.8994785821773361E-5</v>
      </c>
      <c r="AG333" s="13">
        <v>3.2301270188318558E-5</v>
      </c>
      <c r="AH333" s="13">
        <v>3.2166055669472521E-5</v>
      </c>
      <c r="AI333" s="15">
        <v>3.2166055669472521E-5</v>
      </c>
      <c r="AJ333" s="13">
        <v>3.2166055669472521E-5</v>
      </c>
      <c r="AK333" s="13">
        <v>3.2166055669472521E-5</v>
      </c>
      <c r="AL333" s="13">
        <v>3.2166055669472521E-5</v>
      </c>
      <c r="AM333" s="13">
        <v>3.2166055669472521E-5</v>
      </c>
      <c r="AN333" s="13">
        <v>3.2166055669472521E-5</v>
      </c>
      <c r="AO333" s="13">
        <v>3.2166055669472521E-5</v>
      </c>
      <c r="AP333" s="13">
        <v>3.2166055669472521E-5</v>
      </c>
      <c r="AQ333" s="13">
        <v>3.2166055669472521E-5</v>
      </c>
      <c r="AR333" s="13">
        <v>3.2166055669472521E-5</v>
      </c>
      <c r="AS333" s="13">
        <v>3.2166055669472521E-5</v>
      </c>
      <c r="AT333" s="13">
        <v>3.2166055669472521E-5</v>
      </c>
      <c r="AU333" s="13">
        <v>3.2166055669472521E-5</v>
      </c>
      <c r="AV333" s="13">
        <v>3.2166055669472521E-5</v>
      </c>
      <c r="AW333" s="13">
        <v>3.2166055669472521E-5</v>
      </c>
      <c r="AX333" s="13">
        <v>3.2166055669472521E-5</v>
      </c>
      <c r="AY333" s="13">
        <v>3.2166055669472521E-5</v>
      </c>
      <c r="AZ333" s="13">
        <v>3.2166055669472521E-5</v>
      </c>
      <c r="BA333" s="13">
        <v>3.2166055669472521E-5</v>
      </c>
      <c r="BB333" s="13">
        <v>3.2166055669472521E-5</v>
      </c>
      <c r="BC333" s="13">
        <v>3.2166055669472521E-5</v>
      </c>
      <c r="BD333" s="13">
        <v>3.2166055669472521E-5</v>
      </c>
      <c r="BE333" s="13">
        <v>3.2166055669472521E-5</v>
      </c>
      <c r="BF333" s="13">
        <v>3.2166055669472521E-5</v>
      </c>
      <c r="BG333" s="13">
        <v>3.2166055669472521E-5</v>
      </c>
    </row>
    <row r="334" spans="1:59" ht="12" customHeight="1" x14ac:dyDescent="0.2">
      <c r="A334" s="1" t="s">
        <v>47</v>
      </c>
      <c r="B334" t="s">
        <v>64</v>
      </c>
      <c r="C334" s="10" t="s">
        <v>63</v>
      </c>
      <c r="D334" s="13">
        <v>8.448074628370621E-5</v>
      </c>
      <c r="E334" s="13">
        <v>1.323326018004967E-4</v>
      </c>
      <c r="F334" s="13">
        <v>1.259011335953736E-4</v>
      </c>
      <c r="G334" s="13">
        <v>2.167393474010727E-4</v>
      </c>
      <c r="H334" s="13">
        <v>2.7307677739965677E-4</v>
      </c>
      <c r="I334" s="13">
        <v>4.1110852331109089E-4</v>
      </c>
      <c r="J334" s="13">
        <v>1.200394077665184E-3</v>
      </c>
      <c r="K334" s="13">
        <v>1.583344637069881E-3</v>
      </c>
      <c r="L334" s="14">
        <v>8.5317910681591779E-4</v>
      </c>
      <c r="M334" s="13">
        <v>2.5586800509684511E-3</v>
      </c>
      <c r="N334" s="13">
        <v>9.2288929616831208E-4</v>
      </c>
      <c r="O334" s="13">
        <v>9.459442991860853E-4</v>
      </c>
      <c r="P334" s="13">
        <v>9.528786725958217E-4</v>
      </c>
      <c r="Q334" s="13">
        <v>9.4822271259168377E-4</v>
      </c>
      <c r="R334" s="13">
        <v>3.0643181377064941E-4</v>
      </c>
      <c r="S334" s="13">
        <v>4.5230622232629237E-5</v>
      </c>
      <c r="T334" s="13">
        <v>2.7071727920653242E-4</v>
      </c>
      <c r="U334" s="13">
        <v>4.706185459997347E-4</v>
      </c>
      <c r="V334" s="13">
        <v>2.7446761626435349E-4</v>
      </c>
      <c r="W334" s="13">
        <v>1.439296821366721E-4</v>
      </c>
      <c r="X334" s="13">
        <v>9.8541214031299646E-5</v>
      </c>
      <c r="Y334" s="13">
        <v>1.9249630897071939E-5</v>
      </c>
      <c r="Z334" s="14">
        <v>1.9779527070571929E-5</v>
      </c>
      <c r="AA334" s="14">
        <v>2.2400221859184679E-5</v>
      </c>
      <c r="AB334" s="14">
        <v>4.9284734164553849E-6</v>
      </c>
      <c r="AC334" s="14">
        <v>4.2432507164728723E-6</v>
      </c>
      <c r="AD334" s="14">
        <v>8.4910372873996751E-3</v>
      </c>
      <c r="AE334" s="14">
        <v>5.3577675342415356E-6</v>
      </c>
      <c r="AF334" s="25">
        <v>2.1263916947667112E-3</v>
      </c>
      <c r="AG334" s="13">
        <v>2.6567575001042753E-3</v>
      </c>
      <c r="AH334" s="13">
        <v>3.3198860624512258E-3</v>
      </c>
      <c r="AI334" s="15">
        <v>3.3198860624512258E-3</v>
      </c>
      <c r="AJ334" s="13">
        <v>3.3198860624512258E-3</v>
      </c>
      <c r="AK334" s="13">
        <v>3.3198860624512258E-3</v>
      </c>
      <c r="AL334" s="13">
        <v>3.3198860624512258E-3</v>
      </c>
      <c r="AM334" s="13">
        <v>3.3198860624512258E-3</v>
      </c>
      <c r="AN334" s="13">
        <v>3.3198860624512258E-3</v>
      </c>
      <c r="AO334" s="13">
        <v>3.3198860624512258E-3</v>
      </c>
      <c r="AP334" s="13">
        <v>3.3198860624512258E-3</v>
      </c>
      <c r="AQ334" s="13">
        <v>3.3198860624512258E-3</v>
      </c>
      <c r="AR334" s="13">
        <v>3.3198860624512258E-3</v>
      </c>
      <c r="AS334" s="13">
        <v>3.3198860624512258E-3</v>
      </c>
      <c r="AT334" s="13">
        <v>3.3198860624512258E-3</v>
      </c>
      <c r="AU334" s="13">
        <v>3.3198860624512258E-3</v>
      </c>
      <c r="AV334" s="13">
        <v>3.3198860624512258E-3</v>
      </c>
      <c r="AW334" s="13">
        <v>3.3198860624512258E-3</v>
      </c>
      <c r="AX334" s="13">
        <v>3.3198860624512258E-3</v>
      </c>
      <c r="AY334" s="13">
        <v>3.3198860624512258E-3</v>
      </c>
      <c r="AZ334" s="13">
        <v>3.3198860624512258E-3</v>
      </c>
      <c r="BA334" s="13">
        <v>3.3198860624512258E-3</v>
      </c>
      <c r="BB334" s="13">
        <v>3.3198860624512258E-3</v>
      </c>
      <c r="BC334" s="13">
        <v>3.3198860624512258E-3</v>
      </c>
      <c r="BD334" s="13">
        <v>3.3198860624512258E-3</v>
      </c>
      <c r="BE334" s="13">
        <v>3.3198860624512258E-3</v>
      </c>
      <c r="BF334" s="13">
        <v>3.3198860624512258E-3</v>
      </c>
      <c r="BG334" s="13">
        <v>3.3198860624512258E-3</v>
      </c>
    </row>
    <row r="335" spans="1:59" ht="12" customHeight="1" x14ac:dyDescent="0.2">
      <c r="A335" s="1" t="s">
        <v>48</v>
      </c>
      <c r="B335" t="s">
        <v>64</v>
      </c>
      <c r="C335" s="10" t="s">
        <v>63</v>
      </c>
      <c r="D335" s="13">
        <v>1.3528286954942619E-3</v>
      </c>
      <c r="E335" s="13">
        <v>1.1678642267171631E-3</v>
      </c>
      <c r="F335" s="13">
        <v>7.0595073220268618E-4</v>
      </c>
      <c r="G335" s="13">
        <v>1.818309974930922E-3</v>
      </c>
      <c r="H335" s="13">
        <v>4.3562237024066756E-3</v>
      </c>
      <c r="I335" s="13">
        <v>1.247711980159602E-3</v>
      </c>
      <c r="J335" s="13">
        <v>1.621900303258693E-3</v>
      </c>
      <c r="K335" s="13">
        <v>1.2544864706179621E-3</v>
      </c>
      <c r="L335" s="14">
        <v>6.6452726896547765E-4</v>
      </c>
      <c r="M335" s="13">
        <v>2.1697771602675079E-3</v>
      </c>
      <c r="N335" s="13">
        <v>1.5523634216081451E-3</v>
      </c>
      <c r="O335" s="13">
        <v>1.6379622547373881E-3</v>
      </c>
      <c r="P335" s="13">
        <v>1.145899931553571E-3</v>
      </c>
      <c r="Q335" s="13">
        <v>1.0807073182631511E-3</v>
      </c>
      <c r="R335" s="13">
        <v>8.9094323734746552E-4</v>
      </c>
      <c r="S335" s="13">
        <v>1.67987776890278E-3</v>
      </c>
      <c r="T335" s="13">
        <v>1.26722789616215E-3</v>
      </c>
      <c r="U335" s="13">
        <v>1.319388533056249E-3</v>
      </c>
      <c r="V335" s="13">
        <v>1.243246282672519E-3</v>
      </c>
      <c r="W335" s="13">
        <v>1.9449876826638261E-3</v>
      </c>
      <c r="X335" s="13">
        <v>3.234239095724155E-3</v>
      </c>
      <c r="Y335" s="13">
        <v>6.8632406956037287E-3</v>
      </c>
      <c r="Z335" s="14">
        <v>3.9889667801790976E-3</v>
      </c>
      <c r="AA335" s="14">
        <v>4.0202730797988754E-3</v>
      </c>
      <c r="AB335" s="14">
        <v>4.1602693046763149E-3</v>
      </c>
      <c r="AC335" s="14">
        <v>3.0616553703558922E-3</v>
      </c>
      <c r="AD335" s="14">
        <v>1.398253976738625E-3</v>
      </c>
      <c r="AE335" s="14">
        <v>1.5007351014539991E-3</v>
      </c>
      <c r="AF335" s="25">
        <v>2.5302284383062076E-3</v>
      </c>
      <c r="AG335" s="13">
        <v>2.1227182217136808E-3</v>
      </c>
      <c r="AH335" s="13">
        <v>1.8879839345531282E-3</v>
      </c>
      <c r="AI335" s="15">
        <v>1.8879839345531282E-3</v>
      </c>
      <c r="AJ335" s="13">
        <v>1.8879839345531282E-3</v>
      </c>
      <c r="AK335" s="13">
        <v>1.8879839345531282E-3</v>
      </c>
      <c r="AL335" s="13">
        <v>1.8879839345531282E-3</v>
      </c>
      <c r="AM335" s="13">
        <v>1.8879839345531282E-3</v>
      </c>
      <c r="AN335" s="13">
        <v>1.8879839345531282E-3</v>
      </c>
      <c r="AO335" s="13">
        <v>1.8879839345531282E-3</v>
      </c>
      <c r="AP335" s="13">
        <v>1.8879839345531282E-3</v>
      </c>
      <c r="AQ335" s="13">
        <v>1.8879839345531282E-3</v>
      </c>
      <c r="AR335" s="13">
        <v>1.8879839345531282E-3</v>
      </c>
      <c r="AS335" s="13">
        <v>1.8879839345531282E-3</v>
      </c>
      <c r="AT335" s="13">
        <v>1.8879839345531282E-3</v>
      </c>
      <c r="AU335" s="13">
        <v>1.8879839345531282E-3</v>
      </c>
      <c r="AV335" s="13">
        <v>1.8879839345531282E-3</v>
      </c>
      <c r="AW335" s="13">
        <v>1.8879839345531282E-3</v>
      </c>
      <c r="AX335" s="13">
        <v>1.8879839345531282E-3</v>
      </c>
      <c r="AY335" s="13">
        <v>1.8879839345531282E-3</v>
      </c>
      <c r="AZ335" s="13">
        <v>1.8879839345531282E-3</v>
      </c>
      <c r="BA335" s="13">
        <v>1.8879839345531282E-3</v>
      </c>
      <c r="BB335" s="13">
        <v>1.8879839345531282E-3</v>
      </c>
      <c r="BC335" s="13">
        <v>1.8879839345531282E-3</v>
      </c>
      <c r="BD335" s="13">
        <v>1.8879839345531282E-3</v>
      </c>
      <c r="BE335" s="13">
        <v>1.8879839345531282E-3</v>
      </c>
      <c r="BF335" s="13">
        <v>1.8879839345531282E-3</v>
      </c>
      <c r="BG335" s="13">
        <v>1.8879839345531282E-3</v>
      </c>
    </row>
    <row r="336" spans="1:59" ht="12" customHeight="1" x14ac:dyDescent="0.2">
      <c r="A336" s="1" t="s">
        <v>49</v>
      </c>
      <c r="B336" t="s">
        <v>64</v>
      </c>
      <c r="C336" s="10" t="s">
        <v>63</v>
      </c>
      <c r="D336" s="13">
        <v>6.4184051012396951E-4</v>
      </c>
      <c r="E336" s="13">
        <v>7.4956609700683856E-4</v>
      </c>
      <c r="F336" s="13">
        <v>6.6599611162685508E-4</v>
      </c>
      <c r="G336" s="13">
        <v>5.0904240601883782E-4</v>
      </c>
      <c r="H336" s="13">
        <v>8.8491877574602444E-4</v>
      </c>
      <c r="I336" s="13">
        <v>6.1370833158447185E-5</v>
      </c>
      <c r="J336" s="13">
        <v>3.0138296170905001E-4</v>
      </c>
      <c r="K336" s="13">
        <v>2.014890060062084E-4</v>
      </c>
      <c r="L336" s="14">
        <v>1.9215055057948669E-4</v>
      </c>
      <c r="M336" s="13">
        <v>1.2552059468219E-4</v>
      </c>
      <c r="N336" s="13">
        <v>6.2138099033697266E-5</v>
      </c>
      <c r="O336" s="13">
        <v>4.0910932092691658E-5</v>
      </c>
      <c r="P336" s="13">
        <v>1.336629590375796E-4</v>
      </c>
      <c r="Q336" s="13">
        <v>2.166390544326209E-4</v>
      </c>
      <c r="R336" s="13">
        <v>2.168432200320057E-4</v>
      </c>
      <c r="S336" s="13">
        <v>1.887648288945914E-4</v>
      </c>
      <c r="T336" s="13">
        <v>1.9781940918793791E-4</v>
      </c>
      <c r="U336" s="13">
        <v>1.4948850820708891E-4</v>
      </c>
      <c r="V336" s="13">
        <v>1.5665251542959529E-4</v>
      </c>
      <c r="W336" s="13">
        <v>1.1267514700502311E-4</v>
      </c>
      <c r="X336" s="13">
        <v>1.120237274773038E-4</v>
      </c>
      <c r="Y336" s="13">
        <v>1.730487286249106E-4</v>
      </c>
      <c r="Z336" s="14">
        <v>2.5026180985671781E-4</v>
      </c>
      <c r="AA336" s="14">
        <v>2.1844001050977041E-4</v>
      </c>
      <c r="AB336" s="14">
        <v>2.9371304681699161E-4</v>
      </c>
      <c r="AC336" s="14">
        <v>1.6719364413221881E-4</v>
      </c>
      <c r="AD336" s="14">
        <v>1.8232709727362449E-4</v>
      </c>
      <c r="AE336" s="14">
        <v>1.5080354782847559E-4</v>
      </c>
      <c r="AF336" s="25">
        <v>1.9850933401282763E-4</v>
      </c>
      <c r="AG336" s="13">
        <v>1.7470840581178664E-4</v>
      </c>
      <c r="AH336" s="13">
        <v>1.7658709623167857E-4</v>
      </c>
      <c r="AI336" s="15">
        <v>1.7658709623167857E-4</v>
      </c>
      <c r="AJ336" s="13">
        <v>1.7658709623167857E-4</v>
      </c>
      <c r="AK336" s="13">
        <v>1.7658709623167857E-4</v>
      </c>
      <c r="AL336" s="13">
        <v>1.7658709623167857E-4</v>
      </c>
      <c r="AM336" s="13">
        <v>1.7658709623167857E-4</v>
      </c>
      <c r="AN336" s="13">
        <v>1.7658709623167857E-4</v>
      </c>
      <c r="AO336" s="13">
        <v>1.7658709623167857E-4</v>
      </c>
      <c r="AP336" s="13">
        <v>1.7658709623167857E-4</v>
      </c>
      <c r="AQ336" s="13">
        <v>1.7658709623167857E-4</v>
      </c>
      <c r="AR336" s="13">
        <v>1.7658709623167857E-4</v>
      </c>
      <c r="AS336" s="13">
        <v>1.7658709623167857E-4</v>
      </c>
      <c r="AT336" s="13">
        <v>1.7658709623167857E-4</v>
      </c>
      <c r="AU336" s="13">
        <v>1.7658709623167857E-4</v>
      </c>
      <c r="AV336" s="13">
        <v>1.7658709623167857E-4</v>
      </c>
      <c r="AW336" s="13">
        <v>1.7658709623167857E-4</v>
      </c>
      <c r="AX336" s="13">
        <v>1.7658709623167857E-4</v>
      </c>
      <c r="AY336" s="13">
        <v>1.7658709623167857E-4</v>
      </c>
      <c r="AZ336" s="13">
        <v>1.7658709623167857E-4</v>
      </c>
      <c r="BA336" s="13">
        <v>1.7658709623167857E-4</v>
      </c>
      <c r="BB336" s="13">
        <v>1.7658709623167857E-4</v>
      </c>
      <c r="BC336" s="13">
        <v>1.7658709623167857E-4</v>
      </c>
      <c r="BD336" s="13">
        <v>1.7658709623167857E-4</v>
      </c>
      <c r="BE336" s="13">
        <v>1.7658709623167857E-4</v>
      </c>
      <c r="BF336" s="13">
        <v>1.7658709623167857E-4</v>
      </c>
      <c r="BG336" s="13">
        <v>1.7658709623167857E-4</v>
      </c>
    </row>
    <row r="337" spans="1:59" ht="12" customHeight="1" x14ac:dyDescent="0.2">
      <c r="A337" s="1" t="s">
        <v>50</v>
      </c>
      <c r="B337" t="s">
        <v>64</v>
      </c>
      <c r="C337" s="10" t="s">
        <v>63</v>
      </c>
      <c r="D337" s="13">
        <v>4.5653517884593653E-5</v>
      </c>
      <c r="E337" s="13">
        <v>4.0743753827928823E-5</v>
      </c>
      <c r="F337" s="13">
        <v>1.9115015728221699E-5</v>
      </c>
      <c r="G337" s="13">
        <v>1.338230123158391E-5</v>
      </c>
      <c r="H337" s="13">
        <v>1.985251915808786E-5</v>
      </c>
      <c r="I337" s="13">
        <v>1.3065786463750181E-6</v>
      </c>
      <c r="J337" s="13">
        <v>1.7600961855465289E-7</v>
      </c>
      <c r="K337" s="13">
        <v>0</v>
      </c>
      <c r="L337" s="14">
        <v>8.8545016004603039E-7</v>
      </c>
      <c r="M337" s="13">
        <v>0</v>
      </c>
      <c r="N337" s="13">
        <v>0</v>
      </c>
      <c r="O337" s="13">
        <v>0</v>
      </c>
      <c r="P337" s="13">
        <v>0</v>
      </c>
      <c r="Q337" s="13">
        <v>3.8222257663400778E-4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25">
        <v>0</v>
      </c>
      <c r="AG337" s="13">
        <v>0</v>
      </c>
      <c r="AH337" s="13">
        <v>0</v>
      </c>
      <c r="AI337" s="15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</row>
    <row r="338" spans="1:59" ht="12" customHeight="1" x14ac:dyDescent="0.2">
      <c r="A338" s="1" t="s">
        <v>51</v>
      </c>
      <c r="B338" t="s">
        <v>64</v>
      </c>
      <c r="C338" s="10" t="s">
        <v>63</v>
      </c>
      <c r="D338" s="13">
        <v>0</v>
      </c>
      <c r="E338" s="13">
        <v>3.2972696416819092E-5</v>
      </c>
      <c r="F338" s="13">
        <v>3.4113968451381918E-5</v>
      </c>
      <c r="G338" s="13">
        <v>5.0144313355427826E-6</v>
      </c>
      <c r="H338" s="13">
        <v>0</v>
      </c>
      <c r="I338" s="13">
        <v>0</v>
      </c>
      <c r="J338" s="13">
        <v>1.392807974804198E-6</v>
      </c>
      <c r="K338" s="13">
        <v>0</v>
      </c>
      <c r="L338" s="14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4">
        <v>0</v>
      </c>
      <c r="AA338" s="14">
        <v>0</v>
      </c>
      <c r="AB338" s="14">
        <v>8.819323684794321E-9</v>
      </c>
      <c r="AC338" s="14">
        <v>1.5639185784696221E-8</v>
      </c>
      <c r="AD338" s="14">
        <v>0</v>
      </c>
      <c r="AE338" s="14">
        <v>1.8578550434980209E-5</v>
      </c>
      <c r="AF338" s="25">
        <v>4.6507522361124245E-6</v>
      </c>
      <c r="AG338" s="13">
        <v>5.8112354642193327E-6</v>
      </c>
      <c r="AH338" s="13">
        <v>7.2601345338279916E-6</v>
      </c>
      <c r="AI338" s="15">
        <v>7.2601345338279916E-6</v>
      </c>
      <c r="AJ338" s="13">
        <v>7.2601345338279916E-6</v>
      </c>
      <c r="AK338" s="13">
        <v>7.2601345338279916E-6</v>
      </c>
      <c r="AL338" s="13">
        <v>7.2601345338279916E-6</v>
      </c>
      <c r="AM338" s="13">
        <v>7.2601345338279916E-6</v>
      </c>
      <c r="AN338" s="13">
        <v>7.2601345338279916E-6</v>
      </c>
      <c r="AO338" s="13">
        <v>7.2601345338279916E-6</v>
      </c>
      <c r="AP338" s="13">
        <v>7.2601345338279916E-6</v>
      </c>
      <c r="AQ338" s="13">
        <v>7.2601345338279916E-6</v>
      </c>
      <c r="AR338" s="13">
        <v>7.2601345338279916E-6</v>
      </c>
      <c r="AS338" s="13">
        <v>7.2601345338279916E-6</v>
      </c>
      <c r="AT338" s="13">
        <v>7.2601345338279916E-6</v>
      </c>
      <c r="AU338" s="13">
        <v>7.2601345338279916E-6</v>
      </c>
      <c r="AV338" s="13">
        <v>7.2601345338279916E-6</v>
      </c>
      <c r="AW338" s="13">
        <v>7.2601345338279916E-6</v>
      </c>
      <c r="AX338" s="13">
        <v>7.2601345338279916E-6</v>
      </c>
      <c r="AY338" s="13">
        <v>7.2601345338279916E-6</v>
      </c>
      <c r="AZ338" s="13">
        <v>7.2601345338279916E-6</v>
      </c>
      <c r="BA338" s="13">
        <v>7.2601345338279916E-6</v>
      </c>
      <c r="BB338" s="13">
        <v>7.2601345338279916E-6</v>
      </c>
      <c r="BC338" s="13">
        <v>7.2601345338279916E-6</v>
      </c>
      <c r="BD338" s="13">
        <v>7.2601345338279916E-6</v>
      </c>
      <c r="BE338" s="13">
        <v>7.2601345338279916E-6</v>
      </c>
      <c r="BF338" s="13">
        <v>7.2601345338279916E-6</v>
      </c>
      <c r="BG338" s="13">
        <v>7.2601345338279916E-6</v>
      </c>
    </row>
    <row r="339" spans="1:59" ht="12" customHeight="1" x14ac:dyDescent="0.2">
      <c r="A339" s="1" t="s">
        <v>52</v>
      </c>
      <c r="B339" t="s">
        <v>64</v>
      </c>
      <c r="C339" s="10" t="s">
        <v>63</v>
      </c>
      <c r="D339" s="13">
        <v>1.30036832966222E-4</v>
      </c>
      <c r="E339" s="13">
        <v>9.5987888829202961E-5</v>
      </c>
      <c r="F339" s="13">
        <v>5.0684236559969358E-5</v>
      </c>
      <c r="G339" s="13">
        <v>8.2445147873198469E-5</v>
      </c>
      <c r="H339" s="13">
        <v>1.02454045149068E-4</v>
      </c>
      <c r="I339" s="13">
        <v>9.1855412741129239E-6</v>
      </c>
      <c r="J339" s="13">
        <v>6.4149976872780324E-7</v>
      </c>
      <c r="K339" s="13">
        <v>1.0707741225173751E-6</v>
      </c>
      <c r="L339" s="14">
        <v>1.287222137368445E-6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6.2815327508421002E-6</v>
      </c>
      <c r="V339" s="13">
        <v>0</v>
      </c>
      <c r="W339" s="13">
        <v>0</v>
      </c>
      <c r="X339" s="13">
        <v>0</v>
      </c>
      <c r="Y339" s="13">
        <v>0</v>
      </c>
      <c r="Z339" s="14">
        <v>4.4252267531118152E-5</v>
      </c>
      <c r="AA339" s="14">
        <v>2.5290440451979671E-5</v>
      </c>
      <c r="AB339" s="14">
        <v>5.499245488637636E-5</v>
      </c>
      <c r="AC339" s="14">
        <v>0</v>
      </c>
      <c r="AD339" s="14">
        <v>0</v>
      </c>
      <c r="AE339" s="14">
        <v>0</v>
      </c>
      <c r="AF339" s="25">
        <v>1.374811372159409E-5</v>
      </c>
      <c r="AG339" s="13">
        <v>3.4370284303985225E-6</v>
      </c>
      <c r="AH339" s="13">
        <v>4.2962855379981532E-6</v>
      </c>
      <c r="AI339" s="15">
        <v>4.2962855379981532E-6</v>
      </c>
      <c r="AJ339" s="13">
        <v>4.2962855379981532E-6</v>
      </c>
      <c r="AK339" s="13">
        <v>4.2962855379981532E-6</v>
      </c>
      <c r="AL339" s="13">
        <v>4.2962855379981532E-6</v>
      </c>
      <c r="AM339" s="13">
        <v>4.2962855379981532E-6</v>
      </c>
      <c r="AN339" s="13">
        <v>4.2962855379981532E-6</v>
      </c>
      <c r="AO339" s="13">
        <v>4.2962855379981532E-6</v>
      </c>
      <c r="AP339" s="13">
        <v>4.2962855379981532E-6</v>
      </c>
      <c r="AQ339" s="13">
        <v>4.2962855379981532E-6</v>
      </c>
      <c r="AR339" s="13">
        <v>4.2962855379981532E-6</v>
      </c>
      <c r="AS339" s="13">
        <v>4.2962855379981532E-6</v>
      </c>
      <c r="AT339" s="13">
        <v>4.2962855379981532E-6</v>
      </c>
      <c r="AU339" s="13">
        <v>4.2962855379981532E-6</v>
      </c>
      <c r="AV339" s="13">
        <v>4.2962855379981532E-6</v>
      </c>
      <c r="AW339" s="13">
        <v>4.2962855379981532E-6</v>
      </c>
      <c r="AX339" s="13">
        <v>4.2962855379981532E-6</v>
      </c>
      <c r="AY339" s="13">
        <v>4.2962855379981532E-6</v>
      </c>
      <c r="AZ339" s="13">
        <v>4.2962855379981532E-6</v>
      </c>
      <c r="BA339" s="13">
        <v>4.2962855379981532E-6</v>
      </c>
      <c r="BB339" s="13">
        <v>4.2962855379981532E-6</v>
      </c>
      <c r="BC339" s="13">
        <v>4.2962855379981532E-6</v>
      </c>
      <c r="BD339" s="13">
        <v>4.2962855379981532E-6</v>
      </c>
      <c r="BE339" s="13">
        <v>4.2962855379981532E-6</v>
      </c>
      <c r="BF339" s="13">
        <v>4.2962855379981532E-6</v>
      </c>
      <c r="BG339" s="13">
        <v>4.2962855379981532E-6</v>
      </c>
    </row>
    <row r="340" spans="1:59" ht="12" customHeight="1" x14ac:dyDescent="0.2">
      <c r="A340" s="1" t="s">
        <v>53</v>
      </c>
      <c r="B340" t="s">
        <v>64</v>
      </c>
      <c r="C340" s="10" t="s">
        <v>63</v>
      </c>
      <c r="D340" s="13">
        <v>9.4172148854962745E-5</v>
      </c>
      <c r="E340" s="13">
        <v>8.8039148509406941E-4</v>
      </c>
      <c r="F340" s="13">
        <v>7.583810748425147E-4</v>
      </c>
      <c r="G340" s="13">
        <v>1.7425143941586069E-3</v>
      </c>
      <c r="H340" s="13">
        <v>6.6903211990518231E-4</v>
      </c>
      <c r="I340" s="13">
        <v>1.154889851272116E-3</v>
      </c>
      <c r="J340" s="13">
        <v>1.0903002786787871E-3</v>
      </c>
      <c r="K340" s="13">
        <v>1.510992513825649E-3</v>
      </c>
      <c r="L340" s="14">
        <v>1.7785019916642421E-3</v>
      </c>
      <c r="M340" s="13">
        <v>3.416892076877869E-3</v>
      </c>
      <c r="N340" s="13">
        <v>5.896134414814444E-3</v>
      </c>
      <c r="O340" s="13">
        <v>1.5444356262114939E-3</v>
      </c>
      <c r="P340" s="13">
        <v>2.702244500120994E-3</v>
      </c>
      <c r="Q340" s="13">
        <v>5.8831430138261162E-4</v>
      </c>
      <c r="R340" s="13">
        <v>1.433152478143011E-4</v>
      </c>
      <c r="S340" s="13">
        <v>1.6342176104537981E-4</v>
      </c>
      <c r="T340" s="13">
        <v>3.2644897522912891E-4</v>
      </c>
      <c r="U340" s="13">
        <v>3.2356253750081312E-4</v>
      </c>
      <c r="V340" s="13">
        <v>3.5655267214891102E-4</v>
      </c>
      <c r="W340" s="13">
        <v>4.7521997214326138E-4</v>
      </c>
      <c r="X340" s="13">
        <v>5.9296085227454436E-4</v>
      </c>
      <c r="Y340" s="13">
        <v>2.0042146770126289E-3</v>
      </c>
      <c r="Z340" s="14">
        <v>8.0746935716135212E-3</v>
      </c>
      <c r="AA340" s="14">
        <v>1.006241998238371E-2</v>
      </c>
      <c r="AB340" s="14">
        <v>9.3072361945944655E-3</v>
      </c>
      <c r="AC340" s="14">
        <v>2.068279544826065E-3</v>
      </c>
      <c r="AD340" s="14">
        <v>7.0066205027529142E-4</v>
      </c>
      <c r="AE340" s="14">
        <v>3.3673509652688131E-3</v>
      </c>
      <c r="AF340" s="25">
        <v>3.8608821887411589E-3</v>
      </c>
      <c r="AG340" s="13">
        <v>2.4992936872778324E-3</v>
      </c>
      <c r="AH340" s="13">
        <v>2.6070472228907739E-3</v>
      </c>
      <c r="AI340" s="15">
        <v>2.6070472228907739E-3</v>
      </c>
      <c r="AJ340" s="13">
        <v>2.6070472228907739E-3</v>
      </c>
      <c r="AK340" s="13">
        <v>2.6070472228907739E-3</v>
      </c>
      <c r="AL340" s="13">
        <v>2.6070472228907739E-3</v>
      </c>
      <c r="AM340" s="13">
        <v>2.6070472228907739E-3</v>
      </c>
      <c r="AN340" s="13">
        <v>2.6070472228907739E-3</v>
      </c>
      <c r="AO340" s="13">
        <v>2.6070472228907739E-3</v>
      </c>
      <c r="AP340" s="13">
        <v>2.6070472228907739E-3</v>
      </c>
      <c r="AQ340" s="13">
        <v>2.6070472228907739E-3</v>
      </c>
      <c r="AR340" s="13">
        <v>2.6070472228907739E-3</v>
      </c>
      <c r="AS340" s="13">
        <v>2.6070472228907739E-3</v>
      </c>
      <c r="AT340" s="13">
        <v>2.6070472228907739E-3</v>
      </c>
      <c r="AU340" s="13">
        <v>2.6070472228907739E-3</v>
      </c>
      <c r="AV340" s="13">
        <v>2.6070472228907739E-3</v>
      </c>
      <c r="AW340" s="13">
        <v>2.6070472228907739E-3</v>
      </c>
      <c r="AX340" s="13">
        <v>2.6070472228907739E-3</v>
      </c>
      <c r="AY340" s="13">
        <v>2.6070472228907739E-3</v>
      </c>
      <c r="AZ340" s="13">
        <v>2.6070472228907739E-3</v>
      </c>
      <c r="BA340" s="13">
        <v>2.6070472228907739E-3</v>
      </c>
      <c r="BB340" s="13">
        <v>2.6070472228907739E-3</v>
      </c>
      <c r="BC340" s="13">
        <v>2.6070472228907739E-3</v>
      </c>
      <c r="BD340" s="13">
        <v>2.6070472228907739E-3</v>
      </c>
      <c r="BE340" s="13">
        <v>2.6070472228907739E-3</v>
      </c>
      <c r="BF340" s="13">
        <v>2.6070472228907739E-3</v>
      </c>
      <c r="BG340" s="13">
        <v>2.6070472228907739E-3</v>
      </c>
    </row>
    <row r="341" spans="1:59" ht="12" customHeight="1" x14ac:dyDescent="0.2">
      <c r="A341" s="1" t="s">
        <v>54</v>
      </c>
      <c r="B341" t="s">
        <v>64</v>
      </c>
      <c r="C341" s="10" t="s">
        <v>63</v>
      </c>
      <c r="D341" s="13">
        <v>8.7920013662350447E-3</v>
      </c>
      <c r="E341" s="13">
        <v>3.3197952291666617E-2</v>
      </c>
      <c r="F341" s="13">
        <v>1.5783487902389939E-2</v>
      </c>
      <c r="G341" s="13">
        <v>3.5922210549728519E-4</v>
      </c>
      <c r="H341" s="13">
        <v>1.342730013181291E-3</v>
      </c>
      <c r="I341" s="13">
        <v>9.4352814635840913E-4</v>
      </c>
      <c r="J341" s="13">
        <v>1.9756330591950461E-3</v>
      </c>
      <c r="K341" s="13">
        <v>2.0883327265204289E-3</v>
      </c>
      <c r="L341" s="14">
        <v>1.096271943652952E-2</v>
      </c>
      <c r="M341" s="13">
        <v>1.7979942649750591E-3</v>
      </c>
      <c r="N341" s="13">
        <v>4.6341335396837269E-3</v>
      </c>
      <c r="O341" s="13">
        <v>2.3605551210827492E-3</v>
      </c>
      <c r="P341" s="13">
        <v>1.719453491140745E-3</v>
      </c>
      <c r="Q341" s="13">
        <v>1.66054649156544E-3</v>
      </c>
      <c r="R341" s="13">
        <v>2.3450976720308481E-3</v>
      </c>
      <c r="S341" s="13">
        <v>2.338097591670368E-3</v>
      </c>
      <c r="T341" s="13">
        <v>3.1281924108824319E-3</v>
      </c>
      <c r="U341" s="13">
        <v>1.88513591811119E-3</v>
      </c>
      <c r="V341" s="13">
        <v>2.2409281212718811E-3</v>
      </c>
      <c r="W341" s="13">
        <v>1.828778283684188E-3</v>
      </c>
      <c r="X341" s="13">
        <v>4.6998811030093488E-3</v>
      </c>
      <c r="Y341" s="13">
        <v>6.2166621868394931E-3</v>
      </c>
      <c r="Z341" s="14">
        <v>1.8110131654336059E-2</v>
      </c>
      <c r="AA341" s="14">
        <v>2.214272694514751E-2</v>
      </c>
      <c r="AB341" s="14">
        <v>3.7378399732388247E-2</v>
      </c>
      <c r="AC341" s="14">
        <v>5.6157745913353457E-2</v>
      </c>
      <c r="AD341" s="14">
        <v>1.21076701660896E-2</v>
      </c>
      <c r="AE341" s="14">
        <v>4.7732628896409897E-3</v>
      </c>
      <c r="AF341" s="25">
        <v>2.7604269675368071E-2</v>
      </c>
      <c r="AG341" s="13">
        <v>2.5160737161113028E-2</v>
      </c>
      <c r="AH341" s="13">
        <v>1.7411484973052921E-2</v>
      </c>
      <c r="AI341" s="15">
        <v>1.7411484973052921E-2</v>
      </c>
      <c r="AJ341" s="13">
        <v>1.7411484973052921E-2</v>
      </c>
      <c r="AK341" s="13">
        <v>1.7411484973052921E-2</v>
      </c>
      <c r="AL341" s="13">
        <v>1.7411484973052921E-2</v>
      </c>
      <c r="AM341" s="13">
        <v>1.7411484973052921E-2</v>
      </c>
      <c r="AN341" s="13">
        <v>1.7411484973052921E-2</v>
      </c>
      <c r="AO341" s="13">
        <v>1.7411484973052921E-2</v>
      </c>
      <c r="AP341" s="13">
        <v>1.7411484973052921E-2</v>
      </c>
      <c r="AQ341" s="13">
        <v>1.7411484973052921E-2</v>
      </c>
      <c r="AR341" s="13">
        <v>1.7411484973052921E-2</v>
      </c>
      <c r="AS341" s="13">
        <v>1.7411484973052921E-2</v>
      </c>
      <c r="AT341" s="13">
        <v>1.7411484973052921E-2</v>
      </c>
      <c r="AU341" s="13">
        <v>1.7411484973052921E-2</v>
      </c>
      <c r="AV341" s="13">
        <v>1.7411484973052921E-2</v>
      </c>
      <c r="AW341" s="13">
        <v>1.7411484973052921E-2</v>
      </c>
      <c r="AX341" s="13">
        <v>1.7411484973052921E-2</v>
      </c>
      <c r="AY341" s="13">
        <v>1.7411484973052921E-2</v>
      </c>
      <c r="AZ341" s="13">
        <v>1.7411484973052921E-2</v>
      </c>
      <c r="BA341" s="13">
        <v>1.7411484973052921E-2</v>
      </c>
      <c r="BB341" s="13">
        <v>1.7411484973052921E-2</v>
      </c>
      <c r="BC341" s="13">
        <v>1.7411484973052921E-2</v>
      </c>
      <c r="BD341" s="13">
        <v>1.7411484973052921E-2</v>
      </c>
      <c r="BE341" s="13">
        <v>1.7411484973052921E-2</v>
      </c>
      <c r="BF341" s="13">
        <v>1.7411484973052921E-2</v>
      </c>
      <c r="BG341" s="13">
        <v>1.7411484973052921E-2</v>
      </c>
    </row>
    <row r="342" spans="1:59" ht="12" customHeight="1" x14ac:dyDescent="0.2">
      <c r="A342" s="1" t="s">
        <v>55</v>
      </c>
      <c r="B342" t="s">
        <v>64</v>
      </c>
      <c r="C342" s="10" t="s">
        <v>63</v>
      </c>
      <c r="D342" s="13">
        <v>0</v>
      </c>
      <c r="E342" s="13">
        <v>8.2800667380844212E-6</v>
      </c>
      <c r="F342" s="13">
        <v>0</v>
      </c>
      <c r="G342" s="13">
        <v>2.8790512854251109E-5</v>
      </c>
      <c r="H342" s="13">
        <v>6.2743235123739074E-6</v>
      </c>
      <c r="I342" s="13">
        <v>0</v>
      </c>
      <c r="J342" s="13">
        <v>9.4426975165818525E-6</v>
      </c>
      <c r="K342" s="13">
        <v>5.5891260329033318E-6</v>
      </c>
      <c r="L342" s="14">
        <v>1.7753721401317661E-6</v>
      </c>
      <c r="M342" s="13">
        <v>3.4260738111448682E-7</v>
      </c>
      <c r="N342" s="13">
        <v>8.1217428635027039E-7</v>
      </c>
      <c r="O342" s="13">
        <v>1.5764757661279539E-6</v>
      </c>
      <c r="P342" s="13">
        <v>1.45867133671868E-6</v>
      </c>
      <c r="Q342" s="13">
        <v>4.4576800047748162E-6</v>
      </c>
      <c r="R342" s="13">
        <v>3.884119088960014E-6</v>
      </c>
      <c r="S342" s="13">
        <v>1.0475458021564121E-5</v>
      </c>
      <c r="T342" s="13">
        <v>6.6711929679864988E-6</v>
      </c>
      <c r="U342" s="13">
        <v>9.4560168481076315E-6</v>
      </c>
      <c r="V342" s="13">
        <v>1.8382613597650969E-5</v>
      </c>
      <c r="W342" s="13">
        <v>8.9008017639299308E-5</v>
      </c>
      <c r="X342" s="13">
        <v>8.5036845627858471E-5</v>
      </c>
      <c r="Y342" s="13">
        <v>6.1861894194324715E-5</v>
      </c>
      <c r="Z342" s="14">
        <v>2.0344955025129959E-5</v>
      </c>
      <c r="AA342" s="14">
        <v>1.519318091509737E-5</v>
      </c>
      <c r="AB342" s="14">
        <v>2.138298459465237E-5</v>
      </c>
      <c r="AC342" s="14">
        <v>2.6936039246687839E-6</v>
      </c>
      <c r="AD342" s="14">
        <v>0</v>
      </c>
      <c r="AE342" s="14">
        <v>2.9571258943101691E-7</v>
      </c>
      <c r="AF342" s="25">
        <v>6.0930752771880432E-6</v>
      </c>
      <c r="AG342" s="13">
        <v>2.270597947821961E-6</v>
      </c>
      <c r="AH342" s="13">
        <v>2.1648464536102553E-6</v>
      </c>
      <c r="AI342" s="15">
        <v>2.1648464536102553E-6</v>
      </c>
      <c r="AJ342" s="13">
        <v>2.1648464536102553E-6</v>
      </c>
      <c r="AK342" s="13">
        <v>2.1648464536102553E-6</v>
      </c>
      <c r="AL342" s="13">
        <v>2.1648464536102553E-6</v>
      </c>
      <c r="AM342" s="13">
        <v>2.1648464536102553E-6</v>
      </c>
      <c r="AN342" s="13">
        <v>2.1648464536102553E-6</v>
      </c>
      <c r="AO342" s="13">
        <v>2.1648464536102553E-6</v>
      </c>
      <c r="AP342" s="13">
        <v>2.1648464536102553E-6</v>
      </c>
      <c r="AQ342" s="13">
        <v>2.1648464536102553E-6</v>
      </c>
      <c r="AR342" s="13">
        <v>2.1648464536102553E-6</v>
      </c>
      <c r="AS342" s="13">
        <v>2.1648464536102553E-6</v>
      </c>
      <c r="AT342" s="13">
        <v>2.1648464536102553E-6</v>
      </c>
      <c r="AU342" s="13">
        <v>2.1648464536102553E-6</v>
      </c>
      <c r="AV342" s="13">
        <v>2.1648464536102553E-6</v>
      </c>
      <c r="AW342" s="13">
        <v>2.1648464536102553E-6</v>
      </c>
      <c r="AX342" s="13">
        <v>2.1648464536102553E-6</v>
      </c>
      <c r="AY342" s="13">
        <v>2.1648464536102553E-6</v>
      </c>
      <c r="AZ342" s="13">
        <v>2.1648464536102553E-6</v>
      </c>
      <c r="BA342" s="13">
        <v>2.1648464536102553E-6</v>
      </c>
      <c r="BB342" s="13">
        <v>2.1648464536102553E-6</v>
      </c>
      <c r="BC342" s="13">
        <v>2.1648464536102553E-6</v>
      </c>
      <c r="BD342" s="13">
        <v>2.1648464536102553E-6</v>
      </c>
      <c r="BE342" s="13">
        <v>2.1648464536102553E-6</v>
      </c>
      <c r="BF342" s="13">
        <v>2.1648464536102553E-6</v>
      </c>
      <c r="BG342" s="13">
        <v>2.1648464536102553E-6</v>
      </c>
    </row>
    <row r="343" spans="1:59" ht="12" customHeight="1" x14ac:dyDescent="0.2">
      <c r="A343" s="1" t="s">
        <v>56</v>
      </c>
      <c r="B343" t="s">
        <v>64</v>
      </c>
      <c r="C343" s="10" t="s">
        <v>63</v>
      </c>
      <c r="D343" s="13">
        <v>2.3228983683617551E-5</v>
      </c>
      <c r="E343" s="13">
        <v>0</v>
      </c>
      <c r="F343" s="13">
        <v>0</v>
      </c>
      <c r="G343" s="13">
        <v>5.4201491052926469E-5</v>
      </c>
      <c r="H343" s="13">
        <v>0</v>
      </c>
      <c r="I343" s="13">
        <v>1.3079945292630489E-5</v>
      </c>
      <c r="J343" s="13">
        <v>1.43634626967368E-6</v>
      </c>
      <c r="K343" s="13">
        <v>1.129871916972733E-4</v>
      </c>
      <c r="L343" s="14">
        <v>0</v>
      </c>
      <c r="M343" s="13">
        <v>3.284354260050074E-6</v>
      </c>
      <c r="N343" s="13">
        <v>0</v>
      </c>
      <c r="O343" s="13">
        <v>0</v>
      </c>
      <c r="P343" s="13">
        <v>0</v>
      </c>
      <c r="Q343" s="13">
        <v>2.5164609029118718E-6</v>
      </c>
      <c r="R343" s="13">
        <v>1.117085455979904E-6</v>
      </c>
      <c r="S343" s="13">
        <v>9.0693295489235266E-7</v>
      </c>
      <c r="T343" s="13">
        <v>1.4411044811919559E-4</v>
      </c>
      <c r="U343" s="13">
        <v>3.2613486666118331E-4</v>
      </c>
      <c r="V343" s="13">
        <v>4.557329151888258E-4</v>
      </c>
      <c r="W343" s="13">
        <v>4.0688133208188401E-4</v>
      </c>
      <c r="X343" s="13">
        <v>1.1659353434325911E-3</v>
      </c>
      <c r="Y343" s="13">
        <v>9.1552771808977413E-5</v>
      </c>
      <c r="Z343" s="14">
        <v>6.2478378272859929E-5</v>
      </c>
      <c r="AA343" s="14">
        <v>2.292523791272269E-5</v>
      </c>
      <c r="AB343" s="14">
        <v>9.8528238909817984E-6</v>
      </c>
      <c r="AC343" s="14">
        <v>1.4041430157969289E-5</v>
      </c>
      <c r="AD343" s="14">
        <v>7.6549497909125719E-6</v>
      </c>
      <c r="AE343" s="14">
        <v>3.2075098679602792E-5</v>
      </c>
      <c r="AF343" s="25">
        <v>1.5906075629866613E-5</v>
      </c>
      <c r="AG343" s="13">
        <v>1.7419388564587817E-5</v>
      </c>
      <c r="AH343" s="13">
        <v>1.8263878166242447E-5</v>
      </c>
      <c r="AI343" s="15">
        <v>1.8263878166242447E-5</v>
      </c>
      <c r="AJ343" s="13">
        <v>1.8263878166242447E-5</v>
      </c>
      <c r="AK343" s="13">
        <v>1.8263878166242447E-5</v>
      </c>
      <c r="AL343" s="13">
        <v>1.8263878166242447E-5</v>
      </c>
      <c r="AM343" s="13">
        <v>1.8263878166242447E-5</v>
      </c>
      <c r="AN343" s="13">
        <v>1.8263878166242447E-5</v>
      </c>
      <c r="AO343" s="13">
        <v>1.8263878166242447E-5</v>
      </c>
      <c r="AP343" s="13">
        <v>1.8263878166242447E-5</v>
      </c>
      <c r="AQ343" s="13">
        <v>1.8263878166242447E-5</v>
      </c>
      <c r="AR343" s="13">
        <v>1.8263878166242447E-5</v>
      </c>
      <c r="AS343" s="13">
        <v>1.8263878166242447E-5</v>
      </c>
      <c r="AT343" s="13">
        <v>1.8263878166242447E-5</v>
      </c>
      <c r="AU343" s="13">
        <v>1.8263878166242447E-5</v>
      </c>
      <c r="AV343" s="13">
        <v>1.8263878166242447E-5</v>
      </c>
      <c r="AW343" s="13">
        <v>1.8263878166242447E-5</v>
      </c>
      <c r="AX343" s="13">
        <v>1.8263878166242447E-5</v>
      </c>
      <c r="AY343" s="13">
        <v>1.8263878166242447E-5</v>
      </c>
      <c r="AZ343" s="13">
        <v>1.8263878166242447E-5</v>
      </c>
      <c r="BA343" s="13">
        <v>1.8263878166242447E-5</v>
      </c>
      <c r="BB343" s="13">
        <v>1.8263878166242447E-5</v>
      </c>
      <c r="BC343" s="13">
        <v>1.8263878166242447E-5</v>
      </c>
      <c r="BD343" s="13">
        <v>1.8263878166242447E-5</v>
      </c>
      <c r="BE343" s="13">
        <v>1.8263878166242447E-5</v>
      </c>
      <c r="BF343" s="13">
        <v>1.8263878166242447E-5</v>
      </c>
      <c r="BG343" s="13">
        <v>1.8263878166242447E-5</v>
      </c>
    </row>
    <row r="344" spans="1:59" ht="12" customHeight="1" x14ac:dyDescent="0.2">
      <c r="A344" s="1" t="s">
        <v>57</v>
      </c>
      <c r="B344" t="s">
        <v>64</v>
      </c>
      <c r="C344" s="10" t="s">
        <v>63</v>
      </c>
      <c r="D344" s="13">
        <v>4.93101771218098E-5</v>
      </c>
      <c r="E344" s="13">
        <v>7.0855630056160834E-5</v>
      </c>
      <c r="F344" s="13">
        <v>1.203280232886735E-5</v>
      </c>
      <c r="G344" s="13">
        <v>6.2294790505331235E-5</v>
      </c>
      <c r="H344" s="13">
        <v>5.0035246337730928E-7</v>
      </c>
      <c r="I344" s="13">
        <v>7.6446385181452397E-6</v>
      </c>
      <c r="J344" s="13">
        <v>5.5531603496194857E-7</v>
      </c>
      <c r="K344" s="13">
        <v>1.6586018335837301E-6</v>
      </c>
      <c r="L344" s="14">
        <v>0</v>
      </c>
      <c r="M344" s="13">
        <v>1.4224105143429331E-7</v>
      </c>
      <c r="N344" s="13">
        <v>5.5793092941743392E-8</v>
      </c>
      <c r="O344" s="13">
        <v>1.6343002955430329E-6</v>
      </c>
      <c r="P344" s="13">
        <v>5.1284556768032801E-6</v>
      </c>
      <c r="Q344" s="13">
        <v>2.869062191648784E-5</v>
      </c>
      <c r="R344" s="13">
        <v>1.092816261605007E-6</v>
      </c>
      <c r="S344" s="13">
        <v>8.8040915040227265E-6</v>
      </c>
      <c r="T344" s="13">
        <v>5.0281906467247518E-5</v>
      </c>
      <c r="U344" s="13">
        <v>8.9752768870219015E-5</v>
      </c>
      <c r="V344" s="13">
        <v>1.126711390981013E-4</v>
      </c>
      <c r="W344" s="13">
        <v>1.372797007786812E-4</v>
      </c>
      <c r="X344" s="13">
        <v>6.4108041508328747E-5</v>
      </c>
      <c r="Y344" s="13">
        <v>3.9377028920554881E-5</v>
      </c>
      <c r="Z344" s="14">
        <v>1.046757715485424E-5</v>
      </c>
      <c r="AA344" s="14">
        <v>7.9661441105743256E-6</v>
      </c>
      <c r="AB344" s="14">
        <v>9.7223922870787444E-6</v>
      </c>
      <c r="AC344" s="14">
        <v>2.021320945468267E-6</v>
      </c>
      <c r="AD344" s="14">
        <v>2.132037131837175E-7</v>
      </c>
      <c r="AE344" s="14">
        <v>5.1127110485647944E-6</v>
      </c>
      <c r="AF344" s="25">
        <v>4.2674069985738811E-6</v>
      </c>
      <c r="AG344" s="13">
        <v>2.9036606764476649E-6</v>
      </c>
      <c r="AH344" s="13">
        <v>3.1242456091925148E-6</v>
      </c>
      <c r="AI344" s="15">
        <v>3.1242456091925148E-6</v>
      </c>
      <c r="AJ344" s="13">
        <v>3.1242456091925148E-6</v>
      </c>
      <c r="AK344" s="13">
        <v>3.1242456091925148E-6</v>
      </c>
      <c r="AL344" s="13">
        <v>3.1242456091925148E-6</v>
      </c>
      <c r="AM344" s="13">
        <v>3.1242456091925148E-6</v>
      </c>
      <c r="AN344" s="13">
        <v>3.1242456091925148E-6</v>
      </c>
      <c r="AO344" s="13">
        <v>3.1242456091925148E-6</v>
      </c>
      <c r="AP344" s="13">
        <v>3.1242456091925148E-6</v>
      </c>
      <c r="AQ344" s="13">
        <v>3.1242456091925148E-6</v>
      </c>
      <c r="AR344" s="13">
        <v>3.1242456091925148E-6</v>
      </c>
      <c r="AS344" s="13">
        <v>3.1242456091925148E-6</v>
      </c>
      <c r="AT344" s="13">
        <v>3.1242456091925148E-6</v>
      </c>
      <c r="AU344" s="13">
        <v>3.1242456091925148E-6</v>
      </c>
      <c r="AV344" s="13">
        <v>3.1242456091925148E-6</v>
      </c>
      <c r="AW344" s="13">
        <v>3.1242456091925148E-6</v>
      </c>
      <c r="AX344" s="13">
        <v>3.1242456091925148E-6</v>
      </c>
      <c r="AY344" s="13">
        <v>3.1242456091925148E-6</v>
      </c>
      <c r="AZ344" s="13">
        <v>3.1242456091925148E-6</v>
      </c>
      <c r="BA344" s="13">
        <v>3.1242456091925148E-6</v>
      </c>
      <c r="BB344" s="13">
        <v>3.1242456091925148E-6</v>
      </c>
      <c r="BC344" s="13">
        <v>3.1242456091925148E-6</v>
      </c>
      <c r="BD344" s="13">
        <v>3.1242456091925148E-6</v>
      </c>
      <c r="BE344" s="13">
        <v>3.1242456091925148E-6</v>
      </c>
      <c r="BF344" s="13">
        <v>3.1242456091925148E-6</v>
      </c>
      <c r="BG344" s="13">
        <v>3.1242456091925148E-6</v>
      </c>
    </row>
    <row r="345" spans="1:59" ht="12" customHeight="1" x14ac:dyDescent="0.2">
      <c r="A345" s="1" t="s">
        <v>58</v>
      </c>
      <c r="B345" t="s">
        <v>64</v>
      </c>
      <c r="C345" s="10" t="s">
        <v>63</v>
      </c>
      <c r="D345" s="13">
        <v>2.1676318120625009E-4</v>
      </c>
      <c r="E345" s="13">
        <v>1.4527759753470899E-4</v>
      </c>
      <c r="F345" s="13">
        <v>1.1853440787411359E-4</v>
      </c>
      <c r="G345" s="13">
        <v>5.8998511150298947E-5</v>
      </c>
      <c r="H345" s="13">
        <v>2.7617277743576299E-4</v>
      </c>
      <c r="I345" s="13">
        <v>2.2025552149117669E-6</v>
      </c>
      <c r="J345" s="13">
        <v>2.827284409421778E-5</v>
      </c>
      <c r="K345" s="13">
        <v>4.7051225111708443E-5</v>
      </c>
      <c r="L345" s="14">
        <v>8.5084032084317977E-5</v>
      </c>
      <c r="M345" s="13">
        <v>3.3968758398141288E-5</v>
      </c>
      <c r="N345" s="13">
        <v>4.9273721936420347E-5</v>
      </c>
      <c r="O345" s="13">
        <v>1.26314250726623E-5</v>
      </c>
      <c r="P345" s="13">
        <v>3.7965519079651809E-7</v>
      </c>
      <c r="Q345" s="13">
        <v>4.0433796524893688E-5</v>
      </c>
      <c r="R345" s="13">
        <v>3.4414685760903471E-4</v>
      </c>
      <c r="S345" s="13">
        <v>4.8987916726426735E-4</v>
      </c>
      <c r="T345" s="13">
        <v>6.723629869465834E-4</v>
      </c>
      <c r="U345" s="13">
        <v>4.6005310846542098E-4</v>
      </c>
      <c r="V345" s="13">
        <v>3.8442717452277949E-4</v>
      </c>
      <c r="W345" s="13">
        <v>4.7915141591192858E-4</v>
      </c>
      <c r="X345" s="13">
        <v>3.574548852830669E-4</v>
      </c>
      <c r="Y345" s="13">
        <v>4.9038568828945752E-4</v>
      </c>
      <c r="Z345" s="14">
        <v>1.133002118110389E-3</v>
      </c>
      <c r="AA345" s="14">
        <v>4.2827639115564591E-4</v>
      </c>
      <c r="AB345" s="14">
        <v>4.2570228948457512E-4</v>
      </c>
      <c r="AC345" s="14">
        <v>8.8455099101888391E-5</v>
      </c>
      <c r="AD345" s="14">
        <v>2.5731213418540071E-5</v>
      </c>
      <c r="AE345" s="14">
        <v>3.6800420618855548E-5</v>
      </c>
      <c r="AF345" s="25">
        <v>1.4417225565596477E-4</v>
      </c>
      <c r="AG345" s="13">
        <v>7.3789747198812203E-5</v>
      </c>
      <c r="AH345" s="13">
        <v>7.0123409223043153E-5</v>
      </c>
      <c r="AI345" s="15">
        <v>7.0123409223043153E-5</v>
      </c>
      <c r="AJ345" s="13">
        <v>7.0123409223043153E-5</v>
      </c>
      <c r="AK345" s="13">
        <v>7.0123409223043153E-5</v>
      </c>
      <c r="AL345" s="13">
        <v>7.0123409223043153E-5</v>
      </c>
      <c r="AM345" s="13">
        <v>7.0123409223043153E-5</v>
      </c>
      <c r="AN345" s="13">
        <v>7.0123409223043153E-5</v>
      </c>
      <c r="AO345" s="13">
        <v>7.0123409223043153E-5</v>
      </c>
      <c r="AP345" s="13">
        <v>7.0123409223043153E-5</v>
      </c>
      <c r="AQ345" s="13">
        <v>7.0123409223043153E-5</v>
      </c>
      <c r="AR345" s="13">
        <v>7.0123409223043153E-5</v>
      </c>
      <c r="AS345" s="13">
        <v>7.0123409223043153E-5</v>
      </c>
      <c r="AT345" s="13">
        <v>7.0123409223043153E-5</v>
      </c>
      <c r="AU345" s="13">
        <v>7.0123409223043153E-5</v>
      </c>
      <c r="AV345" s="13">
        <v>7.0123409223043153E-5</v>
      </c>
      <c r="AW345" s="13">
        <v>7.0123409223043153E-5</v>
      </c>
      <c r="AX345" s="13">
        <v>7.0123409223043153E-5</v>
      </c>
      <c r="AY345" s="13">
        <v>7.0123409223043153E-5</v>
      </c>
      <c r="AZ345" s="13">
        <v>7.0123409223043153E-5</v>
      </c>
      <c r="BA345" s="13">
        <v>7.0123409223043153E-5</v>
      </c>
      <c r="BB345" s="13">
        <v>7.0123409223043153E-5</v>
      </c>
      <c r="BC345" s="13">
        <v>7.0123409223043153E-5</v>
      </c>
      <c r="BD345" s="13">
        <v>7.0123409223043153E-5</v>
      </c>
      <c r="BE345" s="13">
        <v>7.0123409223043153E-5</v>
      </c>
      <c r="BF345" s="13">
        <v>7.0123409223043153E-5</v>
      </c>
      <c r="BG345" s="13">
        <v>7.0123409223043153E-5</v>
      </c>
    </row>
    <row r="346" spans="1:59" ht="12" customHeight="1" x14ac:dyDescent="0.2">
      <c r="A346" s="1" t="s">
        <v>59</v>
      </c>
      <c r="B346" t="s">
        <v>64</v>
      </c>
      <c r="C346" s="10" t="s">
        <v>63</v>
      </c>
      <c r="D346" s="13">
        <v>6.3454798856633993E-5</v>
      </c>
      <c r="E346" s="13">
        <v>2.6093442819643308E-5</v>
      </c>
      <c r="F346" s="13">
        <v>0</v>
      </c>
      <c r="G346" s="13">
        <v>0</v>
      </c>
      <c r="H346" s="13">
        <v>7.9574084952789494E-6</v>
      </c>
      <c r="I346" s="13">
        <v>1.8923693395993301E-5</v>
      </c>
      <c r="J346" s="13">
        <v>1.7103254773997589E-5</v>
      </c>
      <c r="K346" s="13">
        <v>5.5823894520880241E-6</v>
      </c>
      <c r="L346" s="14">
        <v>7.8489113399530058E-7</v>
      </c>
      <c r="M346" s="13">
        <v>0</v>
      </c>
      <c r="N346" s="13">
        <v>2.467361609565457E-6</v>
      </c>
      <c r="O346" s="13">
        <v>8.5851579535102467E-7</v>
      </c>
      <c r="P346" s="13">
        <v>6.7362456454565697E-6</v>
      </c>
      <c r="Q346" s="13">
        <v>6.6966764252768859E-6</v>
      </c>
      <c r="R346" s="13">
        <v>1.1193582297187951E-4</v>
      </c>
      <c r="S346" s="13">
        <v>1.406134434672477E-4</v>
      </c>
      <c r="T346" s="13">
        <v>2.366264982661159E-4</v>
      </c>
      <c r="U346" s="13">
        <v>2.7686932245190508E-4</v>
      </c>
      <c r="V346" s="13">
        <v>2.7152984835381321E-4</v>
      </c>
      <c r="W346" s="13">
        <v>2.2291802101802181E-4</v>
      </c>
      <c r="X346" s="13">
        <v>1.842249996947294E-4</v>
      </c>
      <c r="Y346" s="13">
        <v>2.0483288159928289E-4</v>
      </c>
      <c r="Z346" s="14">
        <v>1.172500151304651E-3</v>
      </c>
      <c r="AA346" s="14">
        <v>1.3528424675471639E-3</v>
      </c>
      <c r="AB346" s="14">
        <v>8.0253521153663939E-4</v>
      </c>
      <c r="AC346" s="14">
        <v>3.3628933473595183E-4</v>
      </c>
      <c r="AD346" s="14">
        <v>3.676348563749353E-4</v>
      </c>
      <c r="AE346" s="14">
        <v>9.6669075840153018E-6</v>
      </c>
      <c r="AF346" s="25">
        <v>3.7903157755788547E-4</v>
      </c>
      <c r="AG346" s="13">
        <v>2.7315566906319696E-4</v>
      </c>
      <c r="AH346" s="13">
        <v>2.5737225264500828E-4</v>
      </c>
      <c r="AI346" s="15">
        <v>2.5737225264500828E-4</v>
      </c>
      <c r="AJ346" s="13">
        <v>2.5737225264500828E-4</v>
      </c>
      <c r="AK346" s="13">
        <v>2.5737225264500828E-4</v>
      </c>
      <c r="AL346" s="13">
        <v>2.5737225264500828E-4</v>
      </c>
      <c r="AM346" s="13">
        <v>2.5737225264500828E-4</v>
      </c>
      <c r="AN346" s="13">
        <v>2.5737225264500828E-4</v>
      </c>
      <c r="AO346" s="13">
        <v>2.5737225264500828E-4</v>
      </c>
      <c r="AP346" s="13">
        <v>2.5737225264500828E-4</v>
      </c>
      <c r="AQ346" s="13">
        <v>2.5737225264500828E-4</v>
      </c>
      <c r="AR346" s="13">
        <v>2.5737225264500828E-4</v>
      </c>
      <c r="AS346" s="13">
        <v>2.5737225264500828E-4</v>
      </c>
      <c r="AT346" s="13">
        <v>2.5737225264500828E-4</v>
      </c>
      <c r="AU346" s="13">
        <v>2.5737225264500828E-4</v>
      </c>
      <c r="AV346" s="13">
        <v>2.5737225264500828E-4</v>
      </c>
      <c r="AW346" s="13">
        <v>2.5737225264500828E-4</v>
      </c>
      <c r="AX346" s="13">
        <v>2.5737225264500828E-4</v>
      </c>
      <c r="AY346" s="13">
        <v>2.5737225264500828E-4</v>
      </c>
      <c r="AZ346" s="13">
        <v>2.5737225264500828E-4</v>
      </c>
      <c r="BA346" s="13">
        <v>2.5737225264500828E-4</v>
      </c>
      <c r="BB346" s="13">
        <v>2.5737225264500828E-4</v>
      </c>
      <c r="BC346" s="13">
        <v>2.5737225264500828E-4</v>
      </c>
      <c r="BD346" s="13">
        <v>2.5737225264500828E-4</v>
      </c>
      <c r="BE346" s="13">
        <v>2.5737225264500828E-4</v>
      </c>
      <c r="BF346" s="13">
        <v>2.5737225264500828E-4</v>
      </c>
      <c r="BG346" s="13">
        <v>2.5737225264500828E-4</v>
      </c>
    </row>
    <row r="347" spans="1:59" ht="12" customHeight="1" x14ac:dyDescent="0.2">
      <c r="A347" s="1" t="s">
        <v>60</v>
      </c>
      <c r="B347" t="s">
        <v>64</v>
      </c>
      <c r="C347" s="10" t="s">
        <v>63</v>
      </c>
      <c r="D347" s="13">
        <v>7.6585062154059124E-6</v>
      </c>
      <c r="E347" s="13">
        <v>0</v>
      </c>
      <c r="F347" s="13">
        <v>1.1711826237085719E-6</v>
      </c>
      <c r="G347" s="13">
        <v>9.5869001980207461E-6</v>
      </c>
      <c r="H347" s="13">
        <v>0</v>
      </c>
      <c r="I347" s="13">
        <v>1.489622499484316E-5</v>
      </c>
      <c r="J347" s="13">
        <v>2.2894315470025181E-6</v>
      </c>
      <c r="K347" s="13">
        <v>2.5313852182332169E-6</v>
      </c>
      <c r="L347" s="14">
        <v>2.1392073556003461E-4</v>
      </c>
      <c r="M347" s="13">
        <v>8.846809896551149E-4</v>
      </c>
      <c r="N347" s="13">
        <v>1.05789129305913E-3</v>
      </c>
      <c r="O347" s="13">
        <v>2.1627649830630491E-3</v>
      </c>
      <c r="P347" s="13">
        <v>7.3343433899933277E-4</v>
      </c>
      <c r="Q347" s="13">
        <v>0</v>
      </c>
      <c r="R347" s="13">
        <v>0</v>
      </c>
      <c r="S347" s="13">
        <v>0</v>
      </c>
      <c r="T347" s="13">
        <v>7.465061088345453E-8</v>
      </c>
      <c r="U347" s="13">
        <v>3.4624340509675448E-5</v>
      </c>
      <c r="V347" s="13">
        <v>2.518254430415076E-5</v>
      </c>
      <c r="W347" s="13">
        <v>8.7581159067637006E-5</v>
      </c>
      <c r="X347" s="13">
        <v>8.1722174482160655E-5</v>
      </c>
      <c r="Y347" s="13">
        <v>4.1441791213681434E-6</v>
      </c>
      <c r="Z347" s="14">
        <v>1.6063377905571469E-4</v>
      </c>
      <c r="AA347" s="14">
        <v>4.4307457974862082E-5</v>
      </c>
      <c r="AB347" s="14">
        <v>3.2773930356753327E-5</v>
      </c>
      <c r="AC347" s="14">
        <v>4.4836228653568414E-6</v>
      </c>
      <c r="AD347" s="14">
        <v>1.037744210209904E-6</v>
      </c>
      <c r="AE347" s="14">
        <v>4.599028071709348E-6</v>
      </c>
      <c r="AF347" s="25">
        <v>1.0723581376007356E-5</v>
      </c>
      <c r="AG347" s="13">
        <v>5.2109941308208624E-6</v>
      </c>
      <c r="AH347" s="13">
        <v>5.3928369471868671E-6</v>
      </c>
      <c r="AI347" s="15">
        <v>5.3928369471868671E-6</v>
      </c>
      <c r="AJ347" s="13">
        <v>5.3928369471868671E-6</v>
      </c>
      <c r="AK347" s="13">
        <v>5.3928369471868671E-6</v>
      </c>
      <c r="AL347" s="13">
        <v>5.3928369471868671E-6</v>
      </c>
      <c r="AM347" s="13">
        <v>5.3928369471868671E-6</v>
      </c>
      <c r="AN347" s="13">
        <v>5.3928369471868671E-6</v>
      </c>
      <c r="AO347" s="13">
        <v>5.3928369471868671E-6</v>
      </c>
      <c r="AP347" s="13">
        <v>5.3928369471868671E-6</v>
      </c>
      <c r="AQ347" s="13">
        <v>5.3928369471868671E-6</v>
      </c>
      <c r="AR347" s="13">
        <v>5.3928369471868671E-6</v>
      </c>
      <c r="AS347" s="13">
        <v>5.3928369471868671E-6</v>
      </c>
      <c r="AT347" s="13">
        <v>5.3928369471868671E-6</v>
      </c>
      <c r="AU347" s="13">
        <v>5.3928369471868671E-6</v>
      </c>
      <c r="AV347" s="13">
        <v>5.3928369471868671E-6</v>
      </c>
      <c r="AW347" s="13">
        <v>5.3928369471868671E-6</v>
      </c>
      <c r="AX347" s="13">
        <v>5.3928369471868671E-6</v>
      </c>
      <c r="AY347" s="13">
        <v>5.3928369471868671E-6</v>
      </c>
      <c r="AZ347" s="13">
        <v>5.3928369471868671E-6</v>
      </c>
      <c r="BA347" s="13">
        <v>5.3928369471868671E-6</v>
      </c>
      <c r="BB347" s="13">
        <v>5.3928369471868671E-6</v>
      </c>
      <c r="BC347" s="13">
        <v>5.3928369471868671E-6</v>
      </c>
      <c r="BD347" s="13">
        <v>5.3928369471868671E-6</v>
      </c>
      <c r="BE347" s="13">
        <v>5.3928369471868671E-6</v>
      </c>
      <c r="BF347" s="13">
        <v>5.3928369471868671E-6</v>
      </c>
      <c r="BG347" s="13">
        <v>5.3928369471868671E-6</v>
      </c>
    </row>
    <row r="348" spans="1:59" ht="12" customHeight="1" x14ac:dyDescent="0.2">
      <c r="A348" s="1" t="s">
        <v>61</v>
      </c>
      <c r="B348" t="s">
        <v>64</v>
      </c>
      <c r="C348" s="10" t="s">
        <v>63</v>
      </c>
      <c r="D348" s="13">
        <v>3.4889011625861838E-4</v>
      </c>
      <c r="E348" s="13">
        <v>4.3094222263838041E-4</v>
      </c>
      <c r="F348" s="13">
        <v>4.7787446833694912E-4</v>
      </c>
      <c r="G348" s="13">
        <v>9.8312015392633552E-4</v>
      </c>
      <c r="H348" s="13">
        <v>5.6686948512157812E-4</v>
      </c>
      <c r="I348" s="13">
        <v>9.8064873892200104E-4</v>
      </c>
      <c r="J348" s="13">
        <v>7.3027374889173653E-4</v>
      </c>
      <c r="K348" s="13">
        <v>6.1088912708084713E-4</v>
      </c>
      <c r="L348" s="14">
        <v>8.6324813082465043E-4</v>
      </c>
      <c r="M348" s="13">
        <v>8.720811325153866E-4</v>
      </c>
      <c r="N348" s="13">
        <v>1.733696406563606E-3</v>
      </c>
      <c r="O348" s="13">
        <v>1.627548816521633E-3</v>
      </c>
      <c r="P348" s="13">
        <v>1.0092837699250581E-3</v>
      </c>
      <c r="Q348" s="13">
        <v>7.1580609696636E-4</v>
      </c>
      <c r="R348" s="13">
        <v>7.4576600622804881E-4</v>
      </c>
      <c r="S348" s="13">
        <v>6.4309105229852861E-4</v>
      </c>
      <c r="T348" s="13">
        <v>5.9694937663717972E-4</v>
      </c>
      <c r="U348" s="13">
        <v>6.7628513229949926E-4</v>
      </c>
      <c r="V348" s="13">
        <v>6.7026401908594024E-4</v>
      </c>
      <c r="W348" s="13">
        <v>6.4856238118097848E-4</v>
      </c>
      <c r="X348" s="13">
        <v>8.3368227706565035E-4</v>
      </c>
      <c r="Y348" s="13">
        <v>1.264483303386675E-3</v>
      </c>
      <c r="Z348" s="14">
        <v>6.5471389208649595E-4</v>
      </c>
      <c r="AA348" s="14">
        <v>7.3851095759696001E-4</v>
      </c>
      <c r="AB348" s="14">
        <v>5.9914463628215904E-4</v>
      </c>
      <c r="AC348" s="14">
        <v>8.1207471387032318E-4</v>
      </c>
      <c r="AD348" s="14">
        <v>8.3135883961096108E-4</v>
      </c>
      <c r="AE348" s="14">
        <v>1.395727344969314E-3</v>
      </c>
      <c r="AF348" s="25">
        <v>9.0957638368318922E-4</v>
      </c>
      <c r="AG348" s="13">
        <v>9.871843205334469E-4</v>
      </c>
      <c r="AH348" s="13">
        <v>1.0309617221992279E-3</v>
      </c>
      <c r="AI348" s="15">
        <v>1.0309617221992279E-3</v>
      </c>
      <c r="AJ348" s="13">
        <v>1.0309617221992279E-3</v>
      </c>
      <c r="AK348" s="13">
        <v>1.0309617221992279E-3</v>
      </c>
      <c r="AL348" s="13">
        <v>1.0309617221992279E-3</v>
      </c>
      <c r="AM348" s="13">
        <v>1.0309617221992279E-3</v>
      </c>
      <c r="AN348" s="13">
        <v>1.0309617221992279E-3</v>
      </c>
      <c r="AO348" s="13">
        <v>1.0309617221992279E-3</v>
      </c>
      <c r="AP348" s="13">
        <v>1.0309617221992279E-3</v>
      </c>
      <c r="AQ348" s="13">
        <v>1.0309617221992279E-3</v>
      </c>
      <c r="AR348" s="13">
        <v>1.0309617221992279E-3</v>
      </c>
      <c r="AS348" s="13">
        <v>1.0309617221992279E-3</v>
      </c>
      <c r="AT348" s="13">
        <v>1.0309617221992279E-3</v>
      </c>
      <c r="AU348" s="13">
        <v>1.0309617221992279E-3</v>
      </c>
      <c r="AV348" s="13">
        <v>1.0309617221992279E-3</v>
      </c>
      <c r="AW348" s="13">
        <v>1.0309617221992279E-3</v>
      </c>
      <c r="AX348" s="13">
        <v>1.0309617221992279E-3</v>
      </c>
      <c r="AY348" s="13">
        <v>1.0309617221992279E-3</v>
      </c>
      <c r="AZ348" s="13">
        <v>1.0309617221992279E-3</v>
      </c>
      <c r="BA348" s="13">
        <v>1.0309617221992279E-3</v>
      </c>
      <c r="BB348" s="13">
        <v>1.0309617221992279E-3</v>
      </c>
      <c r="BC348" s="13">
        <v>1.0309617221992279E-3</v>
      </c>
      <c r="BD348" s="13">
        <v>1.0309617221992279E-3</v>
      </c>
      <c r="BE348" s="13">
        <v>1.0309617221992279E-3</v>
      </c>
      <c r="BF348" s="13">
        <v>1.0309617221992279E-3</v>
      </c>
      <c r="BG348" s="13">
        <v>1.0309617221992279E-3</v>
      </c>
    </row>
    <row r="349" spans="1:59" ht="12" customHeight="1" x14ac:dyDescent="0.2">
      <c r="A349" t="s">
        <v>91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1"/>
      <c r="AF349" s="10"/>
      <c r="AG349" s="10"/>
      <c r="AH349" s="10"/>
      <c r="AI349" s="11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</row>
    <row r="350" spans="1:59" ht="12" customHeight="1" x14ac:dyDescent="0.2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4"/>
      <c r="Z350" s="14"/>
      <c r="AA350" s="25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</row>
    <row r="352" spans="1:59" ht="12" customHeight="1" x14ac:dyDescent="0.2">
      <c r="A352" t="s">
        <v>92</v>
      </c>
      <c r="B352" t="s">
        <v>93</v>
      </c>
    </row>
    <row r="353" spans="1:10" ht="12" customHeight="1" x14ac:dyDescent="0.2">
      <c r="B353" t="s">
        <v>94</v>
      </c>
      <c r="D353" t="s">
        <v>95</v>
      </c>
    </row>
    <row r="354" spans="1:10" ht="12" customHeight="1" x14ac:dyDescent="0.2">
      <c r="B354" t="s">
        <v>45</v>
      </c>
      <c r="C354" t="s">
        <v>64</v>
      </c>
      <c r="D354" t="s">
        <v>45</v>
      </c>
      <c r="E354" t="s">
        <v>64</v>
      </c>
    </row>
    <row r="355" spans="1:10" ht="12" customHeight="1" x14ac:dyDescent="0.3">
      <c r="A355" s="1" t="s">
        <v>44</v>
      </c>
      <c r="B355" s="16">
        <v>1.5995174636743386</v>
      </c>
      <c r="C355" s="16">
        <v>-3.305917863525865</v>
      </c>
      <c r="D355" s="16">
        <v>0.83109268070552733</v>
      </c>
      <c r="E355" s="16">
        <v>1.3577036149686204</v>
      </c>
      <c r="G355" s="26"/>
      <c r="H355" s="26"/>
      <c r="I355" s="26"/>
      <c r="J355" s="26"/>
    </row>
    <row r="356" spans="1:10" ht="12" customHeight="1" x14ac:dyDescent="0.3">
      <c r="A356" s="1" t="s">
        <v>47</v>
      </c>
      <c r="B356" s="16">
        <v>5.7292111939640114</v>
      </c>
      <c r="C356" s="16">
        <v>6.0691169098186606</v>
      </c>
      <c r="D356" s="16">
        <v>1.4989290513824794E-2</v>
      </c>
      <c r="E356" s="16">
        <v>0.15456646498480336</v>
      </c>
      <c r="G356" s="26"/>
      <c r="H356" s="26"/>
      <c r="I356" s="26"/>
      <c r="J356" s="26"/>
    </row>
    <row r="357" spans="1:10" ht="12" customHeight="1" x14ac:dyDescent="0.3">
      <c r="A357" s="1" t="s">
        <v>48</v>
      </c>
      <c r="B357" s="16">
        <v>-17.816543970983265</v>
      </c>
      <c r="C357" s="16">
        <v>-1.4843614429399379</v>
      </c>
      <c r="D357" s="16">
        <v>2.8265009578895657</v>
      </c>
      <c r="E357" s="16">
        <v>1.1248225804278666</v>
      </c>
      <c r="G357" s="26"/>
      <c r="H357" s="26"/>
      <c r="I357" s="26"/>
      <c r="J357" s="26"/>
    </row>
    <row r="358" spans="1:10" ht="12" customHeight="1" x14ac:dyDescent="0.3">
      <c r="A358" s="1" t="s">
        <v>49</v>
      </c>
      <c r="B358" s="16">
        <v>-1.7993524098169633</v>
      </c>
      <c r="C358" s="16">
        <v>-8.4408499071366645</v>
      </c>
      <c r="D358" s="16">
        <v>0.89833518763932407</v>
      </c>
      <c r="E358" s="16">
        <v>1.8672290625065942</v>
      </c>
      <c r="G358" s="26"/>
      <c r="H358" s="26"/>
      <c r="I358" s="26"/>
      <c r="J358" s="26"/>
    </row>
    <row r="359" spans="1:10" ht="12" customHeight="1" x14ac:dyDescent="0.3">
      <c r="A359" s="1" t="s">
        <v>50</v>
      </c>
      <c r="B359" s="16">
        <v>26.08542733500564</v>
      </c>
      <c r="C359" s="16">
        <v>4.856523405272581</v>
      </c>
      <c r="D359" s="16">
        <v>-2.2875646089307744</v>
      </c>
      <c r="E359" s="16">
        <v>0.46219680698195331</v>
      </c>
      <c r="G359" s="26"/>
      <c r="H359" s="26"/>
      <c r="I359" s="26"/>
      <c r="J359" s="26"/>
    </row>
    <row r="360" spans="1:10" ht="12" customHeight="1" x14ac:dyDescent="0.3">
      <c r="A360" s="1" t="s">
        <v>51</v>
      </c>
      <c r="B360" s="16">
        <v>10.434760236594871</v>
      </c>
      <c r="C360" s="16">
        <v>3.1655955536152485</v>
      </c>
      <c r="D360" s="16">
        <v>-0.71645814313350653</v>
      </c>
      <c r="E360" s="16">
        <v>0.62830997498199659</v>
      </c>
      <c r="G360" s="26"/>
      <c r="H360" s="26"/>
      <c r="I360" s="26"/>
      <c r="J360" s="26"/>
    </row>
    <row r="361" spans="1:10" ht="12" customHeight="1" x14ac:dyDescent="0.3">
      <c r="A361" s="1" t="s">
        <v>52</v>
      </c>
      <c r="B361" s="16">
        <v>6.1675765310661799</v>
      </c>
      <c r="C361" s="16">
        <v>-0.1907351587345989</v>
      </c>
      <c r="D361" s="16">
        <v>-0.34255937785457791</v>
      </c>
      <c r="E361" s="16">
        <v>1.1802062829127751</v>
      </c>
      <c r="G361" s="26"/>
      <c r="H361" s="26"/>
      <c r="I361" s="26"/>
      <c r="J361" s="26"/>
    </row>
    <row r="362" spans="1:10" ht="12" customHeight="1" x14ac:dyDescent="0.3">
      <c r="A362" s="1" t="s">
        <v>53</v>
      </c>
      <c r="B362" s="16">
        <v>-0.21385719746475118</v>
      </c>
      <c r="C362" s="16">
        <v>-10.122922851440624</v>
      </c>
      <c r="D362" s="16">
        <v>0.77303880837038574</v>
      </c>
      <c r="E362" s="16">
        <v>1.8941711740891733</v>
      </c>
      <c r="G362" s="26"/>
      <c r="H362" s="26"/>
      <c r="I362" s="26"/>
      <c r="J362" s="26"/>
    </row>
    <row r="363" spans="1:10" ht="12" customHeight="1" x14ac:dyDescent="0.3">
      <c r="A363" s="1" t="s">
        <v>54</v>
      </c>
      <c r="B363" s="16">
        <v>5.8004249648062025</v>
      </c>
      <c r="C363" s="16">
        <v>-0.7996210128720076</v>
      </c>
      <c r="D363" s="16">
        <v>-0.38392545975723541</v>
      </c>
      <c r="E363" s="16">
        <v>0.68381230333649867</v>
      </c>
      <c r="G363" s="26"/>
      <c r="H363" s="26"/>
      <c r="I363" s="26"/>
      <c r="J363" s="26"/>
    </row>
    <row r="364" spans="1:10" ht="12" customHeight="1" x14ac:dyDescent="0.3">
      <c r="A364" s="1" t="s">
        <v>55</v>
      </c>
      <c r="B364" s="16">
        <v>1.896085777134175</v>
      </c>
      <c r="C364" s="16">
        <v>1.4795182118728816</v>
      </c>
      <c r="D364" s="16">
        <v>0.66114646904789176</v>
      </c>
      <c r="E364" s="16">
        <v>0.77382745627942606</v>
      </c>
      <c r="G364" s="26"/>
      <c r="H364" s="26"/>
      <c r="I364" s="26"/>
      <c r="J364" s="26"/>
    </row>
    <row r="365" spans="1:10" ht="12" customHeight="1" x14ac:dyDescent="0.3">
      <c r="A365" s="1" t="s">
        <v>56</v>
      </c>
      <c r="B365" s="16">
        <v>-1.8850616750708422</v>
      </c>
      <c r="C365" s="16">
        <v>2.5121032755608983</v>
      </c>
      <c r="D365" s="16">
        <v>0.8945701653888618</v>
      </c>
      <c r="E365" s="16">
        <v>0.57961501864037757</v>
      </c>
      <c r="G365" s="26"/>
      <c r="H365" s="26"/>
      <c r="I365" s="26"/>
      <c r="J365" s="26"/>
    </row>
    <row r="366" spans="1:10" ht="12" customHeight="1" x14ac:dyDescent="0.3">
      <c r="A366" s="1" t="s">
        <v>57</v>
      </c>
      <c r="B366" s="16">
        <v>8.1797664277033935</v>
      </c>
      <c r="C366" s="16">
        <v>8.4784946915955786</v>
      </c>
      <c r="D366" s="16">
        <v>-1.3324303743689753E-2</v>
      </c>
      <c r="E366" s="16">
        <v>0.15146681666486123</v>
      </c>
      <c r="G366" s="26"/>
      <c r="H366" s="26"/>
      <c r="I366" s="26"/>
      <c r="J366" s="26"/>
    </row>
    <row r="367" spans="1:10" ht="12" customHeight="1" x14ac:dyDescent="0.3">
      <c r="A367" s="1" t="s">
        <v>58</v>
      </c>
      <c r="B367" s="16">
        <v>5.1381811113485503</v>
      </c>
      <c r="C367" s="16">
        <v>5.3491245364613427</v>
      </c>
      <c r="D367" s="16">
        <v>-3.0827716239083446E-2</v>
      </c>
      <c r="E367" s="16">
        <v>0.33109597200064078</v>
      </c>
      <c r="G367" s="26"/>
      <c r="H367" s="26"/>
      <c r="I367" s="26"/>
      <c r="J367" s="26"/>
    </row>
    <row r="368" spans="1:10" ht="12" customHeight="1" x14ac:dyDescent="0.3">
      <c r="A368" s="1" t="s">
        <v>59</v>
      </c>
      <c r="B368" s="16">
        <v>-5.3472767447062379</v>
      </c>
      <c r="C368" s="16">
        <v>-3.1194537692090112</v>
      </c>
      <c r="D368" s="16">
        <v>1.3527711490242587</v>
      </c>
      <c r="E368" s="16">
        <v>1.2786235899092244</v>
      </c>
      <c r="G368" s="26"/>
      <c r="H368" s="26"/>
      <c r="I368" s="26"/>
      <c r="J368" s="26"/>
    </row>
    <row r="369" spans="1:57" ht="12" customHeight="1" x14ac:dyDescent="0.3">
      <c r="A369" s="1" t="s">
        <v>60</v>
      </c>
      <c r="B369" s="16">
        <v>-0.62718238600617315</v>
      </c>
      <c r="C369" s="16">
        <v>0.44052877874394092</v>
      </c>
      <c r="D369" s="16">
        <v>0.80907860359004924</v>
      </c>
      <c r="E369" s="16">
        <v>0.86389405184937096</v>
      </c>
      <c r="G369" s="26"/>
      <c r="H369" s="26"/>
      <c r="I369" s="26"/>
      <c r="J369" s="26"/>
    </row>
    <row r="370" spans="1:57" ht="12" customHeight="1" x14ac:dyDescent="0.3">
      <c r="A370" s="1" t="s">
        <v>61</v>
      </c>
      <c r="B370" s="16">
        <v>-7.3099944030873747</v>
      </c>
      <c r="C370" s="16">
        <v>-3.6079644676527529</v>
      </c>
      <c r="D370" s="16">
        <v>1.6353311825101042</v>
      </c>
      <c r="E370" s="16">
        <v>1.4205078884351607</v>
      </c>
      <c r="G370" s="26"/>
      <c r="H370" s="26"/>
      <c r="I370" s="26"/>
      <c r="J370" s="26"/>
    </row>
    <row r="372" spans="1:57" s="6" customFormat="1" ht="12" customHeight="1" thickBot="1" x14ac:dyDescent="0.3">
      <c r="A372" s="6" t="s">
        <v>96</v>
      </c>
    </row>
    <row r="373" spans="1:57" ht="12" customHeight="1" thickTop="1" x14ac:dyDescent="0.2">
      <c r="A373" t="s">
        <v>97</v>
      </c>
      <c r="K373" s="20"/>
      <c r="AC373" t="s">
        <v>98</v>
      </c>
      <c r="AK373" t="s">
        <v>99</v>
      </c>
    </row>
    <row r="374" spans="1:57" ht="12" customHeight="1" x14ac:dyDescent="0.2">
      <c r="A374" s="19" t="s">
        <v>100</v>
      </c>
      <c r="AC374" s="28"/>
      <c r="AE374" s="16"/>
      <c r="AF374" s="27"/>
      <c r="AG374" s="16"/>
      <c r="AH374" s="16"/>
      <c r="AI374" s="16"/>
      <c r="AJ374" s="16"/>
      <c r="AK374" s="27">
        <f t="shared" ref="AK374:BE374" si="2">AJ374*0.9</f>
        <v>0</v>
      </c>
      <c r="AL374" s="16">
        <f t="shared" si="2"/>
        <v>0</v>
      </c>
      <c r="AM374" s="16">
        <f t="shared" si="2"/>
        <v>0</v>
      </c>
      <c r="AN374" s="16">
        <f t="shared" si="2"/>
        <v>0</v>
      </c>
      <c r="AO374" s="16">
        <f t="shared" si="2"/>
        <v>0</v>
      </c>
      <c r="AP374" s="16">
        <f t="shared" si="2"/>
        <v>0</v>
      </c>
      <c r="AQ374" s="16">
        <f t="shared" si="2"/>
        <v>0</v>
      </c>
      <c r="AR374" s="16">
        <f t="shared" si="2"/>
        <v>0</v>
      </c>
      <c r="AS374" s="16">
        <f t="shared" si="2"/>
        <v>0</v>
      </c>
      <c r="AT374" s="16">
        <f t="shared" si="2"/>
        <v>0</v>
      </c>
      <c r="AU374" s="16">
        <f t="shared" si="2"/>
        <v>0</v>
      </c>
      <c r="AV374" s="16">
        <f t="shared" si="2"/>
        <v>0</v>
      </c>
      <c r="AW374" s="16">
        <f t="shared" si="2"/>
        <v>0</v>
      </c>
      <c r="AX374" s="16">
        <f t="shared" si="2"/>
        <v>0</v>
      </c>
      <c r="AY374" s="16">
        <f t="shared" si="2"/>
        <v>0</v>
      </c>
      <c r="AZ374" s="16">
        <f t="shared" si="2"/>
        <v>0</v>
      </c>
      <c r="BA374" s="16">
        <f t="shared" si="2"/>
        <v>0</v>
      </c>
      <c r="BB374" s="16">
        <f t="shared" si="2"/>
        <v>0</v>
      </c>
      <c r="BC374" s="16">
        <f t="shared" si="2"/>
        <v>0</v>
      </c>
      <c r="BD374" s="16">
        <f t="shared" si="2"/>
        <v>0</v>
      </c>
      <c r="BE374" s="16">
        <f t="shared" si="2"/>
        <v>0</v>
      </c>
    </row>
    <row r="375" spans="1:57" ht="12" customHeight="1" x14ac:dyDescent="0.2">
      <c r="B375">
        <v>1995</v>
      </c>
      <c r="C375">
        <v>1996</v>
      </c>
      <c r="D375">
        <v>1997</v>
      </c>
      <c r="E375">
        <v>1998</v>
      </c>
      <c r="F375">
        <v>1999</v>
      </c>
      <c r="G375">
        <v>2000</v>
      </c>
      <c r="H375">
        <v>2001</v>
      </c>
      <c r="I375">
        <v>2002</v>
      </c>
      <c r="J375">
        <v>2003</v>
      </c>
      <c r="K375">
        <v>2004</v>
      </c>
      <c r="L375">
        <v>2005</v>
      </c>
      <c r="M375">
        <v>2006</v>
      </c>
      <c r="N375">
        <v>2007</v>
      </c>
      <c r="O375">
        <v>2008</v>
      </c>
      <c r="P375">
        <v>2009</v>
      </c>
      <c r="Q375">
        <v>2010</v>
      </c>
      <c r="R375">
        <v>2011</v>
      </c>
      <c r="S375">
        <v>2012</v>
      </c>
      <c r="T375">
        <v>2013</v>
      </c>
      <c r="U375">
        <v>2014</v>
      </c>
      <c r="V375">
        <v>2015</v>
      </c>
      <c r="W375">
        <v>2016</v>
      </c>
      <c r="X375">
        <v>2017</v>
      </c>
      <c r="Y375">
        <v>2018</v>
      </c>
      <c r="Z375">
        <v>2019</v>
      </c>
      <c r="AA375">
        <v>2020</v>
      </c>
      <c r="AB375">
        <v>2021</v>
      </c>
      <c r="AC375" s="28">
        <v>2022</v>
      </c>
      <c r="AD375">
        <v>2023</v>
      </c>
      <c r="AE375">
        <v>2024</v>
      </c>
      <c r="AF375" s="20">
        <v>2025</v>
      </c>
      <c r="AG375">
        <v>2026</v>
      </c>
      <c r="AH375">
        <v>2027</v>
      </c>
      <c r="AI375">
        <v>2028</v>
      </c>
      <c r="AJ375">
        <v>2029</v>
      </c>
      <c r="AK375" s="20">
        <v>2030</v>
      </c>
      <c r="AL375">
        <v>2031</v>
      </c>
      <c r="AM375">
        <v>2032</v>
      </c>
      <c r="AN375">
        <v>2033</v>
      </c>
      <c r="AO375">
        <v>2034</v>
      </c>
      <c r="AP375">
        <v>2035</v>
      </c>
      <c r="AQ375">
        <v>2036</v>
      </c>
      <c r="AR375">
        <v>2037</v>
      </c>
      <c r="AS375">
        <v>2038</v>
      </c>
      <c r="AT375">
        <v>2039</v>
      </c>
      <c r="AU375">
        <v>2040</v>
      </c>
      <c r="AV375">
        <v>2041</v>
      </c>
      <c r="AW375">
        <v>2042</v>
      </c>
      <c r="AX375">
        <v>2043</v>
      </c>
      <c r="AY375">
        <v>2044</v>
      </c>
      <c r="AZ375">
        <v>2045</v>
      </c>
      <c r="BA375">
        <v>2046</v>
      </c>
      <c r="BB375">
        <v>2047</v>
      </c>
      <c r="BC375">
        <v>2048</v>
      </c>
      <c r="BD375">
        <v>2049</v>
      </c>
      <c r="BE375">
        <v>2050</v>
      </c>
    </row>
    <row r="376" spans="1:57" ht="12" customHeight="1" x14ac:dyDescent="0.2">
      <c r="A376" s="29" t="s">
        <v>101</v>
      </c>
      <c r="B376" s="30">
        <v>154805801.04960924</v>
      </c>
      <c r="C376" s="30">
        <v>157034661.50656202</v>
      </c>
      <c r="D376" s="30">
        <v>161995388.0434905</v>
      </c>
      <c r="E376" s="30">
        <v>158535256.30753967</v>
      </c>
      <c r="F376" s="30">
        <v>157481754.06081268</v>
      </c>
      <c r="G376" s="30">
        <v>158345094.458083</v>
      </c>
      <c r="H376" s="30">
        <v>168592058.72623834</v>
      </c>
      <c r="I376" s="30">
        <v>160326093.43918806</v>
      </c>
      <c r="J376" s="30">
        <v>156456319.3930774</v>
      </c>
      <c r="K376" s="30">
        <v>171634863.64219895</v>
      </c>
      <c r="L376" s="30">
        <v>179134193.33740917</v>
      </c>
      <c r="M376" s="30">
        <v>175637761.97354642</v>
      </c>
      <c r="N376" s="30">
        <v>176680487.19262978</v>
      </c>
      <c r="O376" s="30">
        <v>180125376.91950396</v>
      </c>
      <c r="P376" s="30">
        <v>173897353.58636963</v>
      </c>
      <c r="Q376" s="30">
        <v>174363021.42350999</v>
      </c>
      <c r="R376" s="30">
        <v>187222086.5483472</v>
      </c>
      <c r="S376" s="30">
        <v>186230455.15224931</v>
      </c>
      <c r="T376" s="30">
        <v>188450447.15869901</v>
      </c>
      <c r="U376" s="30">
        <v>195456651.20958662</v>
      </c>
      <c r="V376" s="30">
        <v>200139400.49518192</v>
      </c>
      <c r="W376" s="30">
        <v>205017747.56180376</v>
      </c>
      <c r="X376" s="30">
        <v>208970711.75350574</v>
      </c>
      <c r="Y376" s="30">
        <v>209181409.71723378</v>
      </c>
      <c r="Z376" s="30">
        <v>212899128.85530698</v>
      </c>
      <c r="AA376" s="30">
        <v>153392167.34536439</v>
      </c>
      <c r="AB376" s="30">
        <v>184754231.85372174</v>
      </c>
      <c r="AC376" s="31">
        <v>201768065.50387985</v>
      </c>
      <c r="AD376" s="30">
        <v>214205873.32556441</v>
      </c>
      <c r="AE376" s="30">
        <v>213490230.10446182</v>
      </c>
      <c r="AF376" s="32">
        <v>211111067.74946481</v>
      </c>
      <c r="AG376" s="30">
        <v>210880262.58085042</v>
      </c>
      <c r="AH376" s="30">
        <v>210671281.86088356</v>
      </c>
      <c r="AI376" s="30">
        <v>210481784.21733195</v>
      </c>
      <c r="AJ376" s="30">
        <v>210309247.3059763</v>
      </c>
      <c r="AK376" s="32">
        <f t="shared" ref="AK376:BE376" si="3">AJ376*(1+0.01*AK$374)</f>
        <v>210309247.3059763</v>
      </c>
      <c r="AL376" s="30">
        <f t="shared" si="3"/>
        <v>210309247.3059763</v>
      </c>
      <c r="AM376" s="30">
        <f t="shared" si="3"/>
        <v>210309247.3059763</v>
      </c>
      <c r="AN376" s="30">
        <f t="shared" si="3"/>
        <v>210309247.3059763</v>
      </c>
      <c r="AO376" s="30">
        <f t="shared" si="3"/>
        <v>210309247.3059763</v>
      </c>
      <c r="AP376" s="30">
        <f t="shared" si="3"/>
        <v>210309247.3059763</v>
      </c>
      <c r="AQ376" s="30">
        <f t="shared" si="3"/>
        <v>210309247.3059763</v>
      </c>
      <c r="AR376" s="30">
        <f t="shared" si="3"/>
        <v>210309247.3059763</v>
      </c>
      <c r="AS376" s="30">
        <f t="shared" si="3"/>
        <v>210309247.3059763</v>
      </c>
      <c r="AT376" s="30">
        <f t="shared" si="3"/>
        <v>210309247.3059763</v>
      </c>
      <c r="AU376" s="30">
        <f t="shared" si="3"/>
        <v>210309247.3059763</v>
      </c>
      <c r="AV376" s="30">
        <f t="shared" si="3"/>
        <v>210309247.3059763</v>
      </c>
      <c r="AW376" s="30">
        <f t="shared" si="3"/>
        <v>210309247.3059763</v>
      </c>
      <c r="AX376" s="30">
        <f t="shared" si="3"/>
        <v>210309247.3059763</v>
      </c>
      <c r="AY376" s="30">
        <f t="shared" si="3"/>
        <v>210309247.3059763</v>
      </c>
      <c r="AZ376" s="30">
        <f t="shared" si="3"/>
        <v>210309247.3059763</v>
      </c>
      <c r="BA376" s="30">
        <f t="shared" si="3"/>
        <v>210309247.3059763</v>
      </c>
      <c r="BB376" s="30">
        <f t="shared" si="3"/>
        <v>210309247.3059763</v>
      </c>
      <c r="BC376" s="30">
        <f t="shared" si="3"/>
        <v>210309247.3059763</v>
      </c>
      <c r="BD376" s="30">
        <f t="shared" si="3"/>
        <v>210309247.3059763</v>
      </c>
      <c r="BE376" s="30">
        <f t="shared" si="3"/>
        <v>210309247.3059763</v>
      </c>
    </row>
    <row r="377" spans="1:57" ht="12" customHeight="1" x14ac:dyDescent="0.2">
      <c r="A377" t="s">
        <v>102</v>
      </c>
      <c r="B377" s="7">
        <v>113250748.43243228</v>
      </c>
      <c r="C377" s="7">
        <v>119387206.36442646</v>
      </c>
      <c r="D377" s="7">
        <v>130602922.64012982</v>
      </c>
      <c r="E377" s="7">
        <v>121510679.2312194</v>
      </c>
      <c r="F377" s="7">
        <v>115823774.50392279</v>
      </c>
      <c r="G377" s="7">
        <v>115716803.17673032</v>
      </c>
      <c r="H377" s="7">
        <v>148878298.33893541</v>
      </c>
      <c r="I377" s="7">
        <v>108744594.66890524</v>
      </c>
      <c r="J377" s="7">
        <v>132543894.22825888</v>
      </c>
      <c r="K377" s="7">
        <v>146237256.7691628</v>
      </c>
      <c r="L377" s="7">
        <v>161487336.12291908</v>
      </c>
      <c r="M377" s="7">
        <v>164880554.84299964</v>
      </c>
      <c r="N377" s="7">
        <v>185694507.3813996</v>
      </c>
      <c r="O377" s="7">
        <v>176316261.54241607</v>
      </c>
      <c r="P377" s="7">
        <v>157017474.12618113</v>
      </c>
      <c r="Q377" s="7">
        <v>166463442.14515179</v>
      </c>
      <c r="R377" s="7">
        <v>159407152.85400122</v>
      </c>
      <c r="S377" s="7">
        <v>159188115.45246315</v>
      </c>
      <c r="T377" s="7">
        <v>152922098.70761409</v>
      </c>
      <c r="U377" s="7">
        <v>152505683.16164565</v>
      </c>
      <c r="V377" s="7">
        <v>177895418.74063683</v>
      </c>
      <c r="W377" s="7">
        <v>178291950.45407996</v>
      </c>
      <c r="X377" s="7">
        <v>185487597.42112905</v>
      </c>
      <c r="Y377" s="7">
        <v>190845140.89175785</v>
      </c>
      <c r="Z377" s="7">
        <v>177633671.23612702</v>
      </c>
      <c r="AA377" s="7">
        <v>131566489.05713204</v>
      </c>
      <c r="AB377" s="7">
        <v>84092134.09648712</v>
      </c>
      <c r="AC377" s="22">
        <v>121023264.69523983</v>
      </c>
      <c r="AD377" s="7">
        <v>157205042.9823164</v>
      </c>
      <c r="AE377" s="7">
        <v>158051890.22948462</v>
      </c>
      <c r="AF377" s="12">
        <v>156019912.02903518</v>
      </c>
      <c r="AG377" s="7">
        <v>155853694.68102577</v>
      </c>
      <c r="AH377" s="7">
        <v>155698875.12735522</v>
      </c>
      <c r="AI377" s="7">
        <v>155554235.49085355</v>
      </c>
      <c r="AJ377" s="7">
        <v>155418463.76442048</v>
      </c>
      <c r="AK377" s="12">
        <f t="shared" ref="AK377:BE377" si="4">AJ377*(1+0.01*AK$374)</f>
        <v>155418463.76442048</v>
      </c>
      <c r="AL377" s="7">
        <f t="shared" si="4"/>
        <v>155418463.76442048</v>
      </c>
      <c r="AM377" s="7">
        <f t="shared" si="4"/>
        <v>155418463.76442048</v>
      </c>
      <c r="AN377" s="7">
        <f t="shared" si="4"/>
        <v>155418463.76442048</v>
      </c>
      <c r="AO377" s="7">
        <f t="shared" si="4"/>
        <v>155418463.76442048</v>
      </c>
      <c r="AP377" s="7">
        <f t="shared" si="4"/>
        <v>155418463.76442048</v>
      </c>
      <c r="AQ377" s="7">
        <f t="shared" si="4"/>
        <v>155418463.76442048</v>
      </c>
      <c r="AR377" s="7">
        <f t="shared" si="4"/>
        <v>155418463.76442048</v>
      </c>
      <c r="AS377" s="7">
        <f t="shared" si="4"/>
        <v>155418463.76442048</v>
      </c>
      <c r="AT377" s="7">
        <f t="shared" si="4"/>
        <v>155418463.76442048</v>
      </c>
      <c r="AU377" s="7">
        <f t="shared" si="4"/>
        <v>155418463.76442048</v>
      </c>
      <c r="AV377" s="7">
        <f t="shared" si="4"/>
        <v>155418463.76442048</v>
      </c>
      <c r="AW377" s="7">
        <f t="shared" si="4"/>
        <v>155418463.76442048</v>
      </c>
      <c r="AX377" s="7">
        <f t="shared" si="4"/>
        <v>155418463.76442048</v>
      </c>
      <c r="AY377" s="7">
        <f t="shared" si="4"/>
        <v>155418463.76442048</v>
      </c>
      <c r="AZ377" s="7">
        <f t="shared" si="4"/>
        <v>155418463.76442048</v>
      </c>
      <c r="BA377" s="7">
        <f t="shared" si="4"/>
        <v>155418463.76442048</v>
      </c>
      <c r="BB377" s="7">
        <f t="shared" si="4"/>
        <v>155418463.76442048</v>
      </c>
      <c r="BC377" s="7">
        <f t="shared" si="4"/>
        <v>155418463.76442048</v>
      </c>
      <c r="BD377" s="7">
        <f t="shared" si="4"/>
        <v>155418463.76442048</v>
      </c>
      <c r="BE377" s="7">
        <f t="shared" si="4"/>
        <v>155418463.76442048</v>
      </c>
    </row>
    <row r="378" spans="1:57" ht="12" customHeight="1" x14ac:dyDescent="0.2">
      <c r="A378" t="s">
        <v>103</v>
      </c>
      <c r="B378" s="7">
        <v>130275189.81438863</v>
      </c>
      <c r="C378" s="7">
        <v>126033004.87698527</v>
      </c>
      <c r="D378" s="7">
        <v>141649934.91804492</v>
      </c>
      <c r="E378" s="7">
        <v>145815053.05249628</v>
      </c>
      <c r="F378" s="7">
        <v>149998008.38703558</v>
      </c>
      <c r="G378" s="7">
        <v>143485099.15793708</v>
      </c>
      <c r="H378" s="7">
        <v>143997132.38919631</v>
      </c>
      <c r="I378" s="7">
        <v>131218316.37650025</v>
      </c>
      <c r="J378" s="7">
        <v>123140624.32808924</v>
      </c>
      <c r="K378" s="7">
        <v>127601358.87991233</v>
      </c>
      <c r="L378" s="7">
        <v>138633643.06870046</v>
      </c>
      <c r="M378" s="7">
        <v>130035801.08760932</v>
      </c>
      <c r="N378" s="7">
        <v>139081272.99803323</v>
      </c>
      <c r="O378" s="7">
        <v>161722248.15790102</v>
      </c>
      <c r="P378" s="7">
        <v>176068990.04943654</v>
      </c>
      <c r="Q378" s="7">
        <v>252912220.09202823</v>
      </c>
      <c r="R378" s="7">
        <v>251217382.72082588</v>
      </c>
      <c r="S378" s="7">
        <v>241914504.60054326</v>
      </c>
      <c r="T378" s="7">
        <v>250573252.3944892</v>
      </c>
      <c r="U378" s="7">
        <v>236429875.26467073</v>
      </c>
      <c r="V378" s="7">
        <v>256659019.88300827</v>
      </c>
      <c r="W378" s="7">
        <v>268689951.29817504</v>
      </c>
      <c r="X378" s="7">
        <v>282805593.58227158</v>
      </c>
      <c r="Y378" s="7">
        <v>281487626.13165289</v>
      </c>
      <c r="Z378" s="7">
        <v>273582786.78120351</v>
      </c>
      <c r="AA378" s="7">
        <v>205786485.07655689</v>
      </c>
      <c r="AB378" s="7">
        <v>284198240.31361431</v>
      </c>
      <c r="AC378" s="22">
        <v>304938326.23121226</v>
      </c>
      <c r="AD378" s="7">
        <v>269175155.90827382</v>
      </c>
      <c r="AE378" s="7">
        <v>268327588.34712514</v>
      </c>
      <c r="AF378" s="12">
        <v>266106785.87857535</v>
      </c>
      <c r="AG378" s="7">
        <v>265826648.6564053</v>
      </c>
      <c r="AH378" s="7">
        <v>265562300.56032971</v>
      </c>
      <c r="AI378" s="7">
        <v>265312059.8432126</v>
      </c>
      <c r="AJ378" s="7">
        <v>265074114.77935523</v>
      </c>
      <c r="AK378" s="12">
        <f t="shared" ref="AK378:BE378" si="5">AJ378*(1+0.01*AK$374)</f>
        <v>265074114.77935523</v>
      </c>
      <c r="AL378" s="7">
        <f t="shared" si="5"/>
        <v>265074114.77935523</v>
      </c>
      <c r="AM378" s="7">
        <f t="shared" si="5"/>
        <v>265074114.77935523</v>
      </c>
      <c r="AN378" s="7">
        <f t="shared" si="5"/>
        <v>265074114.77935523</v>
      </c>
      <c r="AO378" s="7">
        <f t="shared" si="5"/>
        <v>265074114.77935523</v>
      </c>
      <c r="AP378" s="7">
        <f t="shared" si="5"/>
        <v>265074114.77935523</v>
      </c>
      <c r="AQ378" s="7">
        <f t="shared" si="5"/>
        <v>265074114.77935523</v>
      </c>
      <c r="AR378" s="7">
        <f t="shared" si="5"/>
        <v>265074114.77935523</v>
      </c>
      <c r="AS378" s="7">
        <f t="shared" si="5"/>
        <v>265074114.77935523</v>
      </c>
      <c r="AT378" s="7">
        <f t="shared" si="5"/>
        <v>265074114.77935523</v>
      </c>
      <c r="AU378" s="7">
        <f t="shared" si="5"/>
        <v>265074114.77935523</v>
      </c>
      <c r="AV378" s="7">
        <f t="shared" si="5"/>
        <v>265074114.77935523</v>
      </c>
      <c r="AW378" s="7">
        <f t="shared" si="5"/>
        <v>265074114.77935523</v>
      </c>
      <c r="AX378" s="7">
        <f t="shared" si="5"/>
        <v>265074114.77935523</v>
      </c>
      <c r="AY378" s="7">
        <f t="shared" si="5"/>
        <v>265074114.77935523</v>
      </c>
      <c r="AZ378" s="7">
        <f t="shared" si="5"/>
        <v>265074114.77935523</v>
      </c>
      <c r="BA378" s="7">
        <f t="shared" si="5"/>
        <v>265074114.77935523</v>
      </c>
      <c r="BB378" s="7">
        <f t="shared" si="5"/>
        <v>265074114.77935523</v>
      </c>
      <c r="BC378" s="7">
        <f t="shared" si="5"/>
        <v>265074114.77935523</v>
      </c>
      <c r="BD378" s="7">
        <f t="shared" si="5"/>
        <v>265074114.77935523</v>
      </c>
      <c r="BE378" s="7">
        <f t="shared" si="5"/>
        <v>265074114.77935523</v>
      </c>
    </row>
    <row r="379" spans="1:57" ht="12" customHeight="1" x14ac:dyDescent="0.2">
      <c r="A379" t="s">
        <v>104</v>
      </c>
      <c r="B379" s="7">
        <v>93969145.073266625</v>
      </c>
      <c r="C379" s="7">
        <v>94639358.40060392</v>
      </c>
      <c r="D379" s="7">
        <v>116408476.34277143</v>
      </c>
      <c r="E379" s="7">
        <v>121501731.79421712</v>
      </c>
      <c r="F379" s="7">
        <v>107699145.65821195</v>
      </c>
      <c r="G379" s="7">
        <v>117889277.90767534</v>
      </c>
      <c r="H379" s="7">
        <v>131824468.2144618</v>
      </c>
      <c r="I379" s="7">
        <v>119887327.27812994</v>
      </c>
      <c r="J379" s="7">
        <v>124502921.60314295</v>
      </c>
      <c r="K379" s="7">
        <v>133210046.27995461</v>
      </c>
      <c r="L379" s="7">
        <v>139975371.80088347</v>
      </c>
      <c r="M379" s="7">
        <v>138932244.06431463</v>
      </c>
      <c r="N379" s="7">
        <v>149826759.8633768</v>
      </c>
      <c r="O379" s="7">
        <v>158317585.47765699</v>
      </c>
      <c r="P379" s="7">
        <v>150729361.43982798</v>
      </c>
      <c r="Q379" s="7">
        <v>164951561.90647182</v>
      </c>
      <c r="R379" s="7">
        <v>169794328.79527211</v>
      </c>
      <c r="S379" s="7">
        <v>174346901.79022312</v>
      </c>
      <c r="T379" s="7">
        <v>183032919.48536932</v>
      </c>
      <c r="U379" s="7">
        <v>190097278.50715029</v>
      </c>
      <c r="V379" s="7">
        <v>203074494.16601002</v>
      </c>
      <c r="W379" s="7">
        <v>208003108.07975984</v>
      </c>
      <c r="X379" s="7">
        <v>221110821.38562649</v>
      </c>
      <c r="Y379" s="7">
        <v>218033446.23499313</v>
      </c>
      <c r="Z379" s="7">
        <v>228750563.46036315</v>
      </c>
      <c r="AA379" s="7">
        <v>136366280.9094491</v>
      </c>
      <c r="AB379" s="7">
        <v>112475110.36628409</v>
      </c>
      <c r="AC379" s="22">
        <v>202667014.36972383</v>
      </c>
      <c r="AD379" s="7">
        <v>219064508.56743738</v>
      </c>
      <c r="AE379" s="7">
        <v>226488863.78799477</v>
      </c>
      <c r="AF379" s="12">
        <v>224607367.82273519</v>
      </c>
      <c r="AG379" s="7">
        <v>224382984.83789733</v>
      </c>
      <c r="AH379" s="7">
        <v>224158826.01188546</v>
      </c>
      <c r="AI379" s="7">
        <v>223934891.12076473</v>
      </c>
      <c r="AJ379" s="7">
        <v>223711179.94082391</v>
      </c>
      <c r="AK379" s="12">
        <f t="shared" ref="AK379:BE379" si="6">AJ379*(1+0.01*AK$374)</f>
        <v>223711179.94082391</v>
      </c>
      <c r="AL379" s="7">
        <f t="shared" si="6"/>
        <v>223711179.94082391</v>
      </c>
      <c r="AM379" s="7">
        <f t="shared" si="6"/>
        <v>223711179.94082391</v>
      </c>
      <c r="AN379" s="7">
        <f t="shared" si="6"/>
        <v>223711179.94082391</v>
      </c>
      <c r="AO379" s="7">
        <f t="shared" si="6"/>
        <v>223711179.94082391</v>
      </c>
      <c r="AP379" s="7">
        <f t="shared" si="6"/>
        <v>223711179.94082391</v>
      </c>
      <c r="AQ379" s="7">
        <f t="shared" si="6"/>
        <v>223711179.94082391</v>
      </c>
      <c r="AR379" s="7">
        <f t="shared" si="6"/>
        <v>223711179.94082391</v>
      </c>
      <c r="AS379" s="7">
        <f t="shared" si="6"/>
        <v>223711179.94082391</v>
      </c>
      <c r="AT379" s="7">
        <f t="shared" si="6"/>
        <v>223711179.94082391</v>
      </c>
      <c r="AU379" s="7">
        <f t="shared" si="6"/>
        <v>223711179.94082391</v>
      </c>
      <c r="AV379" s="7">
        <f t="shared" si="6"/>
        <v>223711179.94082391</v>
      </c>
      <c r="AW379" s="7">
        <f t="shared" si="6"/>
        <v>223711179.94082391</v>
      </c>
      <c r="AX379" s="7">
        <f t="shared" si="6"/>
        <v>223711179.94082391</v>
      </c>
      <c r="AY379" s="7">
        <f t="shared" si="6"/>
        <v>223711179.94082391</v>
      </c>
      <c r="AZ379" s="7">
        <f t="shared" si="6"/>
        <v>223711179.94082391</v>
      </c>
      <c r="BA379" s="7">
        <f t="shared" si="6"/>
        <v>223711179.94082391</v>
      </c>
      <c r="BB379" s="7">
        <f t="shared" si="6"/>
        <v>223711179.94082391</v>
      </c>
      <c r="BC379" s="7">
        <f t="shared" si="6"/>
        <v>223711179.94082391</v>
      </c>
      <c r="BD379" s="7">
        <f t="shared" si="6"/>
        <v>223711179.94082391</v>
      </c>
      <c r="BE379" s="7">
        <f t="shared" si="6"/>
        <v>223711179.94082391</v>
      </c>
    </row>
    <row r="380" spans="1:57" ht="12" customHeight="1" x14ac:dyDescent="0.2">
      <c r="A380" t="s">
        <v>105</v>
      </c>
      <c r="B380" s="7">
        <v>529875327.51502109</v>
      </c>
      <c r="C380" s="7">
        <v>540834458.4840312</v>
      </c>
      <c r="D380" s="7">
        <v>573387147.04495871</v>
      </c>
      <c r="E380" s="7">
        <v>586400777.2029103</v>
      </c>
      <c r="F380" s="7">
        <v>536797808.94975203</v>
      </c>
      <c r="G380" s="7">
        <v>532888477.18568408</v>
      </c>
      <c r="H380" s="7">
        <v>520956866.60452622</v>
      </c>
      <c r="I380" s="7">
        <v>518093503.23954874</v>
      </c>
      <c r="J380" s="7">
        <v>498169566.00601846</v>
      </c>
      <c r="K380" s="7">
        <v>495900258.06734467</v>
      </c>
      <c r="L380" s="7">
        <v>481148034.24673533</v>
      </c>
      <c r="M380" s="7">
        <v>447617712.33413231</v>
      </c>
      <c r="N380" s="7">
        <v>414299727.96766257</v>
      </c>
      <c r="O380" s="7">
        <v>382249705.56041157</v>
      </c>
      <c r="P380" s="7">
        <v>356390486.84782112</v>
      </c>
      <c r="Q380" s="7">
        <v>328233274.76332444</v>
      </c>
      <c r="R380" s="7">
        <v>314929504.07781494</v>
      </c>
      <c r="S380" s="7">
        <v>325007532.94559759</v>
      </c>
      <c r="T380" s="7">
        <v>323067348.68654615</v>
      </c>
      <c r="U380" s="7">
        <v>319154568.36176151</v>
      </c>
      <c r="V380" s="7">
        <v>329483599.72547138</v>
      </c>
      <c r="W380" s="7">
        <v>328060030.79442209</v>
      </c>
      <c r="X380" s="7">
        <v>323511819.60796738</v>
      </c>
      <c r="Y380" s="7">
        <v>303465204.11861765</v>
      </c>
      <c r="Z380" s="7">
        <v>341416498.01593632</v>
      </c>
      <c r="AA380" s="7">
        <v>192428894.30142522</v>
      </c>
      <c r="AB380" s="7">
        <v>166138058.78974599</v>
      </c>
      <c r="AC380" s="22">
        <v>265673070.83094472</v>
      </c>
      <c r="AD380" s="7">
        <v>299225390.61885136</v>
      </c>
      <c r="AE380" s="7">
        <v>300872129.69818276</v>
      </c>
      <c r="AF380" s="12">
        <v>295349648.36628151</v>
      </c>
      <c r="AG380" s="7">
        <v>295025489.9151206</v>
      </c>
      <c r="AH380" s="7">
        <v>294733228.52130002</v>
      </c>
      <c r="AI380" s="7">
        <v>294469440.78890967</v>
      </c>
      <c r="AJ380" s="7">
        <v>294230438.71601635</v>
      </c>
      <c r="AK380" s="12">
        <f t="shared" ref="AK380:BE380" si="7">AJ380*(1+0.01*AK$374)</f>
        <v>294230438.71601635</v>
      </c>
      <c r="AL380" s="7">
        <f t="shared" si="7"/>
        <v>294230438.71601635</v>
      </c>
      <c r="AM380" s="7">
        <f t="shared" si="7"/>
        <v>294230438.71601635</v>
      </c>
      <c r="AN380" s="7">
        <f t="shared" si="7"/>
        <v>294230438.71601635</v>
      </c>
      <c r="AO380" s="7">
        <f t="shared" si="7"/>
        <v>294230438.71601635</v>
      </c>
      <c r="AP380" s="7">
        <f t="shared" si="7"/>
        <v>294230438.71601635</v>
      </c>
      <c r="AQ380" s="7">
        <f t="shared" si="7"/>
        <v>294230438.71601635</v>
      </c>
      <c r="AR380" s="7">
        <f t="shared" si="7"/>
        <v>294230438.71601635</v>
      </c>
      <c r="AS380" s="7">
        <f t="shared" si="7"/>
        <v>294230438.71601635</v>
      </c>
      <c r="AT380" s="7">
        <f t="shared" si="7"/>
        <v>294230438.71601635</v>
      </c>
      <c r="AU380" s="7">
        <f t="shared" si="7"/>
        <v>294230438.71601635</v>
      </c>
      <c r="AV380" s="7">
        <f t="shared" si="7"/>
        <v>294230438.71601635</v>
      </c>
      <c r="AW380" s="7">
        <f t="shared" si="7"/>
        <v>294230438.71601635</v>
      </c>
      <c r="AX380" s="7">
        <f t="shared" si="7"/>
        <v>294230438.71601635</v>
      </c>
      <c r="AY380" s="7">
        <f t="shared" si="7"/>
        <v>294230438.71601635</v>
      </c>
      <c r="AZ380" s="7">
        <f t="shared" si="7"/>
        <v>294230438.71601635</v>
      </c>
      <c r="BA380" s="7">
        <f t="shared" si="7"/>
        <v>294230438.71601635</v>
      </c>
      <c r="BB380" s="7">
        <f t="shared" si="7"/>
        <v>294230438.71601635</v>
      </c>
      <c r="BC380" s="7">
        <f t="shared" si="7"/>
        <v>294230438.71601635</v>
      </c>
      <c r="BD380" s="7">
        <f t="shared" si="7"/>
        <v>294230438.71601635</v>
      </c>
      <c r="BE380" s="7">
        <f t="shared" si="7"/>
        <v>294230438.71601635</v>
      </c>
    </row>
    <row r="381" spans="1:57" ht="12" customHeight="1" x14ac:dyDescent="0.2">
      <c r="A381" t="s">
        <v>106</v>
      </c>
      <c r="B381" s="7">
        <v>268680975.0757845</v>
      </c>
      <c r="C381" s="7">
        <v>244744030.07397911</v>
      </c>
      <c r="D381" s="7">
        <v>269449209.65104288</v>
      </c>
      <c r="E381" s="7">
        <v>260185197.46043783</v>
      </c>
      <c r="F381" s="7">
        <v>220376066.26274675</v>
      </c>
      <c r="G381" s="7">
        <v>277702353.85650629</v>
      </c>
      <c r="H381" s="7">
        <v>258183459.15819842</v>
      </c>
      <c r="I381" s="7">
        <v>197515565.83015886</v>
      </c>
      <c r="J381" s="7">
        <v>225205940.78930032</v>
      </c>
      <c r="K381" s="7">
        <v>198087065.52454993</v>
      </c>
      <c r="L381" s="7">
        <v>195454248.80346528</v>
      </c>
      <c r="M381" s="7">
        <v>226472343.91381815</v>
      </c>
      <c r="N381" s="7">
        <v>198202225.80305347</v>
      </c>
      <c r="O381" s="7">
        <v>210292653.51423034</v>
      </c>
      <c r="P381" s="7">
        <v>221515000.19306597</v>
      </c>
      <c r="Q381" s="7">
        <v>221176044.09991807</v>
      </c>
      <c r="R381" s="7">
        <v>182148846.59606686</v>
      </c>
      <c r="S381" s="7">
        <v>218786506.46895656</v>
      </c>
      <c r="T381" s="7">
        <v>221459228.99205342</v>
      </c>
      <c r="U381" s="7">
        <v>227759987.95447093</v>
      </c>
      <c r="V381" s="7">
        <v>240756358.16316369</v>
      </c>
      <c r="W381" s="7">
        <v>244849782.88469586</v>
      </c>
      <c r="X381" s="7">
        <v>244424153.74762517</v>
      </c>
      <c r="Y381" s="7">
        <v>235309596.73248616</v>
      </c>
      <c r="Z381" s="7">
        <v>199232541.70111006</v>
      </c>
      <c r="AA381" s="7">
        <v>110105442.12844484</v>
      </c>
      <c r="AB381" s="7">
        <v>89456516.923206046</v>
      </c>
      <c r="AC381" s="22">
        <v>196521544.79921409</v>
      </c>
      <c r="AD381" s="7">
        <v>220530135.25505006</v>
      </c>
      <c r="AE381" s="7">
        <v>220530135.25505006</v>
      </c>
      <c r="AF381" s="12">
        <v>216464846.78158116</v>
      </c>
      <c r="AG381" s="7">
        <v>216227469.11937505</v>
      </c>
      <c r="AH381" s="7">
        <v>216013250.39240083</v>
      </c>
      <c r="AI381" s="7">
        <v>215819705.25276423</v>
      </c>
      <c r="AJ381" s="7">
        <v>215644156.25165871</v>
      </c>
      <c r="AK381" s="12">
        <f t="shared" ref="AK381:BE381" si="8">AJ381*(1+0.01*AK$374)</f>
        <v>215644156.25165871</v>
      </c>
      <c r="AL381" s="7">
        <f t="shared" si="8"/>
        <v>215644156.25165871</v>
      </c>
      <c r="AM381" s="7">
        <f t="shared" si="8"/>
        <v>215644156.25165871</v>
      </c>
      <c r="AN381" s="7">
        <f t="shared" si="8"/>
        <v>215644156.25165871</v>
      </c>
      <c r="AO381" s="7">
        <f t="shared" si="8"/>
        <v>215644156.25165871</v>
      </c>
      <c r="AP381" s="7">
        <f t="shared" si="8"/>
        <v>215644156.25165871</v>
      </c>
      <c r="AQ381" s="7">
        <f t="shared" si="8"/>
        <v>215644156.25165871</v>
      </c>
      <c r="AR381" s="7">
        <f t="shared" si="8"/>
        <v>215644156.25165871</v>
      </c>
      <c r="AS381" s="7">
        <f t="shared" si="8"/>
        <v>215644156.25165871</v>
      </c>
      <c r="AT381" s="7">
        <f t="shared" si="8"/>
        <v>215644156.25165871</v>
      </c>
      <c r="AU381" s="7">
        <f t="shared" si="8"/>
        <v>215644156.25165871</v>
      </c>
      <c r="AV381" s="7">
        <f t="shared" si="8"/>
        <v>215644156.25165871</v>
      </c>
      <c r="AW381" s="7">
        <f t="shared" si="8"/>
        <v>215644156.25165871</v>
      </c>
      <c r="AX381" s="7">
        <f t="shared" si="8"/>
        <v>215644156.25165871</v>
      </c>
      <c r="AY381" s="7">
        <f t="shared" si="8"/>
        <v>215644156.25165871</v>
      </c>
      <c r="AZ381" s="7">
        <f t="shared" si="8"/>
        <v>215644156.25165871</v>
      </c>
      <c r="BA381" s="7">
        <f t="shared" si="8"/>
        <v>215644156.25165871</v>
      </c>
      <c r="BB381" s="7">
        <f t="shared" si="8"/>
        <v>215644156.25165871</v>
      </c>
      <c r="BC381" s="7">
        <f t="shared" si="8"/>
        <v>215644156.25165871</v>
      </c>
      <c r="BD381" s="7">
        <f t="shared" si="8"/>
        <v>215644156.25165871</v>
      </c>
      <c r="BE381" s="7">
        <f t="shared" si="8"/>
        <v>215644156.25165871</v>
      </c>
    </row>
    <row r="382" spans="1:57" ht="12" customHeight="1" x14ac:dyDescent="0.2">
      <c r="A382" t="s">
        <v>107</v>
      </c>
      <c r="B382" s="7">
        <v>147928403.48198017</v>
      </c>
      <c r="C382" s="7">
        <v>142949741.97545767</v>
      </c>
      <c r="D382" s="7">
        <v>177809322.54373494</v>
      </c>
      <c r="E382" s="7">
        <v>155843507.37716749</v>
      </c>
      <c r="F382" s="7">
        <v>160513898.81368536</v>
      </c>
      <c r="G382" s="7">
        <v>176514698.57370579</v>
      </c>
      <c r="H382" s="7">
        <v>149836657.755308</v>
      </c>
      <c r="I382" s="7">
        <v>126633333.91494264</v>
      </c>
      <c r="J382" s="7">
        <v>126949282.89365856</v>
      </c>
      <c r="K382" s="7">
        <v>117965858.16852863</v>
      </c>
      <c r="L382" s="7">
        <v>122554734.80334595</v>
      </c>
      <c r="M382" s="7">
        <v>123395900.35331687</v>
      </c>
      <c r="N382" s="7">
        <v>136271194.22521549</v>
      </c>
      <c r="O382" s="7">
        <v>127619434.87027244</v>
      </c>
      <c r="P382" s="7">
        <v>106934548.67403255</v>
      </c>
      <c r="Q382" s="7">
        <v>101886010.59790963</v>
      </c>
      <c r="R382" s="7">
        <v>101262512.5376766</v>
      </c>
      <c r="S382" s="7">
        <v>91575867.482340008</v>
      </c>
      <c r="T382" s="7">
        <v>91658892.042426214</v>
      </c>
      <c r="U382" s="7">
        <v>106929395.617724</v>
      </c>
      <c r="V382" s="7">
        <v>101562403.38436744</v>
      </c>
      <c r="W382" s="7">
        <v>153093318.81673473</v>
      </c>
      <c r="X382" s="7">
        <v>155031339.41759691</v>
      </c>
      <c r="Y382" s="7">
        <v>161791742.13847232</v>
      </c>
      <c r="Z382" s="7">
        <v>186131179.56519836</v>
      </c>
      <c r="AA382" s="7">
        <v>102314112.8451871</v>
      </c>
      <c r="AB382" s="7">
        <v>70047262.919067398</v>
      </c>
      <c r="AC382" s="22">
        <v>86594140.081544995</v>
      </c>
      <c r="AD382" s="7">
        <v>112183569.80296203</v>
      </c>
      <c r="AE382" s="7">
        <v>121398591.4029696</v>
      </c>
      <c r="AF382" s="12">
        <v>120899440.63513269</v>
      </c>
      <c r="AG382" s="7">
        <v>120773907.5704132</v>
      </c>
      <c r="AH382" s="7">
        <v>120653657.71133013</v>
      </c>
      <c r="AI382" s="7">
        <v>120538131.73989342</v>
      </c>
      <c r="AJ382" s="7">
        <v>120426727.11217648</v>
      </c>
      <c r="AK382" s="12">
        <f t="shared" ref="AK382:BE382" si="9">AJ382*(1+0.01*AK$374)</f>
        <v>120426727.11217648</v>
      </c>
      <c r="AL382" s="7">
        <f t="shared" si="9"/>
        <v>120426727.11217648</v>
      </c>
      <c r="AM382" s="7">
        <f t="shared" si="9"/>
        <v>120426727.11217648</v>
      </c>
      <c r="AN382" s="7">
        <f t="shared" si="9"/>
        <v>120426727.11217648</v>
      </c>
      <c r="AO382" s="7">
        <f t="shared" si="9"/>
        <v>120426727.11217648</v>
      </c>
      <c r="AP382" s="7">
        <f t="shared" si="9"/>
        <v>120426727.11217648</v>
      </c>
      <c r="AQ382" s="7">
        <f t="shared" si="9"/>
        <v>120426727.11217648</v>
      </c>
      <c r="AR382" s="7">
        <f t="shared" si="9"/>
        <v>120426727.11217648</v>
      </c>
      <c r="AS382" s="7">
        <f t="shared" si="9"/>
        <v>120426727.11217648</v>
      </c>
      <c r="AT382" s="7">
        <f t="shared" si="9"/>
        <v>120426727.11217648</v>
      </c>
      <c r="AU382" s="7">
        <f t="shared" si="9"/>
        <v>120426727.11217648</v>
      </c>
      <c r="AV382" s="7">
        <f t="shared" si="9"/>
        <v>120426727.11217648</v>
      </c>
      <c r="AW382" s="7">
        <f t="shared" si="9"/>
        <v>120426727.11217648</v>
      </c>
      <c r="AX382" s="7">
        <f t="shared" si="9"/>
        <v>120426727.11217648</v>
      </c>
      <c r="AY382" s="7">
        <f t="shared" si="9"/>
        <v>120426727.11217648</v>
      </c>
      <c r="AZ382" s="7">
        <f t="shared" si="9"/>
        <v>120426727.11217648</v>
      </c>
      <c r="BA382" s="7">
        <f t="shared" si="9"/>
        <v>120426727.11217648</v>
      </c>
      <c r="BB382" s="7">
        <f t="shared" si="9"/>
        <v>120426727.11217648</v>
      </c>
      <c r="BC382" s="7">
        <f t="shared" si="9"/>
        <v>120426727.11217648</v>
      </c>
      <c r="BD382" s="7">
        <f t="shared" si="9"/>
        <v>120426727.11217648</v>
      </c>
      <c r="BE382" s="7">
        <f t="shared" si="9"/>
        <v>120426727.11217648</v>
      </c>
    </row>
    <row r="383" spans="1:57" ht="12" customHeight="1" x14ac:dyDescent="0.2">
      <c r="A383" t="s">
        <v>108</v>
      </c>
      <c r="B383" s="7">
        <v>76345202.068075866</v>
      </c>
      <c r="C383" s="7">
        <v>66598572.245362543</v>
      </c>
      <c r="D383" s="7">
        <v>59239500.371461302</v>
      </c>
      <c r="E383" s="7">
        <v>48844035.487115443</v>
      </c>
      <c r="F383" s="7">
        <v>45363120.188015573</v>
      </c>
      <c r="G383" s="7">
        <v>40677733.304305017</v>
      </c>
      <c r="H383" s="7">
        <v>46980494.69165609</v>
      </c>
      <c r="I383" s="7">
        <v>46033916.3397104</v>
      </c>
      <c r="J383" s="7">
        <v>47328717.85272678</v>
      </c>
      <c r="K383" s="7">
        <v>54607973.20425421</v>
      </c>
      <c r="L383" s="7">
        <v>52943553.57049083</v>
      </c>
      <c r="M383" s="7">
        <v>54407225.293521248</v>
      </c>
      <c r="N383" s="7">
        <v>67074230.064505413</v>
      </c>
      <c r="O383" s="7">
        <v>94017720.144150808</v>
      </c>
      <c r="P383" s="7">
        <v>92848762.769003481</v>
      </c>
      <c r="Q383" s="7">
        <v>105397323.2844715</v>
      </c>
      <c r="R383" s="7">
        <v>149211935.22425163</v>
      </c>
      <c r="S383" s="7">
        <v>150264871.24031091</v>
      </c>
      <c r="T383" s="7">
        <v>196045286.6041767</v>
      </c>
      <c r="U383" s="7">
        <v>215059410.79829189</v>
      </c>
      <c r="V383" s="7">
        <v>229276666.15136272</v>
      </c>
      <c r="W383" s="7">
        <v>211718986.05858204</v>
      </c>
      <c r="X383" s="7">
        <v>211762023.43130708</v>
      </c>
      <c r="Y383" s="7">
        <v>208576346.62860581</v>
      </c>
      <c r="Z383" s="7">
        <v>251175863.02398404</v>
      </c>
      <c r="AA383" s="7">
        <v>208879614.76437458</v>
      </c>
      <c r="AB383" s="7">
        <v>223702504.44862056</v>
      </c>
      <c r="AC383" s="22">
        <v>224852239.24119931</v>
      </c>
      <c r="AD383" s="7">
        <v>233324246.39868933</v>
      </c>
      <c r="AE383" s="7">
        <v>233324246.39868933</v>
      </c>
      <c r="AF383" s="12">
        <v>233324246.39868933</v>
      </c>
      <c r="AG383" s="7">
        <v>233324246.39868933</v>
      </c>
      <c r="AH383" s="7">
        <v>233324246.39868933</v>
      </c>
      <c r="AI383" s="7">
        <v>233324246.39868933</v>
      </c>
      <c r="AJ383" s="7">
        <v>233324246.39868933</v>
      </c>
      <c r="AK383" s="12">
        <f t="shared" ref="AK383:BE383" si="10">AJ383*(1+0.01*AK$374)</f>
        <v>233324246.39868933</v>
      </c>
      <c r="AL383" s="7">
        <f t="shared" si="10"/>
        <v>233324246.39868933</v>
      </c>
      <c r="AM383" s="7">
        <f t="shared" si="10"/>
        <v>233324246.39868933</v>
      </c>
      <c r="AN383" s="7">
        <f t="shared" si="10"/>
        <v>233324246.39868933</v>
      </c>
      <c r="AO383" s="7">
        <f t="shared" si="10"/>
        <v>233324246.39868933</v>
      </c>
      <c r="AP383" s="7">
        <f t="shared" si="10"/>
        <v>233324246.39868933</v>
      </c>
      <c r="AQ383" s="7">
        <f t="shared" si="10"/>
        <v>233324246.39868933</v>
      </c>
      <c r="AR383" s="7">
        <f t="shared" si="10"/>
        <v>233324246.39868933</v>
      </c>
      <c r="AS383" s="7">
        <f t="shared" si="10"/>
        <v>233324246.39868933</v>
      </c>
      <c r="AT383" s="7">
        <f t="shared" si="10"/>
        <v>233324246.39868933</v>
      </c>
      <c r="AU383" s="7">
        <f t="shared" si="10"/>
        <v>233324246.39868933</v>
      </c>
      <c r="AV383" s="7">
        <f t="shared" si="10"/>
        <v>233324246.39868933</v>
      </c>
      <c r="AW383" s="7">
        <f t="shared" si="10"/>
        <v>233324246.39868933</v>
      </c>
      <c r="AX383" s="7">
        <f t="shared" si="10"/>
        <v>233324246.39868933</v>
      </c>
      <c r="AY383" s="7">
        <f t="shared" si="10"/>
        <v>233324246.39868933</v>
      </c>
      <c r="AZ383" s="7">
        <f t="shared" si="10"/>
        <v>233324246.39868933</v>
      </c>
      <c r="BA383" s="7">
        <f t="shared" si="10"/>
        <v>233324246.39868933</v>
      </c>
      <c r="BB383" s="7">
        <f t="shared" si="10"/>
        <v>233324246.39868933</v>
      </c>
      <c r="BC383" s="7">
        <f t="shared" si="10"/>
        <v>233324246.39868933</v>
      </c>
      <c r="BD383" s="7">
        <f t="shared" si="10"/>
        <v>233324246.39868933</v>
      </c>
      <c r="BE383" s="7">
        <f t="shared" si="10"/>
        <v>233324246.39868933</v>
      </c>
    </row>
    <row r="384" spans="1:57" ht="12" customHeight="1" x14ac:dyDescent="0.2">
      <c r="A384" t="s">
        <v>109</v>
      </c>
      <c r="B384" s="7">
        <v>26359508.298311554</v>
      </c>
      <c r="C384" s="7">
        <v>26838368.210079063</v>
      </c>
      <c r="D384" s="7">
        <v>21579979.678936809</v>
      </c>
      <c r="E384" s="7">
        <v>57362525.325616822</v>
      </c>
      <c r="F384" s="7">
        <v>42334810.615622565</v>
      </c>
      <c r="G384" s="7">
        <v>33060598.807827149</v>
      </c>
      <c r="H384" s="7">
        <v>34178028.173419587</v>
      </c>
      <c r="I384" s="7">
        <v>37292195.069893993</v>
      </c>
      <c r="J384" s="7">
        <v>44822419.639429197</v>
      </c>
      <c r="K384" s="7">
        <v>57016789.716154605</v>
      </c>
      <c r="L384" s="7">
        <v>71089339.734026462</v>
      </c>
      <c r="M384" s="7">
        <v>67464257.740161449</v>
      </c>
      <c r="N384" s="7">
        <v>76500642.195868731</v>
      </c>
      <c r="O384" s="7">
        <v>103576302.33313942</v>
      </c>
      <c r="P384" s="7">
        <v>93902293.460308328</v>
      </c>
      <c r="Q384" s="7">
        <v>107947236.65263943</v>
      </c>
      <c r="R384" s="7">
        <v>112920644.08274859</v>
      </c>
      <c r="S384" s="7">
        <v>125896968.05837503</v>
      </c>
      <c r="T384" s="7">
        <v>146959328.58863175</v>
      </c>
      <c r="U384" s="7">
        <v>156557719.10439411</v>
      </c>
      <c r="V384" s="7">
        <v>165816258.51172107</v>
      </c>
      <c r="W384" s="7">
        <v>179514315.61858392</v>
      </c>
      <c r="X384" s="7">
        <v>174619138.69283244</v>
      </c>
      <c r="Y384" s="7">
        <v>215613843.30097324</v>
      </c>
      <c r="Z384" s="7">
        <v>250163634.97401699</v>
      </c>
      <c r="AA384" s="7">
        <v>184247927.83525643</v>
      </c>
      <c r="AB384" s="7">
        <v>207229986.86658543</v>
      </c>
      <c r="AC384" s="22">
        <v>261935648.50574225</v>
      </c>
      <c r="AD384" s="7">
        <v>236382070.22455752</v>
      </c>
      <c r="AE384" s="7">
        <v>236382070.22455752</v>
      </c>
      <c r="AF384" s="12">
        <v>236382070.22455752</v>
      </c>
      <c r="AG384" s="7">
        <v>236382070.22455752</v>
      </c>
      <c r="AH384" s="7">
        <v>236382070.22455752</v>
      </c>
      <c r="AI384" s="7">
        <v>236382070.22455752</v>
      </c>
      <c r="AJ384" s="7">
        <v>236382070.22455752</v>
      </c>
      <c r="AK384" s="12">
        <f t="shared" ref="AK384:BE384" si="11">AJ384*(1+0.01*AK$374)</f>
        <v>236382070.22455752</v>
      </c>
      <c r="AL384" s="7">
        <f t="shared" si="11"/>
        <v>236382070.22455752</v>
      </c>
      <c r="AM384" s="7">
        <f t="shared" si="11"/>
        <v>236382070.22455752</v>
      </c>
      <c r="AN384" s="7">
        <f t="shared" si="11"/>
        <v>236382070.22455752</v>
      </c>
      <c r="AO384" s="7">
        <f t="shared" si="11"/>
        <v>236382070.22455752</v>
      </c>
      <c r="AP384" s="7">
        <f t="shared" si="11"/>
        <v>236382070.22455752</v>
      </c>
      <c r="AQ384" s="7">
        <f t="shared" si="11"/>
        <v>236382070.22455752</v>
      </c>
      <c r="AR384" s="7">
        <f t="shared" si="11"/>
        <v>236382070.22455752</v>
      </c>
      <c r="AS384" s="7">
        <f t="shared" si="11"/>
        <v>236382070.22455752</v>
      </c>
      <c r="AT384" s="7">
        <f t="shared" si="11"/>
        <v>236382070.22455752</v>
      </c>
      <c r="AU384" s="7">
        <f t="shared" si="11"/>
        <v>236382070.22455752</v>
      </c>
      <c r="AV384" s="7">
        <f t="shared" si="11"/>
        <v>236382070.22455752</v>
      </c>
      <c r="AW384" s="7">
        <f t="shared" si="11"/>
        <v>236382070.22455752</v>
      </c>
      <c r="AX384" s="7">
        <f t="shared" si="11"/>
        <v>236382070.22455752</v>
      </c>
      <c r="AY384" s="7">
        <f t="shared" si="11"/>
        <v>236382070.22455752</v>
      </c>
      <c r="AZ384" s="7">
        <f t="shared" si="11"/>
        <v>236382070.22455752</v>
      </c>
      <c r="BA384" s="7">
        <f t="shared" si="11"/>
        <v>236382070.22455752</v>
      </c>
      <c r="BB384" s="7">
        <f t="shared" si="11"/>
        <v>236382070.22455752</v>
      </c>
      <c r="BC384" s="7">
        <f t="shared" si="11"/>
        <v>236382070.22455752</v>
      </c>
      <c r="BD384" s="7">
        <f t="shared" si="11"/>
        <v>236382070.22455752</v>
      </c>
      <c r="BE384" s="7">
        <f t="shared" si="11"/>
        <v>236382070.22455752</v>
      </c>
    </row>
    <row r="385" spans="1:57" ht="12" customHeight="1" x14ac:dyDescent="0.2">
      <c r="A385" t="s">
        <v>110</v>
      </c>
      <c r="B385" s="7">
        <v>98123663.283532843</v>
      </c>
      <c r="C385" s="7">
        <v>109173945.72316535</v>
      </c>
      <c r="D385" s="7">
        <v>126815314.92550662</v>
      </c>
      <c r="E385" s="7">
        <v>140467414.84717128</v>
      </c>
      <c r="F385" s="7">
        <v>140310753.41790497</v>
      </c>
      <c r="G385" s="7">
        <v>148970031.35820225</v>
      </c>
      <c r="H385" s="7">
        <v>168222064.78655681</v>
      </c>
      <c r="I385" s="7">
        <v>172130185.3777003</v>
      </c>
      <c r="J385" s="7">
        <v>152221352.08359602</v>
      </c>
      <c r="K385" s="7">
        <v>175024528.91880998</v>
      </c>
      <c r="L385" s="7">
        <v>161386286.35600653</v>
      </c>
      <c r="M385" s="7">
        <v>156668774.09996128</v>
      </c>
      <c r="N385" s="7">
        <v>153600034.87526613</v>
      </c>
      <c r="O385" s="7">
        <v>152109228.25936908</v>
      </c>
      <c r="P385" s="7">
        <v>160051587.86557838</v>
      </c>
      <c r="Q385" s="7">
        <v>160604294.61501378</v>
      </c>
      <c r="R385" s="7">
        <v>162861788.12275168</v>
      </c>
      <c r="S385" s="7">
        <v>167995610.42128325</v>
      </c>
      <c r="T385" s="7">
        <v>166190978.07370663</v>
      </c>
      <c r="U385" s="7">
        <v>166818836.68299788</v>
      </c>
      <c r="V385" s="7">
        <v>165460231.92874166</v>
      </c>
      <c r="W385" s="7">
        <v>167130018.37267506</v>
      </c>
      <c r="X385" s="7">
        <v>173231365.65442818</v>
      </c>
      <c r="Y385" s="7">
        <v>181012050.73179942</v>
      </c>
      <c r="Z385" s="7">
        <v>188221469.36004382</v>
      </c>
      <c r="AA385" s="7">
        <v>140358672.00653192</v>
      </c>
      <c r="AB385" s="7">
        <v>148952502.90890315</v>
      </c>
      <c r="AC385" s="22">
        <v>96601747.490851089</v>
      </c>
      <c r="AD385" s="7">
        <v>187386011.44661042</v>
      </c>
      <c r="AE385" s="7">
        <v>173171279.05142996</v>
      </c>
      <c r="AF385" s="12">
        <v>171306285.3746402</v>
      </c>
      <c r="AG385" s="7">
        <v>171139466.80689827</v>
      </c>
      <c r="AH385" s="7">
        <v>170970030.60570207</v>
      </c>
      <c r="AI385" s="7">
        <v>170818251.04953882</v>
      </c>
      <c r="AJ385" s="7">
        <v>170681839.66158435</v>
      </c>
      <c r="AK385" s="12">
        <f t="shared" ref="AK385:BE385" si="12">AJ385*(1+0.01*AK$374)</f>
        <v>170681839.66158435</v>
      </c>
      <c r="AL385" s="7">
        <f t="shared" si="12"/>
        <v>170681839.66158435</v>
      </c>
      <c r="AM385" s="7">
        <f t="shared" si="12"/>
        <v>170681839.66158435</v>
      </c>
      <c r="AN385" s="7">
        <f t="shared" si="12"/>
        <v>170681839.66158435</v>
      </c>
      <c r="AO385" s="7">
        <f t="shared" si="12"/>
        <v>170681839.66158435</v>
      </c>
      <c r="AP385" s="7">
        <f t="shared" si="12"/>
        <v>170681839.66158435</v>
      </c>
      <c r="AQ385" s="7">
        <f t="shared" si="12"/>
        <v>170681839.66158435</v>
      </c>
      <c r="AR385" s="7">
        <f t="shared" si="12"/>
        <v>170681839.66158435</v>
      </c>
      <c r="AS385" s="7">
        <f t="shared" si="12"/>
        <v>170681839.66158435</v>
      </c>
      <c r="AT385" s="7">
        <f t="shared" si="12"/>
        <v>170681839.66158435</v>
      </c>
      <c r="AU385" s="7">
        <f t="shared" si="12"/>
        <v>170681839.66158435</v>
      </c>
      <c r="AV385" s="7">
        <f t="shared" si="12"/>
        <v>170681839.66158435</v>
      </c>
      <c r="AW385" s="7">
        <f t="shared" si="12"/>
        <v>170681839.66158435</v>
      </c>
      <c r="AX385" s="7">
        <f t="shared" si="12"/>
        <v>170681839.66158435</v>
      </c>
      <c r="AY385" s="7">
        <f t="shared" si="12"/>
        <v>170681839.66158435</v>
      </c>
      <c r="AZ385" s="7">
        <f t="shared" si="12"/>
        <v>170681839.66158435</v>
      </c>
      <c r="BA385" s="7">
        <f t="shared" si="12"/>
        <v>170681839.66158435</v>
      </c>
      <c r="BB385" s="7">
        <f t="shared" si="12"/>
        <v>170681839.66158435</v>
      </c>
      <c r="BC385" s="7">
        <f t="shared" si="12"/>
        <v>170681839.66158435</v>
      </c>
      <c r="BD385" s="7">
        <f t="shared" si="12"/>
        <v>170681839.66158435</v>
      </c>
      <c r="BE385" s="7">
        <f t="shared" si="12"/>
        <v>170681839.66158435</v>
      </c>
    </row>
    <row r="386" spans="1:57" ht="12" customHeight="1" x14ac:dyDescent="0.2">
      <c r="A386" t="s">
        <v>111</v>
      </c>
      <c r="B386" s="7">
        <v>100967466.26452468</v>
      </c>
      <c r="C386" s="7">
        <v>126818185.80080397</v>
      </c>
      <c r="D386" s="7">
        <v>173794297.11509737</v>
      </c>
      <c r="E386" s="7">
        <v>153575592.99848726</v>
      </c>
      <c r="F386" s="7">
        <v>159759265.63739753</v>
      </c>
      <c r="G386" s="7">
        <v>155281916.77612031</v>
      </c>
      <c r="H386" s="7">
        <v>137289407.13168082</v>
      </c>
      <c r="I386" s="7">
        <v>139978938.55258113</v>
      </c>
      <c r="J386" s="7">
        <v>135039698.66598609</v>
      </c>
      <c r="K386" s="7">
        <v>145050972.9091416</v>
      </c>
      <c r="L386" s="7">
        <v>126523801.21360959</v>
      </c>
      <c r="M386" s="7">
        <v>123276232.27509506</v>
      </c>
      <c r="N386" s="7">
        <v>111556189.20117649</v>
      </c>
      <c r="O386" s="7">
        <v>149384593.09937644</v>
      </c>
      <c r="P386" s="7">
        <v>159265852.21374646</v>
      </c>
      <c r="Q386" s="7">
        <v>167636800.68984562</v>
      </c>
      <c r="R386" s="7">
        <v>171496267.22590068</v>
      </c>
      <c r="S386" s="7">
        <v>192155812.9029592</v>
      </c>
      <c r="T386" s="7">
        <v>200413252.15411049</v>
      </c>
      <c r="U386" s="7">
        <v>209564135.448448</v>
      </c>
      <c r="V386" s="7">
        <v>226087354.8364588</v>
      </c>
      <c r="W386" s="7">
        <v>227134425.7237832</v>
      </c>
      <c r="X386" s="7">
        <v>219497184.8749558</v>
      </c>
      <c r="Y386" s="7">
        <v>215904788.92285615</v>
      </c>
      <c r="Z386" s="7">
        <v>211802002.76557699</v>
      </c>
      <c r="AA386" s="7">
        <v>117140617.4083094</v>
      </c>
      <c r="AB386" s="7">
        <v>156298117.38135251</v>
      </c>
      <c r="AC386" s="22">
        <v>246283283.18556795</v>
      </c>
      <c r="AD386" s="7">
        <v>217061196.78187981</v>
      </c>
      <c r="AE386" s="7">
        <v>213694716.02328405</v>
      </c>
      <c r="AF386" s="12">
        <v>206178268.2655609</v>
      </c>
      <c r="AG386" s="7">
        <v>205957358.9543373</v>
      </c>
      <c r="AH386" s="7">
        <v>205752874.70296964</v>
      </c>
      <c r="AI386" s="7">
        <v>205563058.46254057</v>
      </c>
      <c r="AJ386" s="7">
        <v>205386017.38005143</v>
      </c>
      <c r="AK386" s="12">
        <f t="shared" ref="AK386:BE386" si="13">AJ386*(1+0.01*AK$374)</f>
        <v>205386017.38005143</v>
      </c>
      <c r="AL386" s="7">
        <f t="shared" si="13"/>
        <v>205386017.38005143</v>
      </c>
      <c r="AM386" s="7">
        <f t="shared" si="13"/>
        <v>205386017.38005143</v>
      </c>
      <c r="AN386" s="7">
        <f t="shared" si="13"/>
        <v>205386017.38005143</v>
      </c>
      <c r="AO386" s="7">
        <f t="shared" si="13"/>
        <v>205386017.38005143</v>
      </c>
      <c r="AP386" s="7">
        <f t="shared" si="13"/>
        <v>205386017.38005143</v>
      </c>
      <c r="AQ386" s="7">
        <f t="shared" si="13"/>
        <v>205386017.38005143</v>
      </c>
      <c r="AR386" s="7">
        <f t="shared" si="13"/>
        <v>205386017.38005143</v>
      </c>
      <c r="AS386" s="7">
        <f t="shared" si="13"/>
        <v>205386017.38005143</v>
      </c>
      <c r="AT386" s="7">
        <f t="shared" si="13"/>
        <v>205386017.38005143</v>
      </c>
      <c r="AU386" s="7">
        <f t="shared" si="13"/>
        <v>205386017.38005143</v>
      </c>
      <c r="AV386" s="7">
        <f t="shared" si="13"/>
        <v>205386017.38005143</v>
      </c>
      <c r="AW386" s="7">
        <f t="shared" si="13"/>
        <v>205386017.38005143</v>
      </c>
      <c r="AX386" s="7">
        <f t="shared" si="13"/>
        <v>205386017.38005143</v>
      </c>
      <c r="AY386" s="7">
        <f t="shared" si="13"/>
        <v>205386017.38005143</v>
      </c>
      <c r="AZ386" s="7">
        <f t="shared" si="13"/>
        <v>205386017.38005143</v>
      </c>
      <c r="BA386" s="7">
        <f t="shared" si="13"/>
        <v>205386017.38005143</v>
      </c>
      <c r="BB386" s="7">
        <f t="shared" si="13"/>
        <v>205386017.38005143</v>
      </c>
      <c r="BC386" s="7">
        <f t="shared" si="13"/>
        <v>205386017.38005143</v>
      </c>
      <c r="BD386" s="7">
        <f t="shared" si="13"/>
        <v>205386017.38005143</v>
      </c>
      <c r="BE386" s="7">
        <f t="shared" si="13"/>
        <v>205386017.38005143</v>
      </c>
    </row>
    <row r="387" spans="1:57" ht="12" customHeight="1" x14ac:dyDescent="0.2">
      <c r="A387" t="s">
        <v>112</v>
      </c>
      <c r="B387" s="7">
        <v>141320808.88480037</v>
      </c>
      <c r="C387" s="7">
        <v>146350572.00118002</v>
      </c>
      <c r="D387" s="7">
        <v>216424759.51322231</v>
      </c>
      <c r="E387" s="7">
        <v>205787753.15307999</v>
      </c>
      <c r="F387" s="7">
        <v>138453385.06934342</v>
      </c>
      <c r="G387" s="7">
        <v>172250055.4284673</v>
      </c>
      <c r="H387" s="7">
        <v>134987958.0569132</v>
      </c>
      <c r="I387" s="7">
        <v>110196580.50351357</v>
      </c>
      <c r="J387" s="7">
        <v>95142266.676559135</v>
      </c>
      <c r="K387" s="7">
        <v>118584341.77157821</v>
      </c>
      <c r="L387" s="7">
        <v>107419985.9384962</v>
      </c>
      <c r="M387" s="7">
        <v>123223170.53218055</v>
      </c>
      <c r="N387" s="7">
        <v>142287098.59692264</v>
      </c>
      <c r="O387" s="7">
        <v>151642325.98043561</v>
      </c>
      <c r="P387" s="7">
        <v>134259469.84100002</v>
      </c>
      <c r="Q387" s="7">
        <v>157087298.73521006</v>
      </c>
      <c r="R387" s="7">
        <v>180315062.937361</v>
      </c>
      <c r="S387" s="7">
        <v>163755697.94423544</v>
      </c>
      <c r="T387" s="7">
        <v>172314359.00441954</v>
      </c>
      <c r="U387" s="7">
        <v>167545545.54916936</v>
      </c>
      <c r="V387" s="7">
        <v>182593697.49755368</v>
      </c>
      <c r="W387" s="7">
        <v>207123933.46922731</v>
      </c>
      <c r="X387" s="7">
        <v>218833418.0127334</v>
      </c>
      <c r="Y387" s="7">
        <v>247202623.61245024</v>
      </c>
      <c r="Z387" s="7">
        <v>239786030.67367274</v>
      </c>
      <c r="AA387" s="7">
        <v>157659045.31758979</v>
      </c>
      <c r="AB387" s="7">
        <v>167770346.15293464</v>
      </c>
      <c r="AC387" s="22">
        <v>151073956.39705572</v>
      </c>
      <c r="AD387" s="7">
        <v>222044787.09690291</v>
      </c>
      <c r="AE387" s="7">
        <v>247146742.05020738</v>
      </c>
      <c r="AF387" s="12">
        <v>247146742.05020738</v>
      </c>
      <c r="AG387" s="7">
        <v>247146742.05020738</v>
      </c>
      <c r="AH387" s="7">
        <v>246899842.20799941</v>
      </c>
      <c r="AI387" s="7">
        <v>246653189.01898047</v>
      </c>
      <c r="AJ387" s="7">
        <v>246406782.23674378</v>
      </c>
      <c r="AK387" s="12">
        <f t="shared" ref="AK387:BE387" si="14">AJ387*(1+0.01*AK$374)</f>
        <v>246406782.23674378</v>
      </c>
      <c r="AL387" s="7">
        <f t="shared" si="14"/>
        <v>246406782.23674378</v>
      </c>
      <c r="AM387" s="7">
        <f t="shared" si="14"/>
        <v>246406782.23674378</v>
      </c>
      <c r="AN387" s="7">
        <f t="shared" si="14"/>
        <v>246406782.23674378</v>
      </c>
      <c r="AO387" s="7">
        <f t="shared" si="14"/>
        <v>246406782.23674378</v>
      </c>
      <c r="AP387" s="7">
        <f t="shared" si="14"/>
        <v>246406782.23674378</v>
      </c>
      <c r="AQ387" s="7">
        <f t="shared" si="14"/>
        <v>246406782.23674378</v>
      </c>
      <c r="AR387" s="7">
        <f t="shared" si="14"/>
        <v>246406782.23674378</v>
      </c>
      <c r="AS387" s="7">
        <f t="shared" si="14"/>
        <v>246406782.23674378</v>
      </c>
      <c r="AT387" s="7">
        <f t="shared" si="14"/>
        <v>246406782.23674378</v>
      </c>
      <c r="AU387" s="7">
        <f t="shared" si="14"/>
        <v>246406782.23674378</v>
      </c>
      <c r="AV387" s="7">
        <f t="shared" si="14"/>
        <v>246406782.23674378</v>
      </c>
      <c r="AW387" s="7">
        <f t="shared" si="14"/>
        <v>246406782.23674378</v>
      </c>
      <c r="AX387" s="7">
        <f t="shared" si="14"/>
        <v>246406782.23674378</v>
      </c>
      <c r="AY387" s="7">
        <f t="shared" si="14"/>
        <v>246406782.23674378</v>
      </c>
      <c r="AZ387" s="7">
        <f t="shared" si="14"/>
        <v>246406782.23674378</v>
      </c>
      <c r="BA387" s="7">
        <f t="shared" si="14"/>
        <v>246406782.23674378</v>
      </c>
      <c r="BB387" s="7">
        <f t="shared" si="14"/>
        <v>246406782.23674378</v>
      </c>
      <c r="BC387" s="7">
        <f t="shared" si="14"/>
        <v>246406782.23674378</v>
      </c>
      <c r="BD387" s="7">
        <f t="shared" si="14"/>
        <v>246406782.23674378</v>
      </c>
      <c r="BE387" s="7">
        <f t="shared" si="14"/>
        <v>246406782.23674378</v>
      </c>
    </row>
    <row r="388" spans="1:57" ht="12" customHeight="1" x14ac:dyDescent="0.2">
      <c r="A388" t="s">
        <v>113</v>
      </c>
      <c r="B388" s="7">
        <v>77134628.541541353</v>
      </c>
      <c r="C388" s="7">
        <v>88358135.992203221</v>
      </c>
      <c r="D388" s="7">
        <v>99646333.08210513</v>
      </c>
      <c r="E388" s="7">
        <v>108606510.82666767</v>
      </c>
      <c r="F388" s="7">
        <v>121774854.22567481</v>
      </c>
      <c r="G388" s="7">
        <v>107757584.37506405</v>
      </c>
      <c r="H388" s="7">
        <v>121611253.56198998</v>
      </c>
      <c r="I388" s="7">
        <v>144835289.81723508</v>
      </c>
      <c r="J388" s="7">
        <v>143290313.46485877</v>
      </c>
      <c r="K388" s="7">
        <v>162570251.64661929</v>
      </c>
      <c r="L388" s="7">
        <v>173125374.6906395</v>
      </c>
      <c r="M388" s="7">
        <v>148707158.35823876</v>
      </c>
      <c r="N388" s="7">
        <v>94630694.815571785</v>
      </c>
      <c r="O388" s="7">
        <v>154691583.99972972</v>
      </c>
      <c r="P388" s="7">
        <v>160503189.90850773</v>
      </c>
      <c r="Q388" s="7">
        <v>168602363.10523751</v>
      </c>
      <c r="R388" s="7">
        <v>181668174.53005537</v>
      </c>
      <c r="S388" s="7">
        <v>206144219.53119475</v>
      </c>
      <c r="T388" s="7">
        <v>248769032.49087122</v>
      </c>
      <c r="U388" s="7">
        <v>266033498.66419423</v>
      </c>
      <c r="V388" s="7">
        <v>169865314.5023292</v>
      </c>
      <c r="W388" s="7">
        <v>179182912.9093191</v>
      </c>
      <c r="X388" s="7">
        <v>183872611.6550968</v>
      </c>
      <c r="Y388" s="7">
        <v>198713523.68579566</v>
      </c>
      <c r="Z388" s="7">
        <v>208660320.16854364</v>
      </c>
      <c r="AA388" s="7">
        <v>136747133.73792091</v>
      </c>
      <c r="AB388" s="7">
        <v>162939895.37637624</v>
      </c>
      <c r="AC388" s="22">
        <v>191282472.72604236</v>
      </c>
      <c r="AD388" s="7">
        <v>206742225.75607717</v>
      </c>
      <c r="AE388" s="7">
        <v>206742225.75607717</v>
      </c>
      <c r="AF388" s="12">
        <v>205418025.02936223</v>
      </c>
      <c r="AG388" s="7">
        <v>205212812.21714509</v>
      </c>
      <c r="AH388" s="7">
        <v>205007804.41273239</v>
      </c>
      <c r="AI388" s="7">
        <v>204803001.4113211</v>
      </c>
      <c r="AJ388" s="7">
        <v>204598403.00831279</v>
      </c>
      <c r="AK388" s="12">
        <f t="shared" ref="AK388:BE388" si="15">AJ388*(1+0.01*AK$374)</f>
        <v>204598403.00831279</v>
      </c>
      <c r="AL388" s="7">
        <f t="shared" si="15"/>
        <v>204598403.00831279</v>
      </c>
      <c r="AM388" s="7">
        <f t="shared" si="15"/>
        <v>204598403.00831279</v>
      </c>
      <c r="AN388" s="7">
        <f t="shared" si="15"/>
        <v>204598403.00831279</v>
      </c>
      <c r="AO388" s="7">
        <f t="shared" si="15"/>
        <v>204598403.00831279</v>
      </c>
      <c r="AP388" s="7">
        <f t="shared" si="15"/>
        <v>204598403.00831279</v>
      </c>
      <c r="AQ388" s="7">
        <f t="shared" si="15"/>
        <v>204598403.00831279</v>
      </c>
      <c r="AR388" s="7">
        <f t="shared" si="15"/>
        <v>204598403.00831279</v>
      </c>
      <c r="AS388" s="7">
        <f t="shared" si="15"/>
        <v>204598403.00831279</v>
      </c>
      <c r="AT388" s="7">
        <f t="shared" si="15"/>
        <v>204598403.00831279</v>
      </c>
      <c r="AU388" s="7">
        <f t="shared" si="15"/>
        <v>204598403.00831279</v>
      </c>
      <c r="AV388" s="7">
        <f t="shared" si="15"/>
        <v>204598403.00831279</v>
      </c>
      <c r="AW388" s="7">
        <f t="shared" si="15"/>
        <v>204598403.00831279</v>
      </c>
      <c r="AX388" s="7">
        <f t="shared" si="15"/>
        <v>204598403.00831279</v>
      </c>
      <c r="AY388" s="7">
        <f t="shared" si="15"/>
        <v>204598403.00831279</v>
      </c>
      <c r="AZ388" s="7">
        <f t="shared" si="15"/>
        <v>204598403.00831279</v>
      </c>
      <c r="BA388" s="7">
        <f t="shared" si="15"/>
        <v>204598403.00831279</v>
      </c>
      <c r="BB388" s="7">
        <f t="shared" si="15"/>
        <v>204598403.00831279</v>
      </c>
      <c r="BC388" s="7">
        <f t="shared" si="15"/>
        <v>204598403.00831279</v>
      </c>
      <c r="BD388" s="7">
        <f t="shared" si="15"/>
        <v>204598403.00831279</v>
      </c>
      <c r="BE388" s="7">
        <f t="shared" si="15"/>
        <v>204598403.00831279</v>
      </c>
    </row>
    <row r="389" spans="1:57" ht="12" customHeight="1" x14ac:dyDescent="0.2">
      <c r="A389" t="s">
        <v>114</v>
      </c>
      <c r="B389" s="7">
        <v>59481105.343859948</v>
      </c>
      <c r="C389" s="7">
        <v>63286562.280352093</v>
      </c>
      <c r="D389" s="7">
        <v>88248364.381816119</v>
      </c>
      <c r="E389" s="7">
        <v>95093381.135004327</v>
      </c>
      <c r="F389" s="7">
        <v>65190958.756492116</v>
      </c>
      <c r="G389" s="7">
        <v>75457218.434480786</v>
      </c>
      <c r="H389" s="7">
        <v>75917460.882047921</v>
      </c>
      <c r="I389" s="7">
        <v>64281277.792847976</v>
      </c>
      <c r="J389" s="7">
        <v>65126714.544980869</v>
      </c>
      <c r="K389" s="7">
        <v>70229031.484437555</v>
      </c>
      <c r="L389" s="7">
        <v>75342889.52985087</v>
      </c>
      <c r="M389" s="7">
        <v>75177658.288942844</v>
      </c>
      <c r="N389" s="7">
        <v>85572621.704324976</v>
      </c>
      <c r="O389" s="7">
        <v>86527846.125266567</v>
      </c>
      <c r="P389" s="7">
        <v>100384162.51273207</v>
      </c>
      <c r="Q389" s="7">
        <v>110280811.38222887</v>
      </c>
      <c r="R389" s="7">
        <v>117327047.70496878</v>
      </c>
      <c r="S389" s="7">
        <v>136881836.59748796</v>
      </c>
      <c r="T389" s="7">
        <v>144261172.645289</v>
      </c>
      <c r="U389" s="7">
        <v>132518729.85793878</v>
      </c>
      <c r="V389" s="7">
        <v>140376562.25260395</v>
      </c>
      <c r="W389" s="7">
        <v>138439162.50625151</v>
      </c>
      <c r="X389" s="7">
        <v>146432657.86553878</v>
      </c>
      <c r="Y389" s="7">
        <v>175770162.02079222</v>
      </c>
      <c r="Z389" s="7">
        <v>183597168.14235595</v>
      </c>
      <c r="AA389" s="7">
        <v>121625535.57473648</v>
      </c>
      <c r="AB389" s="7">
        <v>124873318.06310935</v>
      </c>
      <c r="AC389" s="22">
        <v>173387044.12310642</v>
      </c>
      <c r="AD389" s="7">
        <v>182378920.05779767</v>
      </c>
      <c r="AE389" s="7">
        <v>182378920.05779767</v>
      </c>
      <c r="AF389" s="12">
        <v>182266923.22705922</v>
      </c>
      <c r="AG389" s="7">
        <v>182075491.07972786</v>
      </c>
      <c r="AH389" s="7">
        <v>181894390.57026738</v>
      </c>
      <c r="AI389" s="7">
        <v>181722522.11675274</v>
      </c>
      <c r="AJ389" s="7">
        <v>181558701.15361986</v>
      </c>
      <c r="AK389" s="12">
        <f t="shared" ref="AK389:BE389" si="16">AJ389*(1+0.01*AK$374)</f>
        <v>181558701.15361986</v>
      </c>
      <c r="AL389" s="7">
        <f t="shared" si="16"/>
        <v>181558701.15361986</v>
      </c>
      <c r="AM389" s="7">
        <f t="shared" si="16"/>
        <v>181558701.15361986</v>
      </c>
      <c r="AN389" s="7">
        <f t="shared" si="16"/>
        <v>181558701.15361986</v>
      </c>
      <c r="AO389" s="7">
        <f t="shared" si="16"/>
        <v>181558701.15361986</v>
      </c>
      <c r="AP389" s="7">
        <f t="shared" si="16"/>
        <v>181558701.15361986</v>
      </c>
      <c r="AQ389" s="7">
        <f t="shared" si="16"/>
        <v>181558701.15361986</v>
      </c>
      <c r="AR389" s="7">
        <f t="shared" si="16"/>
        <v>181558701.15361986</v>
      </c>
      <c r="AS389" s="7">
        <f t="shared" si="16"/>
        <v>181558701.15361986</v>
      </c>
      <c r="AT389" s="7">
        <f t="shared" si="16"/>
        <v>181558701.15361986</v>
      </c>
      <c r="AU389" s="7">
        <f t="shared" si="16"/>
        <v>181558701.15361986</v>
      </c>
      <c r="AV389" s="7">
        <f t="shared" si="16"/>
        <v>181558701.15361986</v>
      </c>
      <c r="AW389" s="7">
        <f t="shared" si="16"/>
        <v>181558701.15361986</v>
      </c>
      <c r="AX389" s="7">
        <f t="shared" si="16"/>
        <v>181558701.15361986</v>
      </c>
      <c r="AY389" s="7">
        <f t="shared" si="16"/>
        <v>181558701.15361986</v>
      </c>
      <c r="AZ389" s="7">
        <f t="shared" si="16"/>
        <v>181558701.15361986</v>
      </c>
      <c r="BA389" s="7">
        <f t="shared" si="16"/>
        <v>181558701.15361986</v>
      </c>
      <c r="BB389" s="7">
        <f t="shared" si="16"/>
        <v>181558701.15361986</v>
      </c>
      <c r="BC389" s="7">
        <f t="shared" si="16"/>
        <v>181558701.15361986</v>
      </c>
      <c r="BD389" s="7">
        <f t="shared" si="16"/>
        <v>181558701.15361986</v>
      </c>
      <c r="BE389" s="7">
        <f t="shared" si="16"/>
        <v>181558701.15361986</v>
      </c>
    </row>
    <row r="390" spans="1:57" ht="12" customHeight="1" x14ac:dyDescent="0.2">
      <c r="A390" t="s">
        <v>115</v>
      </c>
      <c r="B390" s="7">
        <v>131357540.88187596</v>
      </c>
      <c r="C390" s="7">
        <v>138535969.51264793</v>
      </c>
      <c r="D390" s="7">
        <v>156441109.70109999</v>
      </c>
      <c r="E390" s="7">
        <v>175128445.78128687</v>
      </c>
      <c r="F390" s="7">
        <v>168249346.4330591</v>
      </c>
      <c r="G390" s="7">
        <v>163261127.59960771</v>
      </c>
      <c r="H390" s="7">
        <v>167601074.49547347</v>
      </c>
      <c r="I390" s="7">
        <v>152351004.44935644</v>
      </c>
      <c r="J390" s="7">
        <v>142261222.92886135</v>
      </c>
      <c r="K390" s="7">
        <v>136257892.58717856</v>
      </c>
      <c r="L390" s="7">
        <v>140625844.77590531</v>
      </c>
      <c r="M390" s="7">
        <v>151375904.97705299</v>
      </c>
      <c r="N390" s="7">
        <v>156862011.17582735</v>
      </c>
      <c r="O390" s="7">
        <v>158666770.30071962</v>
      </c>
      <c r="P390" s="7">
        <v>172379086.3981829</v>
      </c>
      <c r="Q390" s="7">
        <v>207428961.96249717</v>
      </c>
      <c r="R390" s="7">
        <v>222466685.55477688</v>
      </c>
      <c r="S390" s="7">
        <v>236271094.42660764</v>
      </c>
      <c r="T390" s="7">
        <v>217606443.88908517</v>
      </c>
      <c r="U390" s="7">
        <v>219823249.4500069</v>
      </c>
      <c r="V390" s="7">
        <v>209065936.99072191</v>
      </c>
      <c r="W390" s="7">
        <v>210705679.48768419</v>
      </c>
      <c r="X390" s="7">
        <v>218508718.17102739</v>
      </c>
      <c r="Y390" s="7">
        <v>235347921.87693471</v>
      </c>
      <c r="Z390" s="7">
        <v>214342420.39766303</v>
      </c>
      <c r="AA390" s="7">
        <v>136873715.3021436</v>
      </c>
      <c r="AB390" s="7">
        <v>164066719.56500086</v>
      </c>
      <c r="AC390" s="22">
        <v>232199305.42406625</v>
      </c>
      <c r="AD390" s="7">
        <v>228217848.70435834</v>
      </c>
      <c r="AE390" s="7">
        <v>222922379.16273227</v>
      </c>
      <c r="AF390" s="12">
        <v>218156857.06579351</v>
      </c>
      <c r="AG390" s="7">
        <v>217917920.47367981</v>
      </c>
      <c r="AH390" s="7">
        <v>217702001.83610535</v>
      </c>
      <c r="AI390" s="7">
        <v>217506631.25716168</v>
      </c>
      <c r="AJ390" s="7">
        <v>217329147.93460152</v>
      </c>
      <c r="AK390" s="12">
        <f t="shared" ref="AK390:BE390" si="17">AJ390*(1+0.01*AK$374)</f>
        <v>217329147.93460152</v>
      </c>
      <c r="AL390" s="7">
        <f t="shared" si="17"/>
        <v>217329147.93460152</v>
      </c>
      <c r="AM390" s="7">
        <f t="shared" si="17"/>
        <v>217329147.93460152</v>
      </c>
      <c r="AN390" s="7">
        <f t="shared" si="17"/>
        <v>217329147.93460152</v>
      </c>
      <c r="AO390" s="7">
        <f t="shared" si="17"/>
        <v>217329147.93460152</v>
      </c>
      <c r="AP390" s="7">
        <f t="shared" si="17"/>
        <v>217329147.93460152</v>
      </c>
      <c r="AQ390" s="7">
        <f t="shared" si="17"/>
        <v>217329147.93460152</v>
      </c>
      <c r="AR390" s="7">
        <f t="shared" si="17"/>
        <v>217329147.93460152</v>
      </c>
      <c r="AS390" s="7">
        <f t="shared" si="17"/>
        <v>217329147.93460152</v>
      </c>
      <c r="AT390" s="7">
        <f t="shared" si="17"/>
        <v>217329147.93460152</v>
      </c>
      <c r="AU390" s="7">
        <f t="shared" si="17"/>
        <v>217329147.93460152</v>
      </c>
      <c r="AV390" s="7">
        <f t="shared" si="17"/>
        <v>217329147.93460152</v>
      </c>
      <c r="AW390" s="7">
        <f t="shared" si="17"/>
        <v>217329147.93460152</v>
      </c>
      <c r="AX390" s="7">
        <f t="shared" si="17"/>
        <v>217329147.93460152</v>
      </c>
      <c r="AY390" s="7">
        <f t="shared" si="17"/>
        <v>217329147.93460152</v>
      </c>
      <c r="AZ390" s="7">
        <f t="shared" si="17"/>
        <v>217329147.93460152</v>
      </c>
      <c r="BA390" s="7">
        <f t="shared" si="17"/>
        <v>217329147.93460152</v>
      </c>
      <c r="BB390" s="7">
        <f t="shared" si="17"/>
        <v>217329147.93460152</v>
      </c>
      <c r="BC390" s="7">
        <f t="shared" si="17"/>
        <v>217329147.93460152</v>
      </c>
      <c r="BD390" s="7">
        <f t="shared" si="17"/>
        <v>217329147.93460152</v>
      </c>
      <c r="BE390" s="7">
        <f t="shared" si="17"/>
        <v>217329147.93460152</v>
      </c>
    </row>
    <row r="391" spans="1:57" ht="12" customHeight="1" x14ac:dyDescent="0.2">
      <c r="A391" t="s">
        <v>116</v>
      </c>
      <c r="B391" s="7">
        <v>94300860.860578224</v>
      </c>
      <c r="C391" s="7">
        <v>99250448.135189995</v>
      </c>
      <c r="D391" s="7">
        <v>122917038.5322089</v>
      </c>
      <c r="E391" s="7">
        <v>137196336.46631837</v>
      </c>
      <c r="F391" s="7">
        <v>122560277.98835634</v>
      </c>
      <c r="G391" s="7">
        <v>118419271.04213765</v>
      </c>
      <c r="H391" s="7">
        <v>116181860.4736739</v>
      </c>
      <c r="I391" s="7">
        <v>116212068.78914709</v>
      </c>
      <c r="J391" s="7">
        <v>103752273.92307687</v>
      </c>
      <c r="K391" s="7">
        <v>119330390.62588327</v>
      </c>
      <c r="L391" s="7">
        <v>125010658.36257225</v>
      </c>
      <c r="M391" s="7">
        <v>113421565.33612429</v>
      </c>
      <c r="N391" s="7">
        <v>123921874.73047827</v>
      </c>
      <c r="O391" s="7">
        <v>131532547.4481771</v>
      </c>
      <c r="P391" s="7">
        <v>131806632.81508018</v>
      </c>
      <c r="Q391" s="7">
        <v>130523956.53751689</v>
      </c>
      <c r="R391" s="7">
        <v>138527941.48988855</v>
      </c>
      <c r="S391" s="7">
        <v>146959433.57204279</v>
      </c>
      <c r="T391" s="7">
        <v>151563986.39862952</v>
      </c>
      <c r="U391" s="7">
        <v>151665118.17990488</v>
      </c>
      <c r="V391" s="7">
        <v>164009620.94712889</v>
      </c>
      <c r="W391" s="7">
        <v>172397444.22769696</v>
      </c>
      <c r="X391" s="7">
        <v>174908194.819814</v>
      </c>
      <c r="Y391" s="7">
        <v>199253734.671294</v>
      </c>
      <c r="Z391" s="7">
        <v>211473498.34387928</v>
      </c>
      <c r="AA391" s="7">
        <v>110924782.55935243</v>
      </c>
      <c r="AB391" s="7">
        <v>149740840.37200072</v>
      </c>
      <c r="AC391" s="22">
        <v>238417124.35186189</v>
      </c>
      <c r="AD391" s="7">
        <v>208444070.75520045</v>
      </c>
      <c r="AE391" s="7">
        <v>208444070.75520045</v>
      </c>
      <c r="AF391" s="12">
        <v>203115690.64413139</v>
      </c>
      <c r="AG391" s="7">
        <v>202912777.86626521</v>
      </c>
      <c r="AH391" s="7">
        <v>202710067.79846674</v>
      </c>
      <c r="AI391" s="7">
        <v>202507560.23822853</v>
      </c>
      <c r="AJ391" s="7">
        <v>202305254.98324528</v>
      </c>
      <c r="AK391" s="12">
        <f t="shared" ref="AK391:BE391" si="18">AJ391*(1+0.01*AK$374)</f>
        <v>202305254.98324528</v>
      </c>
      <c r="AL391" s="7">
        <f t="shared" si="18"/>
        <v>202305254.98324528</v>
      </c>
      <c r="AM391" s="7">
        <f t="shared" si="18"/>
        <v>202305254.98324528</v>
      </c>
      <c r="AN391" s="7">
        <f t="shared" si="18"/>
        <v>202305254.98324528</v>
      </c>
      <c r="AO391" s="7">
        <f t="shared" si="18"/>
        <v>202305254.98324528</v>
      </c>
      <c r="AP391" s="7">
        <f t="shared" si="18"/>
        <v>202305254.98324528</v>
      </c>
      <c r="AQ391" s="7">
        <f t="shared" si="18"/>
        <v>202305254.98324528</v>
      </c>
      <c r="AR391" s="7">
        <f t="shared" si="18"/>
        <v>202305254.98324528</v>
      </c>
      <c r="AS391" s="7">
        <f t="shared" si="18"/>
        <v>202305254.98324528</v>
      </c>
      <c r="AT391" s="7">
        <f t="shared" si="18"/>
        <v>202305254.98324528</v>
      </c>
      <c r="AU391" s="7">
        <f t="shared" si="18"/>
        <v>202305254.98324528</v>
      </c>
      <c r="AV391" s="7">
        <f t="shared" si="18"/>
        <v>202305254.98324528</v>
      </c>
      <c r="AW391" s="7">
        <f t="shared" si="18"/>
        <v>202305254.98324528</v>
      </c>
      <c r="AX391" s="7">
        <f t="shared" si="18"/>
        <v>202305254.98324528</v>
      </c>
      <c r="AY391" s="7">
        <f t="shared" si="18"/>
        <v>202305254.98324528</v>
      </c>
      <c r="AZ391" s="7">
        <f t="shared" si="18"/>
        <v>202305254.98324528</v>
      </c>
      <c r="BA391" s="7">
        <f t="shared" si="18"/>
        <v>202305254.98324528</v>
      </c>
      <c r="BB391" s="7">
        <f t="shared" si="18"/>
        <v>202305254.98324528</v>
      </c>
      <c r="BC391" s="7">
        <f t="shared" si="18"/>
        <v>202305254.98324528</v>
      </c>
      <c r="BD391" s="7">
        <f t="shared" si="18"/>
        <v>202305254.98324528</v>
      </c>
      <c r="BE391" s="7">
        <f t="shared" si="18"/>
        <v>202305254.98324528</v>
      </c>
    </row>
    <row r="392" spans="1:57" ht="12" customHeight="1" x14ac:dyDescent="0.2">
      <c r="A392" s="29" t="s">
        <v>117</v>
      </c>
      <c r="B392" s="30">
        <v>533300734.25941336</v>
      </c>
      <c r="C392" s="30">
        <v>535373462.8681742</v>
      </c>
      <c r="D392" s="30">
        <v>521838122.3415035</v>
      </c>
      <c r="E392" s="30">
        <v>514227070.27463967</v>
      </c>
      <c r="F392" s="30">
        <v>539337453.20312715</v>
      </c>
      <c r="G392" s="30">
        <v>556233780.53011465</v>
      </c>
      <c r="H392" s="30">
        <v>534202272.88510835</v>
      </c>
      <c r="I392" s="30">
        <v>503899302.65264606</v>
      </c>
      <c r="J392" s="30">
        <v>522324077.72530156</v>
      </c>
      <c r="K392" s="30">
        <v>544975798.43104839</v>
      </c>
      <c r="L392" s="30">
        <v>569591737.89144766</v>
      </c>
      <c r="M392" s="30">
        <v>545376363.94027734</v>
      </c>
      <c r="N392" s="30">
        <v>556955238.64726472</v>
      </c>
      <c r="O392" s="30">
        <v>560481380.50647926</v>
      </c>
      <c r="P392" s="30">
        <v>549307370.04983926</v>
      </c>
      <c r="Q392" s="30">
        <v>543037689.0315876</v>
      </c>
      <c r="R392" s="30">
        <v>568594858.88132596</v>
      </c>
      <c r="S392" s="30">
        <v>584892392.2292465</v>
      </c>
      <c r="T392" s="30">
        <v>597393690.17521119</v>
      </c>
      <c r="U392" s="30">
        <v>634811261.81253397</v>
      </c>
      <c r="V392" s="30">
        <v>674865893.3836776</v>
      </c>
      <c r="W392" s="30">
        <v>742883126.18367314</v>
      </c>
      <c r="X392" s="30">
        <v>781169471.00376964</v>
      </c>
      <c r="Y392" s="30">
        <v>788123770.00605214</v>
      </c>
      <c r="Z392" s="30">
        <v>751462805.54762471</v>
      </c>
      <c r="AA392" s="30">
        <v>377477336.81275094</v>
      </c>
      <c r="AB392" s="30">
        <v>360485842.42001528</v>
      </c>
      <c r="AC392" s="31">
        <v>532640558.22132438</v>
      </c>
      <c r="AD392" s="30">
        <v>669411486.08447683</v>
      </c>
      <c r="AE392" s="30">
        <v>676513585.63327765</v>
      </c>
      <c r="AF392" s="32">
        <v>666452761.43537402</v>
      </c>
      <c r="AG392" s="30">
        <v>665777866.76064062</v>
      </c>
      <c r="AH392" s="30">
        <v>665113526.76465845</v>
      </c>
      <c r="AI392" s="30">
        <v>664458669.564762</v>
      </c>
      <c r="AJ392" s="30">
        <v>663812140.47360218</v>
      </c>
      <c r="AK392" s="32">
        <f t="shared" ref="AK392:BE392" si="19">AJ392*(1+0.01*AK$374)</f>
        <v>663812140.47360218</v>
      </c>
      <c r="AL392" s="30">
        <f t="shared" si="19"/>
        <v>663812140.47360218</v>
      </c>
      <c r="AM392" s="30">
        <f t="shared" si="19"/>
        <v>663812140.47360218</v>
      </c>
      <c r="AN392" s="30">
        <f t="shared" si="19"/>
        <v>663812140.47360218</v>
      </c>
      <c r="AO392" s="30">
        <f t="shared" si="19"/>
        <v>663812140.47360218</v>
      </c>
      <c r="AP392" s="30">
        <f t="shared" si="19"/>
        <v>663812140.47360218</v>
      </c>
      <c r="AQ392" s="30">
        <f t="shared" si="19"/>
        <v>663812140.47360218</v>
      </c>
      <c r="AR392" s="30">
        <f t="shared" si="19"/>
        <v>663812140.47360218</v>
      </c>
      <c r="AS392" s="30">
        <f t="shared" si="19"/>
        <v>663812140.47360218</v>
      </c>
      <c r="AT392" s="30">
        <f t="shared" si="19"/>
        <v>663812140.47360218</v>
      </c>
      <c r="AU392" s="30">
        <f t="shared" si="19"/>
        <v>663812140.47360218</v>
      </c>
      <c r="AV392" s="30">
        <f t="shared" si="19"/>
        <v>663812140.47360218</v>
      </c>
      <c r="AW392" s="30">
        <f t="shared" si="19"/>
        <v>663812140.47360218</v>
      </c>
      <c r="AX392" s="30">
        <f t="shared" si="19"/>
        <v>663812140.47360218</v>
      </c>
      <c r="AY392" s="30">
        <f t="shared" si="19"/>
        <v>663812140.47360218</v>
      </c>
      <c r="AZ392" s="30">
        <f t="shared" si="19"/>
        <v>663812140.47360218</v>
      </c>
      <c r="BA392" s="30">
        <f t="shared" si="19"/>
        <v>663812140.47360218</v>
      </c>
      <c r="BB392" s="30">
        <f t="shared" si="19"/>
        <v>663812140.47360218</v>
      </c>
      <c r="BC392" s="30">
        <f t="shared" si="19"/>
        <v>663812140.47360218</v>
      </c>
      <c r="BD392" s="30">
        <f t="shared" si="19"/>
        <v>663812140.47360218</v>
      </c>
      <c r="BE392" s="30">
        <f t="shared" si="19"/>
        <v>663812140.47360218</v>
      </c>
    </row>
    <row r="393" spans="1:57" ht="12" customHeight="1" x14ac:dyDescent="0.2">
      <c r="A393" t="s">
        <v>118</v>
      </c>
      <c r="B393" s="7">
        <v>299713721.63983637</v>
      </c>
      <c r="C393" s="7">
        <v>320908699.76069224</v>
      </c>
      <c r="D393" s="7">
        <v>318094233.89614081</v>
      </c>
      <c r="E393" s="7">
        <v>329603047.73383951</v>
      </c>
      <c r="F393" s="7">
        <v>329199270.34043413</v>
      </c>
      <c r="G393" s="7">
        <v>355954643.2022137</v>
      </c>
      <c r="H393" s="7">
        <v>396088556.25334942</v>
      </c>
      <c r="I393" s="7">
        <v>396350755.5236451</v>
      </c>
      <c r="J393" s="7">
        <v>415323264.75764531</v>
      </c>
      <c r="K393" s="7">
        <v>455686485.02621037</v>
      </c>
      <c r="L393" s="7">
        <v>452009181.86802799</v>
      </c>
      <c r="M393" s="7">
        <v>431476601.08884555</v>
      </c>
      <c r="N393" s="7">
        <v>470993526.99085903</v>
      </c>
      <c r="O393" s="7">
        <v>553154846.01886988</v>
      </c>
      <c r="P393" s="7">
        <v>553605433.62482488</v>
      </c>
      <c r="Q393" s="7">
        <v>522073056.39003885</v>
      </c>
      <c r="R393" s="7">
        <v>583943710.66709316</v>
      </c>
      <c r="S393" s="7">
        <v>607568391.5132606</v>
      </c>
      <c r="T393" s="7">
        <v>599634008.55053449</v>
      </c>
      <c r="U393" s="7">
        <v>642246301.22577798</v>
      </c>
      <c r="V393" s="7">
        <v>558700485.1192354</v>
      </c>
      <c r="W393" s="7">
        <v>505427142.35362506</v>
      </c>
      <c r="X393" s="7">
        <v>582580437.12429547</v>
      </c>
      <c r="Y393" s="7">
        <v>597057423.08682716</v>
      </c>
      <c r="Z393" s="7">
        <v>575995410.7389065</v>
      </c>
      <c r="AA393" s="7">
        <v>373669301.51957059</v>
      </c>
      <c r="AB393" s="7">
        <v>249737415.87380689</v>
      </c>
      <c r="AC393" s="22">
        <v>480894594.80454451</v>
      </c>
      <c r="AD393" s="7">
        <v>595324313.16655982</v>
      </c>
      <c r="AE393" s="7">
        <v>595324313.16655982</v>
      </c>
      <c r="AF393" s="12">
        <v>585578985.03499305</v>
      </c>
      <c r="AG393" s="7">
        <v>584991996.53647554</v>
      </c>
      <c r="AH393" s="7">
        <v>584407758.17484224</v>
      </c>
      <c r="AI393" s="7">
        <v>583826034.77875805</v>
      </c>
      <c r="AJ393" s="7">
        <v>583246573.04381716</v>
      </c>
      <c r="AK393" s="12">
        <f t="shared" ref="AK393:BE393" si="20">AJ393*(1+0.01*AK$374)</f>
        <v>583246573.04381716</v>
      </c>
      <c r="AL393" s="7">
        <f t="shared" si="20"/>
        <v>583246573.04381716</v>
      </c>
      <c r="AM393" s="7">
        <f t="shared" si="20"/>
        <v>583246573.04381716</v>
      </c>
      <c r="AN393" s="7">
        <f t="shared" si="20"/>
        <v>583246573.04381716</v>
      </c>
      <c r="AO393" s="7">
        <f t="shared" si="20"/>
        <v>583246573.04381716</v>
      </c>
      <c r="AP393" s="7">
        <f t="shared" si="20"/>
        <v>583246573.04381716</v>
      </c>
      <c r="AQ393" s="7">
        <f t="shared" si="20"/>
        <v>583246573.04381716</v>
      </c>
      <c r="AR393" s="7">
        <f t="shared" si="20"/>
        <v>583246573.04381716</v>
      </c>
      <c r="AS393" s="7">
        <f t="shared" si="20"/>
        <v>583246573.04381716</v>
      </c>
      <c r="AT393" s="7">
        <f t="shared" si="20"/>
        <v>583246573.04381716</v>
      </c>
      <c r="AU393" s="7">
        <f t="shared" si="20"/>
        <v>583246573.04381716</v>
      </c>
      <c r="AV393" s="7">
        <f t="shared" si="20"/>
        <v>583246573.04381716</v>
      </c>
      <c r="AW393" s="7">
        <f t="shared" si="20"/>
        <v>583246573.04381716</v>
      </c>
      <c r="AX393" s="7">
        <f t="shared" si="20"/>
        <v>583246573.04381716</v>
      </c>
      <c r="AY393" s="7">
        <f t="shared" si="20"/>
        <v>583246573.04381716</v>
      </c>
      <c r="AZ393" s="7">
        <f t="shared" si="20"/>
        <v>583246573.04381716</v>
      </c>
      <c r="BA393" s="7">
        <f t="shared" si="20"/>
        <v>583246573.04381716</v>
      </c>
      <c r="BB393" s="7">
        <f t="shared" si="20"/>
        <v>583246573.04381716</v>
      </c>
      <c r="BC393" s="7">
        <f t="shared" si="20"/>
        <v>583246573.04381716</v>
      </c>
      <c r="BD393" s="7">
        <f t="shared" si="20"/>
        <v>583246573.04381716</v>
      </c>
      <c r="BE393" s="7">
        <f t="shared" si="20"/>
        <v>583246573.04381716</v>
      </c>
    </row>
    <row r="394" spans="1:57" ht="12" customHeight="1" x14ac:dyDescent="0.2">
      <c r="A394" t="s">
        <v>119</v>
      </c>
      <c r="B394" s="7">
        <v>1207882574.564368</v>
      </c>
      <c r="C394" s="7">
        <v>1177819544.9403994</v>
      </c>
      <c r="D394" s="7">
        <v>929478847.67538667</v>
      </c>
      <c r="E394" s="7">
        <v>1140339266.0917292</v>
      </c>
      <c r="F394" s="7">
        <v>1267710416.9192436</v>
      </c>
      <c r="G394" s="7">
        <v>1184580148.4268036</v>
      </c>
      <c r="H394" s="7">
        <v>1497590682.4457002</v>
      </c>
      <c r="I394" s="7">
        <v>1513721549.065974</v>
      </c>
      <c r="J394" s="7">
        <v>1377147702.1978481</v>
      </c>
      <c r="K394" s="7">
        <v>1226644204.6946619</v>
      </c>
      <c r="L394" s="7">
        <v>1184164886.8898883</v>
      </c>
      <c r="M394" s="7">
        <v>831753118.94382477</v>
      </c>
      <c r="N394" s="7">
        <v>910426067.07663691</v>
      </c>
      <c r="O394" s="7">
        <v>512176010.85844576</v>
      </c>
      <c r="P394" s="7">
        <v>533443076.2175678</v>
      </c>
      <c r="Q394" s="7">
        <v>885732466.92464054</v>
      </c>
      <c r="R394" s="7">
        <v>904159618.81163692</v>
      </c>
      <c r="S394" s="7">
        <v>990760879.42164218</v>
      </c>
      <c r="T394" s="7">
        <v>889094958.9851011</v>
      </c>
      <c r="U394" s="7">
        <v>919224394.35753238</v>
      </c>
      <c r="V394" s="7">
        <v>1024221444.3417168</v>
      </c>
      <c r="W394" s="7">
        <v>1072324198.4060303</v>
      </c>
      <c r="X394" s="7">
        <v>1081988643.49193</v>
      </c>
      <c r="Y394" s="7">
        <v>1267484070.5994425</v>
      </c>
      <c r="Z394" s="7">
        <v>1158116803.792793</v>
      </c>
      <c r="AA394" s="7">
        <v>456716059.5919348</v>
      </c>
      <c r="AB394" s="7">
        <v>722283135.83926213</v>
      </c>
      <c r="AC394" s="22">
        <v>1018824985.6332512</v>
      </c>
      <c r="AD394" s="7">
        <v>911475189.79178548</v>
      </c>
      <c r="AE394" s="7">
        <v>906567886.29672253</v>
      </c>
      <c r="AF394" s="12">
        <v>900473485.76560807</v>
      </c>
      <c r="AG394" s="7">
        <v>899561022.26903749</v>
      </c>
      <c r="AH394" s="7">
        <v>898663453.54744792</v>
      </c>
      <c r="AI394" s="7">
        <v>897779262.67185438</v>
      </c>
      <c r="AJ394" s="7">
        <v>896906815.524701</v>
      </c>
      <c r="AK394" s="12">
        <f t="shared" ref="AK394:BE394" si="21">AJ394*(1+0.01*AK$374)</f>
        <v>896906815.524701</v>
      </c>
      <c r="AL394" s="7">
        <f t="shared" si="21"/>
        <v>896906815.524701</v>
      </c>
      <c r="AM394" s="7">
        <f t="shared" si="21"/>
        <v>896906815.524701</v>
      </c>
      <c r="AN394" s="7">
        <f t="shared" si="21"/>
        <v>896906815.524701</v>
      </c>
      <c r="AO394" s="7">
        <f t="shared" si="21"/>
        <v>896906815.524701</v>
      </c>
      <c r="AP394" s="7">
        <f t="shared" si="21"/>
        <v>896906815.524701</v>
      </c>
      <c r="AQ394" s="7">
        <f t="shared" si="21"/>
        <v>896906815.524701</v>
      </c>
      <c r="AR394" s="7">
        <f t="shared" si="21"/>
        <v>896906815.524701</v>
      </c>
      <c r="AS394" s="7">
        <f t="shared" si="21"/>
        <v>896906815.524701</v>
      </c>
      <c r="AT394" s="7">
        <f t="shared" si="21"/>
        <v>896906815.524701</v>
      </c>
      <c r="AU394" s="7">
        <f t="shared" si="21"/>
        <v>896906815.524701</v>
      </c>
      <c r="AV394" s="7">
        <f t="shared" si="21"/>
        <v>896906815.524701</v>
      </c>
      <c r="AW394" s="7">
        <f t="shared" si="21"/>
        <v>896906815.524701</v>
      </c>
      <c r="AX394" s="7">
        <f t="shared" si="21"/>
        <v>896906815.524701</v>
      </c>
      <c r="AY394" s="7">
        <f t="shared" si="21"/>
        <v>896906815.524701</v>
      </c>
      <c r="AZ394" s="7">
        <f t="shared" si="21"/>
        <v>896906815.524701</v>
      </c>
      <c r="BA394" s="7">
        <f t="shared" si="21"/>
        <v>896906815.524701</v>
      </c>
      <c r="BB394" s="7">
        <f t="shared" si="21"/>
        <v>896906815.524701</v>
      </c>
      <c r="BC394" s="7">
        <f t="shared" si="21"/>
        <v>896906815.524701</v>
      </c>
      <c r="BD394" s="7">
        <f t="shared" si="21"/>
        <v>896906815.524701</v>
      </c>
      <c r="BE394" s="7">
        <f t="shared" si="21"/>
        <v>896906815.524701</v>
      </c>
    </row>
    <row r="395" spans="1:57" ht="12" customHeight="1" x14ac:dyDescent="0.2">
      <c r="A395" t="s">
        <v>120</v>
      </c>
      <c r="B395" s="7">
        <v>440673842.485322</v>
      </c>
      <c r="C395" s="7">
        <v>454990112.35499847</v>
      </c>
      <c r="D395" s="7">
        <v>447202758.49482721</v>
      </c>
      <c r="E395" s="7">
        <v>462188782.80090082</v>
      </c>
      <c r="F395" s="7">
        <v>524709493.97625631</v>
      </c>
      <c r="G395" s="7">
        <v>554605157.15573967</v>
      </c>
      <c r="H395" s="7">
        <v>590160623.68799579</v>
      </c>
      <c r="I395" s="7">
        <v>542910266.91074431</v>
      </c>
      <c r="J395" s="7">
        <v>558422615.98801041</v>
      </c>
      <c r="K395" s="7">
        <v>581974938.40417278</v>
      </c>
      <c r="L395" s="7">
        <v>594709344.96527767</v>
      </c>
      <c r="M395" s="7">
        <v>599637476.22543776</v>
      </c>
      <c r="N395" s="7">
        <v>627227885.71162951</v>
      </c>
      <c r="O395" s="7">
        <v>633272142.00059342</v>
      </c>
      <c r="P395" s="7">
        <v>627441816.99428844</v>
      </c>
      <c r="Q395" s="7">
        <v>622184790.64847326</v>
      </c>
      <c r="R395" s="7">
        <v>658421022.29548502</v>
      </c>
      <c r="S395" s="7">
        <v>637927572.55411112</v>
      </c>
      <c r="T395" s="7">
        <v>635888222.08068848</v>
      </c>
      <c r="U395" s="7">
        <v>674022558.46100521</v>
      </c>
      <c r="V395" s="7">
        <v>647469712.06816888</v>
      </c>
      <c r="W395" s="7">
        <v>646931807.93506789</v>
      </c>
      <c r="X395" s="7">
        <v>670118990.7913506</v>
      </c>
      <c r="Y395" s="7">
        <v>690924120.81179559</v>
      </c>
      <c r="Z395" s="7">
        <v>706944748.99358761</v>
      </c>
      <c r="AA395" s="7">
        <v>397376730.3949253</v>
      </c>
      <c r="AB395" s="7">
        <v>354687097.38074875</v>
      </c>
      <c r="AC395" s="22">
        <v>686462888.70584309</v>
      </c>
      <c r="AD395" s="7">
        <v>709418451.42623186</v>
      </c>
      <c r="AE395" s="7">
        <v>706774768.2162205</v>
      </c>
      <c r="AF395" s="12">
        <v>670483829.24884975</v>
      </c>
      <c r="AG395" s="7">
        <v>669814015.23361611</v>
      </c>
      <c r="AH395" s="7">
        <v>669144870.363253</v>
      </c>
      <c r="AI395" s="7">
        <v>668476393.96928382</v>
      </c>
      <c r="AJ395" s="7">
        <v>667808585.38390005</v>
      </c>
      <c r="AK395" s="12">
        <f t="shared" ref="AK395:BE395" si="22">AJ395*(1+0.01*AK$374)</f>
        <v>667808585.38390005</v>
      </c>
      <c r="AL395" s="7">
        <f t="shared" si="22"/>
        <v>667808585.38390005</v>
      </c>
      <c r="AM395" s="7">
        <f t="shared" si="22"/>
        <v>667808585.38390005</v>
      </c>
      <c r="AN395" s="7">
        <f t="shared" si="22"/>
        <v>667808585.38390005</v>
      </c>
      <c r="AO395" s="7">
        <f t="shared" si="22"/>
        <v>667808585.38390005</v>
      </c>
      <c r="AP395" s="7">
        <f t="shared" si="22"/>
        <v>667808585.38390005</v>
      </c>
      <c r="AQ395" s="7">
        <f t="shared" si="22"/>
        <v>667808585.38390005</v>
      </c>
      <c r="AR395" s="7">
        <f t="shared" si="22"/>
        <v>667808585.38390005</v>
      </c>
      <c r="AS395" s="7">
        <f t="shared" si="22"/>
        <v>667808585.38390005</v>
      </c>
      <c r="AT395" s="7">
        <f t="shared" si="22"/>
        <v>667808585.38390005</v>
      </c>
      <c r="AU395" s="7">
        <f t="shared" si="22"/>
        <v>667808585.38390005</v>
      </c>
      <c r="AV395" s="7">
        <f t="shared" si="22"/>
        <v>667808585.38390005</v>
      </c>
      <c r="AW395" s="7">
        <f t="shared" si="22"/>
        <v>667808585.38390005</v>
      </c>
      <c r="AX395" s="7">
        <f t="shared" si="22"/>
        <v>667808585.38390005</v>
      </c>
      <c r="AY395" s="7">
        <f t="shared" si="22"/>
        <v>667808585.38390005</v>
      </c>
      <c r="AZ395" s="7">
        <f t="shared" si="22"/>
        <v>667808585.38390005</v>
      </c>
      <c r="BA395" s="7">
        <f t="shared" si="22"/>
        <v>667808585.38390005</v>
      </c>
      <c r="BB395" s="7">
        <f t="shared" si="22"/>
        <v>667808585.38390005</v>
      </c>
      <c r="BC395" s="7">
        <f t="shared" si="22"/>
        <v>667808585.38390005</v>
      </c>
      <c r="BD395" s="7">
        <f t="shared" si="22"/>
        <v>667808585.38390005</v>
      </c>
      <c r="BE395" s="7">
        <f t="shared" si="22"/>
        <v>667808585.38390005</v>
      </c>
    </row>
    <row r="396" spans="1:57" ht="12" customHeight="1" x14ac:dyDescent="0.2">
      <c r="A396" t="s">
        <v>121</v>
      </c>
      <c r="B396" s="7">
        <v>398451782.93490946</v>
      </c>
      <c r="C396" s="7">
        <v>405101166.52828199</v>
      </c>
      <c r="D396" s="7">
        <v>405786208.58938283</v>
      </c>
      <c r="E396" s="7">
        <v>389008537.10782164</v>
      </c>
      <c r="F396" s="7">
        <v>391549438.00939167</v>
      </c>
      <c r="G396" s="7">
        <v>387873570.33428305</v>
      </c>
      <c r="H396" s="7">
        <v>385671005.15851504</v>
      </c>
      <c r="I396" s="7">
        <v>351753837.63691968</v>
      </c>
      <c r="J396" s="7">
        <v>351586354.35726476</v>
      </c>
      <c r="K396" s="7">
        <v>385963796.97990721</v>
      </c>
      <c r="L396" s="7">
        <v>391564442.24120581</v>
      </c>
      <c r="M396" s="7">
        <v>383669390.24214667</v>
      </c>
      <c r="N396" s="7">
        <v>384641823.79017878</v>
      </c>
      <c r="O396" s="7">
        <v>378356753.19062561</v>
      </c>
      <c r="P396" s="7">
        <v>347844276.39586484</v>
      </c>
      <c r="Q396" s="7">
        <v>376558040.40136486</v>
      </c>
      <c r="R396" s="7">
        <v>385531757.76723123</v>
      </c>
      <c r="S396" s="7">
        <v>400873224.98975348</v>
      </c>
      <c r="T396" s="7">
        <v>404001308.54365599</v>
      </c>
      <c r="U396" s="7">
        <v>412953819.05455321</v>
      </c>
      <c r="V396" s="7">
        <v>416999245.5201425</v>
      </c>
      <c r="W396" s="7">
        <v>405822795.19256049</v>
      </c>
      <c r="X396" s="7">
        <v>410808722.32934827</v>
      </c>
      <c r="Y396" s="7">
        <v>445208562.4952423</v>
      </c>
      <c r="Z396" s="7">
        <v>442175130.59079111</v>
      </c>
      <c r="AA396" s="7">
        <v>160089026.9270739</v>
      </c>
      <c r="AB396" s="7">
        <v>121994206.64695585</v>
      </c>
      <c r="AC396" s="22">
        <v>231798355.04213187</v>
      </c>
      <c r="AD396" s="7">
        <v>450347224.24116188</v>
      </c>
      <c r="AE396" s="7">
        <v>450347224.24116188</v>
      </c>
      <c r="AF396" s="12">
        <v>412646478.02243721</v>
      </c>
      <c r="AG396" s="7">
        <v>412232697.53642827</v>
      </c>
      <c r="AH396" s="7">
        <v>411821007.85327023</v>
      </c>
      <c r="AI396" s="7">
        <v>411411226.69754899</v>
      </c>
      <c r="AJ396" s="7">
        <v>411003157.73614335</v>
      </c>
      <c r="AK396" s="12">
        <f t="shared" ref="AK396:BE396" si="23">AJ396*(1+0.01*AK$374)</f>
        <v>411003157.73614335</v>
      </c>
      <c r="AL396" s="7">
        <f t="shared" si="23"/>
        <v>411003157.73614335</v>
      </c>
      <c r="AM396" s="7">
        <f t="shared" si="23"/>
        <v>411003157.73614335</v>
      </c>
      <c r="AN396" s="7">
        <f t="shared" si="23"/>
        <v>411003157.73614335</v>
      </c>
      <c r="AO396" s="7">
        <f t="shared" si="23"/>
        <v>411003157.73614335</v>
      </c>
      <c r="AP396" s="7">
        <f t="shared" si="23"/>
        <v>411003157.73614335</v>
      </c>
      <c r="AQ396" s="7">
        <f t="shared" si="23"/>
        <v>411003157.73614335</v>
      </c>
      <c r="AR396" s="7">
        <f t="shared" si="23"/>
        <v>411003157.73614335</v>
      </c>
      <c r="AS396" s="7">
        <f t="shared" si="23"/>
        <v>411003157.73614335</v>
      </c>
      <c r="AT396" s="7">
        <f t="shared" si="23"/>
        <v>411003157.73614335</v>
      </c>
      <c r="AU396" s="7">
        <f t="shared" si="23"/>
        <v>411003157.73614335</v>
      </c>
      <c r="AV396" s="7">
        <f t="shared" si="23"/>
        <v>411003157.73614335</v>
      </c>
      <c r="AW396" s="7">
        <f t="shared" si="23"/>
        <v>411003157.73614335</v>
      </c>
      <c r="AX396" s="7">
        <f t="shared" si="23"/>
        <v>411003157.73614335</v>
      </c>
      <c r="AY396" s="7">
        <f t="shared" si="23"/>
        <v>411003157.73614335</v>
      </c>
      <c r="AZ396" s="7">
        <f t="shared" si="23"/>
        <v>411003157.73614335</v>
      </c>
      <c r="BA396" s="7">
        <f t="shared" si="23"/>
        <v>411003157.73614335</v>
      </c>
      <c r="BB396" s="7">
        <f t="shared" si="23"/>
        <v>411003157.73614335</v>
      </c>
      <c r="BC396" s="7">
        <f t="shared" si="23"/>
        <v>411003157.73614335</v>
      </c>
      <c r="BD396" s="7">
        <f t="shared" si="23"/>
        <v>411003157.73614335</v>
      </c>
      <c r="BE396" s="7">
        <f t="shared" si="23"/>
        <v>411003157.73614335</v>
      </c>
    </row>
    <row r="397" spans="1:57" ht="12" customHeight="1" x14ac:dyDescent="0.2">
      <c r="A397" t="s">
        <v>122</v>
      </c>
      <c r="B397" s="7">
        <v>513405645.73689282</v>
      </c>
      <c r="C397" s="7">
        <v>531673401.89162439</v>
      </c>
      <c r="D397" s="7">
        <v>497631836.92465979</v>
      </c>
      <c r="E397" s="7">
        <v>459528634.37485999</v>
      </c>
      <c r="F397" s="7">
        <v>481088820.85719573</v>
      </c>
      <c r="G397" s="7">
        <v>480943021.06641906</v>
      </c>
      <c r="H397" s="7">
        <v>564717417.08658445</v>
      </c>
      <c r="I397" s="7">
        <v>600821069.56415713</v>
      </c>
      <c r="J397" s="7">
        <v>611881458.92322934</v>
      </c>
      <c r="K397" s="7">
        <v>692231872.79462552</v>
      </c>
      <c r="L397" s="7">
        <v>770659675.8653388</v>
      </c>
      <c r="M397" s="7">
        <v>740421809.80982363</v>
      </c>
      <c r="N397" s="7">
        <v>686817330.1670624</v>
      </c>
      <c r="O397" s="7">
        <v>701896967.63457775</v>
      </c>
      <c r="P397" s="7">
        <v>687508517.57529593</v>
      </c>
      <c r="Q397" s="7">
        <v>790458376.0903101</v>
      </c>
      <c r="R397" s="7">
        <v>670069714.43706155</v>
      </c>
      <c r="S397" s="7">
        <v>740882187.94816756</v>
      </c>
      <c r="T397" s="7">
        <v>857553547.39190197</v>
      </c>
      <c r="U397" s="7">
        <v>944799002.08688295</v>
      </c>
      <c r="V397" s="7">
        <v>1005498911.2169778</v>
      </c>
      <c r="W397" s="7">
        <v>1081344665.9611659</v>
      </c>
      <c r="X397" s="7">
        <v>1167398863.0778561</v>
      </c>
      <c r="Y397" s="7">
        <v>1180296029.2151668</v>
      </c>
      <c r="Z397" s="7">
        <v>1157213741.3121798</v>
      </c>
      <c r="AA397" s="7">
        <v>1487031510.5587938</v>
      </c>
      <c r="AB397" s="7">
        <v>452267545.14465451</v>
      </c>
      <c r="AC397" s="22">
        <v>1281436309.8910012</v>
      </c>
      <c r="AD397" s="7">
        <v>1186286208.5426283</v>
      </c>
      <c r="AE397" s="7">
        <v>1186286208.5426283</v>
      </c>
      <c r="AF397" s="12">
        <v>1094204700.8062978</v>
      </c>
      <c r="AG397" s="7">
        <v>1093105267.6590893</v>
      </c>
      <c r="AH397" s="7">
        <v>1092013790.7678192</v>
      </c>
      <c r="AI397" s="7">
        <v>1090929525.5203819</v>
      </c>
      <c r="AJ397" s="7">
        <v>1089851669.8314502</v>
      </c>
      <c r="AK397" s="12">
        <f t="shared" ref="AK397:BE397" si="24">AJ397*(1+0.01*AK$374)</f>
        <v>1089851669.8314502</v>
      </c>
      <c r="AL397" s="7">
        <f t="shared" si="24"/>
        <v>1089851669.8314502</v>
      </c>
      <c r="AM397" s="7">
        <f t="shared" si="24"/>
        <v>1089851669.8314502</v>
      </c>
      <c r="AN397" s="7">
        <f t="shared" si="24"/>
        <v>1089851669.8314502</v>
      </c>
      <c r="AO397" s="7">
        <f t="shared" si="24"/>
        <v>1089851669.8314502</v>
      </c>
      <c r="AP397" s="7">
        <f t="shared" si="24"/>
        <v>1089851669.8314502</v>
      </c>
      <c r="AQ397" s="7">
        <f t="shared" si="24"/>
        <v>1089851669.8314502</v>
      </c>
      <c r="AR397" s="7">
        <f t="shared" si="24"/>
        <v>1089851669.8314502</v>
      </c>
      <c r="AS397" s="7">
        <f t="shared" si="24"/>
        <v>1089851669.8314502</v>
      </c>
      <c r="AT397" s="7">
        <f t="shared" si="24"/>
        <v>1089851669.8314502</v>
      </c>
      <c r="AU397" s="7">
        <f t="shared" si="24"/>
        <v>1089851669.8314502</v>
      </c>
      <c r="AV397" s="7">
        <f t="shared" si="24"/>
        <v>1089851669.8314502</v>
      </c>
      <c r="AW397" s="7">
        <f t="shared" si="24"/>
        <v>1089851669.8314502</v>
      </c>
      <c r="AX397" s="7">
        <f t="shared" si="24"/>
        <v>1089851669.8314502</v>
      </c>
      <c r="AY397" s="7">
        <f t="shared" si="24"/>
        <v>1089851669.8314502</v>
      </c>
      <c r="AZ397" s="7">
        <f t="shared" si="24"/>
        <v>1089851669.8314502</v>
      </c>
      <c r="BA397" s="7">
        <f t="shared" si="24"/>
        <v>1089851669.8314502</v>
      </c>
      <c r="BB397" s="7">
        <f t="shared" si="24"/>
        <v>1089851669.8314502</v>
      </c>
      <c r="BC397" s="7">
        <f t="shared" si="24"/>
        <v>1089851669.8314502</v>
      </c>
      <c r="BD397" s="7">
        <f t="shared" si="24"/>
        <v>1089851669.8314502</v>
      </c>
      <c r="BE397" s="7">
        <f t="shared" si="24"/>
        <v>1089851669.8314502</v>
      </c>
    </row>
    <row r="398" spans="1:57" ht="12" customHeight="1" x14ac:dyDescent="0.2">
      <c r="A398" t="s">
        <v>123</v>
      </c>
      <c r="B398" s="7">
        <v>339530477.66345322</v>
      </c>
      <c r="C398" s="7">
        <v>363484426.35365844</v>
      </c>
      <c r="D398" s="7">
        <v>377819207.48584718</v>
      </c>
      <c r="E398" s="7">
        <v>263887778.68645164</v>
      </c>
      <c r="F398" s="7">
        <v>244093809.7374815</v>
      </c>
      <c r="G398" s="7">
        <v>286092407.76154917</v>
      </c>
      <c r="H398" s="7">
        <v>296999362.63697195</v>
      </c>
      <c r="I398" s="7">
        <v>303110831.90838957</v>
      </c>
      <c r="J398" s="7">
        <v>341993129.99407434</v>
      </c>
      <c r="K398" s="7">
        <v>364204812.48901218</v>
      </c>
      <c r="L398" s="7">
        <v>371850245.33116084</v>
      </c>
      <c r="M398" s="7">
        <v>402586949.11837828</v>
      </c>
      <c r="N398" s="7">
        <v>421301520.2602008</v>
      </c>
      <c r="O398" s="7">
        <v>427933786.52761459</v>
      </c>
      <c r="P398" s="7">
        <v>392918048.56282872</v>
      </c>
      <c r="Q398" s="7">
        <v>398607101.6989674</v>
      </c>
      <c r="R398" s="7">
        <v>429023020.26796132</v>
      </c>
      <c r="S398" s="7">
        <v>441126288.68931645</v>
      </c>
      <c r="T398" s="7">
        <v>473859222.91946256</v>
      </c>
      <c r="U398" s="7">
        <v>478423755.642241</v>
      </c>
      <c r="V398" s="7">
        <v>448656041.10232079</v>
      </c>
      <c r="W398" s="7">
        <v>452389886.91675037</v>
      </c>
      <c r="X398" s="7">
        <v>464714904.22283769</v>
      </c>
      <c r="Y398" s="7">
        <v>472145327.21173328</v>
      </c>
      <c r="Z398" s="7">
        <v>466260803.32874066</v>
      </c>
      <c r="AA398" s="7">
        <v>234143777.50798598</v>
      </c>
      <c r="AB398" s="7">
        <v>253604724.3747645</v>
      </c>
      <c r="AC398" s="22">
        <v>281498507.45004058</v>
      </c>
      <c r="AD398" s="7">
        <v>476241111.24929047</v>
      </c>
      <c r="AE398" s="7">
        <v>476241111.24929047</v>
      </c>
      <c r="AF398" s="12">
        <v>475972047.17806232</v>
      </c>
      <c r="AG398" s="7">
        <v>475496235.00145066</v>
      </c>
      <c r="AH398" s="7">
        <v>475021240.56747627</v>
      </c>
      <c r="AI398" s="7">
        <v>474547026.27868605</v>
      </c>
      <c r="AJ398" s="7">
        <v>474073551.66849428</v>
      </c>
      <c r="AK398" s="12">
        <f t="shared" ref="AK398:BE398" si="25">AJ398*(1+0.01*AK$374)</f>
        <v>474073551.66849428</v>
      </c>
      <c r="AL398" s="7">
        <f t="shared" si="25"/>
        <v>474073551.66849428</v>
      </c>
      <c r="AM398" s="7">
        <f t="shared" si="25"/>
        <v>474073551.66849428</v>
      </c>
      <c r="AN398" s="7">
        <f t="shared" si="25"/>
        <v>474073551.66849428</v>
      </c>
      <c r="AO398" s="7">
        <f t="shared" si="25"/>
        <v>474073551.66849428</v>
      </c>
      <c r="AP398" s="7">
        <f t="shared" si="25"/>
        <v>474073551.66849428</v>
      </c>
      <c r="AQ398" s="7">
        <f t="shared" si="25"/>
        <v>474073551.66849428</v>
      </c>
      <c r="AR398" s="7">
        <f t="shared" si="25"/>
        <v>474073551.66849428</v>
      </c>
      <c r="AS398" s="7">
        <f t="shared" si="25"/>
        <v>474073551.66849428</v>
      </c>
      <c r="AT398" s="7">
        <f t="shared" si="25"/>
        <v>474073551.66849428</v>
      </c>
      <c r="AU398" s="7">
        <f t="shared" si="25"/>
        <v>474073551.66849428</v>
      </c>
      <c r="AV398" s="7">
        <f t="shared" si="25"/>
        <v>474073551.66849428</v>
      </c>
      <c r="AW398" s="7">
        <f t="shared" si="25"/>
        <v>474073551.66849428</v>
      </c>
      <c r="AX398" s="7">
        <f t="shared" si="25"/>
        <v>474073551.66849428</v>
      </c>
      <c r="AY398" s="7">
        <f t="shared" si="25"/>
        <v>474073551.66849428</v>
      </c>
      <c r="AZ398" s="7">
        <f t="shared" si="25"/>
        <v>474073551.66849428</v>
      </c>
      <c r="BA398" s="7">
        <f t="shared" si="25"/>
        <v>474073551.66849428</v>
      </c>
      <c r="BB398" s="7">
        <f t="shared" si="25"/>
        <v>474073551.66849428</v>
      </c>
      <c r="BC398" s="7">
        <f t="shared" si="25"/>
        <v>474073551.66849428</v>
      </c>
      <c r="BD398" s="7">
        <f t="shared" si="25"/>
        <v>474073551.66849428</v>
      </c>
      <c r="BE398" s="7">
        <f t="shared" si="25"/>
        <v>474073551.66849428</v>
      </c>
    </row>
    <row r="399" spans="1:57" ht="12" customHeight="1" x14ac:dyDescent="0.2">
      <c r="A399" t="s">
        <v>124</v>
      </c>
      <c r="B399" s="7">
        <v>242610058.75603002</v>
      </c>
      <c r="C399" s="7">
        <v>222836059.83407345</v>
      </c>
      <c r="D399" s="7">
        <v>191879272.48086157</v>
      </c>
      <c r="E399" s="7">
        <v>162767570.44817111</v>
      </c>
      <c r="F399" s="7">
        <v>138080279.62365741</v>
      </c>
      <c r="G399" s="7">
        <v>124807488.79738475</v>
      </c>
      <c r="H399" s="7">
        <v>123915371.59083135</v>
      </c>
      <c r="I399" s="7">
        <v>137607779.05696237</v>
      </c>
      <c r="J399" s="7">
        <v>149978522.2731334</v>
      </c>
      <c r="K399" s="7">
        <v>162228485.69027266</v>
      </c>
      <c r="L399" s="7">
        <v>154556058.05855295</v>
      </c>
      <c r="M399" s="7">
        <v>204472591.62297752</v>
      </c>
      <c r="N399" s="7">
        <v>195712867.30057326</v>
      </c>
      <c r="O399" s="7">
        <v>265510419.11710548</v>
      </c>
      <c r="P399" s="7">
        <v>275863591.63007218</v>
      </c>
      <c r="Q399" s="7">
        <v>238491628.75692663</v>
      </c>
      <c r="R399" s="7">
        <v>255950382.66575328</v>
      </c>
      <c r="S399" s="7">
        <v>217589640.70731205</v>
      </c>
      <c r="T399" s="7">
        <v>221277067.86619806</v>
      </c>
      <c r="U399" s="7">
        <v>193745915.26128337</v>
      </c>
      <c r="V399" s="7">
        <v>441435078.34268302</v>
      </c>
      <c r="W399" s="7">
        <v>290019204.69885081</v>
      </c>
      <c r="X399" s="7">
        <v>330338083.59958255</v>
      </c>
      <c r="Y399" s="7">
        <v>307909045.08269399</v>
      </c>
      <c r="Z399" s="7">
        <v>425131228.9299922</v>
      </c>
      <c r="AA399" s="7">
        <v>225489566.22682151</v>
      </c>
      <c r="AB399" s="7">
        <v>277378982.57457101</v>
      </c>
      <c r="AC399" s="22">
        <v>324178883.15263933</v>
      </c>
      <c r="AD399" s="7">
        <v>315851454.67573094</v>
      </c>
      <c r="AE399" s="7">
        <v>372017939.06143826</v>
      </c>
      <c r="AF399" s="12">
        <v>372017939.06143826</v>
      </c>
      <c r="AG399" s="7">
        <v>372017939.06143826</v>
      </c>
      <c r="AH399" s="7">
        <v>372017939.06143826</v>
      </c>
      <c r="AI399" s="7">
        <v>372017939.06143826</v>
      </c>
      <c r="AJ399" s="7">
        <v>372017939.06143826</v>
      </c>
      <c r="AK399" s="12">
        <f t="shared" ref="AK399:BE399" si="26">AJ399*(1+0.01*AK$374)</f>
        <v>372017939.06143826</v>
      </c>
      <c r="AL399" s="7">
        <f t="shared" si="26"/>
        <v>372017939.06143826</v>
      </c>
      <c r="AM399" s="7">
        <f t="shared" si="26"/>
        <v>372017939.06143826</v>
      </c>
      <c r="AN399" s="7">
        <f t="shared" si="26"/>
        <v>372017939.06143826</v>
      </c>
      <c r="AO399" s="7">
        <f t="shared" si="26"/>
        <v>372017939.06143826</v>
      </c>
      <c r="AP399" s="7">
        <f t="shared" si="26"/>
        <v>372017939.06143826</v>
      </c>
      <c r="AQ399" s="7">
        <f t="shared" si="26"/>
        <v>372017939.06143826</v>
      </c>
      <c r="AR399" s="7">
        <f t="shared" si="26"/>
        <v>372017939.06143826</v>
      </c>
      <c r="AS399" s="7">
        <f t="shared" si="26"/>
        <v>372017939.06143826</v>
      </c>
      <c r="AT399" s="7">
        <f t="shared" si="26"/>
        <v>372017939.06143826</v>
      </c>
      <c r="AU399" s="7">
        <f t="shared" si="26"/>
        <v>372017939.06143826</v>
      </c>
      <c r="AV399" s="7">
        <f t="shared" si="26"/>
        <v>372017939.06143826</v>
      </c>
      <c r="AW399" s="7">
        <f t="shared" si="26"/>
        <v>372017939.06143826</v>
      </c>
      <c r="AX399" s="7">
        <f t="shared" si="26"/>
        <v>372017939.06143826</v>
      </c>
      <c r="AY399" s="7">
        <f t="shared" si="26"/>
        <v>372017939.06143826</v>
      </c>
      <c r="AZ399" s="7">
        <f t="shared" si="26"/>
        <v>372017939.06143826</v>
      </c>
      <c r="BA399" s="7">
        <f t="shared" si="26"/>
        <v>372017939.06143826</v>
      </c>
      <c r="BB399" s="7">
        <f t="shared" si="26"/>
        <v>372017939.06143826</v>
      </c>
      <c r="BC399" s="7">
        <f t="shared" si="26"/>
        <v>372017939.06143826</v>
      </c>
      <c r="BD399" s="7">
        <f t="shared" si="26"/>
        <v>372017939.06143826</v>
      </c>
      <c r="BE399" s="7">
        <f t="shared" si="26"/>
        <v>372017939.06143826</v>
      </c>
    </row>
    <row r="400" spans="1:57" ht="12" customHeight="1" x14ac:dyDescent="0.2">
      <c r="A400" t="s">
        <v>125</v>
      </c>
      <c r="B400" s="7">
        <v>189366390.65954894</v>
      </c>
      <c r="C400" s="7">
        <v>233066579.31731227</v>
      </c>
      <c r="D400" s="7">
        <v>271692976.58833283</v>
      </c>
      <c r="E400" s="7">
        <v>332698014.63313997</v>
      </c>
      <c r="F400" s="7">
        <v>268024202.43525633</v>
      </c>
      <c r="G400" s="7">
        <v>306114038.14467007</v>
      </c>
      <c r="H400" s="7">
        <v>395652964.53006327</v>
      </c>
      <c r="I400" s="7">
        <v>370154680.24861521</v>
      </c>
      <c r="J400" s="7">
        <v>347561694.88474828</v>
      </c>
      <c r="K400" s="7">
        <v>337865986.12047869</v>
      </c>
      <c r="L400" s="7">
        <v>257953454.30587506</v>
      </c>
      <c r="M400" s="7">
        <v>493757316.20642018</v>
      </c>
      <c r="N400" s="7">
        <v>443446320.1847533</v>
      </c>
      <c r="O400" s="7">
        <v>464983233.20345581</v>
      </c>
      <c r="P400" s="7">
        <v>575232675.82569194</v>
      </c>
      <c r="Q400" s="7">
        <v>252745322.47941533</v>
      </c>
      <c r="R400" s="7">
        <v>429594366.9112401</v>
      </c>
      <c r="S400" s="7">
        <v>331885803.8547107</v>
      </c>
      <c r="T400" s="7">
        <v>280057982.88409311</v>
      </c>
      <c r="U400" s="7">
        <v>226968327.04762417</v>
      </c>
      <c r="V400" s="7">
        <v>238069400.13291371</v>
      </c>
      <c r="W400" s="7">
        <v>235708946.27836788</v>
      </c>
      <c r="X400" s="7">
        <v>270871019.49986506</v>
      </c>
      <c r="Y400" s="7">
        <v>266322357.62957346</v>
      </c>
      <c r="Z400" s="7">
        <v>316128924.0982095</v>
      </c>
      <c r="AA400" s="7">
        <v>246464497.8603752</v>
      </c>
      <c r="AB400" s="7">
        <v>342623321.63886166</v>
      </c>
      <c r="AC400" s="22">
        <v>343379442.20152169</v>
      </c>
      <c r="AD400" s="7">
        <v>295594025.47684985</v>
      </c>
      <c r="AE400" s="7">
        <v>295594025.47684985</v>
      </c>
      <c r="AF400" s="12">
        <v>295594025.47684985</v>
      </c>
      <c r="AG400" s="7">
        <v>295594025.47684985</v>
      </c>
      <c r="AH400" s="7">
        <v>295594025.47684985</v>
      </c>
      <c r="AI400" s="7">
        <v>295594025.47684985</v>
      </c>
      <c r="AJ400" s="7">
        <v>295594025.47684985</v>
      </c>
      <c r="AK400" s="12">
        <f t="shared" ref="AK400:BE400" si="27">AJ400*(1+0.01*AK$374)</f>
        <v>295594025.47684985</v>
      </c>
      <c r="AL400" s="7">
        <f t="shared" si="27"/>
        <v>295594025.47684985</v>
      </c>
      <c r="AM400" s="7">
        <f t="shared" si="27"/>
        <v>295594025.47684985</v>
      </c>
      <c r="AN400" s="7">
        <f t="shared" si="27"/>
        <v>295594025.47684985</v>
      </c>
      <c r="AO400" s="7">
        <f t="shared" si="27"/>
        <v>295594025.47684985</v>
      </c>
      <c r="AP400" s="7">
        <f t="shared" si="27"/>
        <v>295594025.47684985</v>
      </c>
      <c r="AQ400" s="7">
        <f t="shared" si="27"/>
        <v>295594025.47684985</v>
      </c>
      <c r="AR400" s="7">
        <f t="shared" si="27"/>
        <v>295594025.47684985</v>
      </c>
      <c r="AS400" s="7">
        <f t="shared" si="27"/>
        <v>295594025.47684985</v>
      </c>
      <c r="AT400" s="7">
        <f t="shared" si="27"/>
        <v>295594025.47684985</v>
      </c>
      <c r="AU400" s="7">
        <f t="shared" si="27"/>
        <v>295594025.47684985</v>
      </c>
      <c r="AV400" s="7">
        <f t="shared" si="27"/>
        <v>295594025.47684985</v>
      </c>
      <c r="AW400" s="7">
        <f t="shared" si="27"/>
        <v>295594025.47684985</v>
      </c>
      <c r="AX400" s="7">
        <f t="shared" si="27"/>
        <v>295594025.47684985</v>
      </c>
      <c r="AY400" s="7">
        <f t="shared" si="27"/>
        <v>295594025.47684985</v>
      </c>
      <c r="AZ400" s="7">
        <f t="shared" si="27"/>
        <v>295594025.47684985</v>
      </c>
      <c r="BA400" s="7">
        <f t="shared" si="27"/>
        <v>295594025.47684985</v>
      </c>
      <c r="BB400" s="7">
        <f t="shared" si="27"/>
        <v>295594025.47684985</v>
      </c>
      <c r="BC400" s="7">
        <f t="shared" si="27"/>
        <v>295594025.47684985</v>
      </c>
      <c r="BD400" s="7">
        <f t="shared" si="27"/>
        <v>295594025.47684985</v>
      </c>
      <c r="BE400" s="7">
        <f t="shared" si="27"/>
        <v>295594025.47684985</v>
      </c>
    </row>
    <row r="401" spans="1:57" ht="12" customHeight="1" x14ac:dyDescent="0.2">
      <c r="A401" t="s">
        <v>126</v>
      </c>
      <c r="B401" s="7">
        <v>141642570.77442616</v>
      </c>
      <c r="C401" s="7">
        <v>161463771.16781411</v>
      </c>
      <c r="D401" s="7">
        <v>166466807.03283873</v>
      </c>
      <c r="E401" s="7">
        <v>191844248.08483288</v>
      </c>
      <c r="F401" s="7">
        <v>213332981.45886976</v>
      </c>
      <c r="G401" s="7">
        <v>227172835.37684596</v>
      </c>
      <c r="H401" s="7">
        <v>232331193.0061622</v>
      </c>
      <c r="I401" s="7">
        <v>233583927.19999495</v>
      </c>
      <c r="J401" s="7">
        <v>204041946.5927431</v>
      </c>
      <c r="K401" s="7">
        <v>273158044.22469407</v>
      </c>
      <c r="L401" s="7">
        <v>295926896.05516922</v>
      </c>
      <c r="M401" s="7">
        <v>292863027.43059355</v>
      </c>
      <c r="N401" s="7">
        <v>296793960.3605125</v>
      </c>
      <c r="O401" s="7">
        <v>279890626.68840617</v>
      </c>
      <c r="P401" s="7">
        <v>273612100.834593</v>
      </c>
      <c r="Q401" s="7">
        <v>285367989.28853178</v>
      </c>
      <c r="R401" s="7">
        <v>308914413.52032846</v>
      </c>
      <c r="S401" s="7">
        <v>315848715.62880105</v>
      </c>
      <c r="T401" s="7">
        <v>302605944.54026353</v>
      </c>
      <c r="U401" s="7">
        <v>298211657.90977335</v>
      </c>
      <c r="V401" s="7">
        <v>303194764.27960581</v>
      </c>
      <c r="W401" s="7">
        <v>316915425.83353519</v>
      </c>
      <c r="X401" s="7">
        <v>308587937.88336283</v>
      </c>
      <c r="Y401" s="7">
        <v>302516750.63388991</v>
      </c>
      <c r="Z401" s="7">
        <v>302907916.17450505</v>
      </c>
      <c r="AA401" s="7">
        <v>130219644.37347646</v>
      </c>
      <c r="AB401" s="7">
        <v>102117221.29544361</v>
      </c>
      <c r="AC401" s="22">
        <v>58129985.184855565</v>
      </c>
      <c r="AD401" s="7">
        <v>307253018.40526038</v>
      </c>
      <c r="AE401" s="7">
        <v>307253018.40526038</v>
      </c>
      <c r="AF401" s="12">
        <v>301653526.50411898</v>
      </c>
      <c r="AG401" s="7">
        <v>302323892.20259291</v>
      </c>
      <c r="AH401" s="7">
        <v>302022298.50335735</v>
      </c>
      <c r="AI401" s="7">
        <v>301725892.60959327</v>
      </c>
      <c r="AJ401" s="7">
        <v>301434034.79651821</v>
      </c>
      <c r="AK401" s="12">
        <f t="shared" ref="AK401:BE401" si="28">AJ401*(1+0.01*AK$374)</f>
        <v>301434034.79651821</v>
      </c>
      <c r="AL401" s="7">
        <f t="shared" si="28"/>
        <v>301434034.79651821</v>
      </c>
      <c r="AM401" s="7">
        <f t="shared" si="28"/>
        <v>301434034.79651821</v>
      </c>
      <c r="AN401" s="7">
        <f t="shared" si="28"/>
        <v>301434034.79651821</v>
      </c>
      <c r="AO401" s="7">
        <f t="shared" si="28"/>
        <v>301434034.79651821</v>
      </c>
      <c r="AP401" s="7">
        <f t="shared" si="28"/>
        <v>301434034.79651821</v>
      </c>
      <c r="AQ401" s="7">
        <f t="shared" si="28"/>
        <v>301434034.79651821</v>
      </c>
      <c r="AR401" s="7">
        <f t="shared" si="28"/>
        <v>301434034.79651821</v>
      </c>
      <c r="AS401" s="7">
        <f t="shared" si="28"/>
        <v>301434034.79651821</v>
      </c>
      <c r="AT401" s="7">
        <f t="shared" si="28"/>
        <v>301434034.79651821</v>
      </c>
      <c r="AU401" s="7">
        <f t="shared" si="28"/>
        <v>301434034.79651821</v>
      </c>
      <c r="AV401" s="7">
        <f t="shared" si="28"/>
        <v>301434034.79651821</v>
      </c>
      <c r="AW401" s="7">
        <f t="shared" si="28"/>
        <v>301434034.79651821</v>
      </c>
      <c r="AX401" s="7">
        <f t="shared" si="28"/>
        <v>301434034.79651821</v>
      </c>
      <c r="AY401" s="7">
        <f t="shared" si="28"/>
        <v>301434034.79651821</v>
      </c>
      <c r="AZ401" s="7">
        <f t="shared" si="28"/>
        <v>301434034.79651821</v>
      </c>
      <c r="BA401" s="7">
        <f t="shared" si="28"/>
        <v>301434034.79651821</v>
      </c>
      <c r="BB401" s="7">
        <f t="shared" si="28"/>
        <v>301434034.79651821</v>
      </c>
      <c r="BC401" s="7">
        <f t="shared" si="28"/>
        <v>301434034.79651821</v>
      </c>
      <c r="BD401" s="7">
        <f t="shared" si="28"/>
        <v>301434034.79651821</v>
      </c>
      <c r="BE401" s="7">
        <f t="shared" si="28"/>
        <v>301434034.79651821</v>
      </c>
    </row>
    <row r="402" spans="1:57" ht="12" customHeight="1" x14ac:dyDescent="0.2">
      <c r="A402" t="s">
        <v>127</v>
      </c>
      <c r="B402" s="7">
        <v>568341206.87331855</v>
      </c>
      <c r="C402" s="7">
        <v>586697254.72881961</v>
      </c>
      <c r="D402" s="7">
        <v>503303248.97278911</v>
      </c>
      <c r="E402" s="7">
        <v>563893336.90307069</v>
      </c>
      <c r="F402" s="7">
        <v>536597836.47324431</v>
      </c>
      <c r="G402" s="7">
        <v>548894647.51445913</v>
      </c>
      <c r="H402" s="7">
        <v>609660122.86047649</v>
      </c>
      <c r="I402" s="7">
        <v>551006768.35785937</v>
      </c>
      <c r="J402" s="7">
        <v>615266834.00797617</v>
      </c>
      <c r="K402" s="7">
        <v>719722005.99214685</v>
      </c>
      <c r="L402" s="7">
        <v>697977762.96059144</v>
      </c>
      <c r="M402" s="7">
        <v>916566901.83975136</v>
      </c>
      <c r="N402" s="7">
        <v>862053171.77462721</v>
      </c>
      <c r="O402" s="7">
        <v>877230778.29087901</v>
      </c>
      <c r="P402" s="7">
        <v>898950714.19278014</v>
      </c>
      <c r="Q402" s="7">
        <v>1043113521.4831315</v>
      </c>
      <c r="R402" s="7">
        <v>1191369658.2010653</v>
      </c>
      <c r="S402" s="7">
        <v>1049446202.2672286</v>
      </c>
      <c r="T402" s="7">
        <v>908669384.91285908</v>
      </c>
      <c r="U402" s="7">
        <v>1090778843.1375663</v>
      </c>
      <c r="V402" s="7">
        <v>960729715.04132199</v>
      </c>
      <c r="W402" s="7">
        <v>913957033.61339307</v>
      </c>
      <c r="X402" s="7">
        <v>986628147.17823422</v>
      </c>
      <c r="Y402" s="7">
        <v>1023272765.7740393</v>
      </c>
      <c r="Z402" s="7">
        <v>1402050464.346324</v>
      </c>
      <c r="AA402" s="7">
        <v>799032779.05520451</v>
      </c>
      <c r="AB402" s="7">
        <v>1250268034.0011737</v>
      </c>
      <c r="AC402" s="22">
        <v>1493828195.963176</v>
      </c>
      <c r="AD402" s="7">
        <v>1230851539.2860842</v>
      </c>
      <c r="AE402" s="7">
        <v>1168337068.8486667</v>
      </c>
      <c r="AF402" s="12">
        <v>1081427798.7990327</v>
      </c>
      <c r="AG402" s="7">
        <v>1080336418.9855602</v>
      </c>
      <c r="AH402" s="7">
        <v>1079258097.8829069</v>
      </c>
      <c r="AI402" s="7">
        <v>1078191536.822181</v>
      </c>
      <c r="AJ402" s="7">
        <v>1077135336.8315885</v>
      </c>
      <c r="AK402" s="12">
        <f t="shared" ref="AK402:BE402" si="29">AJ402*(1+0.01*AK$374)</f>
        <v>1077135336.8315885</v>
      </c>
      <c r="AL402" s="7">
        <f t="shared" si="29"/>
        <v>1077135336.8315885</v>
      </c>
      <c r="AM402" s="7">
        <f t="shared" si="29"/>
        <v>1077135336.8315885</v>
      </c>
      <c r="AN402" s="7">
        <f t="shared" si="29"/>
        <v>1077135336.8315885</v>
      </c>
      <c r="AO402" s="7">
        <f t="shared" si="29"/>
        <v>1077135336.8315885</v>
      </c>
      <c r="AP402" s="7">
        <f t="shared" si="29"/>
        <v>1077135336.8315885</v>
      </c>
      <c r="AQ402" s="7">
        <f t="shared" si="29"/>
        <v>1077135336.8315885</v>
      </c>
      <c r="AR402" s="7">
        <f t="shared" si="29"/>
        <v>1077135336.8315885</v>
      </c>
      <c r="AS402" s="7">
        <f t="shared" si="29"/>
        <v>1077135336.8315885</v>
      </c>
      <c r="AT402" s="7">
        <f t="shared" si="29"/>
        <v>1077135336.8315885</v>
      </c>
      <c r="AU402" s="7">
        <f t="shared" si="29"/>
        <v>1077135336.8315885</v>
      </c>
      <c r="AV402" s="7">
        <f t="shared" si="29"/>
        <v>1077135336.8315885</v>
      </c>
      <c r="AW402" s="7">
        <f t="shared" si="29"/>
        <v>1077135336.8315885</v>
      </c>
      <c r="AX402" s="7">
        <f t="shared" si="29"/>
        <v>1077135336.8315885</v>
      </c>
      <c r="AY402" s="7">
        <f t="shared" si="29"/>
        <v>1077135336.8315885</v>
      </c>
      <c r="AZ402" s="7">
        <f t="shared" si="29"/>
        <v>1077135336.8315885</v>
      </c>
      <c r="BA402" s="7">
        <f t="shared" si="29"/>
        <v>1077135336.8315885</v>
      </c>
      <c r="BB402" s="7">
        <f t="shared" si="29"/>
        <v>1077135336.8315885</v>
      </c>
      <c r="BC402" s="7">
        <f t="shared" si="29"/>
        <v>1077135336.8315885</v>
      </c>
      <c r="BD402" s="7">
        <f t="shared" si="29"/>
        <v>1077135336.8315885</v>
      </c>
      <c r="BE402" s="7">
        <f t="shared" si="29"/>
        <v>1077135336.8315885</v>
      </c>
    </row>
    <row r="403" spans="1:57" ht="12" customHeight="1" x14ac:dyDescent="0.2">
      <c r="A403" t="s">
        <v>128</v>
      </c>
      <c r="B403" s="7">
        <v>559474737.19559991</v>
      </c>
      <c r="C403" s="7">
        <v>564525034.84028792</v>
      </c>
      <c r="D403" s="7">
        <v>570576282.72728288</v>
      </c>
      <c r="E403" s="7">
        <v>524571161.27931792</v>
      </c>
      <c r="F403" s="7">
        <v>543157803.36626148</v>
      </c>
      <c r="G403" s="7">
        <v>556574826.71183395</v>
      </c>
      <c r="H403" s="7">
        <v>575381491.78576553</v>
      </c>
      <c r="I403" s="7">
        <v>569874309.04033959</v>
      </c>
      <c r="J403" s="7">
        <v>515384239.98374283</v>
      </c>
      <c r="K403" s="7">
        <v>566351543.84815419</v>
      </c>
      <c r="L403" s="7">
        <v>615538247.80909848</v>
      </c>
      <c r="M403" s="7">
        <v>629295159.01404953</v>
      </c>
      <c r="N403" s="7">
        <v>638282470.44566834</v>
      </c>
      <c r="O403" s="7">
        <v>664571810.9207654</v>
      </c>
      <c r="P403" s="7">
        <v>609122539.01276779</v>
      </c>
      <c r="Q403" s="7">
        <v>654315431.12259877</v>
      </c>
      <c r="R403" s="7">
        <v>630787944.95212924</v>
      </c>
      <c r="S403" s="7">
        <v>625389376.7586906</v>
      </c>
      <c r="T403" s="7">
        <v>596491211.5233202</v>
      </c>
      <c r="U403" s="7">
        <v>654029734.24649894</v>
      </c>
      <c r="V403" s="7">
        <v>627590823.58184314</v>
      </c>
      <c r="W403" s="7">
        <v>675444222.59037554</v>
      </c>
      <c r="X403" s="7">
        <v>706212135.93818247</v>
      </c>
      <c r="Y403" s="7">
        <v>724401785.82409</v>
      </c>
      <c r="Z403" s="7">
        <v>683693948.91008282</v>
      </c>
      <c r="AA403" s="7">
        <v>361910635.9373576</v>
      </c>
      <c r="AB403" s="7">
        <v>380392109.66909707</v>
      </c>
      <c r="AC403" s="22">
        <v>418904557.54575592</v>
      </c>
      <c r="AD403" s="7">
        <v>699556656.7641325</v>
      </c>
      <c r="AE403" s="7">
        <v>714608585.37759268</v>
      </c>
      <c r="AF403" s="12">
        <v>714608585.37759268</v>
      </c>
      <c r="AG403" s="7">
        <v>714608585.37759268</v>
      </c>
      <c r="AH403" s="7">
        <v>713894690.68690574</v>
      </c>
      <c r="AI403" s="7">
        <v>713181509.17772806</v>
      </c>
      <c r="AJ403" s="7">
        <v>712469040.13759053</v>
      </c>
      <c r="AK403" s="12">
        <f t="shared" ref="AK403:BE403" si="30">AJ403*(1+0.01*AK$374)</f>
        <v>712469040.13759053</v>
      </c>
      <c r="AL403" s="7">
        <f t="shared" si="30"/>
        <v>712469040.13759053</v>
      </c>
      <c r="AM403" s="7">
        <f t="shared" si="30"/>
        <v>712469040.13759053</v>
      </c>
      <c r="AN403" s="7">
        <f t="shared" si="30"/>
        <v>712469040.13759053</v>
      </c>
      <c r="AO403" s="7">
        <f t="shared" si="30"/>
        <v>712469040.13759053</v>
      </c>
      <c r="AP403" s="7">
        <f t="shared" si="30"/>
        <v>712469040.13759053</v>
      </c>
      <c r="AQ403" s="7">
        <f t="shared" si="30"/>
        <v>712469040.13759053</v>
      </c>
      <c r="AR403" s="7">
        <f t="shared" si="30"/>
        <v>712469040.13759053</v>
      </c>
      <c r="AS403" s="7">
        <f t="shared" si="30"/>
        <v>712469040.13759053</v>
      </c>
      <c r="AT403" s="7">
        <f t="shared" si="30"/>
        <v>712469040.13759053</v>
      </c>
      <c r="AU403" s="7">
        <f t="shared" si="30"/>
        <v>712469040.13759053</v>
      </c>
      <c r="AV403" s="7">
        <f t="shared" si="30"/>
        <v>712469040.13759053</v>
      </c>
      <c r="AW403" s="7">
        <f t="shared" si="30"/>
        <v>712469040.13759053</v>
      </c>
      <c r="AX403" s="7">
        <f t="shared" si="30"/>
        <v>712469040.13759053</v>
      </c>
      <c r="AY403" s="7">
        <f t="shared" si="30"/>
        <v>712469040.13759053</v>
      </c>
      <c r="AZ403" s="7">
        <f t="shared" si="30"/>
        <v>712469040.13759053</v>
      </c>
      <c r="BA403" s="7">
        <f t="shared" si="30"/>
        <v>712469040.13759053</v>
      </c>
      <c r="BB403" s="7">
        <f t="shared" si="30"/>
        <v>712469040.13759053</v>
      </c>
      <c r="BC403" s="7">
        <f t="shared" si="30"/>
        <v>712469040.13759053</v>
      </c>
      <c r="BD403" s="7">
        <f t="shared" si="30"/>
        <v>712469040.13759053</v>
      </c>
      <c r="BE403" s="7">
        <f t="shared" si="30"/>
        <v>712469040.13759053</v>
      </c>
    </row>
    <row r="404" spans="1:57" ht="12" customHeight="1" x14ac:dyDescent="0.2">
      <c r="A404" t="s">
        <v>129</v>
      </c>
      <c r="B404" s="7">
        <v>279056440.87238669</v>
      </c>
      <c r="C404" s="7">
        <v>263323941.50993037</v>
      </c>
      <c r="D404" s="7">
        <v>257367986.43164051</v>
      </c>
      <c r="E404" s="7">
        <v>266175234.56334874</v>
      </c>
      <c r="F404" s="7">
        <v>243531962.91855815</v>
      </c>
      <c r="G404" s="7">
        <v>282868790.655361</v>
      </c>
      <c r="H404" s="7">
        <v>259889216.97847867</v>
      </c>
      <c r="I404" s="7">
        <v>252936506.96063742</v>
      </c>
      <c r="J404" s="7">
        <v>224563239.02211219</v>
      </c>
      <c r="K404" s="7">
        <v>229470744.43312627</v>
      </c>
      <c r="L404" s="7">
        <v>234178820.39348051</v>
      </c>
      <c r="M404" s="7">
        <v>255986900.91528052</v>
      </c>
      <c r="N404" s="7">
        <v>347730040.4235608</v>
      </c>
      <c r="O404" s="7">
        <v>311884801.07360029</v>
      </c>
      <c r="P404" s="7">
        <v>287784199.64729351</v>
      </c>
      <c r="Q404" s="7">
        <v>281068375.85540533</v>
      </c>
      <c r="R404" s="7">
        <v>303535182.67902362</v>
      </c>
      <c r="S404" s="7">
        <v>279819520.83581692</v>
      </c>
      <c r="T404" s="7">
        <v>271466763.52698171</v>
      </c>
      <c r="U404" s="7">
        <v>269605571.5001536</v>
      </c>
      <c r="V404" s="7">
        <v>377674970.33784145</v>
      </c>
      <c r="W404" s="7">
        <v>396962675.31322575</v>
      </c>
      <c r="X404" s="7">
        <v>394904412.46822935</v>
      </c>
      <c r="Y404" s="7">
        <v>408051817.28301936</v>
      </c>
      <c r="Z404" s="7">
        <v>397036020.31742173</v>
      </c>
      <c r="AA404" s="7">
        <v>229090780.29936269</v>
      </c>
      <c r="AB404" s="7">
        <v>255589947.36198044</v>
      </c>
      <c r="AC404" s="22">
        <v>341310480.17323625</v>
      </c>
      <c r="AD404" s="7">
        <v>408582077.58222383</v>
      </c>
      <c r="AE404" s="7">
        <v>408582077.58222383</v>
      </c>
      <c r="AF404" s="12">
        <v>408216329.52972496</v>
      </c>
      <c r="AG404" s="7">
        <v>407808521.00871629</v>
      </c>
      <c r="AH404" s="7">
        <v>407401119.88882744</v>
      </c>
      <c r="AI404" s="7">
        <v>406994125.7630645</v>
      </c>
      <c r="AJ404" s="7">
        <v>406587538.22483975</v>
      </c>
      <c r="AK404" s="12">
        <f t="shared" ref="AK404:BE404" si="31">AJ404*(1+0.01*AK$374)</f>
        <v>406587538.22483975</v>
      </c>
      <c r="AL404" s="7">
        <f t="shared" si="31"/>
        <v>406587538.22483975</v>
      </c>
      <c r="AM404" s="7">
        <f t="shared" si="31"/>
        <v>406587538.22483975</v>
      </c>
      <c r="AN404" s="7">
        <f t="shared" si="31"/>
        <v>406587538.22483975</v>
      </c>
      <c r="AO404" s="7">
        <f t="shared" si="31"/>
        <v>406587538.22483975</v>
      </c>
      <c r="AP404" s="7">
        <f t="shared" si="31"/>
        <v>406587538.22483975</v>
      </c>
      <c r="AQ404" s="7">
        <f t="shared" si="31"/>
        <v>406587538.22483975</v>
      </c>
      <c r="AR404" s="7">
        <f t="shared" si="31"/>
        <v>406587538.22483975</v>
      </c>
      <c r="AS404" s="7">
        <f t="shared" si="31"/>
        <v>406587538.22483975</v>
      </c>
      <c r="AT404" s="7">
        <f t="shared" si="31"/>
        <v>406587538.22483975</v>
      </c>
      <c r="AU404" s="7">
        <f t="shared" si="31"/>
        <v>406587538.22483975</v>
      </c>
      <c r="AV404" s="7">
        <f t="shared" si="31"/>
        <v>406587538.22483975</v>
      </c>
      <c r="AW404" s="7">
        <f t="shared" si="31"/>
        <v>406587538.22483975</v>
      </c>
      <c r="AX404" s="7">
        <f t="shared" si="31"/>
        <v>406587538.22483975</v>
      </c>
      <c r="AY404" s="7">
        <f t="shared" si="31"/>
        <v>406587538.22483975</v>
      </c>
      <c r="AZ404" s="7">
        <f t="shared" si="31"/>
        <v>406587538.22483975</v>
      </c>
      <c r="BA404" s="7">
        <f t="shared" si="31"/>
        <v>406587538.22483975</v>
      </c>
      <c r="BB404" s="7">
        <f t="shared" si="31"/>
        <v>406587538.22483975</v>
      </c>
      <c r="BC404" s="7">
        <f t="shared" si="31"/>
        <v>406587538.22483975</v>
      </c>
      <c r="BD404" s="7">
        <f t="shared" si="31"/>
        <v>406587538.22483975</v>
      </c>
      <c r="BE404" s="7">
        <f t="shared" si="31"/>
        <v>406587538.22483975</v>
      </c>
    </row>
    <row r="405" spans="1:57" ht="12" customHeight="1" x14ac:dyDescent="0.2">
      <c r="A405" t="s">
        <v>130</v>
      </c>
      <c r="B405" s="7">
        <v>374624032.06312776</v>
      </c>
      <c r="C405" s="7">
        <v>393041131.86965108</v>
      </c>
      <c r="D405" s="7">
        <v>342426305.24143237</v>
      </c>
      <c r="E405" s="7">
        <v>335823213.17883241</v>
      </c>
      <c r="F405" s="7">
        <v>434934392.93309045</v>
      </c>
      <c r="G405" s="7">
        <v>451708665.17602712</v>
      </c>
      <c r="H405" s="7">
        <v>459021941.83754611</v>
      </c>
      <c r="I405" s="7">
        <v>420811575.24628705</v>
      </c>
      <c r="J405" s="7">
        <v>424614878.44652796</v>
      </c>
      <c r="K405" s="7">
        <v>489754708.05041838</v>
      </c>
      <c r="L405" s="7">
        <v>550354848.46789336</v>
      </c>
      <c r="M405" s="7">
        <v>539395239.47045517</v>
      </c>
      <c r="N405" s="7">
        <v>640194129.36830783</v>
      </c>
      <c r="O405" s="7">
        <v>621314327.43850625</v>
      </c>
      <c r="P405" s="7">
        <v>535824040.3652699</v>
      </c>
      <c r="Q405" s="7">
        <v>628216440.50390995</v>
      </c>
      <c r="R405" s="7">
        <v>672949728.38753569</v>
      </c>
      <c r="S405" s="7">
        <v>675233214.76562774</v>
      </c>
      <c r="T405" s="7">
        <v>657882862.62641764</v>
      </c>
      <c r="U405" s="7">
        <v>668931900.67311525</v>
      </c>
      <c r="V405" s="7">
        <v>599543175.21001697</v>
      </c>
      <c r="W405" s="7">
        <v>541694044.61335945</v>
      </c>
      <c r="X405" s="7">
        <v>591150371.58477676</v>
      </c>
      <c r="Y405" s="7">
        <v>632790612.4189775</v>
      </c>
      <c r="Z405" s="7">
        <v>692428669.69142354</v>
      </c>
      <c r="AA405" s="7">
        <v>509510722.54143006</v>
      </c>
      <c r="AB405" s="7">
        <v>558979404.30691445</v>
      </c>
      <c r="AC405" s="22">
        <v>744185160.64842165</v>
      </c>
      <c r="AD405" s="7">
        <v>672548785.67102849</v>
      </c>
      <c r="AE405" s="7">
        <v>672548785.67102849</v>
      </c>
      <c r="AF405" s="12">
        <v>668180618.39430165</v>
      </c>
      <c r="AG405" s="7">
        <v>667500660.09587383</v>
      </c>
      <c r="AH405" s="7">
        <v>666834882.20277905</v>
      </c>
      <c r="AI405" s="7">
        <v>666181820.28552759</v>
      </c>
      <c r="AJ405" s="7">
        <v>665539896.76614535</v>
      </c>
      <c r="AK405" s="12">
        <f t="shared" ref="AK405:BE405" si="32">AJ405*(1+0.01*AK$374)</f>
        <v>665539896.76614535</v>
      </c>
      <c r="AL405" s="7">
        <f t="shared" si="32"/>
        <v>665539896.76614535</v>
      </c>
      <c r="AM405" s="7">
        <f t="shared" si="32"/>
        <v>665539896.76614535</v>
      </c>
      <c r="AN405" s="7">
        <f t="shared" si="32"/>
        <v>665539896.76614535</v>
      </c>
      <c r="AO405" s="7">
        <f t="shared" si="32"/>
        <v>665539896.76614535</v>
      </c>
      <c r="AP405" s="7">
        <f t="shared" si="32"/>
        <v>665539896.76614535</v>
      </c>
      <c r="AQ405" s="7">
        <f t="shared" si="32"/>
        <v>665539896.76614535</v>
      </c>
      <c r="AR405" s="7">
        <f t="shared" si="32"/>
        <v>665539896.76614535</v>
      </c>
      <c r="AS405" s="7">
        <f t="shared" si="32"/>
        <v>665539896.76614535</v>
      </c>
      <c r="AT405" s="7">
        <f t="shared" si="32"/>
        <v>665539896.76614535</v>
      </c>
      <c r="AU405" s="7">
        <f t="shared" si="32"/>
        <v>665539896.76614535</v>
      </c>
      <c r="AV405" s="7">
        <f t="shared" si="32"/>
        <v>665539896.76614535</v>
      </c>
      <c r="AW405" s="7">
        <f t="shared" si="32"/>
        <v>665539896.76614535</v>
      </c>
      <c r="AX405" s="7">
        <f t="shared" si="32"/>
        <v>665539896.76614535</v>
      </c>
      <c r="AY405" s="7">
        <f t="shared" si="32"/>
        <v>665539896.76614535</v>
      </c>
      <c r="AZ405" s="7">
        <f t="shared" si="32"/>
        <v>665539896.76614535</v>
      </c>
      <c r="BA405" s="7">
        <f t="shared" si="32"/>
        <v>665539896.76614535</v>
      </c>
      <c r="BB405" s="7">
        <f t="shared" si="32"/>
        <v>665539896.76614535</v>
      </c>
      <c r="BC405" s="7">
        <f t="shared" si="32"/>
        <v>665539896.76614535</v>
      </c>
      <c r="BD405" s="7">
        <f t="shared" si="32"/>
        <v>665539896.76614535</v>
      </c>
      <c r="BE405" s="7">
        <f t="shared" si="32"/>
        <v>665539896.76614535</v>
      </c>
    </row>
    <row r="406" spans="1:57" ht="12" customHeight="1" x14ac:dyDescent="0.2">
      <c r="A406" t="s">
        <v>131</v>
      </c>
      <c r="B406" s="7">
        <v>611851131.66099477</v>
      </c>
      <c r="C406" s="7">
        <v>720993452.15625966</v>
      </c>
      <c r="D406" s="7">
        <v>778765061.12681031</v>
      </c>
      <c r="E406" s="7">
        <v>734432816.65237737</v>
      </c>
      <c r="F406" s="7">
        <v>698008558.11687112</v>
      </c>
      <c r="G406" s="7">
        <v>663110771.27099812</v>
      </c>
      <c r="H406" s="7">
        <v>693560868.33733737</v>
      </c>
      <c r="I406" s="7">
        <v>616623560.45522749</v>
      </c>
      <c r="J406" s="7">
        <v>701723600.4946245</v>
      </c>
      <c r="K406" s="7">
        <v>705860018.69203639</v>
      </c>
      <c r="L406" s="7">
        <v>956874073.34411609</v>
      </c>
      <c r="M406" s="7">
        <v>1078373288.876127</v>
      </c>
      <c r="N406" s="7">
        <v>1048720598.8733406</v>
      </c>
      <c r="O406" s="7">
        <v>1194588251.1391683</v>
      </c>
      <c r="P406" s="7">
        <v>1302758224.2056897</v>
      </c>
      <c r="Q406" s="7">
        <v>1117477693.5457809</v>
      </c>
      <c r="R406" s="7">
        <v>1413753807.5470064</v>
      </c>
      <c r="S406" s="7">
        <v>1362806914.4878438</v>
      </c>
      <c r="T406" s="7">
        <v>1134839504.8287866</v>
      </c>
      <c r="U406" s="7">
        <v>1201637645.5436203</v>
      </c>
      <c r="V406" s="7">
        <v>1123327992.1491749</v>
      </c>
      <c r="W406" s="7">
        <v>1129583107.7654533</v>
      </c>
      <c r="X406" s="7">
        <v>1051545622.0513848</v>
      </c>
      <c r="Y406" s="7">
        <v>1229096873.2434828</v>
      </c>
      <c r="Z406" s="7">
        <v>1148032693.9944005</v>
      </c>
      <c r="AA406" s="7">
        <v>604522929.04620779</v>
      </c>
      <c r="AB406" s="7">
        <v>793124498.68900597</v>
      </c>
      <c r="AC406" s="22">
        <v>1941104899.1013396</v>
      </c>
      <c r="AD406" s="7">
        <v>1206393255.3732257</v>
      </c>
      <c r="AE406" s="7">
        <v>1111059068.5966194</v>
      </c>
      <c r="AF406" s="12">
        <v>1012162975.2728634</v>
      </c>
      <c r="AG406" s="7">
        <v>1011142219.7170101</v>
      </c>
      <c r="AH406" s="7">
        <v>1010132902.474079</v>
      </c>
      <c r="AI406" s="7">
        <v>1009133892.9750366</v>
      </c>
      <c r="AJ406" s="7">
        <v>1008143973.3366873</v>
      </c>
      <c r="AK406" s="12">
        <f t="shared" ref="AK406:BE406" si="33">AJ406*(1+0.01*AK$374)</f>
        <v>1008143973.3366873</v>
      </c>
      <c r="AL406" s="7">
        <f t="shared" si="33"/>
        <v>1008143973.3366873</v>
      </c>
      <c r="AM406" s="7">
        <f t="shared" si="33"/>
        <v>1008143973.3366873</v>
      </c>
      <c r="AN406" s="7">
        <f t="shared" si="33"/>
        <v>1008143973.3366873</v>
      </c>
      <c r="AO406" s="7">
        <f t="shared" si="33"/>
        <v>1008143973.3366873</v>
      </c>
      <c r="AP406" s="7">
        <f t="shared" si="33"/>
        <v>1008143973.3366873</v>
      </c>
      <c r="AQ406" s="7">
        <f t="shared" si="33"/>
        <v>1008143973.3366873</v>
      </c>
      <c r="AR406" s="7">
        <f t="shared" si="33"/>
        <v>1008143973.3366873</v>
      </c>
      <c r="AS406" s="7">
        <f t="shared" si="33"/>
        <v>1008143973.3366873</v>
      </c>
      <c r="AT406" s="7">
        <f t="shared" si="33"/>
        <v>1008143973.3366873</v>
      </c>
      <c r="AU406" s="7">
        <f t="shared" si="33"/>
        <v>1008143973.3366873</v>
      </c>
      <c r="AV406" s="7">
        <f t="shared" si="33"/>
        <v>1008143973.3366873</v>
      </c>
      <c r="AW406" s="7">
        <f t="shared" si="33"/>
        <v>1008143973.3366873</v>
      </c>
      <c r="AX406" s="7">
        <f t="shared" si="33"/>
        <v>1008143973.3366873</v>
      </c>
      <c r="AY406" s="7">
        <f t="shared" si="33"/>
        <v>1008143973.3366873</v>
      </c>
      <c r="AZ406" s="7">
        <f t="shared" si="33"/>
        <v>1008143973.3366873</v>
      </c>
      <c r="BA406" s="7">
        <f t="shared" si="33"/>
        <v>1008143973.3366873</v>
      </c>
      <c r="BB406" s="7">
        <f t="shared" si="33"/>
        <v>1008143973.3366873</v>
      </c>
      <c r="BC406" s="7">
        <f t="shared" si="33"/>
        <v>1008143973.3366873</v>
      </c>
      <c r="BD406" s="7">
        <f t="shared" si="33"/>
        <v>1008143973.3366873</v>
      </c>
      <c r="BE406" s="7">
        <f t="shared" si="33"/>
        <v>1008143973.3366873</v>
      </c>
    </row>
    <row r="407" spans="1:57" ht="12" customHeight="1" x14ac:dyDescent="0.2">
      <c r="A407" t="s">
        <v>132</v>
      </c>
      <c r="B407" s="7">
        <v>890530700.49163914</v>
      </c>
      <c r="C407" s="7">
        <v>875769060.8866123</v>
      </c>
      <c r="D407" s="7">
        <v>855596700.07884407</v>
      </c>
      <c r="E407" s="7">
        <v>928044764.44486988</v>
      </c>
      <c r="F407" s="7">
        <v>879699405.65475976</v>
      </c>
      <c r="G407" s="7">
        <v>911213227.28000677</v>
      </c>
      <c r="H407" s="7">
        <v>862592938.57034564</v>
      </c>
      <c r="I407" s="7">
        <v>793564923.42821372</v>
      </c>
      <c r="J407" s="7">
        <v>796408474.61075032</v>
      </c>
      <c r="K407" s="7">
        <v>837687571.77702796</v>
      </c>
      <c r="L407" s="7">
        <v>988655798.42005765</v>
      </c>
      <c r="M407" s="7">
        <v>911776659.59678507</v>
      </c>
      <c r="N407" s="7">
        <v>848938585.56606555</v>
      </c>
      <c r="O407" s="7">
        <v>857820340.18497372</v>
      </c>
      <c r="P407" s="7">
        <v>750766026.50205874</v>
      </c>
      <c r="Q407" s="7">
        <v>892148788.62522769</v>
      </c>
      <c r="R407" s="7">
        <v>849741402.1326462</v>
      </c>
      <c r="S407" s="7">
        <v>830735044.56172979</v>
      </c>
      <c r="T407" s="7">
        <v>816630694.10781205</v>
      </c>
      <c r="U407" s="7">
        <v>778404069.06585157</v>
      </c>
      <c r="V407" s="7">
        <v>707331376.915856</v>
      </c>
      <c r="W407" s="7">
        <v>727523401.35869944</v>
      </c>
      <c r="X407" s="7">
        <v>739478992.76236176</v>
      </c>
      <c r="Y407" s="7">
        <v>747911035.17653799</v>
      </c>
      <c r="Z407" s="7">
        <v>959865786.89820313</v>
      </c>
      <c r="AA407" s="7">
        <v>535687107.76738983</v>
      </c>
      <c r="AB407" s="7">
        <v>601836326.3518306</v>
      </c>
      <c r="AC407" s="22">
        <v>973950446.61224806</v>
      </c>
      <c r="AD407" s="7">
        <v>866696737.20293105</v>
      </c>
      <c r="AE407" s="7">
        <v>866696737.20293105</v>
      </c>
      <c r="AF407" s="12">
        <v>828780096.29816997</v>
      </c>
      <c r="AG407" s="7">
        <v>827952144.15401602</v>
      </c>
      <c r="AH407" s="7">
        <v>827125019.13488102</v>
      </c>
      <c r="AI407" s="7">
        <v>826298720.41446674</v>
      </c>
      <c r="AJ407" s="7">
        <v>825473247.16729951</v>
      </c>
      <c r="AK407" s="12">
        <f t="shared" ref="AK407:BE407" si="34">AJ407*(1+0.01*AK$374)</f>
        <v>825473247.16729951</v>
      </c>
      <c r="AL407" s="7">
        <f t="shared" si="34"/>
        <v>825473247.16729951</v>
      </c>
      <c r="AM407" s="7">
        <f t="shared" si="34"/>
        <v>825473247.16729951</v>
      </c>
      <c r="AN407" s="7">
        <f t="shared" si="34"/>
        <v>825473247.16729951</v>
      </c>
      <c r="AO407" s="7">
        <f t="shared" si="34"/>
        <v>825473247.16729951</v>
      </c>
      <c r="AP407" s="7">
        <f t="shared" si="34"/>
        <v>825473247.16729951</v>
      </c>
      <c r="AQ407" s="7">
        <f t="shared" si="34"/>
        <v>825473247.16729951</v>
      </c>
      <c r="AR407" s="7">
        <f t="shared" si="34"/>
        <v>825473247.16729951</v>
      </c>
      <c r="AS407" s="7">
        <f t="shared" si="34"/>
        <v>825473247.16729951</v>
      </c>
      <c r="AT407" s="7">
        <f t="shared" si="34"/>
        <v>825473247.16729951</v>
      </c>
      <c r="AU407" s="7">
        <f t="shared" si="34"/>
        <v>825473247.16729951</v>
      </c>
      <c r="AV407" s="7">
        <f t="shared" si="34"/>
        <v>825473247.16729951</v>
      </c>
      <c r="AW407" s="7">
        <f t="shared" si="34"/>
        <v>825473247.16729951</v>
      </c>
      <c r="AX407" s="7">
        <f t="shared" si="34"/>
        <v>825473247.16729951</v>
      </c>
      <c r="AY407" s="7">
        <f t="shared" si="34"/>
        <v>825473247.16729951</v>
      </c>
      <c r="AZ407" s="7">
        <f t="shared" si="34"/>
        <v>825473247.16729951</v>
      </c>
      <c r="BA407" s="7">
        <f t="shared" si="34"/>
        <v>825473247.16729951</v>
      </c>
      <c r="BB407" s="7">
        <f t="shared" si="34"/>
        <v>825473247.16729951</v>
      </c>
      <c r="BC407" s="7">
        <f t="shared" si="34"/>
        <v>825473247.16729951</v>
      </c>
      <c r="BD407" s="7">
        <f t="shared" si="34"/>
        <v>825473247.16729951</v>
      </c>
      <c r="BE407" s="7">
        <f t="shared" si="34"/>
        <v>825473247.16729951</v>
      </c>
    </row>
    <row r="408" spans="1:57" ht="12" customHeight="1" x14ac:dyDescent="0.2">
      <c r="A408" s="29" t="s">
        <v>133</v>
      </c>
      <c r="B408" s="30">
        <v>115156393.20617676</v>
      </c>
      <c r="C408" s="30">
        <v>130113951.83179498</v>
      </c>
      <c r="D408" s="30">
        <v>122445321.38625424</v>
      </c>
      <c r="E408" s="30">
        <v>110748991.00419502</v>
      </c>
      <c r="F408" s="30">
        <v>101507579.02677707</v>
      </c>
      <c r="G408" s="30">
        <v>85031462.19203496</v>
      </c>
      <c r="H408" s="30">
        <v>74514747.432677954</v>
      </c>
      <c r="I408" s="30">
        <v>67480083.28103064</v>
      </c>
      <c r="J408" s="30">
        <v>46047290.686562985</v>
      </c>
      <c r="K408" s="30">
        <v>51314912.649090156</v>
      </c>
      <c r="L408" s="30">
        <v>56387287.613257922</v>
      </c>
      <c r="M408" s="30">
        <v>58169721.837102398</v>
      </c>
      <c r="N408" s="30">
        <v>56295862.006329559</v>
      </c>
      <c r="O408" s="30">
        <v>57596875.40633285</v>
      </c>
      <c r="P408" s="30">
        <v>46101323.335663699</v>
      </c>
      <c r="Q408" s="30">
        <v>47948456.216945499</v>
      </c>
      <c r="R408" s="30">
        <v>49686809.496178389</v>
      </c>
      <c r="S408" s="30">
        <v>52691640.260061361</v>
      </c>
      <c r="T408" s="30">
        <v>49008157.966684774</v>
      </c>
      <c r="U408" s="30">
        <v>47899850.980778955</v>
      </c>
      <c r="V408" s="30">
        <v>45790451.054549366</v>
      </c>
      <c r="W408" s="30">
        <v>49892448.217569493</v>
      </c>
      <c r="X408" s="30">
        <v>48491468.868392862</v>
      </c>
      <c r="Y408" s="30">
        <v>49955313.162319645</v>
      </c>
      <c r="Z408" s="30">
        <v>51197439.992430538</v>
      </c>
      <c r="AA408" s="30">
        <v>34917223.29945536</v>
      </c>
      <c r="AB408" s="30">
        <v>46972211.755373873</v>
      </c>
      <c r="AC408" s="31">
        <v>43985653.770589732</v>
      </c>
      <c r="AD408" s="30">
        <v>46882889.6862332</v>
      </c>
      <c r="AE408" s="30">
        <v>46645080.193782389</v>
      </c>
      <c r="AF408" s="32">
        <v>46147181.773313098</v>
      </c>
      <c r="AG408" s="30">
        <v>46096262.556538746</v>
      </c>
      <c r="AH408" s="30">
        <v>46050621.14698872</v>
      </c>
      <c r="AI408" s="30">
        <v>46009690.80509299</v>
      </c>
      <c r="AJ408" s="30">
        <v>45972860.985819958</v>
      </c>
      <c r="AK408" s="32">
        <f t="shared" ref="AK408:BE408" si="35">AJ408*(1+0.01*AK$374)</f>
        <v>45972860.985819958</v>
      </c>
      <c r="AL408" s="30">
        <f t="shared" si="35"/>
        <v>45972860.985819958</v>
      </c>
      <c r="AM408" s="30">
        <f t="shared" si="35"/>
        <v>45972860.985819958</v>
      </c>
      <c r="AN408" s="30">
        <f t="shared" si="35"/>
        <v>45972860.985819958</v>
      </c>
      <c r="AO408" s="30">
        <f t="shared" si="35"/>
        <v>45972860.985819958</v>
      </c>
      <c r="AP408" s="30">
        <f t="shared" si="35"/>
        <v>45972860.985819958</v>
      </c>
      <c r="AQ408" s="30">
        <f t="shared" si="35"/>
        <v>45972860.985819958</v>
      </c>
      <c r="AR408" s="30">
        <f t="shared" si="35"/>
        <v>45972860.985819958</v>
      </c>
      <c r="AS408" s="30">
        <f t="shared" si="35"/>
        <v>45972860.985819958</v>
      </c>
      <c r="AT408" s="30">
        <f t="shared" si="35"/>
        <v>45972860.985819958</v>
      </c>
      <c r="AU408" s="30">
        <f t="shared" si="35"/>
        <v>45972860.985819958</v>
      </c>
      <c r="AV408" s="30">
        <f t="shared" si="35"/>
        <v>45972860.985819958</v>
      </c>
      <c r="AW408" s="30">
        <f t="shared" si="35"/>
        <v>45972860.985819958</v>
      </c>
      <c r="AX408" s="30">
        <f t="shared" si="35"/>
        <v>45972860.985819958</v>
      </c>
      <c r="AY408" s="30">
        <f t="shared" si="35"/>
        <v>45972860.985819958</v>
      </c>
      <c r="AZ408" s="30">
        <f t="shared" si="35"/>
        <v>45972860.985819958</v>
      </c>
      <c r="BA408" s="30">
        <f t="shared" si="35"/>
        <v>45972860.985819958</v>
      </c>
      <c r="BB408" s="30">
        <f t="shared" si="35"/>
        <v>45972860.985819958</v>
      </c>
      <c r="BC408" s="30">
        <f t="shared" si="35"/>
        <v>45972860.985819958</v>
      </c>
      <c r="BD408" s="30">
        <f t="shared" si="35"/>
        <v>45972860.985819958</v>
      </c>
      <c r="BE408" s="30">
        <f t="shared" si="35"/>
        <v>45972860.985819958</v>
      </c>
    </row>
    <row r="409" spans="1:57" ht="12" customHeight="1" x14ac:dyDescent="0.2">
      <c r="A409" t="s">
        <v>134</v>
      </c>
      <c r="B409" s="7">
        <v>34567755.400653638</v>
      </c>
      <c r="C409" s="7">
        <v>40283430.056660779</v>
      </c>
      <c r="D409" s="7">
        <v>33963059.538973264</v>
      </c>
      <c r="E409" s="7">
        <v>35623078.877220251</v>
      </c>
      <c r="F409" s="7">
        <v>36568176.924896888</v>
      </c>
      <c r="G409" s="7">
        <v>32736093.24661459</v>
      </c>
      <c r="H409" s="7">
        <v>39161056.784673996</v>
      </c>
      <c r="I409" s="7">
        <v>45936292.138673946</v>
      </c>
      <c r="J409" s="7">
        <v>74612873.703101277</v>
      </c>
      <c r="K409" s="7">
        <v>81772223.685011908</v>
      </c>
      <c r="L409" s="7">
        <v>74056439.444053367</v>
      </c>
      <c r="M409" s="7">
        <v>62115305.159097634</v>
      </c>
      <c r="N409" s="7">
        <v>63609827.984724075</v>
      </c>
      <c r="O409" s="7">
        <v>69526314.483547449</v>
      </c>
      <c r="P409" s="7">
        <v>31209876.43253208</v>
      </c>
      <c r="Q409" s="7">
        <v>41326579.518810607</v>
      </c>
      <c r="R409" s="7">
        <v>30336086.267993566</v>
      </c>
      <c r="S409" s="7">
        <v>32217635.934749592</v>
      </c>
      <c r="T409" s="7">
        <v>29510311.635859869</v>
      </c>
      <c r="U409" s="7">
        <v>28705817.553084403</v>
      </c>
      <c r="V409" s="7">
        <v>22772418.495586451</v>
      </c>
      <c r="W409" s="7">
        <v>23947050.566668808</v>
      </c>
      <c r="X409" s="7">
        <v>21093001.43109031</v>
      </c>
      <c r="Y409" s="7">
        <v>20632568.499351613</v>
      </c>
      <c r="Z409" s="7">
        <v>24968083.386324879</v>
      </c>
      <c r="AA409" s="7">
        <v>12282456.322232895</v>
      </c>
      <c r="AB409" s="7">
        <v>14260071.394715827</v>
      </c>
      <c r="AC409" s="22">
        <v>16254108.109863764</v>
      </c>
      <c r="AD409" s="7">
        <v>21630543.677036297</v>
      </c>
      <c r="AE409" s="7">
        <v>21920709.324387081</v>
      </c>
      <c r="AF409" s="12">
        <v>21627251.689593762</v>
      </c>
      <c r="AG409" s="7">
        <v>21604415.969531797</v>
      </c>
      <c r="AH409" s="7">
        <v>21582937.50407768</v>
      </c>
      <c r="AI409" s="7">
        <v>21562671.594346829</v>
      </c>
      <c r="AJ409" s="7">
        <v>21543462.357894849</v>
      </c>
      <c r="AK409" s="12">
        <f t="shared" ref="AK409:BE409" si="36">AJ409*(1+0.01*AK$374)</f>
        <v>21543462.357894849</v>
      </c>
      <c r="AL409" s="7">
        <f t="shared" si="36"/>
        <v>21543462.357894849</v>
      </c>
      <c r="AM409" s="7">
        <f t="shared" si="36"/>
        <v>21543462.357894849</v>
      </c>
      <c r="AN409" s="7">
        <f t="shared" si="36"/>
        <v>21543462.357894849</v>
      </c>
      <c r="AO409" s="7">
        <f t="shared" si="36"/>
        <v>21543462.357894849</v>
      </c>
      <c r="AP409" s="7">
        <f t="shared" si="36"/>
        <v>21543462.357894849</v>
      </c>
      <c r="AQ409" s="7">
        <f t="shared" si="36"/>
        <v>21543462.357894849</v>
      </c>
      <c r="AR409" s="7">
        <f t="shared" si="36"/>
        <v>21543462.357894849</v>
      </c>
      <c r="AS409" s="7">
        <f t="shared" si="36"/>
        <v>21543462.357894849</v>
      </c>
      <c r="AT409" s="7">
        <f t="shared" si="36"/>
        <v>21543462.357894849</v>
      </c>
      <c r="AU409" s="7">
        <f t="shared" si="36"/>
        <v>21543462.357894849</v>
      </c>
      <c r="AV409" s="7">
        <f t="shared" si="36"/>
        <v>21543462.357894849</v>
      </c>
      <c r="AW409" s="7">
        <f t="shared" si="36"/>
        <v>21543462.357894849</v>
      </c>
      <c r="AX409" s="7">
        <f t="shared" si="36"/>
        <v>21543462.357894849</v>
      </c>
      <c r="AY409" s="7">
        <f t="shared" si="36"/>
        <v>21543462.357894849</v>
      </c>
      <c r="AZ409" s="7">
        <f t="shared" si="36"/>
        <v>21543462.357894849</v>
      </c>
      <c r="BA409" s="7">
        <f t="shared" si="36"/>
        <v>21543462.357894849</v>
      </c>
      <c r="BB409" s="7">
        <f t="shared" si="36"/>
        <v>21543462.357894849</v>
      </c>
      <c r="BC409" s="7">
        <f t="shared" si="36"/>
        <v>21543462.357894849</v>
      </c>
      <c r="BD409" s="7">
        <f t="shared" si="36"/>
        <v>21543462.357894849</v>
      </c>
      <c r="BE409" s="7">
        <f t="shared" si="36"/>
        <v>21543462.357894849</v>
      </c>
    </row>
    <row r="410" spans="1:57" ht="12" customHeight="1" x14ac:dyDescent="0.2">
      <c r="A410" t="s">
        <v>135</v>
      </c>
      <c r="B410" s="7">
        <v>108329186.12989427</v>
      </c>
      <c r="C410" s="7">
        <v>130627073.09608154</v>
      </c>
      <c r="D410" s="7">
        <v>125693659.87521905</v>
      </c>
      <c r="E410" s="7">
        <v>131145220.41448931</v>
      </c>
      <c r="F410" s="7">
        <v>139617777.94644213</v>
      </c>
      <c r="G410" s="7">
        <v>102584374.34039545</v>
      </c>
      <c r="H410" s="7">
        <v>93941744.715591028</v>
      </c>
      <c r="I410" s="7">
        <v>112349635.14024435</v>
      </c>
      <c r="J410" s="7">
        <v>147210952.34818554</v>
      </c>
      <c r="K410" s="7">
        <v>193921369.32994485</v>
      </c>
      <c r="L410" s="7">
        <v>181053014.98464808</v>
      </c>
      <c r="M410" s="7">
        <v>98081201.220131099</v>
      </c>
      <c r="N410" s="7">
        <v>62541121.292711847</v>
      </c>
      <c r="O410" s="7">
        <v>57432993.547026381</v>
      </c>
      <c r="P410" s="7">
        <v>35169479.510865003</v>
      </c>
      <c r="Q410" s="7">
        <v>63695911.279824503</v>
      </c>
      <c r="R410" s="7">
        <v>67012023.172346391</v>
      </c>
      <c r="S410" s="7">
        <v>70618335.712998778</v>
      </c>
      <c r="T410" s="7">
        <v>63908749.255630948</v>
      </c>
      <c r="U410" s="7">
        <v>54424798.170943454</v>
      </c>
      <c r="V410" s="7">
        <v>49055210.822036177</v>
      </c>
      <c r="W410" s="7">
        <v>52787985.744347624</v>
      </c>
      <c r="X410" s="7">
        <v>50993598.831056617</v>
      </c>
      <c r="Y410" s="7">
        <v>54476344.195040904</v>
      </c>
      <c r="Z410" s="7">
        <v>62444095.329410695</v>
      </c>
      <c r="AA410" s="7">
        <v>48673489.786759108</v>
      </c>
      <c r="AB410" s="7">
        <v>83727589.556416288</v>
      </c>
      <c r="AC410" s="22">
        <v>75527780.561113387</v>
      </c>
      <c r="AD410" s="7">
        <v>59337123.058659181</v>
      </c>
      <c r="AE410" s="7">
        <v>59243486.149437562</v>
      </c>
      <c r="AF410" s="12">
        <v>58688711.667681925</v>
      </c>
      <c r="AG410" s="7">
        <v>58625305.138895221</v>
      </c>
      <c r="AH410" s="7">
        <v>58567143.666126221</v>
      </c>
      <c r="AI410" s="7">
        <v>58513665.400612108</v>
      </c>
      <c r="AJ410" s="7">
        <v>58464265.067167722</v>
      </c>
      <c r="AK410" s="12">
        <f t="shared" ref="AK410:BE410" si="37">AJ410*(1+0.01*AK$374)</f>
        <v>58464265.067167722</v>
      </c>
      <c r="AL410" s="7">
        <f t="shared" si="37"/>
        <v>58464265.067167722</v>
      </c>
      <c r="AM410" s="7">
        <f t="shared" si="37"/>
        <v>58464265.067167722</v>
      </c>
      <c r="AN410" s="7">
        <f t="shared" si="37"/>
        <v>58464265.067167722</v>
      </c>
      <c r="AO410" s="7">
        <f t="shared" si="37"/>
        <v>58464265.067167722</v>
      </c>
      <c r="AP410" s="7">
        <f t="shared" si="37"/>
        <v>58464265.067167722</v>
      </c>
      <c r="AQ410" s="7">
        <f t="shared" si="37"/>
        <v>58464265.067167722</v>
      </c>
      <c r="AR410" s="7">
        <f t="shared" si="37"/>
        <v>58464265.067167722</v>
      </c>
      <c r="AS410" s="7">
        <f t="shared" si="37"/>
        <v>58464265.067167722</v>
      </c>
      <c r="AT410" s="7">
        <f t="shared" si="37"/>
        <v>58464265.067167722</v>
      </c>
      <c r="AU410" s="7">
        <f t="shared" si="37"/>
        <v>58464265.067167722</v>
      </c>
      <c r="AV410" s="7">
        <f t="shared" si="37"/>
        <v>58464265.067167722</v>
      </c>
      <c r="AW410" s="7">
        <f t="shared" si="37"/>
        <v>58464265.067167722</v>
      </c>
      <c r="AX410" s="7">
        <f t="shared" si="37"/>
        <v>58464265.067167722</v>
      </c>
      <c r="AY410" s="7">
        <f t="shared" si="37"/>
        <v>58464265.067167722</v>
      </c>
      <c r="AZ410" s="7">
        <f t="shared" si="37"/>
        <v>58464265.067167722</v>
      </c>
      <c r="BA410" s="7">
        <f t="shared" si="37"/>
        <v>58464265.067167722</v>
      </c>
      <c r="BB410" s="7">
        <f t="shared" si="37"/>
        <v>58464265.067167722</v>
      </c>
      <c r="BC410" s="7">
        <f t="shared" si="37"/>
        <v>58464265.067167722</v>
      </c>
      <c r="BD410" s="7">
        <f t="shared" si="37"/>
        <v>58464265.067167722</v>
      </c>
      <c r="BE410" s="7">
        <f t="shared" si="37"/>
        <v>58464265.067167722</v>
      </c>
    </row>
    <row r="411" spans="1:57" ht="12" customHeight="1" x14ac:dyDescent="0.2">
      <c r="A411" t="s">
        <v>136</v>
      </c>
      <c r="B411" s="7">
        <v>62691099.731294177</v>
      </c>
      <c r="C411" s="7">
        <v>77538454.317731202</v>
      </c>
      <c r="D411" s="7">
        <v>84071111.078727022</v>
      </c>
      <c r="E411" s="7">
        <v>78109547.920327753</v>
      </c>
      <c r="F411" s="7">
        <v>71802038.668218151</v>
      </c>
      <c r="G411" s="7">
        <v>55655806.761521772</v>
      </c>
      <c r="H411" s="7">
        <v>68564577.533467546</v>
      </c>
      <c r="I411" s="7">
        <v>66180559.280587845</v>
      </c>
      <c r="J411" s="7">
        <v>59104390.593351036</v>
      </c>
      <c r="K411" s="7">
        <v>65887828.643566795</v>
      </c>
      <c r="L411" s="7">
        <v>64198848.162437581</v>
      </c>
      <c r="M411" s="7">
        <v>65034451.832499161</v>
      </c>
      <c r="N411" s="7">
        <v>58367041.14728865</v>
      </c>
      <c r="O411" s="7">
        <v>62074687.670481794</v>
      </c>
      <c r="P411" s="7">
        <v>43465810.657051243</v>
      </c>
      <c r="Q411" s="7">
        <v>43295966.247737661</v>
      </c>
      <c r="R411" s="7">
        <v>50571476.463968441</v>
      </c>
      <c r="S411" s="7">
        <v>49823492.861640699</v>
      </c>
      <c r="T411" s="7">
        <v>49074117.192135163</v>
      </c>
      <c r="U411" s="7">
        <v>45754902.379376516</v>
      </c>
      <c r="V411" s="7">
        <v>38106017.547623262</v>
      </c>
      <c r="W411" s="7">
        <v>39684993.642323934</v>
      </c>
      <c r="X411" s="7">
        <v>42181547.532181889</v>
      </c>
      <c r="Y411" s="7">
        <v>43364344.908270374</v>
      </c>
      <c r="Z411" s="7">
        <v>45580758.664344415</v>
      </c>
      <c r="AA411" s="7">
        <v>37100777.420965612</v>
      </c>
      <c r="AB411" s="7">
        <v>32897390.646052022</v>
      </c>
      <c r="AC411" s="22">
        <v>62473872.54027468</v>
      </c>
      <c r="AD411" s="7">
        <v>45139640.063101999</v>
      </c>
      <c r="AE411" s="7">
        <v>45139640.063101999</v>
      </c>
      <c r="AF411" s="12">
        <v>44991330.139762484</v>
      </c>
      <c r="AG411" s="7">
        <v>44946383.756006472</v>
      </c>
      <c r="AH411" s="7">
        <v>44901482.273732744</v>
      </c>
      <c r="AI411" s="7">
        <v>44856625.64808467</v>
      </c>
      <c r="AJ411" s="7">
        <v>44811813.834250428</v>
      </c>
      <c r="AK411" s="12">
        <f t="shared" ref="AK411:BE411" si="38">AJ411*(1+0.01*AK$374)</f>
        <v>44811813.834250428</v>
      </c>
      <c r="AL411" s="7">
        <f t="shared" si="38"/>
        <v>44811813.834250428</v>
      </c>
      <c r="AM411" s="7">
        <f t="shared" si="38"/>
        <v>44811813.834250428</v>
      </c>
      <c r="AN411" s="7">
        <f t="shared" si="38"/>
        <v>44811813.834250428</v>
      </c>
      <c r="AO411" s="7">
        <f t="shared" si="38"/>
        <v>44811813.834250428</v>
      </c>
      <c r="AP411" s="7">
        <f t="shared" si="38"/>
        <v>44811813.834250428</v>
      </c>
      <c r="AQ411" s="7">
        <f t="shared" si="38"/>
        <v>44811813.834250428</v>
      </c>
      <c r="AR411" s="7">
        <f t="shared" si="38"/>
        <v>44811813.834250428</v>
      </c>
      <c r="AS411" s="7">
        <f t="shared" si="38"/>
        <v>44811813.834250428</v>
      </c>
      <c r="AT411" s="7">
        <f t="shared" si="38"/>
        <v>44811813.834250428</v>
      </c>
      <c r="AU411" s="7">
        <f t="shared" si="38"/>
        <v>44811813.834250428</v>
      </c>
      <c r="AV411" s="7">
        <f t="shared" si="38"/>
        <v>44811813.834250428</v>
      </c>
      <c r="AW411" s="7">
        <f t="shared" si="38"/>
        <v>44811813.834250428</v>
      </c>
      <c r="AX411" s="7">
        <f t="shared" si="38"/>
        <v>44811813.834250428</v>
      </c>
      <c r="AY411" s="7">
        <f t="shared" si="38"/>
        <v>44811813.834250428</v>
      </c>
      <c r="AZ411" s="7">
        <f t="shared" si="38"/>
        <v>44811813.834250428</v>
      </c>
      <c r="BA411" s="7">
        <f t="shared" si="38"/>
        <v>44811813.834250428</v>
      </c>
      <c r="BB411" s="7">
        <f t="shared" si="38"/>
        <v>44811813.834250428</v>
      </c>
      <c r="BC411" s="7">
        <f t="shared" si="38"/>
        <v>44811813.834250428</v>
      </c>
      <c r="BD411" s="7">
        <f t="shared" si="38"/>
        <v>44811813.834250428</v>
      </c>
      <c r="BE411" s="7">
        <f t="shared" si="38"/>
        <v>44811813.834250428</v>
      </c>
    </row>
    <row r="412" spans="1:57" ht="12" customHeight="1" x14ac:dyDescent="0.2">
      <c r="A412" t="s">
        <v>137</v>
      </c>
      <c r="B412" s="7">
        <v>1661655005.4211318</v>
      </c>
      <c r="C412" s="7">
        <v>2104435531.9702532</v>
      </c>
      <c r="D412" s="7">
        <v>2170042829.4753814</v>
      </c>
      <c r="E412" s="7">
        <v>1530887734.3484786</v>
      </c>
      <c r="F412" s="7">
        <v>1537339982.3171027</v>
      </c>
      <c r="G412" s="7">
        <v>1163269076.5157554</v>
      </c>
      <c r="H412" s="7">
        <v>1182002490.2717099</v>
      </c>
      <c r="I412" s="7">
        <v>797572492.40584493</v>
      </c>
      <c r="J412" s="7">
        <v>804331337.08808219</v>
      </c>
      <c r="K412" s="7">
        <v>878911746.99261093</v>
      </c>
      <c r="L412" s="7">
        <v>853950828.50184429</v>
      </c>
      <c r="M412" s="7">
        <v>864974978.97441912</v>
      </c>
      <c r="N412" s="7">
        <v>867076621.93005168</v>
      </c>
      <c r="O412" s="7">
        <v>815351566.56358016</v>
      </c>
      <c r="P412" s="7">
        <v>152601351.31300575</v>
      </c>
      <c r="Q412" s="7">
        <v>128144481.06939116</v>
      </c>
      <c r="R412" s="7">
        <v>121822925.46540534</v>
      </c>
      <c r="S412" s="7">
        <v>131569255.79498938</v>
      </c>
      <c r="T412" s="7">
        <v>123236051.2968619</v>
      </c>
      <c r="U412" s="7">
        <v>121195813.18659666</v>
      </c>
      <c r="V412" s="7">
        <v>107634660.03824155</v>
      </c>
      <c r="W412" s="7">
        <v>104381354.87880671</v>
      </c>
      <c r="X412" s="7">
        <v>92459202.699103251</v>
      </c>
      <c r="Y412" s="7">
        <v>92740587.054958701</v>
      </c>
      <c r="Z412" s="7">
        <v>87663485.330505475</v>
      </c>
      <c r="AA412" s="7">
        <v>57669555.545574635</v>
      </c>
      <c r="AB412" s="7">
        <v>73542861.849600285</v>
      </c>
      <c r="AC412" s="22">
        <v>61189001.447302751</v>
      </c>
      <c r="AD412" s="7">
        <v>65062406.403775044</v>
      </c>
      <c r="AE412" s="7">
        <v>64703153.988868266</v>
      </c>
      <c r="AF412" s="12">
        <v>64026759.741096579</v>
      </c>
      <c r="AG412" s="7">
        <v>63955808.349825747</v>
      </c>
      <c r="AH412" s="7">
        <v>63892509.392337374</v>
      </c>
      <c r="AI412" s="7">
        <v>63836040.828966305</v>
      </c>
      <c r="AJ412" s="7">
        <v>63785517.081241228</v>
      </c>
      <c r="AK412" s="12">
        <f t="shared" ref="AK412:BE412" si="39">AJ412*(1+0.01*AK$374)</f>
        <v>63785517.081241228</v>
      </c>
      <c r="AL412" s="7">
        <f t="shared" si="39"/>
        <v>63785517.081241228</v>
      </c>
      <c r="AM412" s="7">
        <f t="shared" si="39"/>
        <v>63785517.081241228</v>
      </c>
      <c r="AN412" s="7">
        <f t="shared" si="39"/>
        <v>63785517.081241228</v>
      </c>
      <c r="AO412" s="7">
        <f t="shared" si="39"/>
        <v>63785517.081241228</v>
      </c>
      <c r="AP412" s="7">
        <f t="shared" si="39"/>
        <v>63785517.081241228</v>
      </c>
      <c r="AQ412" s="7">
        <f t="shared" si="39"/>
        <v>63785517.081241228</v>
      </c>
      <c r="AR412" s="7">
        <f t="shared" si="39"/>
        <v>63785517.081241228</v>
      </c>
      <c r="AS412" s="7">
        <f t="shared" si="39"/>
        <v>63785517.081241228</v>
      </c>
      <c r="AT412" s="7">
        <f t="shared" si="39"/>
        <v>63785517.081241228</v>
      </c>
      <c r="AU412" s="7">
        <f t="shared" si="39"/>
        <v>63785517.081241228</v>
      </c>
      <c r="AV412" s="7">
        <f t="shared" si="39"/>
        <v>63785517.081241228</v>
      </c>
      <c r="AW412" s="7">
        <f t="shared" si="39"/>
        <v>63785517.081241228</v>
      </c>
      <c r="AX412" s="7">
        <f t="shared" si="39"/>
        <v>63785517.081241228</v>
      </c>
      <c r="AY412" s="7">
        <f t="shared" si="39"/>
        <v>63785517.081241228</v>
      </c>
      <c r="AZ412" s="7">
        <f t="shared" si="39"/>
        <v>63785517.081241228</v>
      </c>
      <c r="BA412" s="7">
        <f t="shared" si="39"/>
        <v>63785517.081241228</v>
      </c>
      <c r="BB412" s="7">
        <f t="shared" si="39"/>
        <v>63785517.081241228</v>
      </c>
      <c r="BC412" s="7">
        <f t="shared" si="39"/>
        <v>63785517.081241228</v>
      </c>
      <c r="BD412" s="7">
        <f t="shared" si="39"/>
        <v>63785517.081241228</v>
      </c>
      <c r="BE412" s="7">
        <f t="shared" si="39"/>
        <v>63785517.081241228</v>
      </c>
    </row>
    <row r="413" spans="1:57" ht="12" customHeight="1" x14ac:dyDescent="0.2">
      <c r="A413" t="s">
        <v>138</v>
      </c>
      <c r="B413" s="7">
        <v>65756133.373810418</v>
      </c>
      <c r="C413" s="7">
        <v>64350959.656067654</v>
      </c>
      <c r="D413" s="7">
        <v>59551385.789655365</v>
      </c>
      <c r="E413" s="7">
        <v>50724681.726061925</v>
      </c>
      <c r="F413" s="7">
        <v>44796679.124656796</v>
      </c>
      <c r="G413" s="7">
        <v>42623268.224458776</v>
      </c>
      <c r="H413" s="7">
        <v>94139056.167698264</v>
      </c>
      <c r="I413" s="7">
        <v>87719209.72501044</v>
      </c>
      <c r="J413" s="7">
        <v>184052975.51774743</v>
      </c>
      <c r="K413" s="7">
        <v>162424319.60895509</v>
      </c>
      <c r="L413" s="7">
        <v>251564303.4657003</v>
      </c>
      <c r="M413" s="7">
        <v>371374468.50600272</v>
      </c>
      <c r="N413" s="7">
        <v>213384744.7887978</v>
      </c>
      <c r="O413" s="7">
        <v>154840153.10316727</v>
      </c>
      <c r="P413" s="7">
        <v>39179974.035514332</v>
      </c>
      <c r="Q413" s="7">
        <v>37348854.611891165</v>
      </c>
      <c r="R413" s="7">
        <v>30689380.191547781</v>
      </c>
      <c r="S413" s="7">
        <v>34317773.458442733</v>
      </c>
      <c r="T413" s="7">
        <v>31351386.066938791</v>
      </c>
      <c r="U413" s="7">
        <v>30230495.55185945</v>
      </c>
      <c r="V413" s="7">
        <v>25559018.690344606</v>
      </c>
      <c r="W413" s="7">
        <v>27824510.556202546</v>
      </c>
      <c r="X413" s="7">
        <v>26069930.980504956</v>
      </c>
      <c r="Y413" s="7">
        <v>25657514.872773781</v>
      </c>
      <c r="Z413" s="7">
        <v>23082360.038502064</v>
      </c>
      <c r="AA413" s="7">
        <v>12229993.259548457</v>
      </c>
      <c r="AB413" s="7">
        <v>13332085.569578566</v>
      </c>
      <c r="AC413" s="22">
        <v>17996999.198503159</v>
      </c>
      <c r="AD413" s="7">
        <v>22288527.653068911</v>
      </c>
      <c r="AE413" s="7">
        <v>23091593.05440253</v>
      </c>
      <c r="AF413" s="12">
        <v>22841879.176037494</v>
      </c>
      <c r="AG413" s="7">
        <v>22816578.707794391</v>
      </c>
      <c r="AH413" s="7">
        <v>22793995.462083917</v>
      </c>
      <c r="AI413" s="7">
        <v>22773837.560945414</v>
      </c>
      <c r="AJ413" s="7">
        <v>22755790.565985944</v>
      </c>
      <c r="AK413" s="12">
        <f t="shared" ref="AK413:BE413" si="40">AJ413*(1+0.01*AK$374)</f>
        <v>22755790.565985944</v>
      </c>
      <c r="AL413" s="7">
        <f t="shared" si="40"/>
        <v>22755790.565985944</v>
      </c>
      <c r="AM413" s="7">
        <f t="shared" si="40"/>
        <v>22755790.565985944</v>
      </c>
      <c r="AN413" s="7">
        <f t="shared" si="40"/>
        <v>22755790.565985944</v>
      </c>
      <c r="AO413" s="7">
        <f t="shared" si="40"/>
        <v>22755790.565985944</v>
      </c>
      <c r="AP413" s="7">
        <f t="shared" si="40"/>
        <v>22755790.565985944</v>
      </c>
      <c r="AQ413" s="7">
        <f t="shared" si="40"/>
        <v>22755790.565985944</v>
      </c>
      <c r="AR413" s="7">
        <f t="shared" si="40"/>
        <v>22755790.565985944</v>
      </c>
      <c r="AS413" s="7">
        <f t="shared" si="40"/>
        <v>22755790.565985944</v>
      </c>
      <c r="AT413" s="7">
        <f t="shared" si="40"/>
        <v>22755790.565985944</v>
      </c>
      <c r="AU413" s="7">
        <f t="shared" si="40"/>
        <v>22755790.565985944</v>
      </c>
      <c r="AV413" s="7">
        <f t="shared" si="40"/>
        <v>22755790.565985944</v>
      </c>
      <c r="AW413" s="7">
        <f t="shared" si="40"/>
        <v>22755790.565985944</v>
      </c>
      <c r="AX413" s="7">
        <f t="shared" si="40"/>
        <v>22755790.565985944</v>
      </c>
      <c r="AY413" s="7">
        <f t="shared" si="40"/>
        <v>22755790.565985944</v>
      </c>
      <c r="AZ413" s="7">
        <f t="shared" si="40"/>
        <v>22755790.565985944</v>
      </c>
      <c r="BA413" s="7">
        <f t="shared" si="40"/>
        <v>22755790.565985944</v>
      </c>
      <c r="BB413" s="7">
        <f t="shared" si="40"/>
        <v>22755790.565985944</v>
      </c>
      <c r="BC413" s="7">
        <f t="shared" si="40"/>
        <v>22755790.565985944</v>
      </c>
      <c r="BD413" s="7">
        <f t="shared" si="40"/>
        <v>22755790.565985944</v>
      </c>
      <c r="BE413" s="7">
        <f t="shared" si="40"/>
        <v>22755790.565985944</v>
      </c>
    </row>
    <row r="414" spans="1:57" ht="12" customHeight="1" x14ac:dyDescent="0.2">
      <c r="A414" t="s">
        <v>139</v>
      </c>
      <c r="B414" s="7">
        <v>68981400.265594229</v>
      </c>
      <c r="C414" s="7">
        <v>70267081.253415197</v>
      </c>
      <c r="D414" s="7">
        <v>84563994.750464708</v>
      </c>
      <c r="E414" s="7">
        <v>62460943.9642388</v>
      </c>
      <c r="F414" s="7">
        <v>51968134.556875937</v>
      </c>
      <c r="G414" s="7">
        <v>46887085.399511479</v>
      </c>
      <c r="H414" s="7">
        <v>43004889.383823834</v>
      </c>
      <c r="I414" s="7">
        <v>52937735.934352897</v>
      </c>
      <c r="J414" s="7">
        <v>200692414.87145343</v>
      </c>
      <c r="K414" s="7">
        <v>778017614.39987719</v>
      </c>
      <c r="L414" s="7">
        <v>809889704.48035765</v>
      </c>
      <c r="M414" s="7">
        <v>809889704.48035765</v>
      </c>
      <c r="N414" s="7">
        <v>809889704.48035765</v>
      </c>
      <c r="O414" s="7">
        <v>831873835.38800621</v>
      </c>
      <c r="P414" s="7">
        <v>165373157.03957006</v>
      </c>
      <c r="Q414" s="7">
        <v>737561561.31348205</v>
      </c>
      <c r="R414" s="7">
        <v>793925175.1492548</v>
      </c>
      <c r="S414" s="7">
        <v>643525264.82293153</v>
      </c>
      <c r="T414" s="7">
        <v>572657640.13682008</v>
      </c>
      <c r="U414" s="7">
        <v>783068170.70830929</v>
      </c>
      <c r="V414" s="7">
        <v>252866117.39231783</v>
      </c>
      <c r="W414" s="7">
        <v>378608518.2474463</v>
      </c>
      <c r="X414" s="7">
        <v>343776217.03126615</v>
      </c>
      <c r="Y414" s="7">
        <v>166206205.56994337</v>
      </c>
      <c r="Z414" s="7">
        <v>284929863.54931366</v>
      </c>
      <c r="AA414" s="7">
        <v>524666434.45358872</v>
      </c>
      <c r="AB414" s="7">
        <v>936806537.29567659</v>
      </c>
      <c r="AC414" s="22">
        <v>451088810.51495039</v>
      </c>
      <c r="AD414" s="7">
        <v>228951555.07802293</v>
      </c>
      <c r="AE414" s="7">
        <v>228951555.07802293</v>
      </c>
      <c r="AF414" s="12">
        <v>227506926.95524147</v>
      </c>
      <c r="AG414" s="7">
        <v>227265217.70326924</v>
      </c>
      <c r="AH414" s="7">
        <v>227039403.82762679</v>
      </c>
      <c r="AI414" s="7">
        <v>226827787.93812218</v>
      </c>
      <c r="AJ414" s="7">
        <v>226628541.45377654</v>
      </c>
      <c r="AK414" s="12">
        <f t="shared" ref="AK414:BE414" si="41">AJ414*(1+0.01*AK$374)</f>
        <v>226628541.45377654</v>
      </c>
      <c r="AL414" s="7">
        <f t="shared" si="41"/>
        <v>226628541.45377654</v>
      </c>
      <c r="AM414" s="7">
        <f t="shared" si="41"/>
        <v>226628541.45377654</v>
      </c>
      <c r="AN414" s="7">
        <f t="shared" si="41"/>
        <v>226628541.45377654</v>
      </c>
      <c r="AO414" s="7">
        <f t="shared" si="41"/>
        <v>226628541.45377654</v>
      </c>
      <c r="AP414" s="7">
        <f t="shared" si="41"/>
        <v>226628541.45377654</v>
      </c>
      <c r="AQ414" s="7">
        <f t="shared" si="41"/>
        <v>226628541.45377654</v>
      </c>
      <c r="AR414" s="7">
        <f t="shared" si="41"/>
        <v>226628541.45377654</v>
      </c>
      <c r="AS414" s="7">
        <f t="shared" si="41"/>
        <v>226628541.45377654</v>
      </c>
      <c r="AT414" s="7">
        <f t="shared" si="41"/>
        <v>226628541.45377654</v>
      </c>
      <c r="AU414" s="7">
        <f t="shared" si="41"/>
        <v>226628541.45377654</v>
      </c>
      <c r="AV414" s="7">
        <f t="shared" si="41"/>
        <v>226628541.45377654</v>
      </c>
      <c r="AW414" s="7">
        <f t="shared" si="41"/>
        <v>226628541.45377654</v>
      </c>
      <c r="AX414" s="7">
        <f t="shared" si="41"/>
        <v>226628541.45377654</v>
      </c>
      <c r="AY414" s="7">
        <f t="shared" si="41"/>
        <v>226628541.45377654</v>
      </c>
      <c r="AZ414" s="7">
        <f t="shared" si="41"/>
        <v>226628541.45377654</v>
      </c>
      <c r="BA414" s="7">
        <f t="shared" si="41"/>
        <v>226628541.45377654</v>
      </c>
      <c r="BB414" s="7">
        <f t="shared" si="41"/>
        <v>226628541.45377654</v>
      </c>
      <c r="BC414" s="7">
        <f t="shared" si="41"/>
        <v>226628541.45377654</v>
      </c>
      <c r="BD414" s="7">
        <f t="shared" si="41"/>
        <v>226628541.45377654</v>
      </c>
      <c r="BE414" s="7">
        <f t="shared" si="41"/>
        <v>226628541.45377654</v>
      </c>
    </row>
    <row r="415" spans="1:57" ht="12" customHeight="1" x14ac:dyDescent="0.2">
      <c r="A415" t="s">
        <v>140</v>
      </c>
      <c r="B415" s="7">
        <v>65246643.862685725</v>
      </c>
      <c r="C415" s="7">
        <v>82356541.567592785</v>
      </c>
      <c r="D415" s="7">
        <v>62949403.683684163</v>
      </c>
      <c r="E415" s="7">
        <v>45241244.346753851</v>
      </c>
      <c r="F415" s="7">
        <v>30885518.832266491</v>
      </c>
      <c r="G415" s="7">
        <v>21677191.662715834</v>
      </c>
      <c r="H415" s="7">
        <v>25211516.403614249</v>
      </c>
      <c r="I415" s="7">
        <v>25636154.610905539</v>
      </c>
      <c r="J415" s="7">
        <v>35733364.909298688</v>
      </c>
      <c r="K415" s="7">
        <v>44815281.061311349</v>
      </c>
      <c r="L415" s="7">
        <v>52089568.186139546</v>
      </c>
      <c r="M415" s="7">
        <v>54719224.53006693</v>
      </c>
      <c r="N415" s="7">
        <v>50642019.598360084</v>
      </c>
      <c r="O415" s="7">
        <v>84435921.592472896</v>
      </c>
      <c r="P415" s="7">
        <v>74519385.297514617</v>
      </c>
      <c r="Q415" s="7">
        <v>69295245.403139189</v>
      </c>
      <c r="R415" s="7">
        <v>70582232.268411472</v>
      </c>
      <c r="S415" s="7">
        <v>68571474.807491913</v>
      </c>
      <c r="T415" s="7">
        <v>66496681.84245763</v>
      </c>
      <c r="U415" s="7">
        <v>63184808.736720085</v>
      </c>
      <c r="V415" s="7">
        <v>62357043.146880336</v>
      </c>
      <c r="W415" s="7">
        <v>50712446.532855667</v>
      </c>
      <c r="X415" s="7">
        <v>47202192.688153349</v>
      </c>
      <c r="Y415" s="7">
        <v>51151938.901076794</v>
      </c>
      <c r="Z415" s="7">
        <v>60941731.054509707</v>
      </c>
      <c r="AA415" s="7">
        <v>55956482.70032537</v>
      </c>
      <c r="AB415" s="7">
        <v>59864299.310538262</v>
      </c>
      <c r="AC415" s="22">
        <v>105189605.69926786</v>
      </c>
      <c r="AD415" s="7">
        <v>56887537.502460137</v>
      </c>
      <c r="AE415" s="7">
        <v>56887537.502460137</v>
      </c>
      <c r="AF415" s="12">
        <v>56887537.502460137</v>
      </c>
      <c r="AG415" s="7">
        <v>56887537.502460137</v>
      </c>
      <c r="AH415" s="7">
        <v>56887537.502460137</v>
      </c>
      <c r="AI415" s="7">
        <v>56887537.502460137</v>
      </c>
      <c r="AJ415" s="7">
        <v>56887537.502460137</v>
      </c>
      <c r="AK415" s="12">
        <f t="shared" ref="AK415:BE415" si="42">AJ415*(1+0.01*AK$374)</f>
        <v>56887537.502460137</v>
      </c>
      <c r="AL415" s="7">
        <f t="shared" si="42"/>
        <v>56887537.502460137</v>
      </c>
      <c r="AM415" s="7">
        <f t="shared" si="42"/>
        <v>56887537.502460137</v>
      </c>
      <c r="AN415" s="7">
        <f t="shared" si="42"/>
        <v>56887537.502460137</v>
      </c>
      <c r="AO415" s="7">
        <f t="shared" si="42"/>
        <v>56887537.502460137</v>
      </c>
      <c r="AP415" s="7">
        <f t="shared" si="42"/>
        <v>56887537.502460137</v>
      </c>
      <c r="AQ415" s="7">
        <f t="shared" si="42"/>
        <v>56887537.502460137</v>
      </c>
      <c r="AR415" s="7">
        <f t="shared" si="42"/>
        <v>56887537.502460137</v>
      </c>
      <c r="AS415" s="7">
        <f t="shared" si="42"/>
        <v>56887537.502460137</v>
      </c>
      <c r="AT415" s="7">
        <f t="shared" si="42"/>
        <v>56887537.502460137</v>
      </c>
      <c r="AU415" s="7">
        <f t="shared" si="42"/>
        <v>56887537.502460137</v>
      </c>
      <c r="AV415" s="7">
        <f t="shared" si="42"/>
        <v>56887537.502460137</v>
      </c>
      <c r="AW415" s="7">
        <f t="shared" si="42"/>
        <v>56887537.502460137</v>
      </c>
      <c r="AX415" s="7">
        <f t="shared" si="42"/>
        <v>56887537.502460137</v>
      </c>
      <c r="AY415" s="7">
        <f t="shared" si="42"/>
        <v>56887537.502460137</v>
      </c>
      <c r="AZ415" s="7">
        <f t="shared" si="42"/>
        <v>56887537.502460137</v>
      </c>
      <c r="BA415" s="7">
        <f t="shared" si="42"/>
        <v>56887537.502460137</v>
      </c>
      <c r="BB415" s="7">
        <f t="shared" si="42"/>
        <v>56887537.502460137</v>
      </c>
      <c r="BC415" s="7">
        <f t="shared" si="42"/>
        <v>56887537.502460137</v>
      </c>
      <c r="BD415" s="7">
        <f t="shared" si="42"/>
        <v>56887537.502460137</v>
      </c>
      <c r="BE415" s="7">
        <f t="shared" si="42"/>
        <v>56887537.502460137</v>
      </c>
    </row>
    <row r="416" spans="1:57" ht="12" customHeight="1" x14ac:dyDescent="0.2">
      <c r="A416" t="s">
        <v>141</v>
      </c>
      <c r="B416" s="7">
        <v>17381820.764972232</v>
      </c>
      <c r="C416" s="7">
        <v>62403683.409689695</v>
      </c>
      <c r="D416" s="7">
        <v>43813993.034666181</v>
      </c>
      <c r="E416" s="7">
        <v>57697266.639732026</v>
      </c>
      <c r="F416" s="7">
        <v>36150254.397138886</v>
      </c>
      <c r="G416" s="7">
        <v>18284001.389502656</v>
      </c>
      <c r="H416" s="7">
        <v>21692796.412763033</v>
      </c>
      <c r="I416" s="7">
        <v>24027411.161489729</v>
      </c>
      <c r="J416" s="7">
        <v>66982640.312988371</v>
      </c>
      <c r="K416" s="7">
        <v>51037418.666677549</v>
      </c>
      <c r="L416" s="7">
        <v>69008845.077833578</v>
      </c>
      <c r="M416" s="7">
        <v>53668311.249463692</v>
      </c>
      <c r="N416" s="7">
        <v>37263149.774966501</v>
      </c>
      <c r="O416" s="7">
        <v>36926759.81585981</v>
      </c>
      <c r="P416" s="7">
        <v>24694184.367925823</v>
      </c>
      <c r="Q416" s="7">
        <v>40130786.737249404</v>
      </c>
      <c r="R416" s="7">
        <v>38315306.173534431</v>
      </c>
      <c r="S416" s="7">
        <v>36245365.0539409</v>
      </c>
      <c r="T416" s="7">
        <v>35634547.236242987</v>
      </c>
      <c r="U416" s="7">
        <v>46856062.204056233</v>
      </c>
      <c r="V416" s="7">
        <v>41386116.714720562</v>
      </c>
      <c r="W416" s="7">
        <v>41805795.436332889</v>
      </c>
      <c r="X416" s="7">
        <v>50376778.760896437</v>
      </c>
      <c r="Y416" s="7">
        <v>68614403.603381306</v>
      </c>
      <c r="Z416" s="7">
        <v>73140348.244908482</v>
      </c>
      <c r="AA416" s="7">
        <v>54029812.751711383</v>
      </c>
      <c r="AB416" s="7">
        <v>52770120.294237524</v>
      </c>
      <c r="AC416" s="22">
        <v>107158163.40600106</v>
      </c>
      <c r="AD416" s="7">
        <v>71940536.563007057</v>
      </c>
      <c r="AE416" s="7">
        <v>71940536.563007057</v>
      </c>
      <c r="AF416" s="12">
        <v>71940536.563007057</v>
      </c>
      <c r="AG416" s="7">
        <v>71940536.563007057</v>
      </c>
      <c r="AH416" s="7">
        <v>71940536.563007057</v>
      </c>
      <c r="AI416" s="7">
        <v>71940536.563007057</v>
      </c>
      <c r="AJ416" s="7">
        <v>71940536.563007057</v>
      </c>
      <c r="AK416" s="12">
        <f t="shared" ref="AK416:BE416" si="43">AJ416*(1+0.01*AK$374)</f>
        <v>71940536.563007057</v>
      </c>
      <c r="AL416" s="7">
        <f t="shared" si="43"/>
        <v>71940536.563007057</v>
      </c>
      <c r="AM416" s="7">
        <f t="shared" si="43"/>
        <v>71940536.563007057</v>
      </c>
      <c r="AN416" s="7">
        <f t="shared" si="43"/>
        <v>71940536.563007057</v>
      </c>
      <c r="AO416" s="7">
        <f t="shared" si="43"/>
        <v>71940536.563007057</v>
      </c>
      <c r="AP416" s="7">
        <f t="shared" si="43"/>
        <v>71940536.563007057</v>
      </c>
      <c r="AQ416" s="7">
        <f t="shared" si="43"/>
        <v>71940536.563007057</v>
      </c>
      <c r="AR416" s="7">
        <f t="shared" si="43"/>
        <v>71940536.563007057</v>
      </c>
      <c r="AS416" s="7">
        <f t="shared" si="43"/>
        <v>71940536.563007057</v>
      </c>
      <c r="AT416" s="7">
        <f t="shared" si="43"/>
        <v>71940536.563007057</v>
      </c>
      <c r="AU416" s="7">
        <f t="shared" si="43"/>
        <v>71940536.563007057</v>
      </c>
      <c r="AV416" s="7">
        <f t="shared" si="43"/>
        <v>71940536.563007057</v>
      </c>
      <c r="AW416" s="7">
        <f t="shared" si="43"/>
        <v>71940536.563007057</v>
      </c>
      <c r="AX416" s="7">
        <f t="shared" si="43"/>
        <v>71940536.563007057</v>
      </c>
      <c r="AY416" s="7">
        <f t="shared" si="43"/>
        <v>71940536.563007057</v>
      </c>
      <c r="AZ416" s="7">
        <f t="shared" si="43"/>
        <v>71940536.563007057</v>
      </c>
      <c r="BA416" s="7">
        <f t="shared" si="43"/>
        <v>71940536.563007057</v>
      </c>
      <c r="BB416" s="7">
        <f t="shared" si="43"/>
        <v>71940536.563007057</v>
      </c>
      <c r="BC416" s="7">
        <f t="shared" si="43"/>
        <v>71940536.563007057</v>
      </c>
      <c r="BD416" s="7">
        <f t="shared" si="43"/>
        <v>71940536.563007057</v>
      </c>
      <c r="BE416" s="7">
        <f t="shared" si="43"/>
        <v>71940536.563007057</v>
      </c>
    </row>
    <row r="417" spans="1:57" ht="12" customHeight="1" x14ac:dyDescent="0.2">
      <c r="A417" t="s">
        <v>142</v>
      </c>
      <c r="B417" s="7">
        <v>112373696.88828264</v>
      </c>
      <c r="C417" s="7">
        <v>139658732.64533284</v>
      </c>
      <c r="D417" s="7">
        <v>146749464.49358085</v>
      </c>
      <c r="E417" s="7">
        <v>146805617.83103961</v>
      </c>
      <c r="F417" s="7">
        <v>135782203.40354255</v>
      </c>
      <c r="G417" s="7">
        <v>118106523.99731565</v>
      </c>
      <c r="H417" s="7">
        <v>98815110.34706971</v>
      </c>
      <c r="I417" s="7">
        <v>122097245.03061718</v>
      </c>
      <c r="J417" s="7">
        <v>148302935.71703812</v>
      </c>
      <c r="K417" s="7">
        <v>184465827.26380071</v>
      </c>
      <c r="L417" s="7">
        <v>217603864.02435911</v>
      </c>
      <c r="M417" s="7">
        <v>260406886.7122854</v>
      </c>
      <c r="N417" s="7">
        <v>277567347.03620821</v>
      </c>
      <c r="O417" s="7">
        <v>265114299.24560288</v>
      </c>
      <c r="P417" s="7">
        <v>274933255.49288577</v>
      </c>
      <c r="Q417" s="7">
        <v>264765518.60871318</v>
      </c>
      <c r="R417" s="7">
        <v>293535187.39061987</v>
      </c>
      <c r="S417" s="7">
        <v>308443795.42346698</v>
      </c>
      <c r="T417" s="7">
        <v>293323785.22184485</v>
      </c>
      <c r="U417" s="7">
        <v>329748413.10202521</v>
      </c>
      <c r="V417" s="7">
        <v>319332261.10358083</v>
      </c>
      <c r="W417" s="7">
        <v>339241111.3526777</v>
      </c>
      <c r="X417" s="7">
        <v>318393864.66530174</v>
      </c>
      <c r="Y417" s="7">
        <v>347929996.96710873</v>
      </c>
      <c r="Z417" s="7">
        <v>346397735.54901958</v>
      </c>
      <c r="AA417" s="7">
        <v>326381029.3463791</v>
      </c>
      <c r="AB417" s="7">
        <v>347255439.07713991</v>
      </c>
      <c r="AC417" s="22">
        <v>155208285.282186</v>
      </c>
      <c r="AD417" s="7">
        <v>299698253.9183355</v>
      </c>
      <c r="AE417" s="7">
        <v>273682344.54375291</v>
      </c>
      <c r="AF417" s="12">
        <v>270820967.2584548</v>
      </c>
      <c r="AG417" s="7">
        <v>270521005.81446677</v>
      </c>
      <c r="AH417" s="7">
        <v>270253262.81076384</v>
      </c>
      <c r="AI417" s="7">
        <v>270014407.0559954</v>
      </c>
      <c r="AJ417" s="7">
        <v>269800693.24763447</v>
      </c>
      <c r="AK417" s="12">
        <f t="shared" ref="AK417:BE417" si="44">AJ417*(1+0.01*AK$374)</f>
        <v>269800693.24763447</v>
      </c>
      <c r="AL417" s="7">
        <f t="shared" si="44"/>
        <v>269800693.24763447</v>
      </c>
      <c r="AM417" s="7">
        <f t="shared" si="44"/>
        <v>269800693.24763447</v>
      </c>
      <c r="AN417" s="7">
        <f t="shared" si="44"/>
        <v>269800693.24763447</v>
      </c>
      <c r="AO417" s="7">
        <f t="shared" si="44"/>
        <v>269800693.24763447</v>
      </c>
      <c r="AP417" s="7">
        <f t="shared" si="44"/>
        <v>269800693.24763447</v>
      </c>
      <c r="AQ417" s="7">
        <f t="shared" si="44"/>
        <v>269800693.24763447</v>
      </c>
      <c r="AR417" s="7">
        <f t="shared" si="44"/>
        <v>269800693.24763447</v>
      </c>
      <c r="AS417" s="7">
        <f t="shared" si="44"/>
        <v>269800693.24763447</v>
      </c>
      <c r="AT417" s="7">
        <f t="shared" si="44"/>
        <v>269800693.24763447</v>
      </c>
      <c r="AU417" s="7">
        <f t="shared" si="44"/>
        <v>269800693.24763447</v>
      </c>
      <c r="AV417" s="7">
        <f t="shared" si="44"/>
        <v>269800693.24763447</v>
      </c>
      <c r="AW417" s="7">
        <f t="shared" si="44"/>
        <v>269800693.24763447</v>
      </c>
      <c r="AX417" s="7">
        <f t="shared" si="44"/>
        <v>269800693.24763447</v>
      </c>
      <c r="AY417" s="7">
        <f t="shared" si="44"/>
        <v>269800693.24763447</v>
      </c>
      <c r="AZ417" s="7">
        <f t="shared" si="44"/>
        <v>269800693.24763447</v>
      </c>
      <c r="BA417" s="7">
        <f t="shared" si="44"/>
        <v>269800693.24763447</v>
      </c>
      <c r="BB417" s="7">
        <f t="shared" si="44"/>
        <v>269800693.24763447</v>
      </c>
      <c r="BC417" s="7">
        <f t="shared" si="44"/>
        <v>269800693.24763447</v>
      </c>
      <c r="BD417" s="7">
        <f t="shared" si="44"/>
        <v>269800693.24763447</v>
      </c>
      <c r="BE417" s="7">
        <f t="shared" si="44"/>
        <v>269800693.24763447</v>
      </c>
    </row>
    <row r="418" spans="1:57" ht="12" customHeight="1" x14ac:dyDescent="0.2">
      <c r="A418" t="s">
        <v>143</v>
      </c>
      <c r="B418" s="7">
        <v>200919308.64349237</v>
      </c>
      <c r="C418" s="7">
        <v>200919308.64349237</v>
      </c>
      <c r="D418" s="7">
        <v>200919308.64349237</v>
      </c>
      <c r="E418" s="7">
        <v>200919308.64349237</v>
      </c>
      <c r="F418" s="7">
        <v>200919308.64349237</v>
      </c>
      <c r="G418" s="7">
        <v>200919308.64349237</v>
      </c>
      <c r="H418" s="7">
        <v>200919308.64349237</v>
      </c>
      <c r="I418" s="7">
        <v>260365658.99686891</v>
      </c>
      <c r="J418" s="7">
        <v>222736892.72339863</v>
      </c>
      <c r="K418" s="7">
        <v>279652915.59123653</v>
      </c>
      <c r="L418" s="7">
        <v>364311226.40743768</v>
      </c>
      <c r="M418" s="7">
        <v>388395900.51876485</v>
      </c>
      <c r="N418" s="7">
        <v>498725123.24123108</v>
      </c>
      <c r="O418" s="7">
        <v>428364663.17429733</v>
      </c>
      <c r="P418" s="7">
        <v>94123072.289020553</v>
      </c>
      <c r="Q418" s="7">
        <v>95902477.873447567</v>
      </c>
      <c r="R418" s="7">
        <v>98172641.581048355</v>
      </c>
      <c r="S418" s="7">
        <v>121612165.92729327</v>
      </c>
      <c r="T418" s="7">
        <v>120779832.74286176</v>
      </c>
      <c r="U418" s="7">
        <v>123584699.58208439</v>
      </c>
      <c r="V418" s="7">
        <v>124915512.53884383</v>
      </c>
      <c r="W418" s="7">
        <v>136839378.92446649</v>
      </c>
      <c r="X418" s="7">
        <v>127736918.39881654</v>
      </c>
      <c r="Y418" s="7">
        <v>120749052.54288779</v>
      </c>
      <c r="Z418" s="7">
        <v>109074818.05195329</v>
      </c>
      <c r="AA418" s="7">
        <v>61453294.888235681</v>
      </c>
      <c r="AB418" s="7">
        <v>85729571.573536038</v>
      </c>
      <c r="AC418" s="22">
        <v>82575354.156841114</v>
      </c>
      <c r="AD418" s="7">
        <v>89322009.282730013</v>
      </c>
      <c r="AE418" s="7">
        <v>90035756.805869222</v>
      </c>
      <c r="AF418" s="12">
        <v>89083449.422511891</v>
      </c>
      <c r="AG418" s="7">
        <v>88984747.295407265</v>
      </c>
      <c r="AH418" s="7">
        <v>88896675.107601494</v>
      </c>
      <c r="AI418" s="7">
        <v>88818090.985322222</v>
      </c>
      <c r="AJ418" s="7">
        <v>88747764.794716701</v>
      </c>
      <c r="AK418" s="12">
        <f t="shared" ref="AK418:BE418" si="45">AJ418*(1+0.01*AK$374)</f>
        <v>88747764.794716701</v>
      </c>
      <c r="AL418" s="7">
        <f t="shared" si="45"/>
        <v>88747764.794716701</v>
      </c>
      <c r="AM418" s="7">
        <f t="shared" si="45"/>
        <v>88747764.794716701</v>
      </c>
      <c r="AN418" s="7">
        <f t="shared" si="45"/>
        <v>88747764.794716701</v>
      </c>
      <c r="AO418" s="7">
        <f t="shared" si="45"/>
        <v>88747764.794716701</v>
      </c>
      <c r="AP418" s="7">
        <f t="shared" si="45"/>
        <v>88747764.794716701</v>
      </c>
      <c r="AQ418" s="7">
        <f t="shared" si="45"/>
        <v>88747764.794716701</v>
      </c>
      <c r="AR418" s="7">
        <f t="shared" si="45"/>
        <v>88747764.794716701</v>
      </c>
      <c r="AS418" s="7">
        <f t="shared" si="45"/>
        <v>88747764.794716701</v>
      </c>
      <c r="AT418" s="7">
        <f t="shared" si="45"/>
        <v>88747764.794716701</v>
      </c>
      <c r="AU418" s="7">
        <f t="shared" si="45"/>
        <v>88747764.794716701</v>
      </c>
      <c r="AV418" s="7">
        <f t="shared" si="45"/>
        <v>88747764.794716701</v>
      </c>
      <c r="AW418" s="7">
        <f t="shared" si="45"/>
        <v>88747764.794716701</v>
      </c>
      <c r="AX418" s="7">
        <f t="shared" si="45"/>
        <v>88747764.794716701</v>
      </c>
      <c r="AY418" s="7">
        <f t="shared" si="45"/>
        <v>88747764.794716701</v>
      </c>
      <c r="AZ418" s="7">
        <f t="shared" si="45"/>
        <v>88747764.794716701</v>
      </c>
      <c r="BA418" s="7">
        <f t="shared" si="45"/>
        <v>88747764.794716701</v>
      </c>
      <c r="BB418" s="7">
        <f t="shared" si="45"/>
        <v>88747764.794716701</v>
      </c>
      <c r="BC418" s="7">
        <f t="shared" si="45"/>
        <v>88747764.794716701</v>
      </c>
      <c r="BD418" s="7">
        <f t="shared" si="45"/>
        <v>88747764.794716701</v>
      </c>
      <c r="BE418" s="7">
        <f t="shared" si="45"/>
        <v>88747764.794716701</v>
      </c>
    </row>
    <row r="419" spans="1:57" ht="12" customHeight="1" x14ac:dyDescent="0.2">
      <c r="A419" t="s">
        <v>144</v>
      </c>
      <c r="B419" s="7">
        <v>37050789.339491859</v>
      </c>
      <c r="C419" s="7">
        <v>42223781.508006565</v>
      </c>
      <c r="D419" s="7">
        <v>41042880.458910242</v>
      </c>
      <c r="E419" s="7">
        <v>30019083.71413118</v>
      </c>
      <c r="F419" s="7">
        <v>22955931.797005497</v>
      </c>
      <c r="G419" s="7">
        <v>22438231.937746961</v>
      </c>
      <c r="H419" s="7">
        <v>23945124.869296961</v>
      </c>
      <c r="I419" s="7">
        <v>32980412.278593171</v>
      </c>
      <c r="J419" s="7">
        <v>47682507.149139389</v>
      </c>
      <c r="K419" s="7">
        <v>91959313.600166038</v>
      </c>
      <c r="L419" s="7">
        <v>100885340.66318426</v>
      </c>
      <c r="M419" s="7">
        <v>161494000.28580606</v>
      </c>
      <c r="N419" s="7">
        <v>157142491.81810409</v>
      </c>
      <c r="O419" s="7">
        <v>163136820.48659164</v>
      </c>
      <c r="P419" s="7">
        <v>48773007.430429347</v>
      </c>
      <c r="Q419" s="7">
        <v>51588756.046778031</v>
      </c>
      <c r="R419" s="7">
        <v>59925983.912030958</v>
      </c>
      <c r="S419" s="7">
        <v>55663129.484920129</v>
      </c>
      <c r="T419" s="7">
        <v>55368227.626796558</v>
      </c>
      <c r="U419" s="7">
        <v>49856930.511671163</v>
      </c>
      <c r="V419" s="7">
        <v>36177750.995267816</v>
      </c>
      <c r="W419" s="7">
        <v>40819200.45734439</v>
      </c>
      <c r="X419" s="7">
        <v>39923337.583670549</v>
      </c>
      <c r="Y419" s="7">
        <v>39034313.853007682</v>
      </c>
      <c r="Z419" s="7">
        <v>38071112.1392278</v>
      </c>
      <c r="AA419" s="7">
        <v>31185372.00209634</v>
      </c>
      <c r="AB419" s="7">
        <v>42881850.426624894</v>
      </c>
      <c r="AC419" s="22">
        <v>36412337.868352279</v>
      </c>
      <c r="AD419" s="7">
        <v>39131003.6910595</v>
      </c>
      <c r="AE419" s="7">
        <v>39131003.6910595</v>
      </c>
      <c r="AF419" s="12">
        <v>39077585.980424188</v>
      </c>
      <c r="AG419" s="7">
        <v>39045441.290311135</v>
      </c>
      <c r="AH419" s="7">
        <v>39006434.855455674</v>
      </c>
      <c r="AI419" s="7">
        <v>38967467.388067618</v>
      </c>
      <c r="AJ419" s="7">
        <v>38928538.849218398</v>
      </c>
      <c r="AK419" s="12">
        <f t="shared" ref="AK419:BE419" si="46">AJ419*(1+0.01*AK$374)</f>
        <v>38928538.849218398</v>
      </c>
      <c r="AL419" s="7">
        <f t="shared" si="46"/>
        <v>38928538.849218398</v>
      </c>
      <c r="AM419" s="7">
        <f t="shared" si="46"/>
        <v>38928538.849218398</v>
      </c>
      <c r="AN419" s="7">
        <f t="shared" si="46"/>
        <v>38928538.849218398</v>
      </c>
      <c r="AO419" s="7">
        <f t="shared" si="46"/>
        <v>38928538.849218398</v>
      </c>
      <c r="AP419" s="7">
        <f t="shared" si="46"/>
        <v>38928538.849218398</v>
      </c>
      <c r="AQ419" s="7">
        <f t="shared" si="46"/>
        <v>38928538.849218398</v>
      </c>
      <c r="AR419" s="7">
        <f t="shared" si="46"/>
        <v>38928538.849218398</v>
      </c>
      <c r="AS419" s="7">
        <f t="shared" si="46"/>
        <v>38928538.849218398</v>
      </c>
      <c r="AT419" s="7">
        <f t="shared" si="46"/>
        <v>38928538.849218398</v>
      </c>
      <c r="AU419" s="7">
        <f t="shared" si="46"/>
        <v>38928538.849218398</v>
      </c>
      <c r="AV419" s="7">
        <f t="shared" si="46"/>
        <v>38928538.849218398</v>
      </c>
      <c r="AW419" s="7">
        <f t="shared" si="46"/>
        <v>38928538.849218398</v>
      </c>
      <c r="AX419" s="7">
        <f t="shared" si="46"/>
        <v>38928538.849218398</v>
      </c>
      <c r="AY419" s="7">
        <f t="shared" si="46"/>
        <v>38928538.849218398</v>
      </c>
      <c r="AZ419" s="7">
        <f t="shared" si="46"/>
        <v>38928538.849218398</v>
      </c>
      <c r="BA419" s="7">
        <f t="shared" si="46"/>
        <v>38928538.849218398</v>
      </c>
      <c r="BB419" s="7">
        <f t="shared" si="46"/>
        <v>38928538.849218398</v>
      </c>
      <c r="BC419" s="7">
        <f t="shared" si="46"/>
        <v>38928538.849218398</v>
      </c>
      <c r="BD419" s="7">
        <f t="shared" si="46"/>
        <v>38928538.849218398</v>
      </c>
      <c r="BE419" s="7">
        <f t="shared" si="46"/>
        <v>38928538.849218398</v>
      </c>
    </row>
    <row r="420" spans="1:57" ht="12" customHeight="1" x14ac:dyDescent="0.2">
      <c r="A420" t="s">
        <v>145</v>
      </c>
      <c r="B420" s="7">
        <v>70486864.080326721</v>
      </c>
      <c r="C420" s="7">
        <v>91068997.879828364</v>
      </c>
      <c r="D420" s="7">
        <v>96532222.303718016</v>
      </c>
      <c r="E420" s="7">
        <v>108116186.37071837</v>
      </c>
      <c r="F420" s="7">
        <v>65055299.779942788</v>
      </c>
      <c r="G420" s="7">
        <v>51925323.801218681</v>
      </c>
      <c r="H420" s="7">
        <v>66035832.589836486</v>
      </c>
      <c r="I420" s="7">
        <v>95216235.377009422</v>
      </c>
      <c r="J420" s="7">
        <v>86625157.777599081</v>
      </c>
      <c r="K420" s="7">
        <v>84879401.729144797</v>
      </c>
      <c r="L420" s="7">
        <v>93974753.889888734</v>
      </c>
      <c r="M420" s="7">
        <v>63709584.038934231</v>
      </c>
      <c r="N420" s="7">
        <v>50134737.41691725</v>
      </c>
      <c r="O420" s="7">
        <v>47906258.389585063</v>
      </c>
      <c r="P420" s="7">
        <v>42837200.431751274</v>
      </c>
      <c r="Q420" s="7">
        <v>42476596.028797694</v>
      </c>
      <c r="R420" s="7">
        <v>46913335.265352987</v>
      </c>
      <c r="S420" s="7">
        <v>46434232.962905601</v>
      </c>
      <c r="T420" s="7">
        <v>41129714.006583415</v>
      </c>
      <c r="U420" s="7">
        <v>47761788.704143785</v>
      </c>
      <c r="V420" s="7">
        <v>23819014.787941363</v>
      </c>
      <c r="W420" s="7">
        <v>28537517.233414717</v>
      </c>
      <c r="X420" s="7">
        <v>29798838.609676149</v>
      </c>
      <c r="Y420" s="7">
        <v>33716462.571406104</v>
      </c>
      <c r="Z420" s="7">
        <v>35397236.087895289</v>
      </c>
      <c r="AA420" s="7">
        <v>30875907.605608929</v>
      </c>
      <c r="AB420" s="7">
        <v>40367325.110104822</v>
      </c>
      <c r="AC420" s="22">
        <v>32193945.159199718</v>
      </c>
      <c r="AD420" s="7">
        <v>32153942.175859377</v>
      </c>
      <c r="AE420" s="7">
        <v>32705811.200449515</v>
      </c>
      <c r="AF420" s="12">
        <v>32159381.189042322</v>
      </c>
      <c r="AG420" s="7">
        <v>32127253.93510722</v>
      </c>
      <c r="AH420" s="7">
        <v>32095158.776330892</v>
      </c>
      <c r="AI420" s="7">
        <v>32063095.680650245</v>
      </c>
      <c r="AJ420" s="7">
        <v>32031064.616034213</v>
      </c>
      <c r="AK420" s="12">
        <f t="shared" ref="AK420:BE420" si="47">AJ420*(1+0.01*AK$374)</f>
        <v>32031064.616034213</v>
      </c>
      <c r="AL420" s="7">
        <f t="shared" si="47"/>
        <v>32031064.616034213</v>
      </c>
      <c r="AM420" s="7">
        <f t="shared" si="47"/>
        <v>32031064.616034213</v>
      </c>
      <c r="AN420" s="7">
        <f t="shared" si="47"/>
        <v>32031064.616034213</v>
      </c>
      <c r="AO420" s="7">
        <f t="shared" si="47"/>
        <v>32031064.616034213</v>
      </c>
      <c r="AP420" s="7">
        <f t="shared" si="47"/>
        <v>32031064.616034213</v>
      </c>
      <c r="AQ420" s="7">
        <f t="shared" si="47"/>
        <v>32031064.616034213</v>
      </c>
      <c r="AR420" s="7">
        <f t="shared" si="47"/>
        <v>32031064.616034213</v>
      </c>
      <c r="AS420" s="7">
        <f t="shared" si="47"/>
        <v>32031064.616034213</v>
      </c>
      <c r="AT420" s="7">
        <f t="shared" si="47"/>
        <v>32031064.616034213</v>
      </c>
      <c r="AU420" s="7">
        <f t="shared" si="47"/>
        <v>32031064.616034213</v>
      </c>
      <c r="AV420" s="7">
        <f t="shared" si="47"/>
        <v>32031064.616034213</v>
      </c>
      <c r="AW420" s="7">
        <f t="shared" si="47"/>
        <v>32031064.616034213</v>
      </c>
      <c r="AX420" s="7">
        <f t="shared" si="47"/>
        <v>32031064.616034213</v>
      </c>
      <c r="AY420" s="7">
        <f t="shared" si="47"/>
        <v>32031064.616034213</v>
      </c>
      <c r="AZ420" s="7">
        <f t="shared" si="47"/>
        <v>32031064.616034213</v>
      </c>
      <c r="BA420" s="7">
        <f t="shared" si="47"/>
        <v>32031064.616034213</v>
      </c>
      <c r="BB420" s="7">
        <f t="shared" si="47"/>
        <v>32031064.616034213</v>
      </c>
      <c r="BC420" s="7">
        <f t="shared" si="47"/>
        <v>32031064.616034213</v>
      </c>
      <c r="BD420" s="7">
        <f t="shared" si="47"/>
        <v>32031064.616034213</v>
      </c>
      <c r="BE420" s="7">
        <f t="shared" si="47"/>
        <v>32031064.616034213</v>
      </c>
    </row>
    <row r="421" spans="1:57" ht="12" customHeight="1" x14ac:dyDescent="0.2">
      <c r="A421" t="s">
        <v>146</v>
      </c>
      <c r="B421" s="7">
        <v>20341341.212779533</v>
      </c>
      <c r="C421" s="7">
        <v>24116141.629287902</v>
      </c>
      <c r="D421" s="7">
        <v>26680653.704773892</v>
      </c>
      <c r="E421" s="7">
        <v>19904768.555609029</v>
      </c>
      <c r="F421" s="7">
        <v>17108525.129277814</v>
      </c>
      <c r="G421" s="7">
        <v>16395569.792129999</v>
      </c>
      <c r="H421" s="7">
        <v>19786739.214089748</v>
      </c>
      <c r="I421" s="7">
        <v>23436796.085466247</v>
      </c>
      <c r="J421" s="7">
        <v>36478885.057416514</v>
      </c>
      <c r="K421" s="7">
        <v>46407495.14240104</v>
      </c>
      <c r="L421" s="7">
        <v>57892002.521614701</v>
      </c>
      <c r="M421" s="7">
        <v>75128369.591797799</v>
      </c>
      <c r="N421" s="7">
        <v>55667196.517946735</v>
      </c>
      <c r="O421" s="7">
        <v>50270388.996356122</v>
      </c>
      <c r="P421" s="7">
        <v>16636821.358423881</v>
      </c>
      <c r="Q421" s="7">
        <v>16956034.046853852</v>
      </c>
      <c r="R421" s="7">
        <v>18009770.351833455</v>
      </c>
      <c r="S421" s="7">
        <v>18050605.824562967</v>
      </c>
      <c r="T421" s="7">
        <v>19276153.277166329</v>
      </c>
      <c r="U421" s="7">
        <v>17389102.012457702</v>
      </c>
      <c r="V421" s="7">
        <v>15022621.472368442</v>
      </c>
      <c r="W421" s="7">
        <v>14460913.394577129</v>
      </c>
      <c r="X421" s="7">
        <v>14610626.593244052</v>
      </c>
      <c r="Y421" s="7">
        <v>16480106.705191389</v>
      </c>
      <c r="Z421" s="7">
        <v>16895393.846100811</v>
      </c>
      <c r="AA421" s="7">
        <v>8640257.5082092695</v>
      </c>
      <c r="AB421" s="7">
        <v>9109647.3719690423</v>
      </c>
      <c r="AC421" s="22">
        <v>10422929.021695381</v>
      </c>
      <c r="AD421" s="7">
        <v>14123228.67381195</v>
      </c>
      <c r="AE421" s="7">
        <v>14718348.363766192</v>
      </c>
      <c r="AF421" s="12">
        <v>14815422.426838877</v>
      </c>
      <c r="AG421" s="7">
        <v>14799276.569984904</v>
      </c>
      <c r="AH421" s="7">
        <v>14784606.216619041</v>
      </c>
      <c r="AI421" s="7">
        <v>14771253.129780699</v>
      </c>
      <c r="AJ421" s="7">
        <v>14759046.841922192</v>
      </c>
      <c r="AK421" s="12">
        <f t="shared" ref="AK421:BE421" si="48">AJ421*(1+0.01*AK$374)</f>
        <v>14759046.841922192</v>
      </c>
      <c r="AL421" s="7">
        <f t="shared" si="48"/>
        <v>14759046.841922192</v>
      </c>
      <c r="AM421" s="7">
        <f t="shared" si="48"/>
        <v>14759046.841922192</v>
      </c>
      <c r="AN421" s="7">
        <f t="shared" si="48"/>
        <v>14759046.841922192</v>
      </c>
      <c r="AO421" s="7">
        <f t="shared" si="48"/>
        <v>14759046.841922192</v>
      </c>
      <c r="AP421" s="7">
        <f t="shared" si="48"/>
        <v>14759046.841922192</v>
      </c>
      <c r="AQ421" s="7">
        <f t="shared" si="48"/>
        <v>14759046.841922192</v>
      </c>
      <c r="AR421" s="7">
        <f t="shared" si="48"/>
        <v>14759046.841922192</v>
      </c>
      <c r="AS421" s="7">
        <f t="shared" si="48"/>
        <v>14759046.841922192</v>
      </c>
      <c r="AT421" s="7">
        <f t="shared" si="48"/>
        <v>14759046.841922192</v>
      </c>
      <c r="AU421" s="7">
        <f t="shared" si="48"/>
        <v>14759046.841922192</v>
      </c>
      <c r="AV421" s="7">
        <f t="shared" si="48"/>
        <v>14759046.841922192</v>
      </c>
      <c r="AW421" s="7">
        <f t="shared" si="48"/>
        <v>14759046.841922192</v>
      </c>
      <c r="AX421" s="7">
        <f t="shared" si="48"/>
        <v>14759046.841922192</v>
      </c>
      <c r="AY421" s="7">
        <f t="shared" si="48"/>
        <v>14759046.841922192</v>
      </c>
      <c r="AZ421" s="7">
        <f t="shared" si="48"/>
        <v>14759046.841922192</v>
      </c>
      <c r="BA421" s="7">
        <f t="shared" si="48"/>
        <v>14759046.841922192</v>
      </c>
      <c r="BB421" s="7">
        <f t="shared" si="48"/>
        <v>14759046.841922192</v>
      </c>
      <c r="BC421" s="7">
        <f t="shared" si="48"/>
        <v>14759046.841922192</v>
      </c>
      <c r="BD421" s="7">
        <f t="shared" si="48"/>
        <v>14759046.841922192</v>
      </c>
      <c r="BE421" s="7">
        <f t="shared" si="48"/>
        <v>14759046.841922192</v>
      </c>
    </row>
    <row r="422" spans="1:57" ht="12" customHeight="1" x14ac:dyDescent="0.2">
      <c r="A422" t="s">
        <v>147</v>
      </c>
      <c r="B422" s="7">
        <v>34042103.850094199</v>
      </c>
      <c r="C422" s="7">
        <v>40062156.567078024</v>
      </c>
      <c r="D422" s="7">
        <v>39673072.455107495</v>
      </c>
      <c r="E422" s="7">
        <v>40841126.227167144</v>
      </c>
      <c r="F422" s="7">
        <v>38632339.939901076</v>
      </c>
      <c r="G422" s="7">
        <v>30881906.72387927</v>
      </c>
      <c r="H422" s="7">
        <v>35294279.210883863</v>
      </c>
      <c r="I422" s="7">
        <v>44178406.363302566</v>
      </c>
      <c r="J422" s="7">
        <v>52350698.008087106</v>
      </c>
      <c r="K422" s="7">
        <v>100544829.15133235</v>
      </c>
      <c r="L422" s="7">
        <v>127296317.81295617</v>
      </c>
      <c r="M422" s="7">
        <v>136457458.08563027</v>
      </c>
      <c r="N422" s="7">
        <v>163157079.42525861</v>
      </c>
      <c r="O422" s="7">
        <v>219994339.00941974</v>
      </c>
      <c r="P422" s="7">
        <v>100260311.55397876</v>
      </c>
      <c r="Q422" s="7">
        <v>94301394.482829332</v>
      </c>
      <c r="R422" s="7">
        <v>78691864.195862472</v>
      </c>
      <c r="S422" s="7">
        <v>64586107.254174106</v>
      </c>
      <c r="T422" s="7">
        <v>55831487.855810717</v>
      </c>
      <c r="U422" s="7">
        <v>48382921.740333103</v>
      </c>
      <c r="V422" s="7">
        <v>45334849.48872298</v>
      </c>
      <c r="W422" s="7">
        <v>50761965.035090849</v>
      </c>
      <c r="X422" s="7">
        <v>50858595.969491549</v>
      </c>
      <c r="Y422" s="7">
        <v>59933526.558461256</v>
      </c>
      <c r="Z422" s="7">
        <v>47893668.16253414</v>
      </c>
      <c r="AA422" s="7">
        <v>27471075.616945196</v>
      </c>
      <c r="AB422" s="7">
        <v>40748086.790639475</v>
      </c>
      <c r="AC422" s="22">
        <v>37528335.759866707</v>
      </c>
      <c r="AD422" s="7">
        <v>37831187.20790679</v>
      </c>
      <c r="AE422" s="7">
        <v>37291057.383542746</v>
      </c>
      <c r="AF422" s="12">
        <v>36870684.964360863</v>
      </c>
      <c r="AG422" s="7">
        <v>36829861.930898793</v>
      </c>
      <c r="AH422" s="7">
        <v>36793407.330868468</v>
      </c>
      <c r="AI422" s="7">
        <v>36760851.932801865</v>
      </c>
      <c r="AJ422" s="7">
        <v>36731690.236437857</v>
      </c>
      <c r="AK422" s="12">
        <f t="shared" ref="AK422:BE422" si="49">AJ422*(1+0.01*AK$374)</f>
        <v>36731690.236437857</v>
      </c>
      <c r="AL422" s="7">
        <f t="shared" si="49"/>
        <v>36731690.236437857</v>
      </c>
      <c r="AM422" s="7">
        <f t="shared" si="49"/>
        <v>36731690.236437857</v>
      </c>
      <c r="AN422" s="7">
        <f t="shared" si="49"/>
        <v>36731690.236437857</v>
      </c>
      <c r="AO422" s="7">
        <f t="shared" si="49"/>
        <v>36731690.236437857</v>
      </c>
      <c r="AP422" s="7">
        <f t="shared" si="49"/>
        <v>36731690.236437857</v>
      </c>
      <c r="AQ422" s="7">
        <f t="shared" si="49"/>
        <v>36731690.236437857</v>
      </c>
      <c r="AR422" s="7">
        <f t="shared" si="49"/>
        <v>36731690.236437857</v>
      </c>
      <c r="AS422" s="7">
        <f t="shared" si="49"/>
        <v>36731690.236437857</v>
      </c>
      <c r="AT422" s="7">
        <f t="shared" si="49"/>
        <v>36731690.236437857</v>
      </c>
      <c r="AU422" s="7">
        <f t="shared" si="49"/>
        <v>36731690.236437857</v>
      </c>
      <c r="AV422" s="7">
        <f t="shared" si="49"/>
        <v>36731690.236437857</v>
      </c>
      <c r="AW422" s="7">
        <f t="shared" si="49"/>
        <v>36731690.236437857</v>
      </c>
      <c r="AX422" s="7">
        <f t="shared" si="49"/>
        <v>36731690.236437857</v>
      </c>
      <c r="AY422" s="7">
        <f t="shared" si="49"/>
        <v>36731690.236437857</v>
      </c>
      <c r="AZ422" s="7">
        <f t="shared" si="49"/>
        <v>36731690.236437857</v>
      </c>
      <c r="BA422" s="7">
        <f t="shared" si="49"/>
        <v>36731690.236437857</v>
      </c>
      <c r="BB422" s="7">
        <f t="shared" si="49"/>
        <v>36731690.236437857</v>
      </c>
      <c r="BC422" s="7">
        <f t="shared" si="49"/>
        <v>36731690.236437857</v>
      </c>
      <c r="BD422" s="7">
        <f t="shared" si="49"/>
        <v>36731690.236437857</v>
      </c>
      <c r="BE422" s="7">
        <f t="shared" si="49"/>
        <v>36731690.236437857</v>
      </c>
    </row>
    <row r="423" spans="1:57" ht="12" customHeight="1" x14ac:dyDescent="0.2">
      <c r="A423" t="s">
        <v>148</v>
      </c>
      <c r="B423" s="7">
        <v>85541957.586578414</v>
      </c>
      <c r="C423" s="7">
        <v>151904133.76897621</v>
      </c>
      <c r="D423" s="7">
        <v>201826078.07828128</v>
      </c>
      <c r="E423" s="7">
        <v>181579173.98726216</v>
      </c>
      <c r="F423" s="7">
        <v>170299821.15961641</v>
      </c>
      <c r="G423" s="7">
        <v>131412500.59497933</v>
      </c>
      <c r="H423" s="7">
        <v>132470700.21840291</v>
      </c>
      <c r="I423" s="7">
        <v>125776836.75507767</v>
      </c>
      <c r="J423" s="7">
        <v>133381636.73345691</v>
      </c>
      <c r="K423" s="7">
        <v>140699969.79903787</v>
      </c>
      <c r="L423" s="7">
        <v>191617828.33781603</v>
      </c>
      <c r="M423" s="7">
        <v>109122640.7092662</v>
      </c>
      <c r="N423" s="7">
        <v>77662901.049641997</v>
      </c>
      <c r="O423" s="7">
        <v>78372352.794625118</v>
      </c>
      <c r="P423" s="7">
        <v>26587699.669660691</v>
      </c>
      <c r="Q423" s="7">
        <v>27051407.392566241</v>
      </c>
      <c r="R423" s="7">
        <v>26730178.672320638</v>
      </c>
      <c r="S423" s="7">
        <v>34791453.101127438</v>
      </c>
      <c r="T423" s="7">
        <v>36276670.922711052</v>
      </c>
      <c r="U423" s="7">
        <v>34705749.949087702</v>
      </c>
      <c r="V423" s="7">
        <v>31734466.609722201</v>
      </c>
      <c r="W423" s="7">
        <v>36616390.450074762</v>
      </c>
      <c r="X423" s="7">
        <v>31271344.450151347</v>
      </c>
      <c r="Y423" s="7">
        <v>31126099.694605153</v>
      </c>
      <c r="Z423" s="7">
        <v>31113636.20242225</v>
      </c>
      <c r="AA423" s="7">
        <v>13449128.787562564</v>
      </c>
      <c r="AB423" s="7">
        <v>25238149.392482668</v>
      </c>
      <c r="AC423" s="22">
        <v>33626166.798076265</v>
      </c>
      <c r="AD423" s="7">
        <v>31586665.967741404</v>
      </c>
      <c r="AE423" s="7">
        <v>31581189.852736954</v>
      </c>
      <c r="AF423" s="12">
        <v>31135167.148736067</v>
      </c>
      <c r="AG423" s="7">
        <v>31104063.085650422</v>
      </c>
      <c r="AH423" s="7">
        <v>31072990.095554873</v>
      </c>
      <c r="AI423" s="7">
        <v>31041948.147407468</v>
      </c>
      <c r="AJ423" s="7">
        <v>31010937.21019727</v>
      </c>
      <c r="AK423" s="12">
        <f t="shared" ref="AK423:BE423" si="50">AJ423*(1+0.01*AK$374)</f>
        <v>31010937.21019727</v>
      </c>
      <c r="AL423" s="7">
        <f t="shared" si="50"/>
        <v>31010937.21019727</v>
      </c>
      <c r="AM423" s="7">
        <f t="shared" si="50"/>
        <v>31010937.21019727</v>
      </c>
      <c r="AN423" s="7">
        <f t="shared" si="50"/>
        <v>31010937.21019727</v>
      </c>
      <c r="AO423" s="7">
        <f t="shared" si="50"/>
        <v>31010937.21019727</v>
      </c>
      <c r="AP423" s="7">
        <f t="shared" si="50"/>
        <v>31010937.21019727</v>
      </c>
      <c r="AQ423" s="7">
        <f t="shared" si="50"/>
        <v>31010937.21019727</v>
      </c>
      <c r="AR423" s="7">
        <f t="shared" si="50"/>
        <v>31010937.21019727</v>
      </c>
      <c r="AS423" s="7">
        <f t="shared" si="50"/>
        <v>31010937.21019727</v>
      </c>
      <c r="AT423" s="7">
        <f t="shared" si="50"/>
        <v>31010937.21019727</v>
      </c>
      <c r="AU423" s="7">
        <f t="shared" si="50"/>
        <v>31010937.21019727</v>
      </c>
      <c r="AV423" s="7">
        <f t="shared" si="50"/>
        <v>31010937.21019727</v>
      </c>
      <c r="AW423" s="7">
        <f t="shared" si="50"/>
        <v>31010937.21019727</v>
      </c>
      <c r="AX423" s="7">
        <f t="shared" si="50"/>
        <v>31010937.21019727</v>
      </c>
      <c r="AY423" s="7">
        <f t="shared" si="50"/>
        <v>31010937.21019727</v>
      </c>
      <c r="AZ423" s="7">
        <f t="shared" si="50"/>
        <v>31010937.21019727</v>
      </c>
      <c r="BA423" s="7">
        <f t="shared" si="50"/>
        <v>31010937.21019727</v>
      </c>
      <c r="BB423" s="7">
        <f t="shared" si="50"/>
        <v>31010937.21019727</v>
      </c>
      <c r="BC423" s="7">
        <f t="shared" si="50"/>
        <v>31010937.21019727</v>
      </c>
      <c r="BD423" s="7">
        <f t="shared" si="50"/>
        <v>31010937.21019727</v>
      </c>
      <c r="BE423" s="7">
        <f t="shared" si="50"/>
        <v>31010937.21019727</v>
      </c>
    </row>
    <row r="424" spans="1:57" ht="12" customHeight="1" x14ac:dyDescent="0.2">
      <c r="F424" s="7"/>
      <c r="AC424" s="28"/>
      <c r="AD424" t="s">
        <v>362</v>
      </c>
      <c r="AF424" s="20" t="s">
        <v>363</v>
      </c>
      <c r="AK424" s="20"/>
    </row>
    <row r="425" spans="1:57" ht="12" customHeight="1" x14ac:dyDescent="0.2">
      <c r="A425" s="19" t="s">
        <v>149</v>
      </c>
      <c r="K425" s="20"/>
      <c r="Y425" s="7"/>
      <c r="AC425" s="28"/>
      <c r="AD425">
        <v>1</v>
      </c>
      <c r="AE425">
        <v>0.95</v>
      </c>
      <c r="AF425" s="20">
        <v>0.90249999999999997</v>
      </c>
      <c r="AG425">
        <v>0.85737499999999989</v>
      </c>
      <c r="AH425">
        <v>0.81450624999999988</v>
      </c>
      <c r="AI425">
        <v>0.77378093749999988</v>
      </c>
      <c r="AJ425">
        <v>0.7350918906249998</v>
      </c>
      <c r="AK425">
        <v>0.69833729609374973</v>
      </c>
      <c r="AL425">
        <v>0.66342043128906225</v>
      </c>
      <c r="AM425">
        <v>0.63024940972460908</v>
      </c>
      <c r="AN425">
        <v>0.59873693923837856</v>
      </c>
      <c r="AO425">
        <v>0.56880009227645956</v>
      </c>
      <c r="AP425">
        <v>0.54036008766263655</v>
      </c>
      <c r="AQ425">
        <v>0.5133420832795047</v>
      </c>
      <c r="AR425">
        <v>0.48767497911552943</v>
      </c>
      <c r="AS425">
        <v>0.46329123015975293</v>
      </c>
      <c r="AT425">
        <v>0.44012666865176525</v>
      </c>
      <c r="AU425">
        <v>0.41812033521917696</v>
      </c>
      <c r="AV425">
        <v>0.39721431845821809</v>
      </c>
      <c r="AW425">
        <v>0.37735360253530714</v>
      </c>
      <c r="AX425">
        <v>0.35848592240854177</v>
      </c>
      <c r="AY425">
        <v>0.34056162628811465</v>
      </c>
      <c r="AZ425">
        <v>0.3235335449737089</v>
      </c>
      <c r="BA425">
        <v>0.30735686772502346</v>
      </c>
      <c r="BB425">
        <v>0.29198902433877227</v>
      </c>
      <c r="BC425">
        <v>0.27738957312183365</v>
      </c>
      <c r="BD425">
        <v>0.26352009446574198</v>
      </c>
      <c r="BE425" s="7">
        <v>0.25034408974245487</v>
      </c>
    </row>
    <row r="426" spans="1:57" ht="12" customHeight="1" x14ac:dyDescent="0.2">
      <c r="B426">
        <v>1995</v>
      </c>
      <c r="C426">
        <v>1996</v>
      </c>
      <c r="D426">
        <v>1997</v>
      </c>
      <c r="E426">
        <v>1998</v>
      </c>
      <c r="F426">
        <v>1999</v>
      </c>
      <c r="G426">
        <v>2000</v>
      </c>
      <c r="H426">
        <v>2001</v>
      </c>
      <c r="I426">
        <v>2002</v>
      </c>
      <c r="J426">
        <v>2003</v>
      </c>
      <c r="K426">
        <v>2004</v>
      </c>
      <c r="L426">
        <v>2005</v>
      </c>
      <c r="M426">
        <v>2006</v>
      </c>
      <c r="N426">
        <v>2007</v>
      </c>
      <c r="O426">
        <v>2008</v>
      </c>
      <c r="P426">
        <v>2009</v>
      </c>
      <c r="Q426">
        <v>2010</v>
      </c>
      <c r="R426">
        <v>2011</v>
      </c>
      <c r="S426">
        <v>2012</v>
      </c>
      <c r="T426">
        <v>2013</v>
      </c>
      <c r="U426">
        <v>2014</v>
      </c>
      <c r="V426">
        <v>2015</v>
      </c>
      <c r="W426">
        <v>2016</v>
      </c>
      <c r="X426">
        <v>2017</v>
      </c>
      <c r="Y426">
        <v>2018</v>
      </c>
      <c r="Z426">
        <v>2019</v>
      </c>
      <c r="AA426">
        <v>2020</v>
      </c>
      <c r="AB426">
        <v>2021</v>
      </c>
      <c r="AC426" s="28">
        <v>2022</v>
      </c>
      <c r="AD426">
        <v>2023</v>
      </c>
      <c r="AE426">
        <v>2024</v>
      </c>
      <c r="AF426" s="20">
        <v>2025</v>
      </c>
      <c r="AG426">
        <v>2026</v>
      </c>
      <c r="AH426">
        <v>2027</v>
      </c>
      <c r="AI426">
        <v>2028</v>
      </c>
      <c r="AJ426">
        <v>2029</v>
      </c>
      <c r="AK426">
        <v>2030</v>
      </c>
      <c r="AL426">
        <v>2031</v>
      </c>
      <c r="AM426">
        <v>2032</v>
      </c>
      <c r="AN426">
        <v>2033</v>
      </c>
      <c r="AO426">
        <v>2034</v>
      </c>
      <c r="AP426">
        <v>2035</v>
      </c>
      <c r="AQ426">
        <v>2036</v>
      </c>
      <c r="AR426">
        <v>2037</v>
      </c>
      <c r="AS426">
        <v>2038</v>
      </c>
      <c r="AT426">
        <v>2039</v>
      </c>
      <c r="AU426">
        <v>2040</v>
      </c>
      <c r="AV426">
        <v>2041</v>
      </c>
      <c r="AW426">
        <v>2042</v>
      </c>
      <c r="AX426">
        <v>2043</v>
      </c>
      <c r="AY426">
        <v>2044</v>
      </c>
      <c r="AZ426">
        <v>2045</v>
      </c>
      <c r="BA426">
        <v>2046</v>
      </c>
      <c r="BB426">
        <v>2047</v>
      </c>
      <c r="BC426">
        <v>2048</v>
      </c>
      <c r="BD426">
        <v>2049</v>
      </c>
      <c r="BE426">
        <v>2050</v>
      </c>
    </row>
    <row r="427" spans="1:57" ht="12" customHeight="1" x14ac:dyDescent="0.2">
      <c r="A427" s="29" t="s">
        <v>101</v>
      </c>
      <c r="B427" s="30">
        <v>5994695.0941620106</v>
      </c>
      <c r="C427" s="30">
        <v>5949615.7691622451</v>
      </c>
      <c r="D427" s="30">
        <v>5695404.4227821324</v>
      </c>
      <c r="E427" s="30">
        <v>4856469.3751405533</v>
      </c>
      <c r="F427" s="30">
        <v>4278721.1866030954</v>
      </c>
      <c r="G427" s="30">
        <v>4114521.0241913446</v>
      </c>
      <c r="H427" s="30">
        <v>4833388.024734661</v>
      </c>
      <c r="I427" s="30">
        <v>5149153.2924640849</v>
      </c>
      <c r="J427" s="30">
        <v>7129223.9793493766</v>
      </c>
      <c r="K427" s="30">
        <v>7367258.0485162763</v>
      </c>
      <c r="L427" s="30">
        <v>7305962.8669863446</v>
      </c>
      <c r="M427" s="30">
        <v>7540602.2476281188</v>
      </c>
      <c r="N427" s="30">
        <v>7734574.7920895079</v>
      </c>
      <c r="O427" s="30">
        <v>6638442.0081242435</v>
      </c>
      <c r="P427" s="30">
        <v>6282593.7644816404</v>
      </c>
      <c r="Q427" s="30">
        <v>7294223.1815838469</v>
      </c>
      <c r="R427" s="30">
        <v>6532314.1363796033</v>
      </c>
      <c r="S427" s="30">
        <v>5631042.0837544305</v>
      </c>
      <c r="T427" s="30">
        <v>5833604.057738414</v>
      </c>
      <c r="U427" s="30">
        <v>5625681.6646829443</v>
      </c>
      <c r="V427" s="30">
        <v>5531237.5599528095</v>
      </c>
      <c r="W427" s="30">
        <v>5692735.8597965613</v>
      </c>
      <c r="X427" s="30">
        <v>6416717.7056422373</v>
      </c>
      <c r="Y427" s="30">
        <v>6856682.0376036158</v>
      </c>
      <c r="Z427" s="30">
        <v>6700477.3592269439</v>
      </c>
      <c r="AA427" s="30">
        <v>7083173.8254227107</v>
      </c>
      <c r="AB427" s="30">
        <v>7164932.563483973</v>
      </c>
      <c r="AC427" s="31">
        <v>7944804.385991036</v>
      </c>
      <c r="AD427" s="30">
        <f>AC427*(1-0.05*AD$425)</f>
        <v>7547564.1666914839</v>
      </c>
      <c r="AE427" s="30">
        <f>AD427*(1-0.05*AE$425)</f>
        <v>7189054.8687736383</v>
      </c>
      <c r="AF427" s="32">
        <f>AE427*(1+0.01*AF$425)</f>
        <v>7253936.0889643207</v>
      </c>
      <c r="AG427" s="30">
        <f t="shared" ref="AG427:BE427" si="51">AF427*(1+0.01*AG$425)</f>
        <v>7316129.5235070791</v>
      </c>
      <c r="AH427" s="30">
        <f t="shared" si="51"/>
        <v>7375719.8557341387</v>
      </c>
      <c r="AI427" s="30">
        <f t="shared" si="51"/>
        <v>7432791.769981212</v>
      </c>
      <c r="AJ427" s="30">
        <f t="shared" si="51"/>
        <v>7487429.6195293861</v>
      </c>
      <c r="AK427" s="30">
        <f t="shared" si="51"/>
        <v>7539717.13308133</v>
      </c>
      <c r="AL427" s="30">
        <f t="shared" si="51"/>
        <v>7589737.1570035936</v>
      </c>
      <c r="AM427" s="30">
        <f t="shared" si="51"/>
        <v>7637571.4306352576</v>
      </c>
      <c r="AN427" s="30">
        <f t="shared" si="51"/>
        <v>7683300.3920511873</v>
      </c>
      <c r="AO427" s="30">
        <f t="shared" si="51"/>
        <v>7727003.0117710531</v>
      </c>
      <c r="AP427" s="30">
        <f t="shared" si="51"/>
        <v>7768756.6520191533</v>
      </c>
      <c r="AQ427" s="30">
        <f t="shared" si="51"/>
        <v>7808636.9492615443</v>
      </c>
      <c r="AR427" s="30">
        <f t="shared" si="51"/>
        <v>7846717.7178730629</v>
      </c>
      <c r="AS427" s="30">
        <f t="shared" si="51"/>
        <v>7883070.8729153611</v>
      </c>
      <c r="AT427" s="30">
        <f t="shared" si="51"/>
        <v>7917766.3701357814</v>
      </c>
      <c r="AU427" s="30">
        <f t="shared" si="51"/>
        <v>7950872.1614244645</v>
      </c>
      <c r="AV427" s="30">
        <f t="shared" si="51"/>
        <v>7982454.1640919521</v>
      </c>
      <c r="AW427" s="30">
        <f t="shared" si="51"/>
        <v>8012576.2424508827</v>
      </c>
      <c r="AX427" s="30">
        <f t="shared" si="51"/>
        <v>8041300.2003023205</v>
      </c>
      <c r="AY427" s="30">
        <f t="shared" si="51"/>
        <v>8068685.7830391787</v>
      </c>
      <c r="AZ427" s="30">
        <f t="shared" si="51"/>
        <v>8094790.6881858362</v>
      </c>
      <c r="BA427" s="30">
        <f t="shared" si="51"/>
        <v>8119670.5832939418</v>
      </c>
      <c r="BB427" s="30">
        <f t="shared" si="51"/>
        <v>8143379.1302096248</v>
      </c>
      <c r="BC427" s="30">
        <f t="shared" si="51"/>
        <v>8165968.0148166064</v>
      </c>
      <c r="BD427" s="30">
        <f t="shared" si="51"/>
        <v>8187486.9814432943</v>
      </c>
      <c r="BE427" s="30">
        <f t="shared" si="51"/>
        <v>8207983.8711997699</v>
      </c>
    </row>
    <row r="428" spans="1:57" ht="12" customHeight="1" x14ac:dyDescent="0.2">
      <c r="A428" t="s">
        <v>102</v>
      </c>
      <c r="B428" s="7">
        <v>6265201.7957946789</v>
      </c>
      <c r="C428" s="7">
        <v>6125315.2246751664</v>
      </c>
      <c r="D428" s="7">
        <v>3695086.4158556429</v>
      </c>
      <c r="E428" s="7">
        <v>4514432.3366287379</v>
      </c>
      <c r="F428" s="7">
        <v>3672856.6917276704</v>
      </c>
      <c r="G428" s="7">
        <v>3358479.4161803895</v>
      </c>
      <c r="H428" s="7">
        <v>3763213.7238015705</v>
      </c>
      <c r="I428" s="7">
        <v>2700576.7510174569</v>
      </c>
      <c r="J428" s="7">
        <v>2748783.3967040502</v>
      </c>
      <c r="K428" s="7">
        <v>2230389.662345564</v>
      </c>
      <c r="L428" s="7">
        <v>2136361.7978857281</v>
      </c>
      <c r="M428" s="7">
        <v>2136758.6812580745</v>
      </c>
      <c r="N428" s="7">
        <v>1848527.3015985333</v>
      </c>
      <c r="O428" s="7">
        <v>1242836.3786818045</v>
      </c>
      <c r="P428" s="7">
        <v>1457412.5086841232</v>
      </c>
      <c r="Q428" s="7">
        <v>1470854.7403614835</v>
      </c>
      <c r="R428" s="7">
        <v>1367084.5812639142</v>
      </c>
      <c r="S428" s="7">
        <v>981419.97417488252</v>
      </c>
      <c r="T428" s="7">
        <v>771136.83435400913</v>
      </c>
      <c r="U428" s="7">
        <v>659014.95587301091</v>
      </c>
      <c r="V428" s="7">
        <v>1275378.8796348372</v>
      </c>
      <c r="W428" s="7">
        <v>1152856.1170534987</v>
      </c>
      <c r="X428" s="7">
        <v>1289593.7668657799</v>
      </c>
      <c r="Y428" s="7">
        <v>1993895.7624584385</v>
      </c>
      <c r="Z428" s="7">
        <v>2962944.9610086731</v>
      </c>
      <c r="AA428" s="7">
        <v>2406442.8218437657</v>
      </c>
      <c r="AB428" s="7">
        <v>2730580.8581927777</v>
      </c>
      <c r="AC428" s="22">
        <v>3510576.3757568519</v>
      </c>
      <c r="AD428" s="7">
        <f t="shared" ref="AD428:AE428" si="52">AC428*(1-0.05*AD$425)</f>
        <v>3335047.5569690093</v>
      </c>
      <c r="AE428" s="7">
        <f t="shared" si="52"/>
        <v>3176632.7980129817</v>
      </c>
      <c r="AF428" s="12">
        <f t="shared" ref="AF428:BE428" si="53">AE428*(1+0.01*AF$425)</f>
        <v>3205301.9090150492</v>
      </c>
      <c r="AG428" s="7">
        <f t="shared" si="53"/>
        <v>3232783.3662574673</v>
      </c>
      <c r="AH428" s="7">
        <f t="shared" si="53"/>
        <v>3259114.5888245944</v>
      </c>
      <c r="AI428" s="7">
        <f t="shared" si="53"/>
        <v>3284332.9962442005</v>
      </c>
      <c r="AJ428" s="7">
        <f t="shared" si="53"/>
        <v>3308475.8617607127</v>
      </c>
      <c r="AK428" s="7">
        <f t="shared" si="53"/>
        <v>3331580.1826356468</v>
      </c>
      <c r="AL428" s="7">
        <f t="shared" si="53"/>
        <v>3353682.566252029</v>
      </c>
      <c r="AM428" s="7">
        <f t="shared" si="53"/>
        <v>3374819.1308298693</v>
      </c>
      <c r="AN428" s="7">
        <f t="shared" si="53"/>
        <v>3395025.4195986311</v>
      </c>
      <c r="AO428" s="7">
        <f t="shared" si="53"/>
        <v>3414336.3273181175</v>
      </c>
      <c r="AP428" s="7">
        <f t="shared" si="53"/>
        <v>3432786.0380895105</v>
      </c>
      <c r="AQ428" s="7">
        <f t="shared" si="53"/>
        <v>3450407.9734519674</v>
      </c>
      <c r="AR428" s="7">
        <f t="shared" si="53"/>
        <v>3467234.7498158999</v>
      </c>
      <c r="AS428" s="7">
        <f t="shared" si="53"/>
        <v>3483298.1443408486</v>
      </c>
      <c r="AT428" s="7">
        <f t="shared" si="53"/>
        <v>3498629.0684227445</v>
      </c>
      <c r="AU428" s="7">
        <f t="shared" si="53"/>
        <v>3513257.548011709</v>
      </c>
      <c r="AV428" s="7">
        <f t="shared" si="53"/>
        <v>3527212.7100367257</v>
      </c>
      <c r="AW428" s="7">
        <f t="shared" si="53"/>
        <v>3540522.7742671324</v>
      </c>
      <c r="AX428" s="7">
        <f t="shared" si="53"/>
        <v>3553215.0499925488</v>
      </c>
      <c r="AY428" s="7">
        <f t="shared" si="53"/>
        <v>3565315.9369523171</v>
      </c>
      <c r="AZ428" s="7">
        <f t="shared" si="53"/>
        <v>3576850.929992652</v>
      </c>
      <c r="BA428" s="7">
        <f t="shared" si="53"/>
        <v>3587844.6269742711</v>
      </c>
      <c r="BB428" s="7">
        <f t="shared" si="53"/>
        <v>3598320.7394953645</v>
      </c>
      <c r="BC428" s="7">
        <f t="shared" si="53"/>
        <v>3608302.1060342053</v>
      </c>
      <c r="BD428" s="7">
        <f t="shared" si="53"/>
        <v>3617810.7071526363</v>
      </c>
      <c r="BE428" s="7">
        <f t="shared" si="53"/>
        <v>3626867.6824360625</v>
      </c>
    </row>
    <row r="429" spans="1:57" ht="12" customHeight="1" x14ac:dyDescent="0.2">
      <c r="A429" t="s">
        <v>103</v>
      </c>
      <c r="B429" s="7">
        <v>5195501.3197006276</v>
      </c>
      <c r="C429" s="7">
        <v>6494462.8332306761</v>
      </c>
      <c r="D429" s="7">
        <v>7132538.2049813913</v>
      </c>
      <c r="E429" s="7">
        <v>7824766.8506548833</v>
      </c>
      <c r="F429" s="7">
        <v>7563855.8583562598</v>
      </c>
      <c r="G429" s="7">
        <v>8041099.1246567713</v>
      </c>
      <c r="H429" s="7">
        <v>9203288.9370773379</v>
      </c>
      <c r="I429" s="7">
        <v>9972518.3707001265</v>
      </c>
      <c r="J429" s="7">
        <v>23928877.865286794</v>
      </c>
      <c r="K429" s="7">
        <v>14131202.843280844</v>
      </c>
      <c r="L429" s="7">
        <v>8353109.7351894025</v>
      </c>
      <c r="M429" s="7">
        <v>8686990.1851608697</v>
      </c>
      <c r="N429" s="7">
        <v>18822786.18913931</v>
      </c>
      <c r="O429" s="7">
        <v>16985859.111460991</v>
      </c>
      <c r="P429" s="7">
        <v>14125808.292112486</v>
      </c>
      <c r="Q429" s="7">
        <v>8640753.0270852596</v>
      </c>
      <c r="R429" s="7">
        <v>7897463.4217886757</v>
      </c>
      <c r="S429" s="7">
        <v>5749390.5986439697</v>
      </c>
      <c r="T429" s="7">
        <v>5856623.114187873</v>
      </c>
      <c r="U429" s="7">
        <v>5164412.6284762612</v>
      </c>
      <c r="V429" s="7">
        <v>4158044.6063883752</v>
      </c>
      <c r="W429" s="7">
        <v>4057177.3125252887</v>
      </c>
      <c r="X429" s="7">
        <v>2251901.4784527677</v>
      </c>
      <c r="Y429" s="7">
        <v>1488400.2115472117</v>
      </c>
      <c r="Z429" s="7">
        <v>1922517.8317027537</v>
      </c>
      <c r="AA429" s="7">
        <v>1419672.6702644771</v>
      </c>
      <c r="AB429" s="7">
        <v>1627197.747493691</v>
      </c>
      <c r="AC429" s="22">
        <v>3723938.9959348547</v>
      </c>
      <c r="AD429" s="7">
        <f t="shared" ref="AD429:AE429" si="54">AC429*(1-0.05*AD$425)</f>
        <v>3537742.046138112</v>
      </c>
      <c r="AE429" s="7">
        <f t="shared" si="54"/>
        <v>3369699.2989465515</v>
      </c>
      <c r="AF429" s="12">
        <f t="shared" ref="AF429:BE429" si="55">AE429*(1+0.01*AF$425)</f>
        <v>3400110.8351195445</v>
      </c>
      <c r="AG429" s="7">
        <f t="shared" si="55"/>
        <v>3429262.5353921507</v>
      </c>
      <c r="AH429" s="7">
        <f t="shared" si="55"/>
        <v>3457194.0930718281</v>
      </c>
      <c r="AI429" s="7">
        <f t="shared" si="55"/>
        <v>3483945.201936394</v>
      </c>
      <c r="AJ429" s="7">
        <f t="shared" si="55"/>
        <v>3509555.4005896472</v>
      </c>
      <c r="AK429" s="7">
        <f t="shared" si="55"/>
        <v>3534063.9348790371</v>
      </c>
      <c r="AL429" s="7">
        <f t="shared" si="55"/>
        <v>3557509.6370778428</v>
      </c>
      <c r="AM429" s="7">
        <f t="shared" si="55"/>
        <v>3579930.8205664218</v>
      </c>
      <c r="AN429" s="7">
        <f t="shared" si="55"/>
        <v>3601365.1887883325</v>
      </c>
      <c r="AO429" s="7">
        <f t="shared" si="55"/>
        <v>3621849.757305373</v>
      </c>
      <c r="AP429" s="7">
        <f t="shared" si="55"/>
        <v>3641420.7878289572</v>
      </c>
      <c r="AQ429" s="7">
        <f t="shared" si="55"/>
        <v>3660113.7331621717</v>
      </c>
      <c r="AR429" s="7">
        <f t="shared" si="55"/>
        <v>3677963.192045975</v>
      </c>
      <c r="AS429" s="7">
        <f t="shared" si="55"/>
        <v>3695002.8729632278</v>
      </c>
      <c r="AT429" s="7">
        <f t="shared" si="55"/>
        <v>3711265.5660145879</v>
      </c>
      <c r="AU429" s="7">
        <f t="shared" si="55"/>
        <v>3726783.1220400818</v>
      </c>
      <c r="AV429" s="7">
        <f t="shared" si="55"/>
        <v>3741586.4382187095</v>
      </c>
      <c r="AW429" s="7">
        <f t="shared" si="55"/>
        <v>3755705.4494353002</v>
      </c>
      <c r="AX429" s="7">
        <f t="shared" si="55"/>
        <v>3769169.1247586566</v>
      </c>
      <c r="AY429" s="7">
        <f t="shared" si="55"/>
        <v>3782005.4684274839</v>
      </c>
      <c r="AZ429" s="7">
        <f t="shared" si="55"/>
        <v>3794241.5247905874</v>
      </c>
      <c r="BA429" s="7">
        <f t="shared" si="55"/>
        <v>3805903.386695106</v>
      </c>
      <c r="BB429" s="7">
        <f t="shared" si="55"/>
        <v>3817016.2068611938</v>
      </c>
      <c r="BC429" s="7">
        <f t="shared" si="55"/>
        <v>3827604.2118233978</v>
      </c>
      <c r="BD429" s="7">
        <f t="shared" si="55"/>
        <v>3837690.7180581698</v>
      </c>
      <c r="BE429" s="7">
        <f t="shared" si="55"/>
        <v>3847298.1499534231</v>
      </c>
    </row>
    <row r="430" spans="1:57" ht="12" customHeight="1" x14ac:dyDescent="0.2">
      <c r="A430" t="s">
        <v>104</v>
      </c>
      <c r="B430" s="7">
        <v>9409452.9546263497</v>
      </c>
      <c r="C430" s="7">
        <v>7217831.0385797601</v>
      </c>
      <c r="D430" s="7">
        <v>13223409.188233696</v>
      </c>
      <c r="E430" s="7">
        <v>21396633.337902796</v>
      </c>
      <c r="F430" s="7">
        <v>6448771.8155821841</v>
      </c>
      <c r="G430" s="7">
        <v>5461551.7982206428</v>
      </c>
      <c r="H430" s="7">
        <v>4677825.6206917828</v>
      </c>
      <c r="I430" s="7">
        <v>3234085.7254417543</v>
      </c>
      <c r="J430" s="7">
        <v>3741704.1786514376</v>
      </c>
      <c r="K430" s="7">
        <v>4290458.1882337183</v>
      </c>
      <c r="L430" s="7">
        <v>4597225.9166677883</v>
      </c>
      <c r="M430" s="7">
        <v>3608231.1752997702</v>
      </c>
      <c r="N430" s="7">
        <v>3948050.7623287514</v>
      </c>
      <c r="O430" s="7">
        <v>3441733.7397468411</v>
      </c>
      <c r="P430" s="7">
        <v>3259848.9274348104</v>
      </c>
      <c r="Q430" s="7">
        <v>3719644.4942266941</v>
      </c>
      <c r="R430" s="7">
        <v>4953059.601922065</v>
      </c>
      <c r="S430" s="7">
        <v>5527856.0096468795</v>
      </c>
      <c r="T430" s="7">
        <v>4950659.8732767375</v>
      </c>
      <c r="U430" s="7">
        <v>4166492.7087856666</v>
      </c>
      <c r="V430" s="7">
        <v>3917176.5012160195</v>
      </c>
      <c r="W430" s="7">
        <v>3720854.4926890526</v>
      </c>
      <c r="X430" s="7">
        <v>3724389.5213891268</v>
      </c>
      <c r="Y430" s="7">
        <v>3120351.4894309309</v>
      </c>
      <c r="Z430" s="7">
        <v>3016429.4931885279</v>
      </c>
      <c r="AA430" s="7">
        <v>3079470.5549510517</v>
      </c>
      <c r="AB430" s="7">
        <v>4653418.493460427</v>
      </c>
      <c r="AC430" s="22">
        <v>8053879.258785557</v>
      </c>
      <c r="AD430" s="7">
        <f t="shared" ref="AD430:AE430" si="56">AC430*(1-0.05*AD$425)</f>
        <v>7651185.2958462788</v>
      </c>
      <c r="AE430" s="7">
        <f t="shared" si="56"/>
        <v>7287753.9942935808</v>
      </c>
      <c r="AF430" s="12">
        <f t="shared" ref="AF430:BE430" si="57">AE430*(1+0.01*AF$425)</f>
        <v>7353525.9740920812</v>
      </c>
      <c r="AG430" s="7">
        <f t="shared" si="57"/>
        <v>7416573.2674124539</v>
      </c>
      <c r="AH430" s="7">
        <f t="shared" si="57"/>
        <v>7476981.7202113569</v>
      </c>
      <c r="AI430" s="7">
        <f t="shared" si="57"/>
        <v>7534837.1794627123</v>
      </c>
      <c r="AJ430" s="7">
        <f t="shared" si="57"/>
        <v>7590225.1565407394</v>
      </c>
      <c r="AK430" s="7">
        <f t="shared" si="57"/>
        <v>7643230.529666353</v>
      </c>
      <c r="AL430" s="7">
        <f t="shared" si="57"/>
        <v>7693937.2826106828</v>
      </c>
      <c r="AM430" s="7">
        <f t="shared" si="57"/>
        <v>7742428.2769189179</v>
      </c>
      <c r="AN430" s="7">
        <f t="shared" si="57"/>
        <v>7788785.0550068691</v>
      </c>
      <c r="AO430" s="7">
        <f t="shared" si="57"/>
        <v>7833087.6715869643</v>
      </c>
      <c r="AP430" s="7">
        <f t="shared" si="57"/>
        <v>7875414.5509958426</v>
      </c>
      <c r="AQ430" s="7">
        <f t="shared" si="57"/>
        <v>7915842.3681188226</v>
      </c>
      <c r="AR430" s="7">
        <f t="shared" si="57"/>
        <v>7954445.9507343639</v>
      </c>
      <c r="AS430" s="7">
        <f t="shared" si="57"/>
        <v>7991298.2012319136</v>
      </c>
      <c r="AT430" s="7">
        <f t="shared" si="57"/>
        <v>8026470.0357870236</v>
      </c>
      <c r="AU430" s="7">
        <f t="shared" si="57"/>
        <v>8060030.3392069228</v>
      </c>
      <c r="AV430" s="7">
        <f t="shared" si="57"/>
        <v>8092045.9337863298</v>
      </c>
      <c r="AW430" s="7">
        <f t="shared" si="57"/>
        <v>8122581.5606362838</v>
      </c>
      <c r="AX430" s="7">
        <f t="shared" si="57"/>
        <v>8151699.8720673174</v>
      </c>
      <c r="AY430" s="7">
        <f t="shared" si="57"/>
        <v>8179461.4337217556</v>
      </c>
      <c r="AZ430" s="7">
        <f t="shared" si="57"/>
        <v>8205924.7352580335</v>
      </c>
      <c r="BA430" s="7">
        <f t="shared" si="57"/>
        <v>8231146.2084921962</v>
      </c>
      <c r="BB430" s="7">
        <f t="shared" si="57"/>
        <v>8255180.2519982709</v>
      </c>
      <c r="BC430" s="7">
        <f t="shared" si="57"/>
        <v>8278079.2612597281</v>
      </c>
      <c r="BD430" s="7">
        <f t="shared" si="57"/>
        <v>8299893.6635489492</v>
      </c>
      <c r="BE430" s="7">
        <f t="shared" si="57"/>
        <v>8320671.9567905515</v>
      </c>
    </row>
    <row r="431" spans="1:57" ht="12" customHeight="1" x14ac:dyDescent="0.2">
      <c r="A431" t="s">
        <v>105</v>
      </c>
      <c r="B431" s="7">
        <v>6807582.1725187087</v>
      </c>
      <c r="C431" s="7">
        <v>6811081.3857799182</v>
      </c>
      <c r="D431" s="7">
        <v>7449603.7641627286</v>
      </c>
      <c r="E431" s="7">
        <v>7871697.6759443618</v>
      </c>
      <c r="F431" s="7">
        <v>5570680.1326170173</v>
      </c>
      <c r="G431" s="7">
        <v>5530253.8372393297</v>
      </c>
      <c r="H431" s="7">
        <v>5800540.0263135806</v>
      </c>
      <c r="I431" s="7">
        <v>5633037.0083324444</v>
      </c>
      <c r="J431" s="7">
        <v>6986959.0500289053</v>
      </c>
      <c r="K431" s="7">
        <v>7148469.391962802</v>
      </c>
      <c r="L431" s="7">
        <v>7095356.3797985502</v>
      </c>
      <c r="M431" s="7">
        <v>6987164.2936387211</v>
      </c>
      <c r="N431" s="7">
        <v>7234351.3720175521</v>
      </c>
      <c r="O431" s="7">
        <v>6314996.7662636135</v>
      </c>
      <c r="P431" s="7">
        <v>5712739.271151457</v>
      </c>
      <c r="Q431" s="7">
        <v>6612516.6178337764</v>
      </c>
      <c r="R431" s="7">
        <v>6382576.2970441896</v>
      </c>
      <c r="S431" s="7">
        <v>5818113.4177161874</v>
      </c>
      <c r="T431" s="7">
        <v>5665484.5186427366</v>
      </c>
      <c r="U431" s="7">
        <v>5367701.8570103012</v>
      </c>
      <c r="V431" s="7">
        <v>5548910.9550321</v>
      </c>
      <c r="W431" s="7">
        <v>5399813.6450475585</v>
      </c>
      <c r="X431" s="7">
        <v>5868490.7167909956</v>
      </c>
      <c r="Y431" s="7">
        <v>5935607.8948033648</v>
      </c>
      <c r="Z431" s="7">
        <v>6019985.3703728933</v>
      </c>
      <c r="AA431" s="7">
        <v>6552295.7287043463</v>
      </c>
      <c r="AB431" s="7">
        <v>6728698.8469786569</v>
      </c>
      <c r="AC431" s="22">
        <v>9939426.3219467998</v>
      </c>
      <c r="AD431" s="7">
        <f t="shared" ref="AD431:AE431" si="58">AC431*(1-0.05*AD$425)</f>
        <v>9442455.0058494601</v>
      </c>
      <c r="AE431" s="7">
        <f t="shared" si="58"/>
        <v>8993938.3930716105</v>
      </c>
      <c r="AF431" s="12">
        <f t="shared" ref="AF431:BE431" si="59">AE431*(1+0.01*AF$425)</f>
        <v>9075108.6870690826</v>
      </c>
      <c r="AG431" s="7">
        <f t="shared" si="59"/>
        <v>9152916.4001748413</v>
      </c>
      <c r="AH431" s="7">
        <f t="shared" si="59"/>
        <v>9227467.4763115402</v>
      </c>
      <c r="AI431" s="7">
        <f t="shared" si="59"/>
        <v>9298867.8606572505</v>
      </c>
      <c r="AJ431" s="7">
        <f t="shared" si="59"/>
        <v>9367223.0842208751</v>
      </c>
      <c r="AK431" s="7">
        <f t="shared" si="59"/>
        <v>9432637.8966262918</v>
      </c>
      <c r="AL431" s="7">
        <f t="shared" si="59"/>
        <v>9495215.9436420258</v>
      </c>
      <c r="AM431" s="7">
        <f t="shared" si="59"/>
        <v>9555059.4860789068</v>
      </c>
      <c r="AN431" s="7">
        <f t="shared" si="59"/>
        <v>9612269.1567882616</v>
      </c>
      <c r="AO431" s="7">
        <f t="shared" si="59"/>
        <v>9666943.7526219357</v>
      </c>
      <c r="AP431" s="7">
        <f t="shared" si="59"/>
        <v>9719180.0583579</v>
      </c>
      <c r="AQ431" s="7">
        <f t="shared" si="59"/>
        <v>9769072.6997471619</v>
      </c>
      <c r="AR431" s="7">
        <f t="shared" si="59"/>
        <v>9816714.0229954347</v>
      </c>
      <c r="AS431" s="7">
        <f t="shared" si="59"/>
        <v>9862193.9981538355</v>
      </c>
      <c r="AT431" s="7">
        <f t="shared" si="59"/>
        <v>9905600.1440538839</v>
      </c>
      <c r="AU431" s="7">
        <f t="shared" si="59"/>
        <v>9947017.4725816734</v>
      </c>
      <c r="AV431" s="7">
        <f t="shared" si="59"/>
        <v>9986528.4502423089</v>
      </c>
      <c r="AW431" s="7">
        <f t="shared" si="59"/>
        <v>10024212.97511751</v>
      </c>
      <c r="AX431" s="7">
        <f t="shared" si="59"/>
        <v>10060148.367465558</v>
      </c>
      <c r="AY431" s="7">
        <f t="shared" si="59"/>
        <v>10094409.372352794</v>
      </c>
      <c r="AZ431" s="7">
        <f t="shared" si="59"/>
        <v>10127068.172839327</v>
      </c>
      <c r="BA431" s="7">
        <f t="shared" si="59"/>
        <v>10158194.412367744</v>
      </c>
      <c r="BB431" s="7">
        <f t="shared" si="59"/>
        <v>10187855.225122854</v>
      </c>
      <c r="BC431" s="7">
        <f t="shared" si="59"/>
        <v>10216115.273242094</v>
      </c>
      <c r="BD431" s="7">
        <f t="shared" si="59"/>
        <v>10243036.789860871</v>
      </c>
      <c r="BE431" s="7">
        <f t="shared" si="59"/>
        <v>10268679.627074432</v>
      </c>
    </row>
    <row r="432" spans="1:57" ht="12" customHeight="1" x14ac:dyDescent="0.2">
      <c r="A432" t="s">
        <v>106</v>
      </c>
      <c r="B432" s="7">
        <v>12009444.822016375</v>
      </c>
      <c r="C432" s="7">
        <v>24793987.76917094</v>
      </c>
      <c r="D432" s="7">
        <v>30934889.344510231</v>
      </c>
      <c r="E432" s="7">
        <v>30864660.736978512</v>
      </c>
      <c r="F432" s="7">
        <v>13046830.864909561</v>
      </c>
      <c r="G432" s="7">
        <v>19884788.81929858</v>
      </c>
      <c r="H432" s="7">
        <v>18133134.899062894</v>
      </c>
      <c r="I432" s="7">
        <v>5747422.5056028822</v>
      </c>
      <c r="J432" s="7">
        <v>5310299.685254816</v>
      </c>
      <c r="K432" s="7">
        <v>5857015.3478872394</v>
      </c>
      <c r="L432" s="7">
        <v>3656625.8357926663</v>
      </c>
      <c r="M432" s="7">
        <v>2934924.321511833</v>
      </c>
      <c r="N432" s="7">
        <v>1640660.5920002372</v>
      </c>
      <c r="O432" s="7">
        <v>1609291.4985191987</v>
      </c>
      <c r="P432" s="7">
        <v>1832806.2182154825</v>
      </c>
      <c r="Q432" s="7">
        <v>1884580.5260176072</v>
      </c>
      <c r="R432" s="7">
        <v>1578092.3181343195</v>
      </c>
      <c r="S432" s="7">
        <v>1229751.3029012205</v>
      </c>
      <c r="T432" s="7">
        <v>819966.07781147305</v>
      </c>
      <c r="U432" s="7">
        <v>1080724.2054592487</v>
      </c>
      <c r="V432" s="7">
        <v>1386760.312043075</v>
      </c>
      <c r="W432" s="7">
        <v>1396528.1987878813</v>
      </c>
      <c r="X432" s="7">
        <v>1536427.4567988496</v>
      </c>
      <c r="Y432" s="7">
        <v>1227523.5940326953</v>
      </c>
      <c r="Z432" s="7">
        <v>778378.60910608433</v>
      </c>
      <c r="AA432" s="7">
        <v>1437219.8215369661</v>
      </c>
      <c r="AB432" s="7">
        <v>1375455.7924204764</v>
      </c>
      <c r="AC432" s="22">
        <v>1453985.6133660863</v>
      </c>
      <c r="AD432" s="7">
        <f t="shared" ref="AD432:AE432" si="60">AC432*(1-0.05*AD$425)</f>
        <v>1381286.332697782</v>
      </c>
      <c r="AE432" s="7">
        <f t="shared" si="60"/>
        <v>1315675.2318946375</v>
      </c>
      <c r="AF432" s="12">
        <f t="shared" ref="AF432:BE432" si="61">AE432*(1+0.01*AF$425)</f>
        <v>1327549.2008624866</v>
      </c>
      <c r="AG432" s="7">
        <f t="shared" si="61"/>
        <v>1338931.2758233815</v>
      </c>
      <c r="AH432" s="7">
        <f t="shared" si="61"/>
        <v>1349836.9547481677</v>
      </c>
      <c r="AI432" s="7">
        <f t="shared" si="61"/>
        <v>1360281.7357913395</v>
      </c>
      <c r="AJ432" s="7">
        <f t="shared" si="61"/>
        <v>1370281.0565207945</v>
      </c>
      <c r="AK432" s="7">
        <f t="shared" si="61"/>
        <v>1379850.2401997866</v>
      </c>
      <c r="AL432" s="7">
        <f t="shared" si="61"/>
        <v>1389004.4486144632</v>
      </c>
      <c r="AM432" s="7">
        <f t="shared" si="61"/>
        <v>1397758.6409529042</v>
      </c>
      <c r="AN432" s="7">
        <f t="shared" si="61"/>
        <v>1406127.5382576855</v>
      </c>
      <c r="AO432" s="7">
        <f t="shared" si="61"/>
        <v>1414125.5929928201</v>
      </c>
      <c r="AP432" s="7">
        <f t="shared" si="61"/>
        <v>1421766.9632867756</v>
      </c>
      <c r="AQ432" s="7">
        <f t="shared" si="61"/>
        <v>1429065.4914354917</v>
      </c>
      <c r="AR432" s="7">
        <f t="shared" si="61"/>
        <v>1436034.6862723969</v>
      </c>
      <c r="AS432" s="7">
        <f t="shared" si="61"/>
        <v>1442687.7090359491</v>
      </c>
      <c r="AT432" s="7">
        <f t="shared" si="61"/>
        <v>1449037.3623887775</v>
      </c>
      <c r="AU432" s="7">
        <f t="shared" si="61"/>
        <v>1455096.0822658485</v>
      </c>
      <c r="AV432" s="7">
        <f t="shared" si="61"/>
        <v>1460875.9322519333</v>
      </c>
      <c r="AW432" s="7">
        <f t="shared" si="61"/>
        <v>1466388.6002108571</v>
      </c>
      <c r="AX432" s="7">
        <f t="shared" si="61"/>
        <v>1471645.3969104169</v>
      </c>
      <c r="AY432" s="7">
        <f t="shared" si="61"/>
        <v>1476657.2564073291</v>
      </c>
      <c r="AZ432" s="7">
        <f t="shared" si="61"/>
        <v>1481434.7379760954</v>
      </c>
      <c r="BA432" s="7">
        <f t="shared" si="61"/>
        <v>1485988.0293841292</v>
      </c>
      <c r="BB432" s="7">
        <f t="shared" si="61"/>
        <v>1490326.9513329191</v>
      </c>
      <c r="BC432" s="7">
        <f t="shared" si="61"/>
        <v>1494460.9629013413</v>
      </c>
      <c r="BD432" s="7">
        <f t="shared" si="61"/>
        <v>1498399.1678425327</v>
      </c>
      <c r="BE432" s="7">
        <f t="shared" si="61"/>
        <v>1502150.3215999766</v>
      </c>
    </row>
    <row r="433" spans="1:57" ht="12" customHeight="1" x14ac:dyDescent="0.2">
      <c r="A433" t="s">
        <v>107</v>
      </c>
      <c r="B433" s="7">
        <v>6807582.1725187087</v>
      </c>
      <c r="C433" s="7">
        <v>6811081.3857799182</v>
      </c>
      <c r="D433" s="7">
        <v>7449603.7641627286</v>
      </c>
      <c r="E433" s="7">
        <v>7871697.6759443618</v>
      </c>
      <c r="F433" s="7">
        <v>5570680.1326170173</v>
      </c>
      <c r="G433" s="7">
        <v>5530253.8372393297</v>
      </c>
      <c r="H433" s="7">
        <v>5800540.0263135806</v>
      </c>
      <c r="I433" s="7">
        <v>5633037.0083324444</v>
      </c>
      <c r="J433" s="7">
        <v>6986959.0500289053</v>
      </c>
      <c r="K433" s="7">
        <v>7148469.391962802</v>
      </c>
      <c r="L433" s="7">
        <v>7095356.3797985502</v>
      </c>
      <c r="M433" s="7">
        <v>6987164.2936387211</v>
      </c>
      <c r="N433" s="7">
        <v>7234351.3720175521</v>
      </c>
      <c r="O433" s="7">
        <v>6314996.7662636135</v>
      </c>
      <c r="P433" s="7">
        <v>5712739.271151457</v>
      </c>
      <c r="Q433" s="7">
        <v>6612516.6178337764</v>
      </c>
      <c r="R433" s="7">
        <v>6382576.2970441896</v>
      </c>
      <c r="S433" s="7">
        <v>5818113.4177161874</v>
      </c>
      <c r="T433" s="7">
        <v>37766509.066104867</v>
      </c>
      <c r="U433" s="7">
        <v>39379789.679555885</v>
      </c>
      <c r="V433" s="7">
        <v>19880526.440763973</v>
      </c>
      <c r="W433" s="7">
        <v>22293670.341961354</v>
      </c>
      <c r="X433" s="7">
        <v>20411354.385640882</v>
      </c>
      <c r="Y433" s="7">
        <v>22345433.324094273</v>
      </c>
      <c r="Z433" s="7">
        <v>6019985.3703728933</v>
      </c>
      <c r="AA433" s="7">
        <v>133059794.52697878</v>
      </c>
      <c r="AB433" s="7">
        <v>6728698.8469786569</v>
      </c>
      <c r="AC433" s="22">
        <v>9939426.3219467998</v>
      </c>
      <c r="AD433" s="7">
        <f t="shared" ref="AD433:AE433" si="62">AC433*(1-0.05*AD$425)</f>
        <v>9442455.0058494601</v>
      </c>
      <c r="AE433" s="7">
        <f t="shared" si="62"/>
        <v>8993938.3930716105</v>
      </c>
      <c r="AF433" s="12">
        <f t="shared" ref="AF433:BE433" si="63">AE433*(1+0.01*AF$425)</f>
        <v>9075108.6870690826</v>
      </c>
      <c r="AG433" s="7">
        <f t="shared" si="63"/>
        <v>9152916.4001748413</v>
      </c>
      <c r="AH433" s="7">
        <f t="shared" si="63"/>
        <v>9227467.4763115402</v>
      </c>
      <c r="AI433" s="7">
        <f t="shared" si="63"/>
        <v>9298867.8606572505</v>
      </c>
      <c r="AJ433" s="7">
        <f t="shared" si="63"/>
        <v>9367223.0842208751</v>
      </c>
      <c r="AK433" s="7">
        <f t="shared" si="63"/>
        <v>9432637.8966262918</v>
      </c>
      <c r="AL433" s="7">
        <f t="shared" si="63"/>
        <v>9495215.9436420258</v>
      </c>
      <c r="AM433" s="7">
        <f t="shared" si="63"/>
        <v>9555059.4860789068</v>
      </c>
      <c r="AN433" s="7">
        <f t="shared" si="63"/>
        <v>9612269.1567882616</v>
      </c>
      <c r="AO433" s="7">
        <f t="shared" si="63"/>
        <v>9666943.7526219357</v>
      </c>
      <c r="AP433" s="7">
        <f t="shared" si="63"/>
        <v>9719180.0583579</v>
      </c>
      <c r="AQ433" s="7">
        <f t="shared" si="63"/>
        <v>9769072.6997471619</v>
      </c>
      <c r="AR433" s="7">
        <f t="shared" si="63"/>
        <v>9816714.0229954347</v>
      </c>
      <c r="AS433" s="7">
        <f t="shared" si="63"/>
        <v>9862193.9981538355</v>
      </c>
      <c r="AT433" s="7">
        <f t="shared" si="63"/>
        <v>9905600.1440538839</v>
      </c>
      <c r="AU433" s="7">
        <f t="shared" si="63"/>
        <v>9947017.4725816734</v>
      </c>
      <c r="AV433" s="7">
        <f t="shared" si="63"/>
        <v>9986528.4502423089</v>
      </c>
      <c r="AW433" s="7">
        <f t="shared" si="63"/>
        <v>10024212.97511751</v>
      </c>
      <c r="AX433" s="7">
        <f t="shared" si="63"/>
        <v>10060148.367465558</v>
      </c>
      <c r="AY433" s="7">
        <f t="shared" si="63"/>
        <v>10094409.372352794</v>
      </c>
      <c r="AZ433" s="7">
        <f t="shared" si="63"/>
        <v>10127068.172839327</v>
      </c>
      <c r="BA433" s="7">
        <f t="shared" si="63"/>
        <v>10158194.412367744</v>
      </c>
      <c r="BB433" s="7">
        <f t="shared" si="63"/>
        <v>10187855.225122854</v>
      </c>
      <c r="BC433" s="7">
        <f t="shared" si="63"/>
        <v>10216115.273242094</v>
      </c>
      <c r="BD433" s="7">
        <f t="shared" si="63"/>
        <v>10243036.789860871</v>
      </c>
      <c r="BE433" s="7">
        <f t="shared" si="63"/>
        <v>10268679.627074432</v>
      </c>
    </row>
    <row r="434" spans="1:57" ht="12" customHeight="1" x14ac:dyDescent="0.2">
      <c r="A434" t="s">
        <v>108</v>
      </c>
      <c r="B434" s="7">
        <v>10012891.934948428</v>
      </c>
      <c r="C434" s="7">
        <v>12459740.198852684</v>
      </c>
      <c r="D434" s="7">
        <v>9530258.1998959109</v>
      </c>
      <c r="E434" s="7">
        <v>7034985.5860666344</v>
      </c>
      <c r="F434" s="7">
        <v>4314013.8880204717</v>
      </c>
      <c r="G434" s="7">
        <v>3152429.4675246975</v>
      </c>
      <c r="H434" s="7">
        <v>2842363.0062122294</v>
      </c>
      <c r="I434" s="7">
        <v>1543025.1297726375</v>
      </c>
      <c r="J434" s="7">
        <v>1975566.1597840916</v>
      </c>
      <c r="K434" s="7">
        <v>1330865.3770076917</v>
      </c>
      <c r="L434" s="7">
        <v>2204424.8596156673</v>
      </c>
      <c r="M434" s="7">
        <v>1898290.0707747182</v>
      </c>
      <c r="N434" s="7">
        <v>4043885.7996280948</v>
      </c>
      <c r="O434" s="7">
        <v>2258645.6337317335</v>
      </c>
      <c r="P434" s="7">
        <v>3304629.7278852281</v>
      </c>
      <c r="Q434" s="7">
        <v>7550321.5934671499</v>
      </c>
      <c r="R434" s="7">
        <v>5203777.6131487926</v>
      </c>
      <c r="S434" s="7">
        <v>3624827.7903653728</v>
      </c>
      <c r="T434" s="7">
        <v>3215124.9963269099</v>
      </c>
      <c r="U434" s="7">
        <v>2927876.5964274849</v>
      </c>
      <c r="V434" s="7">
        <v>3026946.964354496</v>
      </c>
      <c r="W434" s="7">
        <v>3089691.7386668678</v>
      </c>
      <c r="X434" s="7">
        <v>3195505.1568835354</v>
      </c>
      <c r="Y434" s="7">
        <v>2696998.3373772427</v>
      </c>
      <c r="Z434" s="7">
        <v>6353447.8995145727</v>
      </c>
      <c r="AA434" s="7">
        <v>7745720.1172088925</v>
      </c>
      <c r="AB434" s="7">
        <v>10233470.327995943</v>
      </c>
      <c r="AC434" s="22">
        <v>25794914.347117256</v>
      </c>
      <c r="AD434" s="7">
        <f t="shared" ref="AD434:AE434" si="64">AC434*(1-0.05*AD$425)</f>
        <v>24505168.629761394</v>
      </c>
      <c r="AE434" s="7">
        <f t="shared" si="64"/>
        <v>23341173.11984773</v>
      </c>
      <c r="AF434" s="12">
        <f t="shared" ref="AF434:BE434" si="65">AE434*(1+0.01*AF$425)</f>
        <v>23551827.207254358</v>
      </c>
      <c r="AG434" s="7">
        <f t="shared" si="65"/>
        <v>23753754.685772557</v>
      </c>
      <c r="AH434" s="7">
        <f t="shared" si="65"/>
        <v>23947230.502297841</v>
      </c>
      <c r="AI434" s="7">
        <f t="shared" si="65"/>
        <v>24132529.606983807</v>
      </c>
      <c r="AJ434" s="7">
        <f t="shared" si="65"/>
        <v>24309925.87512742</v>
      </c>
      <c r="AK434" s="7">
        <f t="shared" si="65"/>
        <v>24479691.154166177</v>
      </c>
      <c r="AL434" s="7">
        <f t="shared" si="65"/>
        <v>24642094.426799376</v>
      </c>
      <c r="AM434" s="7">
        <f t="shared" si="65"/>
        <v>24797401.081468057</v>
      </c>
      <c r="AN434" s="7">
        <f t="shared" si="65"/>
        <v>24945872.281713903</v>
      </c>
      <c r="AO434" s="7">
        <f t="shared" si="65"/>
        <v>25087764.426271461</v>
      </c>
      <c r="AP434" s="7">
        <f t="shared" si="65"/>
        <v>25223328.692117855</v>
      </c>
      <c r="AQ434" s="7">
        <f t="shared" si="65"/>
        <v>25352810.653098412</v>
      </c>
      <c r="AR434" s="7">
        <f t="shared" si="65"/>
        <v>25476449.967156108</v>
      </c>
      <c r="AS434" s="7">
        <f t="shared" si="65"/>
        <v>25594480.125609983</v>
      </c>
      <c r="AT434" s="7">
        <f t="shared" si="65"/>
        <v>25707128.258345567</v>
      </c>
      <c r="AU434" s="7">
        <f t="shared" si="65"/>
        <v>25814614.989194583</v>
      </c>
      <c r="AV434" s="7">
        <f t="shared" si="65"/>
        <v>25917154.336186528</v>
      </c>
      <c r="AW434" s="7">
        <f t="shared" si="65"/>
        <v>26014953.651748762</v>
      </c>
      <c r="AX434" s="7">
        <f t="shared" si="65"/>
        <v>26108213.598311391</v>
      </c>
      <c r="AY434" s="7">
        <f t="shared" si="65"/>
        <v>26197128.15513657</v>
      </c>
      <c r="AZ434" s="7">
        <f t="shared" si="65"/>
        <v>26281884.652538192</v>
      </c>
      <c r="BA434" s="7">
        <f t="shared" si="65"/>
        <v>26362663.829985339</v>
      </c>
      <c r="BB434" s="7">
        <f t="shared" si="65"/>
        <v>26439639.914892226</v>
      </c>
      <c r="BC434" s="7">
        <f t="shared" si="65"/>
        <v>26512980.719187099</v>
      </c>
      <c r="BD434" s="7">
        <f t="shared" si="65"/>
        <v>26582847.751023989</v>
      </c>
      <c r="BE434" s="7">
        <f t="shared" si="65"/>
        <v>26649396.33925391</v>
      </c>
    </row>
    <row r="435" spans="1:57" ht="12" customHeight="1" x14ac:dyDescent="0.2">
      <c r="A435" t="s">
        <v>109</v>
      </c>
      <c r="B435" s="7">
        <v>6807582.1725187087</v>
      </c>
      <c r="C435" s="7">
        <v>6811081.3857799182</v>
      </c>
      <c r="D435" s="7">
        <v>7449603.7641627286</v>
      </c>
      <c r="E435" s="7">
        <v>7871697.6759443618</v>
      </c>
      <c r="F435" s="7">
        <v>5570680.1326170173</v>
      </c>
      <c r="G435" s="7">
        <v>5530253.8372393297</v>
      </c>
      <c r="H435" s="7">
        <v>5800540.0263135806</v>
      </c>
      <c r="I435" s="7">
        <v>12953333.775851674</v>
      </c>
      <c r="J435" s="7">
        <v>6986959.0500289053</v>
      </c>
      <c r="K435" s="7">
        <v>9176598.9947865456</v>
      </c>
      <c r="L435" s="7">
        <v>17619378.010853201</v>
      </c>
      <c r="M435" s="7">
        <v>8111819.7654248318</v>
      </c>
      <c r="N435" s="7">
        <v>6919368.6638381723</v>
      </c>
      <c r="O435" s="7">
        <v>5989140.7326939115</v>
      </c>
      <c r="P435" s="7">
        <v>7265513.2718908461</v>
      </c>
      <c r="Q435" s="7">
        <v>13833240.609602682</v>
      </c>
      <c r="R435" s="7">
        <v>16878868.702447876</v>
      </c>
      <c r="S435" s="7">
        <v>28252882.275853802</v>
      </c>
      <c r="T435" s="7">
        <v>30793883.123624619</v>
      </c>
      <c r="U435" s="7">
        <v>35892610.239904806</v>
      </c>
      <c r="V435" s="7">
        <v>16855448.947029725</v>
      </c>
      <c r="W435" s="7">
        <v>17629484.847884808</v>
      </c>
      <c r="X435" s="7">
        <v>17259028.535506118</v>
      </c>
      <c r="Y435" s="7">
        <v>17445304.524543937</v>
      </c>
      <c r="Z435" s="7">
        <v>13809129.947365468</v>
      </c>
      <c r="AA435" s="7">
        <v>20378396.333792266</v>
      </c>
      <c r="AB435" s="7">
        <v>47475474.913826473</v>
      </c>
      <c r="AC435" s="22">
        <v>9939426.3219467998</v>
      </c>
      <c r="AD435" s="7">
        <f t="shared" ref="AD435:AE435" si="66">AC435*(1-0.05*AD$425)</f>
        <v>9442455.0058494601</v>
      </c>
      <c r="AE435" s="7">
        <f t="shared" si="66"/>
        <v>8993938.3930716105</v>
      </c>
      <c r="AF435" s="12">
        <f t="shared" ref="AF435:BE435" si="67">AE435*(1+0.01*AF$425)</f>
        <v>9075108.6870690826</v>
      </c>
      <c r="AG435" s="7">
        <f t="shared" si="67"/>
        <v>9152916.4001748413</v>
      </c>
      <c r="AH435" s="7">
        <f t="shared" si="67"/>
        <v>9227467.4763115402</v>
      </c>
      <c r="AI435" s="7">
        <f t="shared" si="67"/>
        <v>9298867.8606572505</v>
      </c>
      <c r="AJ435" s="7">
        <f t="shared" si="67"/>
        <v>9367223.0842208751</v>
      </c>
      <c r="AK435" s="7">
        <f t="shared" si="67"/>
        <v>9432637.8966262918</v>
      </c>
      <c r="AL435" s="7">
        <f t="shared" si="67"/>
        <v>9495215.9436420258</v>
      </c>
      <c r="AM435" s="7">
        <f t="shared" si="67"/>
        <v>9555059.4860789068</v>
      </c>
      <c r="AN435" s="7">
        <f t="shared" si="67"/>
        <v>9612269.1567882616</v>
      </c>
      <c r="AO435" s="7">
        <f t="shared" si="67"/>
        <v>9666943.7526219357</v>
      </c>
      <c r="AP435" s="7">
        <f t="shared" si="67"/>
        <v>9719180.0583579</v>
      </c>
      <c r="AQ435" s="7">
        <f t="shared" si="67"/>
        <v>9769072.6997471619</v>
      </c>
      <c r="AR435" s="7">
        <f t="shared" si="67"/>
        <v>9816714.0229954347</v>
      </c>
      <c r="AS435" s="7">
        <f t="shared" si="67"/>
        <v>9862193.9981538355</v>
      </c>
      <c r="AT435" s="7">
        <f t="shared" si="67"/>
        <v>9905600.1440538839</v>
      </c>
      <c r="AU435" s="7">
        <f t="shared" si="67"/>
        <v>9947017.4725816734</v>
      </c>
      <c r="AV435" s="7">
        <f t="shared" si="67"/>
        <v>9986528.4502423089</v>
      </c>
      <c r="AW435" s="7">
        <f t="shared" si="67"/>
        <v>10024212.97511751</v>
      </c>
      <c r="AX435" s="7">
        <f t="shared" si="67"/>
        <v>10060148.367465558</v>
      </c>
      <c r="AY435" s="7">
        <f t="shared" si="67"/>
        <v>10094409.372352794</v>
      </c>
      <c r="AZ435" s="7">
        <f t="shared" si="67"/>
        <v>10127068.172839327</v>
      </c>
      <c r="BA435" s="7">
        <f t="shared" si="67"/>
        <v>10158194.412367744</v>
      </c>
      <c r="BB435" s="7">
        <f t="shared" si="67"/>
        <v>10187855.225122854</v>
      </c>
      <c r="BC435" s="7">
        <f t="shared" si="67"/>
        <v>10216115.273242094</v>
      </c>
      <c r="BD435" s="7">
        <f t="shared" si="67"/>
        <v>10243036.789860871</v>
      </c>
      <c r="BE435" s="7">
        <f t="shared" si="67"/>
        <v>10268679.627074432</v>
      </c>
    </row>
    <row r="436" spans="1:57" ht="12" customHeight="1" x14ac:dyDescent="0.2">
      <c r="A436" t="s">
        <v>110</v>
      </c>
      <c r="B436" s="7">
        <v>6807582.1725187087</v>
      </c>
      <c r="C436" s="7">
        <v>6811081.3857799182</v>
      </c>
      <c r="D436" s="7">
        <v>7449603.7641627286</v>
      </c>
      <c r="E436" s="7">
        <v>7871697.6759443618</v>
      </c>
      <c r="F436" s="7">
        <v>5570680.1326170173</v>
      </c>
      <c r="G436" s="7">
        <v>5530253.8372393297</v>
      </c>
      <c r="H436" s="7">
        <v>5800540.0263135806</v>
      </c>
      <c r="I436" s="7">
        <v>5633037.0083324444</v>
      </c>
      <c r="J436" s="7">
        <v>46694180.914120995</v>
      </c>
      <c r="K436" s="7">
        <v>40183453.560596436</v>
      </c>
      <c r="L436" s="7">
        <v>32406172.420313004</v>
      </c>
      <c r="M436" s="7">
        <v>21561114.444362316</v>
      </c>
      <c r="N436" s="7">
        <v>23752116.425193202</v>
      </c>
      <c r="O436" s="7">
        <v>20423069.683201931</v>
      </c>
      <c r="P436" s="7">
        <v>13147754.727795197</v>
      </c>
      <c r="Q436" s="7">
        <v>13238206.500781063</v>
      </c>
      <c r="R436" s="7">
        <v>9447878.481982084</v>
      </c>
      <c r="S436" s="7">
        <v>6444088.2269552238</v>
      </c>
      <c r="T436" s="7">
        <v>5739803.2669092286</v>
      </c>
      <c r="U436" s="7">
        <v>4851482.3896898562</v>
      </c>
      <c r="V436" s="7">
        <v>5054237.8916552616</v>
      </c>
      <c r="W436" s="7">
        <v>5347146.1454039169</v>
      </c>
      <c r="X436" s="7">
        <v>5821671.1177753145</v>
      </c>
      <c r="Y436" s="7">
        <v>5469187.5179137373</v>
      </c>
      <c r="Z436" s="7">
        <v>6184580.6794329565</v>
      </c>
      <c r="AA436" s="7">
        <v>22252131.161065005</v>
      </c>
      <c r="AB436" s="7">
        <v>9000885.0514101591</v>
      </c>
      <c r="AC436" s="22">
        <v>6323673.6757381139</v>
      </c>
      <c r="AD436" s="7">
        <f t="shared" ref="AD436:AE436" si="68">AC436*(1-0.05*AD$425)</f>
        <v>6007489.9919512076</v>
      </c>
      <c r="AE436" s="7">
        <f t="shared" si="68"/>
        <v>5722134.2173335254</v>
      </c>
      <c r="AF436" s="12">
        <f t="shared" ref="AF436:BE436" si="69">AE436*(1+0.01*AF$425)</f>
        <v>5773776.4786449606</v>
      </c>
      <c r="AG436" s="7">
        <f t="shared" si="69"/>
        <v>5823279.3947287435</v>
      </c>
      <c r="AH436" s="7">
        <f t="shared" si="69"/>
        <v>5870710.3693537703</v>
      </c>
      <c r="AI436" s="7">
        <f t="shared" si="69"/>
        <v>5916136.8070876654</v>
      </c>
      <c r="AJ436" s="7">
        <f t="shared" si="69"/>
        <v>5959625.8489948474</v>
      </c>
      <c r="AK436" s="7">
        <f t="shared" si="69"/>
        <v>6001244.1390060214</v>
      </c>
      <c r="AL436" s="7">
        <f t="shared" si="69"/>
        <v>6041057.6187557252</v>
      </c>
      <c r="AM436" s="7">
        <f t="shared" si="69"/>
        <v>6079131.3487390559</v>
      </c>
      <c r="AN436" s="7">
        <f t="shared" si="69"/>
        <v>6115529.3537087766</v>
      </c>
      <c r="AO436" s="7">
        <f t="shared" si="69"/>
        <v>6150314.4903158667</v>
      </c>
      <c r="AP436" s="7">
        <f t="shared" si="69"/>
        <v>6183548.3350872649</v>
      </c>
      <c r="AQ436" s="7">
        <f t="shared" si="69"/>
        <v>6215291.0909311976</v>
      </c>
      <c r="AR436" s="7">
        <f t="shared" si="69"/>
        <v>6245601.5104608657</v>
      </c>
      <c r="AS436" s="7">
        <f t="shared" si="69"/>
        <v>6274536.8345295563</v>
      </c>
      <c r="AT436" s="7">
        <f t="shared" si="69"/>
        <v>6302152.7444726992</v>
      </c>
      <c r="AU436" s="7">
        <f t="shared" si="69"/>
        <v>6328503.3266539127</v>
      </c>
      <c r="AV436" s="7">
        <f t="shared" si="69"/>
        <v>6353641.0480114873</v>
      </c>
      <c r="AW436" s="7">
        <f t="shared" si="69"/>
        <v>6377616.7413983205</v>
      </c>
      <c r="AX436" s="7">
        <f t="shared" si="69"/>
        <v>6400479.5996014038</v>
      </c>
      <c r="AY436" s="7">
        <f t="shared" si="69"/>
        <v>6422277.177016045</v>
      </c>
      <c r="AZ436" s="7">
        <f t="shared" si="69"/>
        <v>6443055.3980348827</v>
      </c>
      <c r="BA436" s="7">
        <f t="shared" si="69"/>
        <v>6462858.5712920707</v>
      </c>
      <c r="BB436" s="7">
        <f t="shared" si="69"/>
        <v>6481729.4089787817</v>
      </c>
      <c r="BC436" s="7">
        <f t="shared" si="69"/>
        <v>6499709.050517261</v>
      </c>
      <c r="BD436" s="7">
        <f t="shared" si="69"/>
        <v>6516837.0899471836</v>
      </c>
      <c r="BE436" s="7">
        <f t="shared" si="69"/>
        <v>6533151.6064400105</v>
      </c>
    </row>
    <row r="437" spans="1:57" ht="12" customHeight="1" x14ac:dyDescent="0.2">
      <c r="A437" t="s">
        <v>111</v>
      </c>
      <c r="B437" s="7">
        <v>59423632.757047474</v>
      </c>
      <c r="C437" s="7">
        <v>50452299.798978843</v>
      </c>
      <c r="D437" s="7">
        <v>69743156.056517228</v>
      </c>
      <c r="E437" s="7">
        <v>44060547.029495627</v>
      </c>
      <c r="F437" s="7">
        <v>28937843.564372972</v>
      </c>
      <c r="G437" s="7">
        <v>35947843.642117552</v>
      </c>
      <c r="H437" s="7">
        <v>16571858.328548647</v>
      </c>
      <c r="I437" s="7">
        <v>16222365.730268521</v>
      </c>
      <c r="J437" s="7">
        <v>15547151.288942562</v>
      </c>
      <c r="K437" s="7">
        <v>10910021.713680938</v>
      </c>
      <c r="L437" s="7">
        <v>11535821.7990476</v>
      </c>
      <c r="M437" s="7">
        <v>9426195.6923428848</v>
      </c>
      <c r="N437" s="7">
        <v>4212429.7242099559</v>
      </c>
      <c r="O437" s="7">
        <v>5804917.5322003616</v>
      </c>
      <c r="P437" s="7">
        <v>5787508.4415719286</v>
      </c>
      <c r="Q437" s="7">
        <v>8748199.8791961446</v>
      </c>
      <c r="R437" s="7">
        <v>7994790.7957916837</v>
      </c>
      <c r="S437" s="7">
        <v>7285915.4236373911</v>
      </c>
      <c r="T437" s="7">
        <v>11557692.507682532</v>
      </c>
      <c r="U437" s="7">
        <v>11368480.982293395</v>
      </c>
      <c r="V437" s="7">
        <v>15307010.513924187</v>
      </c>
      <c r="W437" s="7">
        <v>13805919.557117615</v>
      </c>
      <c r="X437" s="7">
        <v>19116564.684534673</v>
      </c>
      <c r="Y437" s="7">
        <v>25517494.013537113</v>
      </c>
      <c r="Z437" s="7">
        <v>25478139.544216316</v>
      </c>
      <c r="AA437" s="7">
        <v>10883549.623218555</v>
      </c>
      <c r="AB437" s="7">
        <v>8621364.6051475834</v>
      </c>
      <c r="AC437" s="22">
        <v>37670209.678052306</v>
      </c>
      <c r="AD437" s="7">
        <f t="shared" ref="AD437:AE437" si="70">AC437*(1-0.05*AD$425)</f>
        <v>35786699.194149688</v>
      </c>
      <c r="AE437" s="7">
        <f t="shared" si="70"/>
        <v>34086830.982427575</v>
      </c>
      <c r="AF437" s="12">
        <f t="shared" ref="AF437:BE437" si="71">AE437*(1+0.01*AF$425)</f>
        <v>34394464.632043988</v>
      </c>
      <c r="AG437" s="7">
        <f t="shared" si="71"/>
        <v>34689354.173182979</v>
      </c>
      <c r="AH437" s="7">
        <f t="shared" si="71"/>
        <v>34971901.131008185</v>
      </c>
      <c r="AI437" s="7">
        <f t="shared" si="71"/>
        <v>35242507.035441272</v>
      </c>
      <c r="AJ437" s="7">
        <f t="shared" si="71"/>
        <v>35501571.846711747</v>
      </c>
      <c r="AK437" s="7">
        <f t="shared" si="71"/>
        <v>35749492.563616849</v>
      </c>
      <c r="AL437" s="7">
        <f t="shared" si="71"/>
        <v>35986662.001366049</v>
      </c>
      <c r="AM437" s="7">
        <f t="shared" si="71"/>
        <v>36213467.726209246</v>
      </c>
      <c r="AN437" s="7">
        <f t="shared" si="71"/>
        <v>36430291.134465225</v>
      </c>
      <c r="AO437" s="7">
        <f t="shared" si="71"/>
        <v>36637506.664054647</v>
      </c>
      <c r="AP437" s="7">
        <f t="shared" si="71"/>
        <v>36835481.127181932</v>
      </c>
      <c r="AQ437" s="7">
        <f t="shared" si="71"/>
        <v>37024573.153386243</v>
      </c>
      <c r="AR437" s="7">
        <f t="shared" si="71"/>
        <v>37205132.73277963</v>
      </c>
      <c r="AS437" s="7">
        <f t="shared" si="71"/>
        <v>37377500.849899895</v>
      </c>
      <c r="AT437" s="7">
        <f t="shared" si="71"/>
        <v>37542009.199215844</v>
      </c>
      <c r="AU437" s="7">
        <f t="shared" si="71"/>
        <v>37698979.973927617</v>
      </c>
      <c r="AV437" s="7">
        <f t="shared" si="71"/>
        <v>37848725.720296755</v>
      </c>
      <c r="AW437" s="7">
        <f t="shared" si="71"/>
        <v>37991549.250316001</v>
      </c>
      <c r="AX437" s="7">
        <f t="shared" si="71"/>
        <v>38127743.606083296</v>
      </c>
      <c r="AY437" s="7">
        <f t="shared" si="71"/>
        <v>38257592.069775134</v>
      </c>
      <c r="AZ437" s="7">
        <f t="shared" si="71"/>
        <v>38381368.213620059</v>
      </c>
      <c r="BA437" s="7">
        <f t="shared" si="71"/>
        <v>38499335.984751448</v>
      </c>
      <c r="BB437" s="7">
        <f t="shared" si="71"/>
        <v>38611749.820270233</v>
      </c>
      <c r="BC437" s="7">
        <f t="shared" si="71"/>
        <v>38718854.788271554</v>
      </c>
      <c r="BD437" s="7">
        <f t="shared" si="71"/>
        <v>38820886.750985667</v>
      </c>
      <c r="BE437" s="7">
        <f t="shared" si="71"/>
        <v>38918072.546552368</v>
      </c>
    </row>
    <row r="438" spans="1:57" ht="12" customHeight="1" x14ac:dyDescent="0.2">
      <c r="A438" t="s">
        <v>112</v>
      </c>
      <c r="B438" s="7">
        <v>21063521.05509375</v>
      </c>
      <c r="C438" s="7">
        <v>34625887.443296045</v>
      </c>
      <c r="D438" s="7">
        <v>75267907.72845158</v>
      </c>
      <c r="E438" s="7">
        <v>90603047.246656537</v>
      </c>
      <c r="F438" s="7">
        <v>67604682.935197562</v>
      </c>
      <c r="G438" s="7">
        <v>84694034.389459208</v>
      </c>
      <c r="H438" s="7">
        <v>44230312.091887996</v>
      </c>
      <c r="I438" s="7">
        <v>6513019.8113692394</v>
      </c>
      <c r="J438" s="7">
        <v>13405507.490197156</v>
      </c>
      <c r="K438" s="7">
        <v>12898314.744688982</v>
      </c>
      <c r="L438" s="7">
        <v>12526206.880927408</v>
      </c>
      <c r="M438" s="7">
        <v>10555306.467866849</v>
      </c>
      <c r="N438" s="7">
        <v>13819883.257273985</v>
      </c>
      <c r="O438" s="7">
        <v>13728127.611603934</v>
      </c>
      <c r="P438" s="7">
        <v>7416454.6729904059</v>
      </c>
      <c r="Q438" s="7">
        <v>10876007.586201046</v>
      </c>
      <c r="R438" s="7">
        <v>9522138.4084407818</v>
      </c>
      <c r="S438" s="7">
        <v>9475143.1335912514</v>
      </c>
      <c r="T438" s="7">
        <v>6911644.8942534244</v>
      </c>
      <c r="U438" s="7">
        <v>6867498.0455062073</v>
      </c>
      <c r="V438" s="7">
        <v>9372452.5772086252</v>
      </c>
      <c r="W438" s="7">
        <v>10240962.406353224</v>
      </c>
      <c r="X438" s="7">
        <v>12364313.734280892</v>
      </c>
      <c r="Y438" s="7">
        <v>14103423.729773765</v>
      </c>
      <c r="Z438" s="7">
        <v>13397946.309763601</v>
      </c>
      <c r="AA438" s="7">
        <v>7737769.5944739096</v>
      </c>
      <c r="AB438" s="7">
        <v>7001855.3336066538</v>
      </c>
      <c r="AC438" s="22">
        <v>13483109.872657711</v>
      </c>
      <c r="AD438" s="7">
        <f t="shared" ref="AD438:AE438" si="72">AC438*(1-0.05*AD$425)</f>
        <v>12808954.379024824</v>
      </c>
      <c r="AE438" s="7">
        <f t="shared" si="72"/>
        <v>12200529.046021145</v>
      </c>
      <c r="AF438" s="12">
        <f t="shared" ref="AF438:BE438" si="73">AE438*(1+0.01*AF$425)</f>
        <v>12310638.820661487</v>
      </c>
      <c r="AG438" s="7">
        <f t="shared" si="73"/>
        <v>12416187.160250135</v>
      </c>
      <c r="AH438" s="7">
        <f t="shared" si="73"/>
        <v>12517317.780682068</v>
      </c>
      <c r="AI438" s="7">
        <f t="shared" si="73"/>
        <v>12614174.399555285</v>
      </c>
      <c r="AJ438" s="7">
        <f t="shared" si="73"/>
        <v>12706900.17263571</v>
      </c>
      <c r="AK438" s="7">
        <f t="shared" si="73"/>
        <v>12795637.195718626</v>
      </c>
      <c r="AL438" s="7">
        <f t="shared" si="73"/>
        <v>12880526.067188647</v>
      </c>
      <c r="AM438" s="7">
        <f t="shared" si="73"/>
        <v>12961705.506696526</v>
      </c>
      <c r="AN438" s="7">
        <f t="shared" si="73"/>
        <v>13039312.025520412</v>
      </c>
      <c r="AO438" s="7">
        <f t="shared" si="73"/>
        <v>13113479.644353788</v>
      </c>
      <c r="AP438" s="7">
        <f t="shared" si="73"/>
        <v>13184339.654455639</v>
      </c>
      <c r="AQ438" s="7">
        <f t="shared" si="73"/>
        <v>13252020.418304469</v>
      </c>
      <c r="AR438" s="7">
        <f t="shared" si="73"/>
        <v>13316647.20611182</v>
      </c>
      <c r="AS438" s="7">
        <f t="shared" si="73"/>
        <v>13378342.06476905</v>
      </c>
      <c r="AT438" s="7">
        <f t="shared" si="73"/>
        <v>13437223.716019556</v>
      </c>
      <c r="AU438" s="7">
        <f t="shared" si="73"/>
        <v>13493407.480865126</v>
      </c>
      <c r="AV438" s="7">
        <f t="shared" si="73"/>
        <v>13547005.227427036</v>
      </c>
      <c r="AW438" s="7">
        <f t="shared" si="73"/>
        <v>13598125.339688377</v>
      </c>
      <c r="AX438" s="7">
        <f t="shared" si="73"/>
        <v>13646872.704742629</v>
      </c>
      <c r="AY438" s="7">
        <f t="shared" si="73"/>
        <v>13693348.716363369</v>
      </c>
      <c r="AZ438" s="7">
        <f t="shared" si="73"/>
        <v>13737651.292891033</v>
      </c>
      <c r="BA438" s="7">
        <f t="shared" si="73"/>
        <v>13779874.907603851</v>
      </c>
      <c r="BB438" s="7">
        <f t="shared" si="73"/>
        <v>13820110.629901668</v>
      </c>
      <c r="BC438" s="7">
        <f t="shared" si="73"/>
        <v>13858446.175782919</v>
      </c>
      <c r="BD438" s="7">
        <f t="shared" si="73"/>
        <v>13894965.966236828</v>
      </c>
      <c r="BE438" s="7">
        <f t="shared" si="73"/>
        <v>13929751.192305027</v>
      </c>
    </row>
    <row r="439" spans="1:57" ht="12" customHeight="1" x14ac:dyDescent="0.2">
      <c r="A439" t="s">
        <v>113</v>
      </c>
      <c r="B439" s="7">
        <v>23849476.448150761</v>
      </c>
      <c r="C439" s="7">
        <v>12111667.129478579</v>
      </c>
      <c r="D439" s="7">
        <v>11437290.894298773</v>
      </c>
      <c r="E439" s="7">
        <v>30585776.454438888</v>
      </c>
      <c r="F439" s="7">
        <v>8832833.9657050762</v>
      </c>
      <c r="G439" s="7">
        <v>9007829.4666766431</v>
      </c>
      <c r="H439" s="7">
        <v>4028260.6333138123</v>
      </c>
      <c r="I439" s="7">
        <v>5803801.3794656005</v>
      </c>
      <c r="J439" s="7">
        <v>11378750.035906583</v>
      </c>
      <c r="K439" s="7">
        <v>11947709.122103449</v>
      </c>
      <c r="L439" s="7">
        <v>2620554.9581117672</v>
      </c>
      <c r="M439" s="7">
        <v>1286297.38677024</v>
      </c>
      <c r="N439" s="7">
        <v>925419.85999345372</v>
      </c>
      <c r="O439" s="7">
        <v>1382195.810275994</v>
      </c>
      <c r="P439" s="7">
        <v>3183704.7796710473</v>
      </c>
      <c r="Q439" s="7">
        <v>10115601.578410309</v>
      </c>
      <c r="R439" s="7">
        <v>11465133.989109304</v>
      </c>
      <c r="S439" s="7">
        <v>11656795.129790103</v>
      </c>
      <c r="T439" s="7">
        <v>11678330.667191299</v>
      </c>
      <c r="U439" s="7">
        <v>11983006.113414163</v>
      </c>
      <c r="V439" s="7">
        <v>11869601.624713331</v>
      </c>
      <c r="W439" s="7">
        <v>12645570.336636599</v>
      </c>
      <c r="X439" s="7">
        <v>21350111.535524257</v>
      </c>
      <c r="Y439" s="7">
        <v>15685777.364126975</v>
      </c>
      <c r="Z439" s="7">
        <v>14337179.469620286</v>
      </c>
      <c r="AA439" s="7">
        <v>9801573.1097013596</v>
      </c>
      <c r="AB439" s="7">
        <v>49587204.101196058</v>
      </c>
      <c r="AC439" s="22">
        <v>539021379.70220053</v>
      </c>
      <c r="AD439" s="7">
        <f t="shared" ref="AD439:AE439" si="74">AC439*(1-0.05*AD$425)</f>
        <v>512070310.71709049</v>
      </c>
      <c r="AE439" s="7">
        <f t="shared" si="74"/>
        <v>487746970.95802867</v>
      </c>
      <c r="AF439" s="12">
        <f t="shared" ref="AF439:BE439" si="75">AE439*(1+0.01*AF$425)</f>
        <v>492148887.37092489</v>
      </c>
      <c r="AG439" s="7">
        <f t="shared" si="75"/>
        <v>496368448.89402139</v>
      </c>
      <c r="AH439" s="7">
        <f t="shared" si="75"/>
        <v>500411400.9332912</v>
      </c>
      <c r="AI439" s="7">
        <f t="shared" si="75"/>
        <v>504283488.96278971</v>
      </c>
      <c r="AJ439" s="7">
        <f t="shared" si="75"/>
        <v>507990435.99591595</v>
      </c>
      <c r="AK439" s="7">
        <f t="shared" si="75"/>
        <v>511537922.67106462</v>
      </c>
      <c r="AL439" s="7">
        <f t="shared" si="75"/>
        <v>514931569.76385611</v>
      </c>
      <c r="AM439" s="7">
        <f t="shared" si="75"/>
        <v>518176922.94277847</v>
      </c>
      <c r="AN439" s="7">
        <f t="shared" si="75"/>
        <v>521279439.59104568</v>
      </c>
      <c r="AO439" s="7">
        <f t="shared" si="75"/>
        <v>524244477.52445781</v>
      </c>
      <c r="AP439" s="7">
        <f t="shared" si="75"/>
        <v>527077285.44277549</v>
      </c>
      <c r="AQ439" s="7">
        <f t="shared" si="75"/>
        <v>529782994.96036053</v>
      </c>
      <c r="AR439" s="7">
        <f t="shared" si="75"/>
        <v>532366614.07039106</v>
      </c>
      <c r="AS439" s="7">
        <f t="shared" si="75"/>
        <v>534833021.90567762</v>
      </c>
      <c r="AT439" s="7">
        <f t="shared" si="75"/>
        <v>537186964.6678406</v>
      </c>
      <c r="AU439" s="7">
        <f t="shared" si="75"/>
        <v>539433052.60526347</v>
      </c>
      <c r="AV439" s="7">
        <f t="shared" si="75"/>
        <v>541575757.92870784</v>
      </c>
      <c r="AW439" s="7">
        <f t="shared" si="75"/>
        <v>543619413.56170964</v>
      </c>
      <c r="AX439" s="7">
        <f t="shared" si="75"/>
        <v>545568212.63080823</v>
      </c>
      <c r="AY439" s="7">
        <f t="shared" si="75"/>
        <v>547426208.60825467</v>
      </c>
      <c r="AZ439" s="7">
        <f t="shared" si="75"/>
        <v>549197316.02708018</v>
      </c>
      <c r="BA439" s="7">
        <f t="shared" si="75"/>
        <v>550885311.69525099</v>
      </c>
      <c r="BB439" s="7">
        <f t="shared" si="75"/>
        <v>552493836.34209561</v>
      </c>
      <c r="BC439" s="7">
        <f t="shared" si="75"/>
        <v>554026396.63624942</v>
      </c>
      <c r="BD439" s="7">
        <f t="shared" si="75"/>
        <v>555486367.5200305</v>
      </c>
      <c r="BE439" s="7">
        <f t="shared" si="75"/>
        <v>556876994.81044197</v>
      </c>
    </row>
    <row r="440" spans="1:57" ht="12" customHeight="1" x14ac:dyDescent="0.2">
      <c r="A440" t="s">
        <v>114</v>
      </c>
      <c r="B440" s="7">
        <v>1425451.194944852</v>
      </c>
      <c r="C440" s="7">
        <v>770129.06407408172</v>
      </c>
      <c r="D440" s="7">
        <v>1720768.3223954795</v>
      </c>
      <c r="E440" s="7">
        <v>2716448.7788498979</v>
      </c>
      <c r="F440" s="7">
        <v>896358.25965715735</v>
      </c>
      <c r="G440" s="7">
        <v>768429.60259477445</v>
      </c>
      <c r="H440" s="7">
        <v>313555.43408155371</v>
      </c>
      <c r="I440" s="7">
        <v>337740.89034270507</v>
      </c>
      <c r="J440" s="7">
        <v>340207.09193716443</v>
      </c>
      <c r="K440" s="7">
        <v>612214.42526183778</v>
      </c>
      <c r="L440" s="7">
        <v>638111.6898709262</v>
      </c>
      <c r="M440" s="7">
        <v>597550.52575814817</v>
      </c>
      <c r="N440" s="7">
        <v>667354.50135733432</v>
      </c>
      <c r="O440" s="7">
        <v>364064.66818612331</v>
      </c>
      <c r="P440" s="7">
        <v>946903.83187218534</v>
      </c>
      <c r="Q440" s="7">
        <v>1793444.9508125696</v>
      </c>
      <c r="R440" s="7">
        <v>2088480.6031865582</v>
      </c>
      <c r="S440" s="7">
        <v>2294284.7697765338</v>
      </c>
      <c r="T440" s="7">
        <v>2711647.0246505598</v>
      </c>
      <c r="U440" s="7">
        <v>2435652.9307546141</v>
      </c>
      <c r="V440" s="7">
        <v>2823079.6005666582</v>
      </c>
      <c r="W440" s="7">
        <v>2563041.7755381758</v>
      </c>
      <c r="X440" s="7">
        <v>2693151.4783642865</v>
      </c>
      <c r="Y440" s="7">
        <v>2921924.4587972932</v>
      </c>
      <c r="Z440" s="7">
        <v>3292883.5588487168</v>
      </c>
      <c r="AA440" s="7">
        <v>3379268.2312131207</v>
      </c>
      <c r="AB440" s="7">
        <v>3425396.3558734804</v>
      </c>
      <c r="AC440" s="22">
        <v>8358195.2961917343</v>
      </c>
      <c r="AD440" s="7">
        <f t="shared" ref="AD440:AE440" si="76">AC440*(1-0.05*AD$425)</f>
        <v>7940285.5313821472</v>
      </c>
      <c r="AE440" s="7">
        <f t="shared" si="76"/>
        <v>7563121.9686414953</v>
      </c>
      <c r="AF440" s="12">
        <f t="shared" ref="AF440:BE440" si="77">AE440*(1+0.01*AF$425)</f>
        <v>7631379.1444084849</v>
      </c>
      <c r="AG440" s="7">
        <f t="shared" si="77"/>
        <v>7696808.6813478572</v>
      </c>
      <c r="AH440" s="7">
        <f t="shared" si="77"/>
        <v>7759499.6691079773</v>
      </c>
      <c r="AI440" s="7">
        <f t="shared" si="77"/>
        <v>7819541.1983929109</v>
      </c>
      <c r="AJ440" s="7">
        <f t="shared" si="77"/>
        <v>7877022.0116263777</v>
      </c>
      <c r="AK440" s="7">
        <f t="shared" si="77"/>
        <v>7932030.1941550784</v>
      </c>
      <c r="AL440" s="7">
        <f t="shared" si="77"/>
        <v>7984652.9030791204</v>
      </c>
      <c r="AM440" s="7">
        <f t="shared" si="77"/>
        <v>8034976.1308693346</v>
      </c>
      <c r="AN440" s="7">
        <f t="shared" si="77"/>
        <v>8083084.5010238355</v>
      </c>
      <c r="AO440" s="7">
        <f t="shared" si="77"/>
        <v>8129061.0931244437</v>
      </c>
      <c r="AP440" s="7">
        <f t="shared" si="77"/>
        <v>8172987.2947733998</v>
      </c>
      <c r="AQ440" s="7">
        <f t="shared" si="77"/>
        <v>8214942.6780185597</v>
      </c>
      <c r="AR440" s="7">
        <f t="shared" si="77"/>
        <v>8255004.8980079396</v>
      </c>
      <c r="AS440" s="7">
        <f t="shared" si="77"/>
        <v>8293249.6117496686</v>
      </c>
      <c r="AT440" s="7">
        <f t="shared" si="77"/>
        <v>8329750.4149888381</v>
      </c>
      <c r="AU440" s="7">
        <f t="shared" si="77"/>
        <v>8364578.7953469101</v>
      </c>
      <c r="AV440" s="7">
        <f t="shared" si="77"/>
        <v>8397804.1000007484</v>
      </c>
      <c r="AW440" s="7">
        <f t="shared" si="77"/>
        <v>8429493.5163059589</v>
      </c>
      <c r="AX440" s="7">
        <f t="shared" si="77"/>
        <v>8459712.0638922565</v>
      </c>
      <c r="AY440" s="7">
        <f t="shared" si="77"/>
        <v>8488522.5968763381</v>
      </c>
      <c r="AZ440" s="7">
        <f t="shared" si="77"/>
        <v>8515985.8149499074</v>
      </c>
      <c r="BA440" s="7">
        <f t="shared" si="77"/>
        <v>8542160.2822066452</v>
      </c>
      <c r="BB440" s="7">
        <f t="shared" si="77"/>
        <v>8567102.4526721146</v>
      </c>
      <c r="BC440" s="7">
        <f t="shared" si="77"/>
        <v>8590866.7015944924</v>
      </c>
      <c r="BD440" s="7">
        <f t="shared" si="77"/>
        <v>8613505.3616419602</v>
      </c>
      <c r="BE440" s="7">
        <f t="shared" si="77"/>
        <v>8635068.7632344794</v>
      </c>
    </row>
    <row r="441" spans="1:57" ht="12" customHeight="1" x14ac:dyDescent="0.2">
      <c r="A441" t="s">
        <v>115</v>
      </c>
      <c r="B441" s="7">
        <v>4708614.0099224066</v>
      </c>
      <c r="C441" s="7">
        <v>4039669.1689550346</v>
      </c>
      <c r="D441" s="7">
        <v>4459883.9766562497</v>
      </c>
      <c r="E441" s="7">
        <v>4524904.6619253037</v>
      </c>
      <c r="F441" s="7">
        <v>3771706.9523429242</v>
      </c>
      <c r="G441" s="7">
        <v>4824091.4198903227</v>
      </c>
      <c r="H441" s="7">
        <v>4209461.8325139703</v>
      </c>
      <c r="I441" s="7">
        <v>2500345.4485835782</v>
      </c>
      <c r="J441" s="7">
        <v>2302563.4757606732</v>
      </c>
      <c r="K441" s="7">
        <v>1337868.2153942566</v>
      </c>
      <c r="L441" s="7">
        <v>1703822.7984506437</v>
      </c>
      <c r="M441" s="7">
        <v>1581206.7923743578</v>
      </c>
      <c r="N441" s="7">
        <v>1707585.9838476242</v>
      </c>
      <c r="O441" s="7">
        <v>1286777.3852108344</v>
      </c>
      <c r="P441" s="7">
        <v>1130127.7229130066</v>
      </c>
      <c r="Q441" s="7">
        <v>891897.58248838049</v>
      </c>
      <c r="R441" s="7">
        <v>1639988.2526307474</v>
      </c>
      <c r="S441" s="7">
        <v>1582028.8475176243</v>
      </c>
      <c r="T441" s="7">
        <v>1283768.1248521579</v>
      </c>
      <c r="U441" s="7">
        <v>1282311.8422109783</v>
      </c>
      <c r="V441" s="7">
        <v>1170504.6284881809</v>
      </c>
      <c r="W441" s="7">
        <v>992088.42738493555</v>
      </c>
      <c r="X441" s="7">
        <v>1066018.9409022459</v>
      </c>
      <c r="Y441" s="7">
        <v>1327536.9322980817</v>
      </c>
      <c r="Z441" s="7">
        <v>1094532.130896664</v>
      </c>
      <c r="AA441" s="7">
        <v>2221301.1952154008</v>
      </c>
      <c r="AB441" s="7">
        <v>2719481.6872034334</v>
      </c>
      <c r="AC441" s="22">
        <v>3050747.771892834</v>
      </c>
      <c r="AD441" s="7">
        <f t="shared" ref="AD441:AE441" si="78">AC441*(1-0.05*AD$425)</f>
        <v>2898210.3832981922</v>
      </c>
      <c r="AE441" s="7">
        <f t="shared" si="78"/>
        <v>2760545.3900915282</v>
      </c>
      <c r="AF441" s="12">
        <f t="shared" ref="AF441:BE441" si="79">AE441*(1+0.01*AF$425)</f>
        <v>2785459.3122371044</v>
      </c>
      <c r="AG441" s="7">
        <f t="shared" si="79"/>
        <v>2809341.1440153974</v>
      </c>
      <c r="AH441" s="7">
        <f t="shared" si="79"/>
        <v>2832223.4032172239</v>
      </c>
      <c r="AI441" s="7">
        <f t="shared" si="79"/>
        <v>2854138.6080187326</v>
      </c>
      <c r="AJ441" s="7">
        <f t="shared" si="79"/>
        <v>2875119.1494734753</v>
      </c>
      <c r="AK441" s="7">
        <f t="shared" si="79"/>
        <v>2895197.178801382</v>
      </c>
      <c r="AL441" s="7">
        <f t="shared" si="79"/>
        <v>2914404.5084116547</v>
      </c>
      <c r="AM441" s="7">
        <f t="shared" si="79"/>
        <v>2932772.5256229066</v>
      </c>
      <c r="AN441" s="7">
        <f t="shared" si="79"/>
        <v>2950332.1180776451</v>
      </c>
      <c r="AO441" s="7">
        <f t="shared" si="79"/>
        <v>2967113.6098877331</v>
      </c>
      <c r="AP441" s="7">
        <f t="shared" si="79"/>
        <v>2983146.7075911723</v>
      </c>
      <c r="AQ441" s="7">
        <f t="shared" si="79"/>
        <v>2998460.4550472051</v>
      </c>
      <c r="AR441" s="7">
        <f t="shared" si="79"/>
        <v>3013083.1964451438</v>
      </c>
      <c r="AS441" s="7">
        <f t="shared" si="79"/>
        <v>3027042.5466516912</v>
      </c>
      <c r="AT441" s="7">
        <f t="shared" si="79"/>
        <v>3040365.3681709408</v>
      </c>
      <c r="AU441" s="7">
        <f t="shared" si="79"/>
        <v>3053077.7540402249</v>
      </c>
      <c r="AV441" s="7">
        <f t="shared" si="79"/>
        <v>3065205.0160329356</v>
      </c>
      <c r="AW441" s="7">
        <f t="shared" si="79"/>
        <v>3076771.6775860288</v>
      </c>
      <c r="AX441" s="7">
        <f t="shared" si="79"/>
        <v>3087801.4709148281</v>
      </c>
      <c r="AY441" s="7">
        <f t="shared" si="79"/>
        <v>3098317.3378207237</v>
      </c>
      <c r="AZ441" s="7">
        <f t="shared" si="79"/>
        <v>3108341.4337383104</v>
      </c>
      <c r="BA441" s="7">
        <f t="shared" si="79"/>
        <v>3117895.1346072475</v>
      </c>
      <c r="BB441" s="7">
        <f t="shared" si="79"/>
        <v>3126999.0461906935</v>
      </c>
      <c r="BC441" s="7">
        <f t="shared" si="79"/>
        <v>3135673.0154964458</v>
      </c>
      <c r="BD441" s="7">
        <f t="shared" si="79"/>
        <v>3143936.1439890191</v>
      </c>
      <c r="BE441" s="7">
        <f t="shared" si="79"/>
        <v>3151806.8023107722</v>
      </c>
    </row>
    <row r="442" spans="1:57" ht="12" customHeight="1" x14ac:dyDescent="0.2">
      <c r="A442" t="s">
        <v>116</v>
      </c>
      <c r="B442" s="7">
        <v>3585410.4288423033</v>
      </c>
      <c r="C442" s="7">
        <v>9634549.5595727339</v>
      </c>
      <c r="D442" s="7">
        <v>9663217.2897732351</v>
      </c>
      <c r="E442" s="7">
        <v>12458378.131169351</v>
      </c>
      <c r="F442" s="7">
        <v>9966108.6277434938</v>
      </c>
      <c r="G442" s="7">
        <v>11249675.060194457</v>
      </c>
      <c r="H442" s="7">
        <v>14599362.976323608</v>
      </c>
      <c r="I442" s="7">
        <v>12606410.073047901</v>
      </c>
      <c r="J442" s="7">
        <v>9359610.208558144</v>
      </c>
      <c r="K442" s="7">
        <v>6896496.5797549821</v>
      </c>
      <c r="L442" s="7">
        <v>5976407.3372015487</v>
      </c>
      <c r="M442" s="7">
        <v>6172367.6465333113</v>
      </c>
      <c r="N442" s="7">
        <v>7727487.4273233972</v>
      </c>
      <c r="O442" s="7">
        <v>8920182.1077064872</v>
      </c>
      <c r="P442" s="7">
        <v>7139558.7941338392</v>
      </c>
      <c r="Q442" s="7">
        <v>7119677.9867519727</v>
      </c>
      <c r="R442" s="7">
        <v>5541364.7554596495</v>
      </c>
      <c r="S442" s="7">
        <v>5731144.6557831932</v>
      </c>
      <c r="T442" s="7">
        <v>6431159.062218721</v>
      </c>
      <c r="U442" s="7">
        <v>9354461.3770434503</v>
      </c>
      <c r="V442" s="7">
        <v>8485874.6429327819</v>
      </c>
      <c r="W442" s="7">
        <v>5022567.7186226621</v>
      </c>
      <c r="X442" s="7">
        <v>6058875.8739723703</v>
      </c>
      <c r="Y442" s="7">
        <v>7934073.8807492405</v>
      </c>
      <c r="Z442" s="7">
        <v>7159526.240896225</v>
      </c>
      <c r="AA442" s="7">
        <v>7859375.9843914853</v>
      </c>
      <c r="AB442" s="7">
        <v>12936384.530194109</v>
      </c>
      <c r="AC442" s="22">
        <v>31366557.745144878</v>
      </c>
      <c r="AD442" s="7">
        <f t="shared" ref="AD442:AE442" si="80">AC442*(1-0.05*AD$425)</f>
        <v>29798229.857887633</v>
      </c>
      <c r="AE442" s="7">
        <f t="shared" si="80"/>
        <v>28382813.93963797</v>
      </c>
      <c r="AF442" s="12">
        <f t="shared" ref="AF442:BE442" si="81">AE442*(1+0.01*AF$425)</f>
        <v>28638968.835443206</v>
      </c>
      <c r="AG442" s="7">
        <f t="shared" si="81"/>
        <v>28884512.194496088</v>
      </c>
      <c r="AH442" s="7">
        <f t="shared" si="81"/>
        <v>29119778.351602267</v>
      </c>
      <c r="AI442" s="7">
        <f t="shared" si="81"/>
        <v>29345101.645529218</v>
      </c>
      <c r="AJ442" s="7">
        <f t="shared" si="81"/>
        <v>29560815.108021166</v>
      </c>
      <c r="AK442" s="7">
        <f t="shared" si="81"/>
        <v>29767249.30494979</v>
      </c>
      <c r="AL442" s="7">
        <f t="shared" si="81"/>
        <v>29964731.31867158</v>
      </c>
      <c r="AM442" s="7">
        <f t="shared" si="81"/>
        <v>30153583.860933073</v>
      </c>
      <c r="AN442" s="7">
        <f t="shared" si="81"/>
        <v>30334124.5060127</v>
      </c>
      <c r="AO442" s="7">
        <f t="shared" si="81"/>
        <v>30506665.03419416</v>
      </c>
      <c r="AP442" s="7">
        <f t="shared" si="81"/>
        <v>30671510.876115877</v>
      </c>
      <c r="AQ442" s="7">
        <f t="shared" si="81"/>
        <v>30828960.649020631</v>
      </c>
      <c r="AR442" s="7">
        <f t="shared" si="81"/>
        <v>30979305.776427276</v>
      </c>
      <c r="AS442" s="7">
        <f t="shared" si="81"/>
        <v>31122830.18325384</v>
      </c>
      <c r="AT442" s="7">
        <f t="shared" si="81"/>
        <v>31259810.05892954</v>
      </c>
      <c r="AU442" s="7">
        <f t="shared" si="81"/>
        <v>31390513.681536812</v>
      </c>
      <c r="AV442" s="7">
        <f t="shared" si="81"/>
        <v>31515201.296517465</v>
      </c>
      <c r="AW442" s="7">
        <f t="shared" si="81"/>
        <v>31634125.043956127</v>
      </c>
      <c r="AX442" s="7">
        <f t="shared" si="81"/>
        <v>31747528.928915825</v>
      </c>
      <c r="AY442" s="7">
        <f t="shared" si="81"/>
        <v>31855648.829742428</v>
      </c>
      <c r="AZ442" s="7">
        <f t="shared" si="81"/>
        <v>31958712.539675672</v>
      </c>
      <c r="BA442" s="7">
        <f t="shared" si="81"/>
        <v>32056939.837502863</v>
      </c>
      <c r="BB442" s="7">
        <f t="shared" si="81"/>
        <v>32150542.583367258</v>
      </c>
      <c r="BC442" s="7">
        <f t="shared" si="81"/>
        <v>32239724.836195618</v>
      </c>
      <c r="BD442" s="7">
        <f t="shared" si="81"/>
        <v>32324682.989539459</v>
      </c>
      <c r="BE442" s="7">
        <f t="shared" si="81"/>
        <v>32405605.922931753</v>
      </c>
    </row>
    <row r="443" spans="1:57" ht="12" customHeight="1" x14ac:dyDescent="0.2">
      <c r="A443" s="29" t="s">
        <v>117</v>
      </c>
      <c r="B443" s="30">
        <v>54098006.245705061</v>
      </c>
      <c r="C443" s="30">
        <v>49480917.761952534</v>
      </c>
      <c r="D443" s="30">
        <v>50155167.829649471</v>
      </c>
      <c r="E443" s="30">
        <v>44059283.034117959</v>
      </c>
      <c r="F443" s="30">
        <v>40577231.294413008</v>
      </c>
      <c r="G443" s="30">
        <v>40344029.854788505</v>
      </c>
      <c r="H443" s="30">
        <v>39206590.813120961</v>
      </c>
      <c r="I443" s="30">
        <v>46974578.376079127</v>
      </c>
      <c r="J443" s="30">
        <v>59664612.358038142</v>
      </c>
      <c r="K443" s="30">
        <v>66009521.605557665</v>
      </c>
      <c r="L443" s="30">
        <v>63307224.038326018</v>
      </c>
      <c r="M443" s="30">
        <v>59145217.268260434</v>
      </c>
      <c r="N443" s="30">
        <v>58127206.38847287</v>
      </c>
      <c r="O443" s="30">
        <v>51720468.093907602</v>
      </c>
      <c r="P443" s="30">
        <v>49160189.310872115</v>
      </c>
      <c r="Q443" s="30">
        <v>56617884.600021161</v>
      </c>
      <c r="R443" s="30">
        <v>54325885.101973034</v>
      </c>
      <c r="S443" s="30">
        <v>55279134.393303208</v>
      </c>
      <c r="T443" s="30">
        <v>55455187.96367079</v>
      </c>
      <c r="U443" s="30">
        <v>58816475.605889566</v>
      </c>
      <c r="V443" s="30">
        <v>59615999.47014524</v>
      </c>
      <c r="W443" s="30">
        <v>58520561.949328542</v>
      </c>
      <c r="X443" s="30">
        <v>60008289.070433982</v>
      </c>
      <c r="Y443" s="30">
        <v>57366230.467711173</v>
      </c>
      <c r="Z443" s="30">
        <v>55908065.883050561</v>
      </c>
      <c r="AA443" s="30">
        <v>59833491.250385202</v>
      </c>
      <c r="AB443" s="30">
        <v>65700867.024250612</v>
      </c>
      <c r="AC443" s="31">
        <v>61016885.462052532</v>
      </c>
      <c r="AD443" s="30">
        <f t="shared" ref="AD443:AE443" si="82">AC443*(1-0.05*AD$425)</f>
        <v>57966041.188949905</v>
      </c>
      <c r="AE443" s="30">
        <f t="shared" si="82"/>
        <v>55212654.232474789</v>
      </c>
      <c r="AF443" s="32">
        <f t="shared" ref="AF443:BE443" si="83">AE443*(1+0.01*AF$425)</f>
        <v>55710948.436922878</v>
      </c>
      <c r="AG443" s="30">
        <f t="shared" si="83"/>
        <v>56188600.181083947</v>
      </c>
      <c r="AH443" s="30">
        <f t="shared" si="83"/>
        <v>56646259.841346383</v>
      </c>
      <c r="AI443" s="30">
        <f t="shared" si="83"/>
        <v>57084577.801805437</v>
      </c>
      <c r="AJ443" s="30">
        <f t="shared" si="83"/>
        <v>57504201.904024027</v>
      </c>
      <c r="AK443" s="30">
        <f t="shared" si="83"/>
        <v>57905775.192740873</v>
      </c>
      <c r="AL443" s="30">
        <f t="shared" si="83"/>
        <v>58289933.936265826</v>
      </c>
      <c r="AM443" s="30">
        <f t="shared" si="83"/>
        <v>58657305.900828004</v>
      </c>
      <c r="AN443" s="30">
        <f t="shared" si="83"/>
        <v>59008508.858818315</v>
      </c>
      <c r="AO443" s="30">
        <f t="shared" si="83"/>
        <v>59344149.311658241</v>
      </c>
      <c r="AP443" s="30">
        <f t="shared" si="83"/>
        <v>59664821.408901356</v>
      </c>
      <c r="AQ443" s="30">
        <f t="shared" si="83"/>
        <v>59971106.046106808</v>
      </c>
      <c r="AR443" s="30">
        <f t="shared" si="83"/>
        <v>60263570.124992512</v>
      </c>
      <c r="AS443" s="30">
        <f t="shared" si="83"/>
        <v>60542765.960362777</v>
      </c>
      <c r="AT443" s="30">
        <f t="shared" si="83"/>
        <v>60809230.819293752</v>
      </c>
      <c r="AU443" s="30">
        <f t="shared" si="83"/>
        <v>61063486.579039581</v>
      </c>
      <c r="AV443" s="30">
        <f t="shared" si="83"/>
        <v>61306039.491081342</v>
      </c>
      <c r="AW443" s="30">
        <f t="shared" si="83"/>
        <v>61537380.03967265</v>
      </c>
      <c r="AX443" s="30">
        <f t="shared" si="83"/>
        <v>61757982.884133928</v>
      </c>
      <c r="AY443" s="30">
        <f t="shared" si="83"/>
        <v>61968306.875006862</v>
      </c>
      <c r="AZ443" s="30">
        <f t="shared" si="83"/>
        <v>62168795.134999767</v>
      </c>
      <c r="BA443" s="30">
        <f t="shared" si="83"/>
        <v>62359875.196429089</v>
      </c>
      <c r="BB443" s="30">
        <f t="shared" si="83"/>
        <v>62541959.187594019</v>
      </c>
      <c r="BC443" s="30">
        <f t="shared" si="83"/>
        <v>62715444.061206527</v>
      </c>
      <c r="BD443" s="30">
        <f t="shared" si="83"/>
        <v>62880711.858641237</v>
      </c>
      <c r="BE443" s="30">
        <f t="shared" si="83"/>
        <v>63038130.004367322</v>
      </c>
    </row>
    <row r="444" spans="1:57" ht="12" customHeight="1" x14ac:dyDescent="0.2">
      <c r="A444" t="s">
        <v>118</v>
      </c>
      <c r="B444" s="7">
        <v>393863593.2716617</v>
      </c>
      <c r="C444" s="7">
        <v>296108242.89533257</v>
      </c>
      <c r="D444" s="7">
        <v>231775648.89762774</v>
      </c>
      <c r="E444" s="7">
        <v>206044975.5243209</v>
      </c>
      <c r="F444" s="7">
        <v>191115272.0702427</v>
      </c>
      <c r="G444" s="7">
        <v>147153691.0208948</v>
      </c>
      <c r="H444" s="7">
        <v>242946545.66420442</v>
      </c>
      <c r="I444" s="7">
        <v>89222700.334825009</v>
      </c>
      <c r="J444" s="7">
        <v>101027953.78886369</v>
      </c>
      <c r="K444" s="7">
        <v>107043459.41395967</v>
      </c>
      <c r="L444" s="7">
        <v>98023204.757316858</v>
      </c>
      <c r="M444" s="7">
        <v>93926328.54792136</v>
      </c>
      <c r="N444" s="7">
        <v>90332425.093405783</v>
      </c>
      <c r="O444" s="7">
        <v>220196748.69508266</v>
      </c>
      <c r="P444" s="7">
        <v>194720067.09174058</v>
      </c>
      <c r="Q444" s="7">
        <v>111352511.10107653</v>
      </c>
      <c r="R444" s="7">
        <v>184958243.51731551</v>
      </c>
      <c r="S444" s="7">
        <v>159299610.3288511</v>
      </c>
      <c r="T444" s="7">
        <v>144911277.21109089</v>
      </c>
      <c r="U444" s="7">
        <v>88364577.508812547</v>
      </c>
      <c r="V444" s="7">
        <v>76288866.32559225</v>
      </c>
      <c r="W444" s="7">
        <v>106108081.90499122</v>
      </c>
      <c r="X444" s="7">
        <v>109646088.17499167</v>
      </c>
      <c r="Y444" s="7">
        <v>99943633.13579081</v>
      </c>
      <c r="Z444" s="7">
        <v>100869721.99797606</v>
      </c>
      <c r="AA444" s="7">
        <v>67036577.314532749</v>
      </c>
      <c r="AB444" s="7">
        <v>85616966.314879432</v>
      </c>
      <c r="AC444" s="22">
        <v>104058764.05984129</v>
      </c>
      <c r="AD444" s="7">
        <f t="shared" ref="AD444:AE444" si="84">AC444*(1-0.05*AD$425)</f>
        <v>98855825.856849223</v>
      </c>
      <c r="AE444" s="7">
        <f t="shared" si="84"/>
        <v>94160174.128648892</v>
      </c>
      <c r="AF444" s="12">
        <f t="shared" ref="AF444:BE444" si="85">AE444*(1+0.01*AF$425)</f>
        <v>95009969.700159952</v>
      </c>
      <c r="AG444" s="7">
        <f t="shared" si="85"/>
        <v>95824561.427876696</v>
      </c>
      <c r="AH444" s="7">
        <f t="shared" si="85"/>
        <v>96605058.469741836</v>
      </c>
      <c r="AI444" s="7">
        <f t="shared" si="85"/>
        <v>97352569.996841431</v>
      </c>
      <c r="AJ444" s="7">
        <f t="shared" si="85"/>
        <v>98068200.844203234</v>
      </c>
      <c r="AK444" s="7">
        <f t="shared" si="85"/>
        <v>98753047.666306421</v>
      </c>
      <c r="AL444" s="7">
        <f t="shared" si="85"/>
        <v>99408195.561045319</v>
      </c>
      <c r="AM444" s="7">
        <f t="shared" si="85"/>
        <v>100034715.12678669</v>
      </c>
      <c r="AN444" s="7">
        <f t="shared" si="85"/>
        <v>100633659.91831264</v>
      </c>
      <c r="AO444" s="7">
        <f t="shared" si="85"/>
        <v>101206064.26878919</v>
      </c>
      <c r="AP444" s="7">
        <f t="shared" si="85"/>
        <v>101752941.44639191</v>
      </c>
      <c r="AQ444" s="7">
        <f t="shared" si="85"/>
        <v>102275282.11581101</v>
      </c>
      <c r="AR444" s="7">
        <f t="shared" si="85"/>
        <v>102774053.07650964</v>
      </c>
      <c r="AS444" s="7">
        <f t="shared" si="85"/>
        <v>103250196.25129284</v>
      </c>
      <c r="AT444" s="7">
        <f t="shared" si="85"/>
        <v>103704627.90043007</v>
      </c>
      <c r="AU444" s="7">
        <f t="shared" si="85"/>
        <v>104138238.03824514</v>
      </c>
      <c r="AV444" s="7">
        <f t="shared" si="85"/>
        <v>104551890.03072317</v>
      </c>
      <c r="AW444" s="7">
        <f t="shared" si="85"/>
        <v>104946420.35427286</v>
      </c>
      <c r="AX444" s="7">
        <f t="shared" si="85"/>
        <v>105322638.49731462</v>
      </c>
      <c r="AY444" s="7">
        <f t="shared" si="85"/>
        <v>105681326.98783061</v>
      </c>
      <c r="AZ444" s="7">
        <f t="shared" si="85"/>
        <v>106023241.53140961</v>
      </c>
      <c r="BA444" s="7">
        <f t="shared" si="85"/>
        <v>106349111.24564108</v>
      </c>
      <c r="BB444" s="7">
        <f t="shared" si="85"/>
        <v>106659638.9779602</v>
      </c>
      <c r="BC444" s="7">
        <f t="shared" si="85"/>
        <v>106955501.69521447</v>
      </c>
      <c r="BD444" s="7">
        <f t="shared" si="85"/>
        <v>107237350.93431802</v>
      </c>
      <c r="BE444" s="7">
        <f t="shared" si="85"/>
        <v>107505813.30437845</v>
      </c>
    </row>
    <row r="445" spans="1:57" ht="12" customHeight="1" x14ac:dyDescent="0.2">
      <c r="A445" t="s">
        <v>119</v>
      </c>
      <c r="B445" s="7">
        <v>125917835.24872269</v>
      </c>
      <c r="C445" s="7">
        <v>109515826.54501076</v>
      </c>
      <c r="D445" s="7">
        <v>113971699.95512287</v>
      </c>
      <c r="E445" s="7">
        <v>91549481.994120583</v>
      </c>
      <c r="F445" s="7">
        <v>81513664.618567511</v>
      </c>
      <c r="G445" s="7">
        <v>80906831.139735416</v>
      </c>
      <c r="H445" s="7">
        <v>42040858.884001851</v>
      </c>
      <c r="I445" s="7">
        <v>62680582.361240156</v>
      </c>
      <c r="J445" s="7">
        <v>60475641.626883171</v>
      </c>
      <c r="K445" s="7">
        <v>33622283.202801712</v>
      </c>
      <c r="L445" s="7">
        <v>41650225.061430007</v>
      </c>
      <c r="M445" s="7">
        <v>36900640.7686105</v>
      </c>
      <c r="N445" s="7">
        <v>47782571.760355115</v>
      </c>
      <c r="O445" s="7">
        <v>45474456.678309239</v>
      </c>
      <c r="P445" s="7">
        <v>51237499.699907176</v>
      </c>
      <c r="Q445" s="7">
        <v>47955060.726406567</v>
      </c>
      <c r="R445" s="7">
        <v>58523443.399894193</v>
      </c>
      <c r="S445" s="7">
        <v>60835162.631859235</v>
      </c>
      <c r="T445" s="7">
        <v>76112533.733348161</v>
      </c>
      <c r="U445" s="7">
        <v>78403460.949548423</v>
      </c>
      <c r="V445" s="7">
        <v>81343612.762145713</v>
      </c>
      <c r="W445" s="7">
        <v>107264600.80339895</v>
      </c>
      <c r="X445" s="7">
        <v>96551317.498378605</v>
      </c>
      <c r="Y445" s="7">
        <v>93222553.681203485</v>
      </c>
      <c r="Z445" s="7">
        <v>95301086.507649481</v>
      </c>
      <c r="AA445" s="7">
        <v>89554040.507053599</v>
      </c>
      <c r="AB445" s="7">
        <v>104746184.10569692</v>
      </c>
      <c r="AC445" s="22">
        <v>161458832.96181747</v>
      </c>
      <c r="AD445" s="7">
        <f t="shared" ref="AD445:AE445" si="86">AC445*(1-0.05*AD$425)</f>
        <v>153385891.3137266</v>
      </c>
      <c r="AE445" s="7">
        <f t="shared" si="86"/>
        <v>146100061.47632459</v>
      </c>
      <c r="AF445" s="12">
        <f t="shared" ref="AF445:BE445" si="87">AE445*(1+0.01*AF$425)</f>
        <v>147418614.53114843</v>
      </c>
      <c r="AG445" s="7">
        <f t="shared" si="87"/>
        <v>148682544.87748489</v>
      </c>
      <c r="AH445" s="7">
        <f t="shared" si="87"/>
        <v>149893573.49817103</v>
      </c>
      <c r="AI445" s="7">
        <f t="shared" si="87"/>
        <v>151053421.39643744</v>
      </c>
      <c r="AJ445" s="7">
        <f t="shared" si="87"/>
        <v>152163802.84763426</v>
      </c>
      <c r="AK445" s="7">
        <f t="shared" si="87"/>
        <v>153226419.43407384</v>
      </c>
      <c r="AL445" s="7">
        <f t="shared" si="87"/>
        <v>154242954.80673215</v>
      </c>
      <c r="AM445" s="7">
        <f t="shared" si="87"/>
        <v>155215070.11894336</v>
      </c>
      <c r="AN445" s="7">
        <f t="shared" si="87"/>
        <v>156144400.07901022</v>
      </c>
      <c r="AO445" s="7">
        <f t="shared" si="87"/>
        <v>157032549.57074416</v>
      </c>
      <c r="AP445" s="7">
        <f t="shared" si="87"/>
        <v>157881090.79326349</v>
      </c>
      <c r="AQ445" s="7">
        <f t="shared" si="87"/>
        <v>158691560.87384605</v>
      </c>
      <c r="AR445" s="7">
        <f t="shared" si="87"/>
        <v>159465459.91019568</v>
      </c>
      <c r="AS445" s="7">
        <f t="shared" si="87"/>
        <v>160204249.40109354</v>
      </c>
      <c r="AT445" s="7">
        <f t="shared" si="87"/>
        <v>160909351.02702114</v>
      </c>
      <c r="AU445" s="7">
        <f t="shared" si="87"/>
        <v>161582145.74493432</v>
      </c>
      <c r="AV445" s="7">
        <f t="shared" si="87"/>
        <v>162223973.16390523</v>
      </c>
      <c r="AW445" s="7">
        <f t="shared" si="87"/>
        <v>162836131.17081514</v>
      </c>
      <c r="AX445" s="7">
        <f t="shared" si="87"/>
        <v>163419875.77765724</v>
      </c>
      <c r="AY445" s="7">
        <f t="shared" si="87"/>
        <v>163976421.16428363</v>
      </c>
      <c r="AZ445" s="7">
        <f t="shared" si="87"/>
        <v>164506939.89259747</v>
      </c>
      <c r="BA445" s="7">
        <f t="shared" si="87"/>
        <v>165012563.27024165</v>
      </c>
      <c r="BB445" s="7">
        <f t="shared" si="87"/>
        <v>165494381.84377083</v>
      </c>
      <c r="BC445" s="7">
        <f t="shared" si="87"/>
        <v>165953446.00310791</v>
      </c>
      <c r="BD445" s="7">
        <f t="shared" si="87"/>
        <v>166390766.68078446</v>
      </c>
      <c r="BE445" s="7">
        <f t="shared" si="87"/>
        <v>166807316.13104695</v>
      </c>
    </row>
    <row r="446" spans="1:57" ht="12" customHeight="1" x14ac:dyDescent="0.2">
      <c r="A446" t="s">
        <v>120</v>
      </c>
      <c r="B446" s="7">
        <v>205458394.13134411</v>
      </c>
      <c r="C446" s="7">
        <v>152474236.59410343</v>
      </c>
      <c r="D446" s="7">
        <v>153394611.81449458</v>
      </c>
      <c r="E446" s="7">
        <v>129876428.62035067</v>
      </c>
      <c r="F446" s="7">
        <v>109365597.28546876</v>
      </c>
      <c r="G446" s="7">
        <v>116027790.45500661</v>
      </c>
      <c r="H446" s="7">
        <v>140649482.63020205</v>
      </c>
      <c r="I446" s="7">
        <v>118660575.66415764</v>
      </c>
      <c r="J446" s="7">
        <v>121047669.46501955</v>
      </c>
      <c r="K446" s="7">
        <v>128601740.86746162</v>
      </c>
      <c r="L446" s="7">
        <v>112852427.24786632</v>
      </c>
      <c r="M446" s="7">
        <v>114477496.91496803</v>
      </c>
      <c r="N446" s="7">
        <v>114357225.31837074</v>
      </c>
      <c r="O446" s="7">
        <v>131972255.22637731</v>
      </c>
      <c r="P446" s="7">
        <v>113821426.84895083</v>
      </c>
      <c r="Q446" s="7">
        <v>128324375.65667982</v>
      </c>
      <c r="R446" s="7">
        <v>131073712.18928643</v>
      </c>
      <c r="S446" s="7">
        <v>118990433.48617929</v>
      </c>
      <c r="T446" s="7">
        <v>117970587.36670657</v>
      </c>
      <c r="U446" s="7">
        <v>111516882.43414423</v>
      </c>
      <c r="V446" s="7">
        <v>109206369.04704949</v>
      </c>
      <c r="W446" s="7">
        <v>113397885.19682793</v>
      </c>
      <c r="X446" s="7">
        <v>124788319.52295381</v>
      </c>
      <c r="Y446" s="7">
        <v>122126474.23611914</v>
      </c>
      <c r="Z446" s="7">
        <v>109467756.35090764</v>
      </c>
      <c r="AA446" s="7">
        <v>107998991.11790167</v>
      </c>
      <c r="AB446" s="7">
        <v>105979048.74823879</v>
      </c>
      <c r="AC446" s="22">
        <v>159147701.2435818</v>
      </c>
      <c r="AD446" s="7">
        <f t="shared" ref="AD446:AE446" si="88">AC446*(1-0.05*AD$425)</f>
        <v>151190316.18140271</v>
      </c>
      <c r="AE446" s="7">
        <f t="shared" si="88"/>
        <v>144008776.1627861</v>
      </c>
      <c r="AF446" s="12">
        <f t="shared" ref="AF446:BE446" si="89">AE446*(1+0.01*AF$425)</f>
        <v>145308455.36765525</v>
      </c>
      <c r="AG446" s="7">
        <f t="shared" si="89"/>
        <v>146554293.7368637</v>
      </c>
      <c r="AH446" s="7">
        <f t="shared" si="89"/>
        <v>147747987.61899379</v>
      </c>
      <c r="AI446" s="7">
        <f t="shared" si="89"/>
        <v>148891233.38272941</v>
      </c>
      <c r="AJ446" s="7">
        <f t="shared" si="89"/>
        <v>149985720.7651774</v>
      </c>
      <c r="AK446" s="7">
        <f t="shared" si="89"/>
        <v>151033126.99209565</v>
      </c>
      <c r="AL446" s="7">
        <f t="shared" si="89"/>
        <v>152035111.61457598</v>
      </c>
      <c r="AM446" s="7">
        <f t="shared" si="89"/>
        <v>152993312.00810099</v>
      </c>
      <c r="AN446" s="7">
        <f t="shared" si="89"/>
        <v>153909339.48165771</v>
      </c>
      <c r="AO446" s="7">
        <f t="shared" si="89"/>
        <v>154784775.94665149</v>
      </c>
      <c r="AP446" s="7">
        <f t="shared" si="89"/>
        <v>155621171.09764522</v>
      </c>
      <c r="AQ446" s="7">
        <f t="shared" si="89"/>
        <v>156420040.05938184</v>
      </c>
      <c r="AR446" s="7">
        <f t="shared" si="89"/>
        <v>157182861.45707393</v>
      </c>
      <c r="AS446" s="7">
        <f t="shared" si="89"/>
        <v>157911075.8695187</v>
      </c>
      <c r="AT446" s="7">
        <f t="shared" si="89"/>
        <v>158606084.62717536</v>
      </c>
      <c r="AU446" s="7">
        <f t="shared" si="89"/>
        <v>159269248.91989651</v>
      </c>
      <c r="AV446" s="7">
        <f t="shared" si="89"/>
        <v>159901889.18150723</v>
      </c>
      <c r="AW446" s="7">
        <f t="shared" si="89"/>
        <v>160505284.72085565</v>
      </c>
      <c r="AX446" s="7">
        <f t="shared" si="89"/>
        <v>161080673.57130167</v>
      </c>
      <c r="AY446" s="7">
        <f t="shared" si="89"/>
        <v>161629252.53285193</v>
      </c>
      <c r="AZ446" s="7">
        <f t="shared" si="89"/>
        <v>162152177.383286</v>
      </c>
      <c r="BA446" s="7">
        <f t="shared" si="89"/>
        <v>162650563.2366392</v>
      </c>
      <c r="BB446" s="7">
        <f t="shared" si="89"/>
        <v>163125485.02931538</v>
      </c>
      <c r="BC446" s="7">
        <f t="shared" si="89"/>
        <v>163577978.11589113</v>
      </c>
      <c r="BD446" s="7">
        <f t="shared" si="89"/>
        <v>164009038.95834729</v>
      </c>
      <c r="BE446" s="7">
        <f t="shared" si="89"/>
        <v>164419625.89402291</v>
      </c>
    </row>
    <row r="447" spans="1:57" ht="12" customHeight="1" x14ac:dyDescent="0.2">
      <c r="A447" t="s">
        <v>121</v>
      </c>
      <c r="B447" s="7">
        <v>394178608.34243131</v>
      </c>
      <c r="C447" s="7">
        <v>325882362.67065406</v>
      </c>
      <c r="D447" s="7">
        <v>405320572.61049026</v>
      </c>
      <c r="E447" s="7">
        <v>281416105.28147715</v>
      </c>
      <c r="F447" s="7">
        <v>278329446.15937144</v>
      </c>
      <c r="G447" s="7">
        <v>265359411.93458211</v>
      </c>
      <c r="H447" s="7">
        <v>238129059.65188488</v>
      </c>
      <c r="I447" s="7">
        <v>213614175.68685949</v>
      </c>
      <c r="J447" s="7">
        <v>253711955.63692218</v>
      </c>
      <c r="K447" s="7">
        <v>258532770.51932633</v>
      </c>
      <c r="L447" s="7">
        <v>237073663.89742506</v>
      </c>
      <c r="M447" s="7">
        <v>219916252.47450438</v>
      </c>
      <c r="N447" s="7">
        <v>205072199.64164284</v>
      </c>
      <c r="O447" s="7">
        <v>213132180.30134973</v>
      </c>
      <c r="P447" s="7">
        <v>158648821.32569471</v>
      </c>
      <c r="Q447" s="7">
        <v>212805522.43473646</v>
      </c>
      <c r="R447" s="7">
        <v>211451324.11744577</v>
      </c>
      <c r="S447" s="7">
        <v>125049519.91179034</v>
      </c>
      <c r="T447" s="7">
        <v>149391427.6786215</v>
      </c>
      <c r="U447" s="7">
        <v>147909532.8398737</v>
      </c>
      <c r="V447" s="7">
        <v>143932263.9589619</v>
      </c>
      <c r="W447" s="7">
        <v>178276239.46423987</v>
      </c>
      <c r="X447" s="7">
        <v>184774653.06059572</v>
      </c>
      <c r="Y447" s="7">
        <v>171234464.34077916</v>
      </c>
      <c r="Z447" s="7">
        <v>189745508.33047763</v>
      </c>
      <c r="AA447" s="7">
        <v>209064209.31409317</v>
      </c>
      <c r="AB447" s="7">
        <v>178543147.63327503</v>
      </c>
      <c r="AC447" s="22">
        <v>348452183.08376789</v>
      </c>
      <c r="AD447" s="7">
        <f t="shared" ref="AD447:AE447" si="90">AC447*(1-0.05*AD$425)</f>
        <v>331029573.9295795</v>
      </c>
      <c r="AE447" s="7">
        <f t="shared" si="90"/>
        <v>315305669.16792446</v>
      </c>
      <c r="AF447" s="12">
        <f t="shared" ref="AF447:BE447" si="91">AE447*(1+0.01*AF$425)</f>
        <v>318151302.832165</v>
      </c>
      <c r="AG447" s="7">
        <f t="shared" si="91"/>
        <v>320879052.56482232</v>
      </c>
      <c r="AH447" s="7">
        <f t="shared" si="91"/>
        <v>323492632.50290352</v>
      </c>
      <c r="AI447" s="7">
        <f t="shared" si="91"/>
        <v>325995756.82742792</v>
      </c>
      <c r="AJ447" s="7">
        <f t="shared" si="91"/>
        <v>328392125.1996479</v>
      </c>
      <c r="AK447" s="7">
        <f t="shared" si="91"/>
        <v>330685409.88735193</v>
      </c>
      <c r="AL447" s="7">
        <f t="shared" si="91"/>
        <v>332879244.4598366</v>
      </c>
      <c r="AM447" s="7">
        <f t="shared" si="91"/>
        <v>334977213.93314046</v>
      </c>
      <c r="AN447" s="7">
        <f t="shared" si="91"/>
        <v>336982846.25098974</v>
      </c>
      <c r="AO447" s="7">
        <f t="shared" si="91"/>
        <v>338899604.99142122</v>
      </c>
      <c r="AP447" s="7">
        <f t="shared" si="91"/>
        <v>340730883.19404119</v>
      </c>
      <c r="AQ447" s="7">
        <f t="shared" si="91"/>
        <v>342479998.20820618</v>
      </c>
      <c r="AR447" s="7">
        <f t="shared" si="91"/>
        <v>344150187.46794289</v>
      </c>
      <c r="AS447" s="7">
        <f t="shared" si="91"/>
        <v>345744605.10506022</v>
      </c>
      <c r="AT447" s="7">
        <f t="shared" si="91"/>
        <v>347266319.31755233</v>
      </c>
      <c r="AU447" s="7">
        <f t="shared" si="91"/>
        <v>348718310.41598618</v>
      </c>
      <c r="AV447" s="7">
        <f t="shared" si="91"/>
        <v>350103469.47604406</v>
      </c>
      <c r="AW447" s="7">
        <f t="shared" si="91"/>
        <v>351424597.53071302</v>
      </c>
      <c r="AX447" s="7">
        <f t="shared" si="91"/>
        <v>352684405.24074155</v>
      </c>
      <c r="AY447" s="7">
        <f t="shared" si="91"/>
        <v>353885512.98689395</v>
      </c>
      <c r="AZ447" s="7">
        <f t="shared" si="91"/>
        <v>355030451.33220887</v>
      </c>
      <c r="BA447" s="7">
        <f t="shared" si="91"/>
        <v>356121661.80689359</v>
      </c>
      <c r="BB447" s="7">
        <f t="shared" si="91"/>
        <v>357161497.97266257</v>
      </c>
      <c r="BC447" s="7">
        <f t="shared" si="91"/>
        <v>358152226.7272445</v>
      </c>
      <c r="BD447" s="7">
        <f t="shared" si="91"/>
        <v>359096029.81344736</v>
      </c>
      <c r="BE447" s="7">
        <f t="shared" si="91"/>
        <v>359995005.50058508</v>
      </c>
    </row>
    <row r="448" spans="1:57" ht="12" customHeight="1" x14ac:dyDescent="0.2">
      <c r="A448" t="s">
        <v>122</v>
      </c>
      <c r="B448" s="7">
        <v>125917835.24872269</v>
      </c>
      <c r="C448" s="7">
        <v>109515826.54501076</v>
      </c>
      <c r="D448" s="7">
        <v>113971699.95512287</v>
      </c>
      <c r="E448" s="7">
        <v>91549481.994120583</v>
      </c>
      <c r="F448" s="7">
        <v>81513664.618567511</v>
      </c>
      <c r="G448" s="7">
        <v>80906831.139735416</v>
      </c>
      <c r="H448" s="7">
        <v>81426427.673510835</v>
      </c>
      <c r="I448" s="7">
        <v>89222700.334825009</v>
      </c>
      <c r="J448" s="7">
        <v>101027953.78886369</v>
      </c>
      <c r="K448" s="7">
        <v>107043459.41395967</v>
      </c>
      <c r="L448" s="7">
        <v>98023204.757316858</v>
      </c>
      <c r="M448" s="7">
        <v>93926328.54792136</v>
      </c>
      <c r="N448" s="7">
        <v>90332425.093405783</v>
      </c>
      <c r="O448" s="7">
        <v>92069491.689023346</v>
      </c>
      <c r="P448" s="7">
        <v>84993086.799705252</v>
      </c>
      <c r="Q448" s="7">
        <v>102450586.3229714</v>
      </c>
      <c r="R448" s="7">
        <v>915858882.60080004</v>
      </c>
      <c r="S448" s="7">
        <v>838563854.62354028</v>
      </c>
      <c r="T448" s="7">
        <v>700039182.47089064</v>
      </c>
      <c r="U448" s="7">
        <v>777840922.26758432</v>
      </c>
      <c r="V448" s="7">
        <v>1030218590.2766455</v>
      </c>
      <c r="W448" s="7">
        <v>1324774300.0951257</v>
      </c>
      <c r="X448" s="7">
        <v>1169110942.7559755</v>
      </c>
      <c r="Y448" s="7">
        <v>583030496.91440189</v>
      </c>
      <c r="Z448" s="7">
        <v>180005428.29723176</v>
      </c>
      <c r="AA448" s="7">
        <v>150702015.80830362</v>
      </c>
      <c r="AB448" s="7">
        <v>103712287.31918047</v>
      </c>
      <c r="AC448" s="22">
        <v>268371633.35790068</v>
      </c>
      <c r="AD448" s="7">
        <f t="shared" ref="AD448:AE448" si="92">AC448*(1-0.05*AD$425)</f>
        <v>254953051.69000563</v>
      </c>
      <c r="AE448" s="7">
        <f t="shared" si="92"/>
        <v>242842781.73473036</v>
      </c>
      <c r="AF448" s="12">
        <f t="shared" ref="AF448:BE448" si="93">AE448*(1+0.01*AF$425)</f>
        <v>245034437.83988631</v>
      </c>
      <c r="AG448" s="7">
        <f t="shared" si="93"/>
        <v>247135301.85131603</v>
      </c>
      <c r="AH448" s="7">
        <f t="shared" si="93"/>
        <v>249148234.33085135</v>
      </c>
      <c r="AI448" s="7">
        <f t="shared" si="93"/>
        <v>251076095.8742213</v>
      </c>
      <c r="AJ448" s="7">
        <f t="shared" si="93"/>
        <v>252921735.89429054</v>
      </c>
      <c r="AK448" s="7">
        <f t="shared" si="93"/>
        <v>254687982.70596808</v>
      </c>
      <c r="AL448" s="7">
        <f t="shared" si="93"/>
        <v>256377634.81927744</v>
      </c>
      <c r="AM448" s="7">
        <f t="shared" si="93"/>
        <v>257993453.34939182</v>
      </c>
      <c r="AN448" s="7">
        <f t="shared" si="93"/>
        <v>259538155.45541134</v>
      </c>
      <c r="AO448" s="7">
        <f t="shared" si="93"/>
        <v>261014408.72313437</v>
      </c>
      <c r="AP448" s="7">
        <f t="shared" si="93"/>
        <v>262424826.4109228</v>
      </c>
      <c r="AQ448" s="7">
        <f t="shared" si="93"/>
        <v>263771963.48186326</v>
      </c>
      <c r="AR448" s="7">
        <f t="shared" si="93"/>
        <v>265058313.34968606</v>
      </c>
      <c r="AS448" s="7">
        <f t="shared" si="93"/>
        <v>266286305.27024451</v>
      </c>
      <c r="AT448" s="7">
        <f t="shared" si="93"/>
        <v>267458302.3147063</v>
      </c>
      <c r="AU448" s="7">
        <f t="shared" si="93"/>
        <v>268576599.86491609</v>
      </c>
      <c r="AV448" s="7">
        <f t="shared" si="93"/>
        <v>269643424.57560778</v>
      </c>
      <c r="AW448" s="7">
        <f t="shared" si="93"/>
        <v>270660933.7522434</v>
      </c>
      <c r="AX448" s="7">
        <f t="shared" si="93"/>
        <v>271631215.09720474</v>
      </c>
      <c r="AY448" s="7">
        <f t="shared" si="93"/>
        <v>272556286.78084594</v>
      </c>
      <c r="AZ448" s="7">
        <f t="shared" si="93"/>
        <v>273438097.79751676</v>
      </c>
      <c r="BA448" s="7">
        <f t="shared" si="93"/>
        <v>274278528.57007408</v>
      </c>
      <c r="BB448" s="7">
        <f t="shared" si="93"/>
        <v>275079391.7696166</v>
      </c>
      <c r="BC448" s="7">
        <f t="shared" si="93"/>
        <v>275842433.32019252</v>
      </c>
      <c r="BD448" s="7">
        <f t="shared" si="93"/>
        <v>276569333.56105453</v>
      </c>
      <c r="BE448" s="7">
        <f t="shared" si="93"/>
        <v>277261708.54166472</v>
      </c>
    </row>
    <row r="449" spans="1:57" ht="12" customHeight="1" x14ac:dyDescent="0.2">
      <c r="A449" t="s">
        <v>123</v>
      </c>
      <c r="B449" s="7">
        <v>90177392.768093958</v>
      </c>
      <c r="C449" s="7">
        <v>126026325.18950252</v>
      </c>
      <c r="D449" s="7">
        <v>119352665.43780725</v>
      </c>
      <c r="E449" s="7">
        <v>65399861.760442972</v>
      </c>
      <c r="F449" s="7">
        <v>51864061.638461746</v>
      </c>
      <c r="G449" s="7">
        <v>30768289.544239607</v>
      </c>
      <c r="H449" s="7">
        <v>63807549.55608733</v>
      </c>
      <c r="I449" s="7">
        <v>165789147.72830105</v>
      </c>
      <c r="J449" s="7">
        <v>176695313.06246623</v>
      </c>
      <c r="K449" s="7">
        <v>211935468.32762641</v>
      </c>
      <c r="L449" s="7">
        <v>119132367.68959156</v>
      </c>
      <c r="M449" s="7">
        <v>120033995.44907321</v>
      </c>
      <c r="N449" s="7">
        <v>103797337.9844235</v>
      </c>
      <c r="O449" s="7">
        <v>105874262.0452342</v>
      </c>
      <c r="P449" s="7">
        <v>96833716.837117985</v>
      </c>
      <c r="Q449" s="7">
        <v>149388844.94575715</v>
      </c>
      <c r="R449" s="7">
        <v>121614314.53387944</v>
      </c>
      <c r="S449" s="7">
        <v>125378067.19284096</v>
      </c>
      <c r="T449" s="7">
        <v>131737388.25812735</v>
      </c>
      <c r="U449" s="7">
        <v>124054832.1728638</v>
      </c>
      <c r="V449" s="7">
        <v>112336030.16912162</v>
      </c>
      <c r="W449" s="7">
        <v>112965160.30156521</v>
      </c>
      <c r="X449" s="7">
        <v>138720159.4216378</v>
      </c>
      <c r="Y449" s="7">
        <v>163076028.96003884</v>
      </c>
      <c r="Z449" s="7">
        <v>133932324.33804642</v>
      </c>
      <c r="AA449" s="7">
        <v>192686361.72547492</v>
      </c>
      <c r="AB449" s="7">
        <v>187500977.04125983</v>
      </c>
      <c r="AC449" s="22">
        <v>210353828.30700499</v>
      </c>
      <c r="AD449" s="7">
        <f t="shared" ref="AD449:AE449" si="94">AC449*(1-0.05*AD$425)</f>
        <v>199836136.89165473</v>
      </c>
      <c r="AE449" s="7">
        <f t="shared" si="94"/>
        <v>190343920.38930112</v>
      </c>
      <c r="AF449" s="12">
        <f t="shared" ref="AF449:BE449" si="95">AE449*(1+0.01*AF$425)</f>
        <v>192061774.27081457</v>
      </c>
      <c r="AG449" s="7">
        <f t="shared" si="95"/>
        <v>193708463.90796897</v>
      </c>
      <c r="AH449" s="7">
        <f t="shared" si="95"/>
        <v>195286231.45327836</v>
      </c>
      <c r="AI449" s="7">
        <f t="shared" si="95"/>
        <v>196797319.08582595</v>
      </c>
      <c r="AJ449" s="7">
        <f t="shared" si="95"/>
        <v>198243960.21939325</v>
      </c>
      <c r="AK449" s="7">
        <f t="shared" si="95"/>
        <v>199628371.7308585</v>
      </c>
      <c r="AL449" s="7">
        <f t="shared" si="95"/>
        <v>200952747.1355707</v>
      </c>
      <c r="AM449" s="7">
        <f t="shared" si="95"/>
        <v>202219250.63821802</v>
      </c>
      <c r="AN449" s="7">
        <f t="shared" si="95"/>
        <v>203430011.99004006</v>
      </c>
      <c r="AO449" s="7">
        <f t="shared" si="95"/>
        <v>204587122.08595744</v>
      </c>
      <c r="AP449" s="7">
        <f t="shared" si="95"/>
        <v>205692629.23820758</v>
      </c>
      <c r="AQ449" s="7">
        <f t="shared" si="95"/>
        <v>206748536.06629139</v>
      </c>
      <c r="AR449" s="7">
        <f t="shared" si="95"/>
        <v>207756796.94637433</v>
      </c>
      <c r="AS449" s="7">
        <f t="shared" si="95"/>
        <v>208719315.96668768</v>
      </c>
      <c r="AT449" s="7">
        <f t="shared" si="95"/>
        <v>209637945.33888462</v>
      </c>
      <c r="AU449" s="7">
        <f t="shared" si="95"/>
        <v>210514484.21868217</v>
      </c>
      <c r="AV449" s="7">
        <f t="shared" si="95"/>
        <v>211350677.89242727</v>
      </c>
      <c r="AW449" s="7">
        <f t="shared" si="95"/>
        <v>212148217.28943712</v>
      </c>
      <c r="AX449" s="7">
        <f t="shared" si="95"/>
        <v>212908738.78306043</v>
      </c>
      <c r="AY449" s="7">
        <f t="shared" si="95"/>
        <v>213633824.24636951</v>
      </c>
      <c r="AZ449" s="7">
        <f t="shared" si="95"/>
        <v>214325001.33121672</v>
      </c>
      <c r="BA449" s="7">
        <f t="shared" si="95"/>
        <v>214983743.94205996</v>
      </c>
      <c r="BB449" s="7">
        <f t="shared" si="95"/>
        <v>215611472.87848336</v>
      </c>
      <c r="BC449" s="7">
        <f t="shared" si="95"/>
        <v>216209556.62270269</v>
      </c>
      <c r="BD449" s="7">
        <f t="shared" si="95"/>
        <v>216779312.25055882</v>
      </c>
      <c r="BE449" s="7">
        <f t="shared" si="95"/>
        <v>217322006.44656244</v>
      </c>
    </row>
    <row r="450" spans="1:57" ht="12" customHeight="1" x14ac:dyDescent="0.2">
      <c r="A450" t="s">
        <v>124</v>
      </c>
      <c r="B450" s="7">
        <v>125917835.24872269</v>
      </c>
      <c r="C450" s="7">
        <v>390642267.60164309</v>
      </c>
      <c r="D450" s="7">
        <v>339063689.17683941</v>
      </c>
      <c r="E450" s="7">
        <v>185960519.55435887</v>
      </c>
      <c r="F450" s="7">
        <v>156103382.66576254</v>
      </c>
      <c r="G450" s="7">
        <v>123267370.83466431</v>
      </c>
      <c r="H450" s="7">
        <v>81426427.673510835</v>
      </c>
      <c r="I450" s="7">
        <v>19011717.516992297</v>
      </c>
      <c r="J450" s="7">
        <v>12958698.461934041</v>
      </c>
      <c r="K450" s="7">
        <v>5811875.8673232729</v>
      </c>
      <c r="L450" s="7">
        <v>6818676.9066862753</v>
      </c>
      <c r="M450" s="7">
        <v>5794502.9312544269</v>
      </c>
      <c r="N450" s="7">
        <v>7883102.0960799837</v>
      </c>
      <c r="O450" s="7">
        <v>15642360.588759705</v>
      </c>
      <c r="P450" s="7">
        <v>72895063.828827471</v>
      </c>
      <c r="Q450" s="7">
        <v>97292950.499106377</v>
      </c>
      <c r="R450" s="7">
        <v>101861758.50404768</v>
      </c>
      <c r="S450" s="7">
        <v>93959670.892563805</v>
      </c>
      <c r="T450" s="7">
        <v>147653116.42530027</v>
      </c>
      <c r="U450" s="7">
        <v>134406256.29667965</v>
      </c>
      <c r="V450" s="7">
        <v>79808886.528434962</v>
      </c>
      <c r="W450" s="7">
        <v>61165901.742059946</v>
      </c>
      <c r="X450" s="7">
        <v>44043828.873564295</v>
      </c>
      <c r="Y450" s="7">
        <v>43885436.964404479</v>
      </c>
      <c r="Z450" s="7">
        <v>35213657.514490977</v>
      </c>
      <c r="AA450" s="7">
        <v>35977905.799256071</v>
      </c>
      <c r="AB450" s="7">
        <v>56502313.652369179</v>
      </c>
      <c r="AC450" s="22">
        <v>120374872.64579912</v>
      </c>
      <c r="AD450" s="7">
        <f t="shared" ref="AD450:AE450" si="96">AC450*(1-0.05*AD$425)</f>
        <v>114356129.01350915</v>
      </c>
      <c r="AE450" s="7">
        <f t="shared" si="96"/>
        <v>108924212.88536747</v>
      </c>
      <c r="AF450" s="12">
        <f t="shared" ref="AF450:BE450" si="97">AE450*(1+0.01*AF$425)</f>
        <v>109907253.90665792</v>
      </c>
      <c r="AG450" s="7">
        <f t="shared" si="97"/>
        <v>110849571.22484013</v>
      </c>
      <c r="AH450" s="7">
        <f t="shared" si="97"/>
        <v>111752447.91056465</v>
      </c>
      <c r="AI450" s="7">
        <f t="shared" si="97"/>
        <v>112617167.04968621</v>
      </c>
      <c r="AJ450" s="7">
        <f t="shared" si="97"/>
        <v>113445006.71212006</v>
      </c>
      <c r="AK450" s="7">
        <f t="shared" si="97"/>
        <v>114237235.50454684</v>
      </c>
      <c r="AL450" s="7">
        <f t="shared" si="97"/>
        <v>114995108.6650238</v>
      </c>
      <c r="AM450" s="7">
        <f t="shared" si="97"/>
        <v>115719864.65859728</v>
      </c>
      <c r="AN450" s="7">
        <f t="shared" si="97"/>
        <v>116412722.23434494</v>
      </c>
      <c r="AO450" s="7">
        <f t="shared" si="97"/>
        <v>117074877.90583545</v>
      </c>
      <c r="AP450" s="7">
        <f t="shared" si="97"/>
        <v>117707503.81871834</v>
      </c>
      <c r="AQ450" s="7">
        <f t="shared" si="97"/>
        <v>118311745.97099766</v>
      </c>
      <c r="AR450" s="7">
        <f t="shared" si="97"/>
        <v>118888722.75345294</v>
      </c>
      <c r="AS450" s="7">
        <f t="shared" si="97"/>
        <v>119439523.77961864</v>
      </c>
      <c r="AT450" s="7">
        <f t="shared" si="97"/>
        <v>119965208.97668341</v>
      </c>
      <c r="AU450" s="7">
        <f t="shared" si="97"/>
        <v>120466807.91060311</v>
      </c>
      <c r="AV450" s="7">
        <f t="shared" si="97"/>
        <v>120945319.32061359</v>
      </c>
      <c r="AW450" s="7">
        <f t="shared" si="97"/>
        <v>121401710.84016775</v>
      </c>
      <c r="AX450" s="7">
        <f t="shared" si="97"/>
        <v>121836918.88309288</v>
      </c>
      <c r="AY450" s="7">
        <f t="shared" si="97"/>
        <v>122251848.67546046</v>
      </c>
      <c r="AZ450" s="7">
        <f t="shared" si="97"/>
        <v>122647374.41527608</v>
      </c>
      <c r="BA450" s="7">
        <f t="shared" si="97"/>
        <v>123024339.54362586</v>
      </c>
      <c r="BB450" s="7">
        <f t="shared" si="97"/>
        <v>123383557.11235853</v>
      </c>
      <c r="BC450" s="7">
        <f t="shared" si="97"/>
        <v>123725810.23473504</v>
      </c>
      <c r="BD450" s="7">
        <f t="shared" si="97"/>
        <v>124051852.60674414</v>
      </c>
      <c r="BE450" s="7">
        <f t="shared" si="97"/>
        <v>124362409.08796114</v>
      </c>
    </row>
    <row r="451" spans="1:57" ht="12" customHeight="1" x14ac:dyDescent="0.2">
      <c r="A451" t="s">
        <v>125</v>
      </c>
      <c r="B451" s="7">
        <v>125917835.24872269</v>
      </c>
      <c r="C451" s="7">
        <v>109515826.54501076</v>
      </c>
      <c r="D451" s="7">
        <v>113971699.95512287</v>
      </c>
      <c r="E451" s="7">
        <v>91549481.994120583</v>
      </c>
      <c r="F451" s="7">
        <v>81513664.618567511</v>
      </c>
      <c r="G451" s="7">
        <v>80906831.139735416</v>
      </c>
      <c r="H451" s="7">
        <v>81426427.673510835</v>
      </c>
      <c r="I451" s="7">
        <v>89222700.334825009</v>
      </c>
      <c r="J451" s="7">
        <v>101027953.78886369</v>
      </c>
      <c r="K451" s="7">
        <v>107043459.41395967</v>
      </c>
      <c r="L451" s="7">
        <v>98023204.757316858</v>
      </c>
      <c r="M451" s="7">
        <v>93926328.54792136</v>
      </c>
      <c r="N451" s="7">
        <v>90332425.093405783</v>
      </c>
      <c r="O451" s="7">
        <v>92069491.689023346</v>
      </c>
      <c r="P451" s="7">
        <v>176489660.59869823</v>
      </c>
      <c r="Q451" s="7">
        <v>100753762.84829277</v>
      </c>
      <c r="R451" s="7">
        <v>65386541.017945349</v>
      </c>
      <c r="S451" s="7">
        <v>36274373.762666538</v>
      </c>
      <c r="T451" s="7">
        <v>22102103.141912244</v>
      </c>
      <c r="U451" s="7">
        <v>18306821.160589535</v>
      </c>
      <c r="V451" s="7">
        <v>17826296.114956863</v>
      </c>
      <c r="W451" s="7">
        <v>13404763.605882373</v>
      </c>
      <c r="X451" s="7">
        <v>11659967.145515054</v>
      </c>
      <c r="Y451" s="7">
        <v>7132364.8294559373</v>
      </c>
      <c r="Z451" s="7">
        <v>3744527.8063249211</v>
      </c>
      <c r="AA451" s="7">
        <v>2469565.5700189429</v>
      </c>
      <c r="AB451" s="7">
        <v>3190003.884661796</v>
      </c>
      <c r="AC451" s="22">
        <v>25744407.653863985</v>
      </c>
      <c r="AD451" s="7">
        <f t="shared" ref="AD451:AE451" si="98">AC451*(1-0.05*AD$425)</f>
        <v>24457187.271170784</v>
      </c>
      <c r="AE451" s="7">
        <f t="shared" si="98"/>
        <v>23295470.875790171</v>
      </c>
      <c r="AF451" s="12">
        <f t="shared" ref="AF451:BE451" si="99">AE451*(1+0.01*AF$425)</f>
        <v>23505712.500444178</v>
      </c>
      <c r="AG451" s="7">
        <f t="shared" si="99"/>
        <v>23707244.602994863</v>
      </c>
      <c r="AH451" s="7">
        <f t="shared" si="99"/>
        <v>23900341.59198904</v>
      </c>
      <c r="AI451" s="7">
        <f t="shared" si="99"/>
        <v>24085277.879225235</v>
      </c>
      <c r="AJ451" s="7">
        <f t="shared" si="99"/>
        <v>24262326.803749915</v>
      </c>
      <c r="AK451" s="7">
        <f t="shared" si="99"/>
        <v>24431759.68072065</v>
      </c>
      <c r="AL451" s="7">
        <f t="shared" si="99"/>
        <v>24593844.966165993</v>
      </c>
      <c r="AM451" s="7">
        <f t="shared" si="99"/>
        <v>24748847.52889384</v>
      </c>
      <c r="AN451" s="7">
        <f t="shared" si="99"/>
        <v>24897028.02108511</v>
      </c>
      <c r="AO451" s="7">
        <f t="shared" si="99"/>
        <v>25038642.33944314</v>
      </c>
      <c r="AP451" s="7">
        <f t="shared" si="99"/>
        <v>25173941.169138085</v>
      </c>
      <c r="AQ451" s="7">
        <f t="shared" si="99"/>
        <v>25303169.603179298</v>
      </c>
      <c r="AR451" s="7">
        <f t="shared" si="99"/>
        <v>25426566.83025717</v>
      </c>
      <c r="AS451" s="7">
        <f t="shared" si="99"/>
        <v>25544365.884512462</v>
      </c>
      <c r="AT451" s="7">
        <f t="shared" si="99"/>
        <v>25656793.451108184</v>
      </c>
      <c r="AU451" s="7">
        <f t="shared" si="99"/>
        <v>25764069.72189245</v>
      </c>
      <c r="AV451" s="7">
        <f t="shared" si="99"/>
        <v>25866408.295845367</v>
      </c>
      <c r="AW451" s="7">
        <f t="shared" si="99"/>
        <v>25964016.119396228</v>
      </c>
      <c r="AX451" s="7">
        <f t="shared" si="99"/>
        <v>26057093.46207615</v>
      </c>
      <c r="AY451" s="7">
        <f t="shared" si="99"/>
        <v>26145833.923334006</v>
      </c>
      <c r="AZ451" s="7">
        <f t="shared" si="99"/>
        <v>26230424.46668911</v>
      </c>
      <c r="BA451" s="7">
        <f t="shared" si="99"/>
        <v>26311045.477720905</v>
      </c>
      <c r="BB451" s="7">
        <f t="shared" si="99"/>
        <v>26387870.842704635</v>
      </c>
      <c r="BC451" s="7">
        <f t="shared" si="99"/>
        <v>26461068.044991158</v>
      </c>
      <c r="BD451" s="7">
        <f t="shared" si="99"/>
        <v>26530798.276499964</v>
      </c>
      <c r="BE451" s="7">
        <f t="shared" si="99"/>
        <v>26597216.561946675</v>
      </c>
    </row>
    <row r="452" spans="1:57" ht="12" customHeight="1" x14ac:dyDescent="0.2">
      <c r="A452" t="s">
        <v>126</v>
      </c>
      <c r="B452" s="7">
        <v>17397766.459339846</v>
      </c>
      <c r="C452" s="7">
        <v>15943582.100085238</v>
      </c>
      <c r="D452" s="7">
        <v>18539687.65248742</v>
      </c>
      <c r="E452" s="7">
        <v>19675805.652089488</v>
      </c>
      <c r="F452" s="7">
        <v>27434045.976314012</v>
      </c>
      <c r="G452" s="7">
        <v>26409013.717750803</v>
      </c>
      <c r="H452" s="7">
        <v>31259878.804507505</v>
      </c>
      <c r="I452" s="7">
        <v>84369407.040784791</v>
      </c>
      <c r="J452" s="7">
        <v>111067999.66004878</v>
      </c>
      <c r="K452" s="7">
        <v>134753579.22970688</v>
      </c>
      <c r="L452" s="7">
        <v>155480699.61873609</v>
      </c>
      <c r="M452" s="7">
        <v>144811205.26753253</v>
      </c>
      <c r="N452" s="7">
        <v>137001674.88272148</v>
      </c>
      <c r="O452" s="7">
        <v>146831041.80428264</v>
      </c>
      <c r="P452" s="7">
        <v>135609721.34025094</v>
      </c>
      <c r="Q452" s="7">
        <v>146064104.64388838</v>
      </c>
      <c r="R452" s="7">
        <v>144917892.62815714</v>
      </c>
      <c r="S452" s="7">
        <v>126827045.75814801</v>
      </c>
      <c r="T452" s="7">
        <v>140002443.76433739</v>
      </c>
      <c r="U452" s="7">
        <v>149958937.17339611</v>
      </c>
      <c r="V452" s="7">
        <v>140879318.42572314</v>
      </c>
      <c r="W452" s="7">
        <v>150352311.05277365</v>
      </c>
      <c r="X452" s="7">
        <v>160413684.11225924</v>
      </c>
      <c r="Y452" s="7">
        <v>165442142.05748269</v>
      </c>
      <c r="Z452" s="7">
        <v>192017132.11654863</v>
      </c>
      <c r="AA452" s="7">
        <v>179084265.99607739</v>
      </c>
      <c r="AB452" s="7">
        <v>171683278.95348644</v>
      </c>
      <c r="AC452" s="22">
        <v>144871392.83573031</v>
      </c>
      <c r="AD452" s="7">
        <f t="shared" ref="AD452:AE452" si="100">AC452*(1-0.05*AD$425)</f>
        <v>137627823.1939438</v>
      </c>
      <c r="AE452" s="7">
        <f t="shared" si="100"/>
        <v>131090501.59223147</v>
      </c>
      <c r="AF452" s="12">
        <f t="shared" ref="AF452:BE452" si="101">AE452*(1+0.01*AF$425)</f>
        <v>132273593.36910136</v>
      </c>
      <c r="AG452" s="7">
        <f t="shared" si="101"/>
        <v>133407674.0902497</v>
      </c>
      <c r="AH452" s="7">
        <f t="shared" si="101"/>
        <v>134494287.93369439</v>
      </c>
      <c r="AI452" s="7">
        <f t="shared" si="101"/>
        <v>135534979.09575167</v>
      </c>
      <c r="AJ452" s="7">
        <f t="shared" si="101"/>
        <v>136531285.73604482</v>
      </c>
      <c r="AK452" s="7">
        <f t="shared" si="101"/>
        <v>137484734.62517595</v>
      </c>
      <c r="AL452" s="7">
        <f t="shared" si="101"/>
        <v>138396836.44458291</v>
      </c>
      <c r="AM452" s="7">
        <f t="shared" si="101"/>
        <v>139269081.68935242</v>
      </c>
      <c r="AN452" s="7">
        <f t="shared" si="101"/>
        <v>140102937.12636465</v>
      </c>
      <c r="AO452" s="7">
        <f t="shared" si="101"/>
        <v>140899842.76202145</v>
      </c>
      <c r="AP452" s="7">
        <f t="shared" si="101"/>
        <v>141661209.2758868</v>
      </c>
      <c r="AQ452" s="7">
        <f t="shared" si="101"/>
        <v>142388415.8787826</v>
      </c>
      <c r="AR452" s="7">
        <f t="shared" si="101"/>
        <v>143082808.55618238</v>
      </c>
      <c r="AS452" s="7">
        <f t="shared" si="101"/>
        <v>143745698.66008946</v>
      </c>
      <c r="AT452" s="7">
        <f t="shared" si="101"/>
        <v>144378361.81493232</v>
      </c>
      <c r="AU452" s="7">
        <f t="shared" si="101"/>
        <v>144982037.10533687</v>
      </c>
      <c r="AV452" s="7">
        <f t="shared" si="101"/>
        <v>145557926.5159117</v>
      </c>
      <c r="AW452" s="7">
        <f t="shared" si="101"/>
        <v>146107194.59539518</v>
      </c>
      <c r="AX452" s="7">
        <f t="shared" si="101"/>
        <v>146630968.31964573</v>
      </c>
      <c r="AY452" s="7">
        <f t="shared" si="101"/>
        <v>147130337.1299971</v>
      </c>
      <c r="AZ452" s="7">
        <f t="shared" si="101"/>
        <v>147606353.12544557</v>
      </c>
      <c r="BA452" s="7">
        <f t="shared" si="101"/>
        <v>148060031.38897508</v>
      </c>
      <c r="BB452" s="7">
        <f t="shared" si="101"/>
        <v>148492350.43006346</v>
      </c>
      <c r="BC452" s="7">
        <f t="shared" si="101"/>
        <v>148904252.72703999</v>
      </c>
      <c r="BD452" s="7">
        <f t="shared" si="101"/>
        <v>149296645.3544898</v>
      </c>
      <c r="BE452" s="7">
        <f t="shared" si="101"/>
        <v>149670400.68231851</v>
      </c>
    </row>
    <row r="453" spans="1:57" ht="12" customHeight="1" x14ac:dyDescent="0.2">
      <c r="A453" t="s">
        <v>127</v>
      </c>
      <c r="B453" s="7">
        <v>125917835.24872269</v>
      </c>
      <c r="C453" s="7">
        <v>109515826.54501076</v>
      </c>
      <c r="D453" s="7">
        <v>113971699.95512287</v>
      </c>
      <c r="E453" s="7">
        <v>91549481.994120583</v>
      </c>
      <c r="F453" s="7">
        <v>81513664.618567511</v>
      </c>
      <c r="G453" s="7">
        <v>80906831.139735416</v>
      </c>
      <c r="H453" s="7">
        <v>81426427.673510835</v>
      </c>
      <c r="I453" s="7">
        <v>89222700.334825009</v>
      </c>
      <c r="J453" s="7">
        <v>101027953.78886369</v>
      </c>
      <c r="K453" s="7">
        <v>107043459.41395967</v>
      </c>
      <c r="L453" s="7">
        <v>98023204.757316858</v>
      </c>
      <c r="M453" s="7">
        <v>93926328.54792136</v>
      </c>
      <c r="N453" s="7">
        <v>815931163.11624658</v>
      </c>
      <c r="O453" s="7">
        <v>465607758.33853137</v>
      </c>
      <c r="P453" s="7">
        <v>209694679.07634455</v>
      </c>
      <c r="Q453" s="7">
        <v>269230122.39783621</v>
      </c>
      <c r="R453" s="7">
        <v>97476604.404832706</v>
      </c>
      <c r="S453" s="7">
        <v>93665662.540882543</v>
      </c>
      <c r="T453" s="7">
        <v>93825980.244873807</v>
      </c>
      <c r="U453" s="7">
        <v>94343879.440755323</v>
      </c>
      <c r="V453" s="7">
        <v>93087137.834173098</v>
      </c>
      <c r="W453" s="7">
        <v>95273282.107353061</v>
      </c>
      <c r="X453" s="7">
        <v>99667603.471931189</v>
      </c>
      <c r="Y453" s="7">
        <v>95798309.440355793</v>
      </c>
      <c r="Z453" s="7">
        <v>95203181.299621329</v>
      </c>
      <c r="AA453" s="7">
        <v>96910479.847054005</v>
      </c>
      <c r="AB453" s="7">
        <v>100765337.88302194</v>
      </c>
      <c r="AC453" s="22">
        <v>120374872.64579912</v>
      </c>
      <c r="AD453" s="7">
        <f t="shared" ref="AD453:AE453" si="102">AC453*(1-0.05*AD$425)</f>
        <v>114356129.01350915</v>
      </c>
      <c r="AE453" s="7">
        <f t="shared" si="102"/>
        <v>108924212.88536747</v>
      </c>
      <c r="AF453" s="12">
        <f t="shared" ref="AF453:BE453" si="103">AE453*(1+0.01*AF$425)</f>
        <v>109907253.90665792</v>
      </c>
      <c r="AG453" s="7">
        <f t="shared" si="103"/>
        <v>110849571.22484013</v>
      </c>
      <c r="AH453" s="7">
        <f t="shared" si="103"/>
        <v>111752447.91056465</v>
      </c>
      <c r="AI453" s="7">
        <f t="shared" si="103"/>
        <v>112617167.04968621</v>
      </c>
      <c r="AJ453" s="7">
        <f t="shared" si="103"/>
        <v>113445006.71212006</v>
      </c>
      <c r="AK453" s="7">
        <f t="shared" si="103"/>
        <v>114237235.50454684</v>
      </c>
      <c r="AL453" s="7">
        <f t="shared" si="103"/>
        <v>114995108.6650238</v>
      </c>
      <c r="AM453" s="7">
        <f t="shared" si="103"/>
        <v>115719864.65859728</v>
      </c>
      <c r="AN453" s="7">
        <f t="shared" si="103"/>
        <v>116412722.23434494</v>
      </c>
      <c r="AO453" s="7">
        <f t="shared" si="103"/>
        <v>117074877.90583545</v>
      </c>
      <c r="AP453" s="7">
        <f t="shared" si="103"/>
        <v>117707503.81871834</v>
      </c>
      <c r="AQ453" s="7">
        <f t="shared" si="103"/>
        <v>118311745.97099766</v>
      </c>
      <c r="AR453" s="7">
        <f t="shared" si="103"/>
        <v>118888722.75345294</v>
      </c>
      <c r="AS453" s="7">
        <f t="shared" si="103"/>
        <v>119439523.77961864</v>
      </c>
      <c r="AT453" s="7">
        <f t="shared" si="103"/>
        <v>119965208.97668341</v>
      </c>
      <c r="AU453" s="7">
        <f t="shared" si="103"/>
        <v>120466807.91060311</v>
      </c>
      <c r="AV453" s="7">
        <f t="shared" si="103"/>
        <v>120945319.32061359</v>
      </c>
      <c r="AW453" s="7">
        <f t="shared" si="103"/>
        <v>121401710.84016775</v>
      </c>
      <c r="AX453" s="7">
        <f t="shared" si="103"/>
        <v>121836918.88309288</v>
      </c>
      <c r="AY453" s="7">
        <f t="shared" si="103"/>
        <v>122251848.67546046</v>
      </c>
      <c r="AZ453" s="7">
        <f t="shared" si="103"/>
        <v>122647374.41527608</v>
      </c>
      <c r="BA453" s="7">
        <f t="shared" si="103"/>
        <v>123024339.54362586</v>
      </c>
      <c r="BB453" s="7">
        <f t="shared" si="103"/>
        <v>123383557.11235853</v>
      </c>
      <c r="BC453" s="7">
        <f t="shared" si="103"/>
        <v>123725810.23473504</v>
      </c>
      <c r="BD453" s="7">
        <f t="shared" si="103"/>
        <v>124051852.60674414</v>
      </c>
      <c r="BE453" s="7">
        <f t="shared" si="103"/>
        <v>124362409.08796114</v>
      </c>
    </row>
    <row r="454" spans="1:57" ht="12" customHeight="1" x14ac:dyDescent="0.2">
      <c r="A454" t="s">
        <v>128</v>
      </c>
      <c r="B454" s="7">
        <v>340957219.1616106</v>
      </c>
      <c r="C454" s="7">
        <v>329963784.46016032</v>
      </c>
      <c r="D454" s="7">
        <v>352359715.52373862</v>
      </c>
      <c r="E454" s="7">
        <v>269980123.15699035</v>
      </c>
      <c r="F454" s="7">
        <v>257566032.06398153</v>
      </c>
      <c r="G454" s="7">
        <v>244913515.33483493</v>
      </c>
      <c r="H454" s="7">
        <v>221482648.29940671</v>
      </c>
      <c r="I454" s="7">
        <v>230700046.23586434</v>
      </c>
      <c r="J454" s="7">
        <v>234903116.10948056</v>
      </c>
      <c r="K454" s="7">
        <v>213497121.99533856</v>
      </c>
      <c r="L454" s="7">
        <v>201277314.51101866</v>
      </c>
      <c r="M454" s="7">
        <v>194374309.10713476</v>
      </c>
      <c r="N454" s="7">
        <v>181190944.6326386</v>
      </c>
      <c r="O454" s="7">
        <v>212894924.74767646</v>
      </c>
      <c r="P454" s="7">
        <v>226510612.15109223</v>
      </c>
      <c r="Q454" s="7">
        <v>329902965.06724799</v>
      </c>
      <c r="R454" s="7">
        <v>274151710.08350933</v>
      </c>
      <c r="S454" s="7">
        <v>279778998.19722581</v>
      </c>
      <c r="T454" s="7">
        <v>263768664.49256846</v>
      </c>
      <c r="U454" s="7">
        <v>290001361.9792729</v>
      </c>
      <c r="V454" s="7">
        <v>340005992.72853696</v>
      </c>
      <c r="W454" s="7">
        <v>374273338.59770393</v>
      </c>
      <c r="X454" s="7">
        <v>412146904.75489122</v>
      </c>
      <c r="Y454" s="7">
        <v>362510706.22887105</v>
      </c>
      <c r="Z454" s="7">
        <v>432260667.32136655</v>
      </c>
      <c r="AA454" s="7">
        <v>395437935.54203242</v>
      </c>
      <c r="AB454" s="7">
        <v>337856680.54896361</v>
      </c>
      <c r="AC454" s="22">
        <v>333000923.92777181</v>
      </c>
      <c r="AD454" s="7">
        <f t="shared" ref="AD454:AE454" si="104">AC454*(1-0.05*AD$425)</f>
        <v>316350877.7313832</v>
      </c>
      <c r="AE454" s="7">
        <f t="shared" si="104"/>
        <v>301324211.03914249</v>
      </c>
      <c r="AF454" s="12">
        <f t="shared" ref="AF454:BE454" si="105">AE454*(1+0.01*AF$425)</f>
        <v>304043662.04377079</v>
      </c>
      <c r="AG454" s="7">
        <f t="shared" si="105"/>
        <v>306650456.3912186</v>
      </c>
      <c r="AH454" s="7">
        <f t="shared" si="105"/>
        <v>309148143.52417856</v>
      </c>
      <c r="AI454" s="7">
        <f t="shared" si="105"/>
        <v>311540272.92740381</v>
      </c>
      <c r="AJ454" s="7">
        <f t="shared" si="105"/>
        <v>313830380.20972413</v>
      </c>
      <c r="AK454" s="7">
        <f t="shared" si="105"/>
        <v>316021974.8012014</v>
      </c>
      <c r="AL454" s="7">
        <f t="shared" si="105"/>
        <v>318118529.14939576</v>
      </c>
      <c r="AM454" s="7">
        <f t="shared" si="105"/>
        <v>320123469.30158442</v>
      </c>
      <c r="AN454" s="7">
        <f t="shared" si="105"/>
        <v>322040166.76346445</v>
      </c>
      <c r="AO454" s="7">
        <f t="shared" si="105"/>
        <v>323871931.52918231</v>
      </c>
      <c r="AP454" s="7">
        <f t="shared" si="105"/>
        <v>325622006.18230808</v>
      </c>
      <c r="AQ454" s="7">
        <f t="shared" si="105"/>
        <v>327293560.97246087</v>
      </c>
      <c r="AR454" s="7">
        <f t="shared" si="105"/>
        <v>328889689.77757978</v>
      </c>
      <c r="AS454" s="7">
        <f t="shared" si="105"/>
        <v>330413406.86721897</v>
      </c>
      <c r="AT454" s="7">
        <f t="shared" si="105"/>
        <v>331867644.38764244</v>
      </c>
      <c r="AU454" s="7">
        <f t="shared" si="105"/>
        <v>333255250.49484003</v>
      </c>
      <c r="AV454" s="7">
        <f t="shared" si="105"/>
        <v>334578988.06681937</v>
      </c>
      <c r="AW454" s="7">
        <f t="shared" si="105"/>
        <v>335841533.93161565</v>
      </c>
      <c r="AX454" s="7">
        <f t="shared" si="105"/>
        <v>337045478.55236143</v>
      </c>
      <c r="AY454" s="7">
        <f t="shared" si="105"/>
        <v>338193326.11544991</v>
      </c>
      <c r="AZ454" s="7">
        <f t="shared" si="105"/>
        <v>339287494.97229576</v>
      </c>
      <c r="BA454" s="7">
        <f t="shared" si="105"/>
        <v>340330318.38942534</v>
      </c>
      <c r="BB454" s="7">
        <f t="shared" si="105"/>
        <v>341324045.56561971</v>
      </c>
      <c r="BC454" s="7">
        <f t="shared" si="105"/>
        <v>342270842.8785764</v>
      </c>
      <c r="BD454" s="7">
        <f t="shared" si="105"/>
        <v>343172795.32705873</v>
      </c>
      <c r="BE454" s="7">
        <f t="shared" si="105"/>
        <v>344031908.13776398</v>
      </c>
    </row>
    <row r="455" spans="1:57" ht="12" customHeight="1" x14ac:dyDescent="0.2">
      <c r="A455" t="s">
        <v>129</v>
      </c>
      <c r="B455" s="7">
        <v>359828156.75237656</v>
      </c>
      <c r="C455" s="7">
        <v>245205865.96227905</v>
      </c>
      <c r="D455" s="7">
        <v>310990111.10194945</v>
      </c>
      <c r="E455" s="7">
        <v>229805908.0598878</v>
      </c>
      <c r="F455" s="7">
        <v>148536657.29573753</v>
      </c>
      <c r="G455" s="7">
        <v>196609139.4068853</v>
      </c>
      <c r="H455" s="7">
        <v>152950883.25943258</v>
      </c>
      <c r="I455" s="7">
        <v>168988147.15045595</v>
      </c>
      <c r="J455" s="7">
        <v>153552242.89762235</v>
      </c>
      <c r="K455" s="7">
        <v>118872465.79547845</v>
      </c>
      <c r="L455" s="7">
        <v>93016950.210125938</v>
      </c>
      <c r="M455" s="7">
        <v>80583555.593765706</v>
      </c>
      <c r="N455" s="7">
        <v>61037015.698239669</v>
      </c>
      <c r="O455" s="7">
        <v>50582215.570182942</v>
      </c>
      <c r="P455" s="7">
        <v>36724350.186971389</v>
      </c>
      <c r="Q455" s="7">
        <v>59381208.631653614</v>
      </c>
      <c r="R455" s="7">
        <v>51588086.987554252</v>
      </c>
      <c r="S455" s="7">
        <v>55129008.341451891</v>
      </c>
      <c r="T455" s="7">
        <v>45567577.872768305</v>
      </c>
      <c r="U455" s="7">
        <v>41849447.478967011</v>
      </c>
      <c r="V455" s="7">
        <v>33917403.787976786</v>
      </c>
      <c r="W455" s="7">
        <v>32045414.13391741</v>
      </c>
      <c r="X455" s="7">
        <v>34634374.586163819</v>
      </c>
      <c r="Y455" s="7">
        <v>40285756.084252685</v>
      </c>
      <c r="Z455" s="7">
        <v>38268631.525297634</v>
      </c>
      <c r="AA455" s="7">
        <v>45567081.810340665</v>
      </c>
      <c r="AB455" s="7">
        <v>96079368.711085856</v>
      </c>
      <c r="AC455" s="22">
        <v>182005336.35119566</v>
      </c>
      <c r="AD455" s="7">
        <f t="shared" ref="AD455:AE455" si="106">AC455*(1-0.05*AD$425)</f>
        <v>172905069.53363588</v>
      </c>
      <c r="AE455" s="7">
        <f t="shared" si="106"/>
        <v>164692078.73078817</v>
      </c>
      <c r="AF455" s="12">
        <f t="shared" ref="AF455:BE455" si="107">AE455*(1+0.01*AF$425)</f>
        <v>166178424.74133354</v>
      </c>
      <c r="AG455" s="7">
        <f t="shared" si="107"/>
        <v>167603197.01045957</v>
      </c>
      <c r="AH455" s="7">
        <f t="shared" si="107"/>
        <v>168968335.52530956</v>
      </c>
      <c r="AI455" s="7">
        <f t="shared" si="107"/>
        <v>170275780.29601544</v>
      </c>
      <c r="AJ455" s="7">
        <f t="shared" si="107"/>
        <v>171527463.74866989</v>
      </c>
      <c r="AK455" s="7">
        <f t="shared" si="107"/>
        <v>172725304.00107053</v>
      </c>
      <c r="AL455" s="7">
        <f t="shared" si="107"/>
        <v>173871198.95781979</v>
      </c>
      <c r="AM455" s="7">
        <f t="shared" si="107"/>
        <v>174967021.16293254</v>
      </c>
      <c r="AN455" s="7">
        <f t="shared" si="107"/>
        <v>176014613.35012004</v>
      </c>
      <c r="AO455" s="7">
        <f t="shared" si="107"/>
        <v>177015784.6332756</v>
      </c>
      <c r="AP455" s="7">
        <f t="shared" si="107"/>
        <v>177972307.28229666</v>
      </c>
      <c r="AQ455" s="7">
        <f t="shared" si="107"/>
        <v>178885914.03216022</v>
      </c>
      <c r="AR455" s="7">
        <f t="shared" si="107"/>
        <v>179758295.87605718</v>
      </c>
      <c r="AS455" s="7">
        <f t="shared" si="107"/>
        <v>180591100.29633558</v>
      </c>
      <c r="AT455" s="7">
        <f t="shared" si="107"/>
        <v>181385929.88995141</v>
      </c>
      <c r="AU455" s="7">
        <f t="shared" si="107"/>
        <v>182144341.3480477</v>
      </c>
      <c r="AV455" s="7">
        <f t="shared" si="107"/>
        <v>182867844.75214359</v>
      </c>
      <c r="AW455" s="7">
        <f t="shared" si="107"/>
        <v>183557903.15219447</v>
      </c>
      <c r="AX455" s="7">
        <f t="shared" si="107"/>
        <v>184215932.39446339</v>
      </c>
      <c r="AY455" s="7">
        <f t="shared" si="107"/>
        <v>184843301.16970778</v>
      </c>
      <c r="AZ455" s="7">
        <f t="shared" si="107"/>
        <v>185441331.25462857</v>
      </c>
      <c r="BA455" s="7">
        <f t="shared" si="107"/>
        <v>186011297.9218404</v>
      </c>
      <c r="BB455" s="7">
        <f t="shared" si="107"/>
        <v>186554430.49580228</v>
      </c>
      <c r="BC455" s="7">
        <f t="shared" si="107"/>
        <v>187071913.03419447</v>
      </c>
      <c r="BD455" s="7">
        <f t="shared" si="107"/>
        <v>187564885.11614108</v>
      </c>
      <c r="BE455" s="7">
        <f t="shared" si="107"/>
        <v>188034442.72046155</v>
      </c>
    </row>
    <row r="456" spans="1:57" ht="12" customHeight="1" x14ac:dyDescent="0.2">
      <c r="A456" t="s">
        <v>130</v>
      </c>
      <c r="B456" s="7">
        <v>215531315.5787403</v>
      </c>
      <c r="C456" s="7">
        <v>122098842.36743309</v>
      </c>
      <c r="D456" s="7">
        <v>130773483.08257867</v>
      </c>
      <c r="E456" s="7">
        <v>116043435.44363122</v>
      </c>
      <c r="F456" s="7">
        <v>96360694.667942241</v>
      </c>
      <c r="G456" s="7">
        <v>95329529.541113481</v>
      </c>
      <c r="H456" s="7">
        <v>126136362.87047206</v>
      </c>
      <c r="I456" s="7">
        <v>91646343.305480942</v>
      </c>
      <c r="J456" s="7">
        <v>82129029.476868555</v>
      </c>
      <c r="K456" s="7">
        <v>86771401.415078774</v>
      </c>
      <c r="L456" s="7">
        <v>73963502.119708776</v>
      </c>
      <c r="M456" s="7">
        <v>81907542.744686961</v>
      </c>
      <c r="N456" s="7">
        <v>100500151.47781283</v>
      </c>
      <c r="O456" s="7">
        <v>193276273.74712142</v>
      </c>
      <c r="P456" s="7">
        <v>203574942.88200587</v>
      </c>
      <c r="Q456" s="7">
        <v>320041947.07848728</v>
      </c>
      <c r="R456" s="7">
        <v>293086397.12919992</v>
      </c>
      <c r="S456" s="7">
        <v>274293554.41062921</v>
      </c>
      <c r="T456" s="7">
        <v>255854295.31334284</v>
      </c>
      <c r="U456" s="7">
        <v>180525905.78815764</v>
      </c>
      <c r="V456" s="7">
        <v>160482591.19751737</v>
      </c>
      <c r="W456" s="7">
        <v>163716897.11249956</v>
      </c>
      <c r="X456" s="7">
        <v>180245170.22067893</v>
      </c>
      <c r="Y456" s="7">
        <v>136353054.08807757</v>
      </c>
      <c r="Z456" s="7">
        <v>259831062.2949532</v>
      </c>
      <c r="AA456" s="7">
        <v>225192340.73309672</v>
      </c>
      <c r="AB456" s="7">
        <v>232448643.33553648</v>
      </c>
      <c r="AC456" s="22">
        <v>309445095.59913844</v>
      </c>
      <c r="AD456" s="7">
        <f t="shared" ref="AD456:AE456" si="108">AC456*(1-0.05*AD$425)</f>
        <v>293972840.8191815</v>
      </c>
      <c r="AE456" s="7">
        <f t="shared" si="108"/>
        <v>280009130.88027036</v>
      </c>
      <c r="AF456" s="12">
        <f t="shared" ref="AF456:BE456" si="109">AE456*(1+0.01*AF$425)</f>
        <v>282536213.28646481</v>
      </c>
      <c r="AG456" s="7">
        <f t="shared" si="109"/>
        <v>284958608.14512968</v>
      </c>
      <c r="AH456" s="7">
        <f t="shared" si="109"/>
        <v>287279613.81838477</v>
      </c>
      <c r="AI456" s="7">
        <f t="shared" si="109"/>
        <v>289502528.70743507</v>
      </c>
      <c r="AJ456" s="7">
        <f t="shared" si="109"/>
        <v>291630638.31911772</v>
      </c>
      <c r="AK456" s="7">
        <f t="shared" si="109"/>
        <v>293667203.83333635</v>
      </c>
      <c r="AL456" s="7">
        <f t="shared" si="109"/>
        <v>295615452.06356204</v>
      </c>
      <c r="AM456" s="7">
        <f t="shared" si="109"/>
        <v>297478566.70524734</v>
      </c>
      <c r="AN456" s="7">
        <f t="shared" si="109"/>
        <v>299259680.77042854</v>
      </c>
      <c r="AO456" s="7">
        <f t="shared" si="109"/>
        <v>300961870.11079699</v>
      </c>
      <c r="AP456" s="7">
        <f t="shared" si="109"/>
        <v>302588147.9359588</v>
      </c>
      <c r="AQ456" s="7">
        <f t="shared" si="109"/>
        <v>304141460.23833013</v>
      </c>
      <c r="AR456" s="7">
        <f t="shared" si="109"/>
        <v>305624682.04102904</v>
      </c>
      <c r="AS456" s="7">
        <f t="shared" si="109"/>
        <v>307040614.39012879</v>
      </c>
      <c r="AT456" s="7">
        <f t="shared" si="109"/>
        <v>308391982.01765198</v>
      </c>
      <c r="AU456" s="7">
        <f t="shared" si="109"/>
        <v>309681431.60665321</v>
      </c>
      <c r="AV456" s="7">
        <f t="shared" si="109"/>
        <v>310911530.59460127</v>
      </c>
      <c r="AW456" s="7">
        <f t="shared" si="109"/>
        <v>312084766.45599765</v>
      </c>
      <c r="AX456" s="7">
        <f t="shared" si="109"/>
        <v>313203546.409724</v>
      </c>
      <c r="AY456" s="7">
        <f t="shared" si="109"/>
        <v>314270197.50096899</v>
      </c>
      <c r="AZ456" s="7">
        <f t="shared" si="109"/>
        <v>315286967.01173979</v>
      </c>
      <c r="BA456" s="7">
        <f t="shared" si="109"/>
        <v>316256023.15789235</v>
      </c>
      <c r="BB456" s="7">
        <f t="shared" si="109"/>
        <v>317179456.03432369</v>
      </c>
      <c r="BC456" s="7">
        <f t="shared" si="109"/>
        <v>318059278.77344751</v>
      </c>
      <c r="BD456" s="7">
        <f t="shared" si="109"/>
        <v>318897428.88532841</v>
      </c>
      <c r="BE456" s="7">
        <f t="shared" si="109"/>
        <v>319695769.75088346</v>
      </c>
    </row>
    <row r="457" spans="1:57" ht="12" customHeight="1" x14ac:dyDescent="0.2">
      <c r="A457" t="s">
        <v>131</v>
      </c>
      <c r="B457" s="7">
        <v>547386425.4449532</v>
      </c>
      <c r="C457" s="7">
        <v>505850898.77729136</v>
      </c>
      <c r="D457" s="7">
        <v>619471840.76279819</v>
      </c>
      <c r="E457" s="7">
        <v>674997003.26789212</v>
      </c>
      <c r="F457" s="7">
        <v>346361701.57772911</v>
      </c>
      <c r="G457" s="7">
        <v>472935336.53887051</v>
      </c>
      <c r="H457" s="7">
        <v>328221299.12358242</v>
      </c>
      <c r="I457" s="7">
        <v>253211638.1110059</v>
      </c>
      <c r="J457" s="7">
        <v>236256851.16923434</v>
      </c>
      <c r="K457" s="7">
        <v>253494347.67664528</v>
      </c>
      <c r="L457" s="7">
        <v>185621752.52881342</v>
      </c>
      <c r="M457" s="7">
        <v>110296163.79142936</v>
      </c>
      <c r="N457" s="7">
        <v>121098038.20157686</v>
      </c>
      <c r="O457" s="7">
        <v>172471578.70834187</v>
      </c>
      <c r="P457" s="7">
        <v>200015751.00973925</v>
      </c>
      <c r="Q457" s="7">
        <v>136902096.25748569</v>
      </c>
      <c r="R457" s="7">
        <v>205328518.34952506</v>
      </c>
      <c r="S457" s="7">
        <v>174317852.1538597</v>
      </c>
      <c r="T457" s="7">
        <v>227814886.14218944</v>
      </c>
      <c r="U457" s="7">
        <v>179737599.22644293</v>
      </c>
      <c r="V457" s="7">
        <v>174972395.19795334</v>
      </c>
      <c r="W457" s="7">
        <v>211925690.14759904</v>
      </c>
      <c r="X457" s="7">
        <v>275718983.59209013</v>
      </c>
      <c r="Y457" s="7">
        <v>315190475.28630358</v>
      </c>
      <c r="Z457" s="7">
        <v>380751989.83374321</v>
      </c>
      <c r="AA457" s="7">
        <v>393963951.69747531</v>
      </c>
      <c r="AB457" s="7">
        <v>439700987.67000884</v>
      </c>
      <c r="AC457" s="22">
        <v>743442872.95103216</v>
      </c>
      <c r="AD457" s="7">
        <f t="shared" ref="AD457:AE457" si="110">AC457*(1-0.05*AD$425)</f>
        <v>706270729.30348051</v>
      </c>
      <c r="AE457" s="7">
        <f t="shared" si="110"/>
        <v>672722869.66156518</v>
      </c>
      <c r="AF457" s="12">
        <f t="shared" ref="AF457:BE457" si="111">AE457*(1+0.01*AF$425)</f>
        <v>678794193.56026089</v>
      </c>
      <c r="AG457" s="7">
        <f t="shared" si="111"/>
        <v>684614005.27729821</v>
      </c>
      <c r="AH457" s="7">
        <f t="shared" si="111"/>
        <v>690190229.13865709</v>
      </c>
      <c r="AI457" s="7">
        <f t="shared" si="111"/>
        <v>695530789.56421959</v>
      </c>
      <c r="AJ457" s="7">
        <f t="shared" si="111"/>
        <v>700643579.99510622</v>
      </c>
      <c r="AK457" s="7">
        <f t="shared" si="111"/>
        <v>705536435.42689848</v>
      </c>
      <c r="AL457" s="7">
        <f t="shared" si="111"/>
        <v>710217108.28970909</v>
      </c>
      <c r="AM457" s="7">
        <f t="shared" si="111"/>
        <v>714693247.42246819</v>
      </c>
      <c r="AN457" s="7">
        <f t="shared" si="111"/>
        <v>718972379.8970288</v>
      </c>
      <c r="AO457" s="7">
        <f t="shared" si="111"/>
        <v>723061895.45732546</v>
      </c>
      <c r="AP457" s="7">
        <f t="shared" si="111"/>
        <v>726969033.34947371</v>
      </c>
      <c r="AQ457" s="7">
        <f t="shared" si="111"/>
        <v>730700871.3300668</v>
      </c>
      <c r="AR457" s="7">
        <f t="shared" si="111"/>
        <v>734264316.65172267</v>
      </c>
      <c r="AS457" s="7">
        <f t="shared" si="111"/>
        <v>737666098.83696258</v>
      </c>
      <c r="AT457" s="7">
        <f t="shared" si="111"/>
        <v>740912764.06354713</v>
      </c>
      <c r="AU457" s="7">
        <f t="shared" si="111"/>
        <v>744010670.99633133</v>
      </c>
      <c r="AV457" s="7">
        <f t="shared" si="111"/>
        <v>746965987.91238594</v>
      </c>
      <c r="AW457" s="7">
        <f t="shared" si="111"/>
        <v>749784690.97748673</v>
      </c>
      <c r="AX457" s="7">
        <f t="shared" si="111"/>
        <v>752472563.54301548</v>
      </c>
      <c r="AY457" s="7">
        <f t="shared" si="111"/>
        <v>755035196.34278941</v>
      </c>
      <c r="AZ457" s="7">
        <f t="shared" si="111"/>
        <v>757477988.47931647</v>
      </c>
      <c r="BA457" s="7">
        <f t="shared" si="111"/>
        <v>759806149.09841311</v>
      </c>
      <c r="BB457" s="7">
        <f t="shared" si="111"/>
        <v>762024699.66003156</v>
      </c>
      <c r="BC457" s="7">
        <f t="shared" si="111"/>
        <v>764138476.72150159</v>
      </c>
      <c r="BD457" s="7">
        <f t="shared" si="111"/>
        <v>766152135.15720725</v>
      </c>
      <c r="BE457" s="7">
        <f t="shared" si="111"/>
        <v>768070151.74600887</v>
      </c>
    </row>
    <row r="458" spans="1:57" ht="12" customHeight="1" x14ac:dyDescent="0.2">
      <c r="A458" t="s">
        <v>132</v>
      </c>
      <c r="B458" s="7">
        <v>135188449.50320062</v>
      </c>
      <c r="C458" s="7">
        <v>128529947.92311409</v>
      </c>
      <c r="D458" s="7">
        <v>122738800.17065935</v>
      </c>
      <c r="E458" s="7">
        <v>105836237.55672862</v>
      </c>
      <c r="F458" s="7">
        <v>86319946.397537574</v>
      </c>
      <c r="G458" s="7">
        <v>77422504.832004115</v>
      </c>
      <c r="H458" s="7">
        <v>123865275.12995517</v>
      </c>
      <c r="I458" s="7">
        <v>113331357.09662652</v>
      </c>
      <c r="J458" s="7">
        <v>118107584.61469512</v>
      </c>
      <c r="K458" s="7">
        <v>91000158.663012892</v>
      </c>
      <c r="L458" s="7">
        <v>66496380.252904445</v>
      </c>
      <c r="M458" s="7">
        <v>90651725.580474287</v>
      </c>
      <c r="N458" s="7">
        <v>100425055.56033593</v>
      </c>
      <c r="O458" s="7">
        <v>113900816.35999821</v>
      </c>
      <c r="P458" s="7">
        <v>86977816.037558705</v>
      </c>
      <c r="Q458" s="7">
        <v>96359444.706148088</v>
      </c>
      <c r="R458" s="7">
        <v>106083593.16929495</v>
      </c>
      <c r="S458" s="7">
        <v>115425259.06717592</v>
      </c>
      <c r="T458" s="7">
        <v>114810970.93552874</v>
      </c>
      <c r="U458" s="7">
        <v>148540454.72524089</v>
      </c>
      <c r="V458" s="7">
        <v>146947266.65073678</v>
      </c>
      <c r="W458" s="7">
        <v>143897395.71819896</v>
      </c>
      <c r="X458" s="7">
        <v>173761490.31377381</v>
      </c>
      <c r="Y458" s="7">
        <v>190240473.57007268</v>
      </c>
      <c r="Z458" s="7">
        <v>184879513.93157327</v>
      </c>
      <c r="AA458" s="7">
        <v>169745433.04249281</v>
      </c>
      <c r="AB458" s="7">
        <v>151213051.38530168</v>
      </c>
      <c r="AC458" s="22">
        <v>272508427.93316144</v>
      </c>
      <c r="AD458" s="7">
        <f t="shared" ref="AD458:AE458" si="112">AC458*(1-0.05*AD$425)</f>
        <v>258883006.53650334</v>
      </c>
      <c r="AE458" s="7">
        <f t="shared" si="112"/>
        <v>246586063.72601944</v>
      </c>
      <c r="AF458" s="12">
        <f t="shared" ref="AF458:BE458" si="113">AE458*(1+0.01*AF$425)</f>
        <v>248811502.95114678</v>
      </c>
      <c r="AG458" s="7">
        <f t="shared" si="113"/>
        <v>250944750.5745742</v>
      </c>
      <c r="AH458" s="7">
        <f t="shared" si="113"/>
        <v>252988711.252051</v>
      </c>
      <c r="AI458" s="7">
        <f t="shared" si="113"/>
        <v>254946289.67374629</v>
      </c>
      <c r="AJ458" s="7">
        <f t="shared" si="113"/>
        <v>256820379.17458731</v>
      </c>
      <c r="AK458" s="7">
        <f t="shared" si="113"/>
        <v>258613851.66633281</v>
      </c>
      <c r="AL458" s="7">
        <f t="shared" si="113"/>
        <v>260329548.79643086</v>
      </c>
      <c r="AM458" s="7">
        <f t="shared" si="113"/>
        <v>261970274.24105909</v>
      </c>
      <c r="AN458" s="7">
        <f t="shared" si="113"/>
        <v>263538787.0427644</v>
      </c>
      <c r="AO458" s="7">
        <f t="shared" si="113"/>
        <v>265037795.90664792</v>
      </c>
      <c r="AP458" s="7">
        <f t="shared" si="113"/>
        <v>266469954.37294817</v>
      </c>
      <c r="AQ458" s="7">
        <f t="shared" si="113"/>
        <v>267837856.78804022</v>
      </c>
      <c r="AR458" s="7">
        <f t="shared" si="113"/>
        <v>269144035.00019479</v>
      </c>
      <c r="AS458" s="7">
        <f t="shared" si="113"/>
        <v>270390955.71084881</v>
      </c>
      <c r="AT458" s="7">
        <f t="shared" si="113"/>
        <v>271581018.41655463</v>
      </c>
      <c r="AU458" s="7">
        <f t="shared" si="113"/>
        <v>272716553.88114959</v>
      </c>
      <c r="AV458" s="7">
        <f t="shared" si="113"/>
        <v>273799823.08197135</v>
      </c>
      <c r="AW458" s="7">
        <f t="shared" si="113"/>
        <v>274833016.57810646</v>
      </c>
      <c r="AX458" s="7">
        <f t="shared" si="113"/>
        <v>275818254.25266975</v>
      </c>
      <c r="AY458" s="7">
        <f t="shared" si="113"/>
        <v>276757585.38495213</v>
      </c>
      <c r="AZ458" s="7">
        <f t="shared" si="113"/>
        <v>277652989.01193172</v>
      </c>
      <c r="BA458" s="7">
        <f t="shared" si="113"/>
        <v>278506374.54210371</v>
      </c>
      <c r="BB458" s="7">
        <f t="shared" si="113"/>
        <v>279319582.58785051</v>
      </c>
      <c r="BC458" s="7">
        <f t="shared" si="113"/>
        <v>280094385.98563665</v>
      </c>
      <c r="BD458" s="7">
        <f t="shared" si="113"/>
        <v>280832490.97617924</v>
      </c>
      <c r="BE458" s="7">
        <f t="shared" si="113"/>
        <v>281535538.5194146</v>
      </c>
    </row>
    <row r="459" spans="1:57" ht="12" customHeight="1" x14ac:dyDescent="0.2">
      <c r="A459" s="29" t="s">
        <v>133</v>
      </c>
      <c r="B459" s="30">
        <v>11679839.071097475</v>
      </c>
      <c r="C459" s="30">
        <v>19688364.325904828</v>
      </c>
      <c r="D459" s="30">
        <v>17905626.588082489</v>
      </c>
      <c r="E459" s="30">
        <v>15124775.030948963</v>
      </c>
      <c r="F459" s="30">
        <v>20514375.073180098</v>
      </c>
      <c r="G459" s="30">
        <v>20077634.228701919</v>
      </c>
      <c r="H459" s="30">
        <v>1881869.9786974802</v>
      </c>
      <c r="I459" s="30">
        <v>2482491.1208438235</v>
      </c>
      <c r="J459" s="30">
        <v>8017388.1226293594</v>
      </c>
      <c r="K459" s="30">
        <v>7972285.3974947045</v>
      </c>
      <c r="L459" s="30">
        <v>110471035.69456923</v>
      </c>
      <c r="M459" s="30">
        <v>80257811.599360317</v>
      </c>
      <c r="N459" s="30">
        <v>4413118.2809036262</v>
      </c>
      <c r="O459" s="30">
        <v>7603513.923004996</v>
      </c>
      <c r="P459" s="30">
        <v>171026.81612307523</v>
      </c>
      <c r="Q459" s="30">
        <v>327402.04054901458</v>
      </c>
      <c r="R459" s="30">
        <v>258233.17900857513</v>
      </c>
      <c r="S459" s="30">
        <v>290816.6248453774</v>
      </c>
      <c r="T459" s="30">
        <v>298860.20543470862</v>
      </c>
      <c r="U459" s="30">
        <v>283861.35717861605</v>
      </c>
      <c r="V459" s="30">
        <v>254083.07797445546</v>
      </c>
      <c r="W459" s="30">
        <v>240028.23807961604</v>
      </c>
      <c r="X459" s="30">
        <v>215557.69384546689</v>
      </c>
      <c r="Y459" s="30">
        <v>169714.20845372646</v>
      </c>
      <c r="Z459" s="30">
        <v>169835.50159342718</v>
      </c>
      <c r="AA459" s="30">
        <v>229930.61902575759</v>
      </c>
      <c r="AB459" s="30">
        <v>227355.74468685788</v>
      </c>
      <c r="AC459" s="31">
        <v>251208.30435689935</v>
      </c>
      <c r="AD459" s="30">
        <f t="shared" ref="AD459:AE459" si="114">AC459*(1-0.05*AD$425)</f>
        <v>238647.88913905437</v>
      </c>
      <c r="AE459" s="30">
        <f t="shared" si="114"/>
        <v>227312.1144049493</v>
      </c>
      <c r="AF459" s="32">
        <f t="shared" ref="AF459:BE459" si="115">AE459*(1+0.01*AF$425)</f>
        <v>229363.60623745399</v>
      </c>
      <c r="AG459" s="30">
        <f t="shared" si="115"/>
        <v>231330.11245643237</v>
      </c>
      <c r="AH459" s="30">
        <f t="shared" si="115"/>
        <v>233214.31068052203</v>
      </c>
      <c r="AI459" s="30">
        <f t="shared" si="115"/>
        <v>235018.87856008994</v>
      </c>
      <c r="AJ459" s="30">
        <f t="shared" si="115"/>
        <v>236746.48327782296</v>
      </c>
      <c r="AK459" s="30">
        <f t="shared" si="115"/>
        <v>238399.77226774234</v>
      </c>
      <c r="AL459" s="30">
        <f t="shared" si="115"/>
        <v>239981.36506511315</v>
      </c>
      <c r="AM459" s="30">
        <f t="shared" si="115"/>
        <v>241493.84620188506</v>
      </c>
      <c r="AN459" s="30">
        <f t="shared" si="115"/>
        <v>242939.75906508326</v>
      </c>
      <c r="AO459" s="30">
        <f t="shared" si="115"/>
        <v>244321.60063882166</v>
      </c>
      <c r="AP459" s="30">
        <f t="shared" si="115"/>
        <v>245641.81705421233</v>
      </c>
      <c r="AQ459" s="30">
        <f t="shared" si="115"/>
        <v>246902.79987528408</v>
      </c>
      <c r="AR459" s="30">
        <f t="shared" si="115"/>
        <v>248106.88305301152</v>
      </c>
      <c r="AS459" s="30">
        <f t="shared" si="115"/>
        <v>249256.34048361884</v>
      </c>
      <c r="AT459" s="30">
        <f t="shared" si="115"/>
        <v>250353.38411139269</v>
      </c>
      <c r="AU459" s="30">
        <f t="shared" si="115"/>
        <v>251400.16252027178</v>
      </c>
      <c r="AV459" s="30">
        <f t="shared" si="115"/>
        <v>252398.75996242955</v>
      </c>
      <c r="AW459" s="30">
        <f t="shared" si="115"/>
        <v>253351.19577590222</v>
      </c>
      <c r="AX459" s="30">
        <f t="shared" si="115"/>
        <v>254259.42414701256</v>
      </c>
      <c r="AY459" s="30">
        <f t="shared" si="115"/>
        <v>255125.33417687839</v>
      </c>
      <c r="AZ459" s="30">
        <f t="shared" si="115"/>
        <v>255950.75021466688</v>
      </c>
      <c r="BA459" s="30">
        <f t="shared" si="115"/>
        <v>256737.4324234454</v>
      </c>
      <c r="BB459" s="30">
        <f t="shared" si="115"/>
        <v>257487.07754749103</v>
      </c>
      <c r="BC459" s="30">
        <f t="shared" si="115"/>
        <v>258201.31985274394</v>
      </c>
      <c r="BD459" s="30">
        <f t="shared" si="115"/>
        <v>258881.73221473172</v>
      </c>
      <c r="BE459" s="30">
        <f t="shared" si="115"/>
        <v>259529.82733075417</v>
      </c>
    </row>
    <row r="460" spans="1:57" ht="12" customHeight="1" x14ac:dyDescent="0.2">
      <c r="A460" t="s">
        <v>134</v>
      </c>
      <c r="B460" s="7">
        <v>1608008.1562379329</v>
      </c>
      <c r="C460" s="7">
        <v>2283704.528827419</v>
      </c>
      <c r="D460" s="7">
        <v>2164291.0425109728</v>
      </c>
      <c r="E460" s="7">
        <v>4896365.1992030051</v>
      </c>
      <c r="F460" s="7">
        <v>2059670.5809540241</v>
      </c>
      <c r="G460" s="7">
        <v>1539322.1512691963</v>
      </c>
      <c r="H460" s="7">
        <v>1881869.9786974802</v>
      </c>
      <c r="I460" s="7">
        <v>2482491.1208438235</v>
      </c>
      <c r="J460" s="7">
        <v>8017388.1226293594</v>
      </c>
      <c r="K460" s="7">
        <v>7972285.3974947045</v>
      </c>
      <c r="L460" s="7">
        <v>6411039.0812794929</v>
      </c>
      <c r="M460" s="7">
        <v>5483188.2597730169</v>
      </c>
      <c r="N460" s="7">
        <v>4413118.2809036262</v>
      </c>
      <c r="O460" s="7">
        <v>7603513.923004996</v>
      </c>
      <c r="P460" s="7">
        <v>47649.592500778577</v>
      </c>
      <c r="Q460" s="7">
        <v>25718.872930675807</v>
      </c>
      <c r="R460" s="7">
        <v>54494.617798393694</v>
      </c>
      <c r="S460" s="7">
        <v>49326.400220845171</v>
      </c>
      <c r="T460" s="7">
        <v>38199.790946230991</v>
      </c>
      <c r="U460" s="7">
        <v>32052.520885068931</v>
      </c>
      <c r="V460" s="7">
        <v>29843.06942595791</v>
      </c>
      <c r="W460" s="7">
        <v>15286.199754865842</v>
      </c>
      <c r="X460" s="7">
        <v>13673.613079771123</v>
      </c>
      <c r="Y460" s="7">
        <v>11977.853993795321</v>
      </c>
      <c r="Z460" s="7">
        <v>13592.13238962238</v>
      </c>
      <c r="AA460" s="7">
        <v>13265.696223502746</v>
      </c>
      <c r="AB460" s="7">
        <v>617570.71194455004</v>
      </c>
      <c r="AC460" s="22">
        <v>20995.301016897436</v>
      </c>
      <c r="AD460" s="7">
        <f t="shared" ref="AD460:AE460" si="116">AC460*(1-0.05*AD$425)</f>
        <v>19945.535966052565</v>
      </c>
      <c r="AE460" s="7">
        <f t="shared" si="116"/>
        <v>18998.123007665068</v>
      </c>
      <c r="AF460" s="12">
        <f t="shared" ref="AF460:BE460" si="117">AE460*(1+0.01*AF$425)</f>
        <v>19169.581067809246</v>
      </c>
      <c r="AG460" s="7">
        <f t="shared" si="117"/>
        <v>19333.936263489377</v>
      </c>
      <c r="AH460" s="7">
        <f t="shared" si="117"/>
        <v>19491.412382726514</v>
      </c>
      <c r="AI460" s="7">
        <f t="shared" si="117"/>
        <v>19642.233216193566</v>
      </c>
      <c r="AJ460" s="7">
        <f t="shared" si="117"/>
        <v>19786.621679703454</v>
      </c>
      <c r="AK460" s="7">
        <f t="shared" si="117"/>
        <v>19924.799038529793</v>
      </c>
      <c r="AL460" s="7">
        <f t="shared" si="117"/>
        <v>20056.984226244687</v>
      </c>
      <c r="AM460" s="7">
        <f t="shared" si="117"/>
        <v>20183.393250939152</v>
      </c>
      <c r="AN460" s="7">
        <f t="shared" si="117"/>
        <v>20304.238681924271</v>
      </c>
      <c r="AO460" s="7">
        <f t="shared" si="117"/>
        <v>20419.729210283091</v>
      </c>
      <c r="AP460" s="7">
        <f t="shared" si="117"/>
        <v>20530.069276944247</v>
      </c>
      <c r="AQ460" s="7">
        <f t="shared" si="117"/>
        <v>20635.458762269238</v>
      </c>
      <c r="AR460" s="7">
        <f t="shared" si="117"/>
        <v>20736.092731478526</v>
      </c>
      <c r="AS460" s="7">
        <f t="shared" si="117"/>
        <v>20832.16123058126</v>
      </c>
      <c r="AT460" s="7">
        <f t="shared" si="117"/>
        <v>20923.849127813581</v>
      </c>
      <c r="AU460" s="7">
        <f t="shared" si="117"/>
        <v>21011.335995927548</v>
      </c>
      <c r="AV460" s="7">
        <f t="shared" si="117"/>
        <v>21094.796031002741</v>
      </c>
      <c r="AW460" s="7">
        <f t="shared" si="117"/>
        <v>21174.398003773204</v>
      </c>
      <c r="AX460" s="7">
        <f t="shared" si="117"/>
        <v>21250.305239771486</v>
      </c>
      <c r="AY460" s="7">
        <f t="shared" si="117"/>
        <v>21322.675624887237</v>
      </c>
      <c r="AZ460" s="7">
        <f t="shared" si="117"/>
        <v>21391.661633219683</v>
      </c>
      <c r="BA460" s="7">
        <f t="shared" si="117"/>
        <v>21457.410374369883</v>
      </c>
      <c r="BB460" s="7">
        <f t="shared" si="117"/>
        <v>21520.063657570376</v>
      </c>
      <c r="BC460" s="7">
        <f t="shared" si="117"/>
        <v>21579.758070285658</v>
      </c>
      <c r="BD460" s="7">
        <f t="shared" si="117"/>
        <v>21636.625069137954</v>
      </c>
      <c r="BE460" s="7">
        <f t="shared" si="117"/>
        <v>21690.791081218274</v>
      </c>
    </row>
    <row r="461" spans="1:57" ht="12" customHeight="1" x14ac:dyDescent="0.2">
      <c r="A461" t="s">
        <v>135</v>
      </c>
      <c r="B461" s="7">
        <v>1608008.1562379329</v>
      </c>
      <c r="C461" s="7">
        <v>2283704.528827419</v>
      </c>
      <c r="D461" s="7">
        <v>2164291.0425109728</v>
      </c>
      <c r="E461" s="7">
        <v>4896365.1992030051</v>
      </c>
      <c r="F461" s="7">
        <v>2059670.5809540241</v>
      </c>
      <c r="G461" s="7">
        <v>1539322.1512691963</v>
      </c>
      <c r="H461" s="7">
        <v>1881869.9786974802</v>
      </c>
      <c r="I461" s="7">
        <v>2482491.1208438235</v>
      </c>
      <c r="J461" s="7">
        <v>8017388.1226293594</v>
      </c>
      <c r="K461" s="7">
        <v>7972285.3974947045</v>
      </c>
      <c r="L461" s="7">
        <v>6411039.0812794929</v>
      </c>
      <c r="M461" s="7">
        <v>5483188.2597730169</v>
      </c>
      <c r="N461" s="7">
        <v>4413118.2809036262</v>
      </c>
      <c r="O461" s="7">
        <v>392593.21740272199</v>
      </c>
      <c r="P461" s="7">
        <v>50575.696763689622</v>
      </c>
      <c r="Q461" s="7">
        <v>251469.0152383532</v>
      </c>
      <c r="R461" s="7">
        <v>228967.34697180788</v>
      </c>
      <c r="S461" s="7">
        <v>214325.31804179712</v>
      </c>
      <c r="T461" s="7">
        <v>258682.54322790302</v>
      </c>
      <c r="U461" s="7">
        <v>454516.16183621227</v>
      </c>
      <c r="V461" s="7">
        <v>462495.28443436185</v>
      </c>
      <c r="W461" s="7">
        <v>1141926.9413744425</v>
      </c>
      <c r="X461" s="7">
        <v>560220.91433399194</v>
      </c>
      <c r="Y461" s="7">
        <v>414550.29974182491</v>
      </c>
      <c r="Z461" s="7">
        <v>428075.09242206736</v>
      </c>
      <c r="AA461" s="7">
        <v>426359.76251403219</v>
      </c>
      <c r="AB461" s="7">
        <v>382061.37162652728</v>
      </c>
      <c r="AC461" s="22">
        <v>280580.8332591799</v>
      </c>
      <c r="AD461" s="7">
        <f t="shared" ref="AD461:AE461" si="118">AC461*(1-0.05*AD$425)</f>
        <v>266551.79159622086</v>
      </c>
      <c r="AE461" s="7">
        <f t="shared" si="118"/>
        <v>253890.58149540037</v>
      </c>
      <c r="AF461" s="12">
        <f t="shared" ref="AF461:BE461" si="119">AE461*(1+0.01*AF$425)</f>
        <v>256181.94399339639</v>
      </c>
      <c r="AG461" s="7">
        <f t="shared" si="119"/>
        <v>258378.38393570977</v>
      </c>
      <c r="AH461" s="7">
        <f t="shared" si="119"/>
        <v>260482.89202151512</v>
      </c>
      <c r="AI461" s="7">
        <f t="shared" si="119"/>
        <v>262498.45898542629</v>
      </c>
      <c r="AJ461" s="7">
        <f t="shared" si="119"/>
        <v>264428.06387044373</v>
      </c>
      <c r="AK461" s="7">
        <f t="shared" si="119"/>
        <v>266274.66366178961</v>
      </c>
      <c r="AL461" s="7">
        <f t="shared" si="119"/>
        <v>268041.18418386817</v>
      </c>
      <c r="AM461" s="7">
        <f t="shared" si="119"/>
        <v>269730.51216500584</v>
      </c>
      <c r="AN461" s="7">
        <f t="shared" si="119"/>
        <v>271345.48837773461</v>
      </c>
      <c r="AO461" s="7">
        <f t="shared" si="119"/>
        <v>272888.90176601522</v>
      </c>
      <c r="AP461" s="7">
        <f t="shared" si="119"/>
        <v>274363.48447481962</v>
      </c>
      <c r="AQ461" s="7">
        <f t="shared" si="119"/>
        <v>275771.9077017809</v>
      </c>
      <c r="AR461" s="7">
        <f t="shared" si="119"/>
        <v>277116.77829507203</v>
      </c>
      <c r="AS461" s="7">
        <f t="shared" si="119"/>
        <v>278400.63602621434</v>
      </c>
      <c r="AT461" s="7">
        <f t="shared" si="119"/>
        <v>279625.95147106185</v>
      </c>
      <c r="AU461" s="7">
        <f t="shared" si="119"/>
        <v>280795.12443671247</v>
      </c>
      <c r="AV461" s="7">
        <f t="shared" si="119"/>
        <v>281910.48287650768</v>
      </c>
      <c r="AW461" s="7">
        <f t="shared" si="119"/>
        <v>282974.28223956685</v>
      </c>
      <c r="AX461" s="7">
        <f t="shared" si="119"/>
        <v>283988.70520543231</v>
      </c>
      <c r="AY461" s="7">
        <f t="shared" si="119"/>
        <v>284955.86175835447</v>
      </c>
      <c r="AZ461" s="7">
        <f t="shared" si="119"/>
        <v>285877.7895595117</v>
      </c>
      <c r="BA461" s="7">
        <f t="shared" si="119"/>
        <v>286756.45457902335</v>
      </c>
      <c r="BB461" s="7">
        <f t="shared" si="119"/>
        <v>287593.75195297709</v>
      </c>
      <c r="BC461" s="7">
        <f t="shared" si="119"/>
        <v>288391.50703384454</v>
      </c>
      <c r="BD461" s="7">
        <f t="shared" si="119"/>
        <v>289151.47660561133</v>
      </c>
      <c r="BE461" s="7">
        <f t="shared" si="119"/>
        <v>289875.35023769649</v>
      </c>
    </row>
    <row r="462" spans="1:57" ht="12" customHeight="1" x14ac:dyDescent="0.2">
      <c r="A462" t="s">
        <v>136</v>
      </c>
      <c r="B462" s="7">
        <v>1382578.8151019264</v>
      </c>
      <c r="C462" s="7">
        <v>1733801.3335865729</v>
      </c>
      <c r="D462" s="7">
        <v>1640647.869133496</v>
      </c>
      <c r="E462" s="7">
        <v>5494916.00036164</v>
      </c>
      <c r="F462" s="7">
        <v>1133690.565892973</v>
      </c>
      <c r="G462" s="7">
        <v>648497.59619558556</v>
      </c>
      <c r="H462" s="7">
        <v>1079421.0052011209</v>
      </c>
      <c r="I462" s="7">
        <v>520557.34558816411</v>
      </c>
      <c r="J462" s="7">
        <v>1028150.3931868419</v>
      </c>
      <c r="K462" s="7">
        <v>1283554.000900124</v>
      </c>
      <c r="L462" s="7">
        <v>1391183.4257116918</v>
      </c>
      <c r="M462" s="7">
        <v>1501671.1994865388</v>
      </c>
      <c r="N462" s="7">
        <v>1265351.5885707929</v>
      </c>
      <c r="O462" s="7">
        <v>1488521.5052620068</v>
      </c>
      <c r="P462" s="7">
        <v>244024.98072273555</v>
      </c>
      <c r="Q462" s="7">
        <v>254855.76393325132</v>
      </c>
      <c r="R462" s="7">
        <v>779272.21800878644</v>
      </c>
      <c r="S462" s="7">
        <v>614215.97724064265</v>
      </c>
      <c r="T462" s="7">
        <v>161925.93987481488</v>
      </c>
      <c r="U462" s="7">
        <v>196708.04292126914</v>
      </c>
      <c r="V462" s="7">
        <v>149673.95370644802</v>
      </c>
      <c r="W462" s="7">
        <v>162046.15718424277</v>
      </c>
      <c r="X462" s="7">
        <v>192687.13534291892</v>
      </c>
      <c r="Y462" s="7">
        <v>161853.36020419849</v>
      </c>
      <c r="Z462" s="7">
        <v>151520.54498462524</v>
      </c>
      <c r="AA462" s="7">
        <v>275931.60705593153</v>
      </c>
      <c r="AB462" s="7">
        <v>725258.03769030864</v>
      </c>
      <c r="AC462" s="22">
        <v>837864.50264014956</v>
      </c>
      <c r="AD462" s="7">
        <f t="shared" ref="AD462:AE462" si="120">AC462*(1-0.05*AD$425)</f>
        <v>795971.27750814206</v>
      </c>
      <c r="AE462" s="7">
        <f t="shared" si="120"/>
        <v>758162.64182650531</v>
      </c>
      <c r="AF462" s="12">
        <f t="shared" ref="AF462:BE462" si="121">AE462*(1+0.01*AF$425)</f>
        <v>765005.05966898962</v>
      </c>
      <c r="AG462" s="7">
        <f t="shared" si="121"/>
        <v>771564.02179932664</v>
      </c>
      <c r="AH462" s="7">
        <f t="shared" si="121"/>
        <v>777848.4589796334</v>
      </c>
      <c r="AI462" s="7">
        <f t="shared" si="121"/>
        <v>783867.30207785533</v>
      </c>
      <c r="AJ462" s="7">
        <f t="shared" si="121"/>
        <v>789629.44704869064</v>
      </c>
      <c r="AK462" s="7">
        <f t="shared" si="121"/>
        <v>795143.72397837043</v>
      </c>
      <c r="AL462" s="7">
        <f t="shared" si="121"/>
        <v>800418.86990135571</v>
      </c>
      <c r="AM462" s="7">
        <f t="shared" si="121"/>
        <v>805463.50510423339</v>
      </c>
      <c r="AN462" s="7">
        <f t="shared" si="121"/>
        <v>810286.11264137668</v>
      </c>
      <c r="AO462" s="7">
        <f t="shared" si="121"/>
        <v>814895.02079778421</v>
      </c>
      <c r="AP462" s="7">
        <f t="shared" si="121"/>
        <v>819298.38824652554</v>
      </c>
      <c r="AQ462" s="7">
        <f t="shared" si="121"/>
        <v>823504.19166102575</v>
      </c>
      <c r="AR462" s="7">
        <f t="shared" si="121"/>
        <v>827520.21555572411</v>
      </c>
      <c r="AS462" s="7">
        <f t="shared" si="121"/>
        <v>831354.04414219293</v>
      </c>
      <c r="AT462" s="7">
        <f t="shared" si="121"/>
        <v>835013.05500137771</v>
      </c>
      <c r="AU462" s="7">
        <f t="shared" si="121"/>
        <v>838504.41438607336</v>
      </c>
      <c r="AV462" s="7">
        <f t="shared" si="121"/>
        <v>841835.0739809192</v>
      </c>
      <c r="AW462" s="7">
        <f t="shared" si="121"/>
        <v>845011.76895999187</v>
      </c>
      <c r="AX462" s="7">
        <f t="shared" si="121"/>
        <v>848041.01719440892</v>
      </c>
      <c r="AY462" s="7">
        <f t="shared" si="121"/>
        <v>850929.11947415641</v>
      </c>
      <c r="AZ462" s="7">
        <f t="shared" si="121"/>
        <v>853682.16061960475</v>
      </c>
      <c r="BA462" s="7">
        <f t="shared" si="121"/>
        <v>856306.01136881253</v>
      </c>
      <c r="BB462" s="7">
        <f t="shared" si="121"/>
        <v>858806.33093676262</v>
      </c>
      <c r="BC462" s="7">
        <f t="shared" si="121"/>
        <v>861188.57015209144</v>
      </c>
      <c r="BD462" s="7">
        <f t="shared" si="121"/>
        <v>863457.97508568445</v>
      </c>
      <c r="BE462" s="7">
        <f t="shared" si="121"/>
        <v>865619.59109372133</v>
      </c>
    </row>
    <row r="463" spans="1:57" ht="12" customHeight="1" x14ac:dyDescent="0.2">
      <c r="A463" t="s">
        <v>137</v>
      </c>
      <c r="B463" s="7">
        <v>1608008.1562379329</v>
      </c>
      <c r="C463" s="7">
        <v>2283704.528827419</v>
      </c>
      <c r="D463" s="7">
        <v>2164291.0425109728</v>
      </c>
      <c r="E463" s="7">
        <v>4896365.1992030051</v>
      </c>
      <c r="F463" s="7">
        <v>2059670.5809540241</v>
      </c>
      <c r="G463" s="7">
        <v>1539322.1512691963</v>
      </c>
      <c r="H463" s="7">
        <v>1881869.9786974802</v>
      </c>
      <c r="I463" s="7">
        <v>2482491.1208438235</v>
      </c>
      <c r="J463" s="7">
        <v>8017388.1226293594</v>
      </c>
      <c r="K463" s="7">
        <v>7972285.3974947045</v>
      </c>
      <c r="L463" s="7">
        <v>6411039.0812794929</v>
      </c>
      <c r="M463" s="7">
        <v>5483188.2597730169</v>
      </c>
      <c r="N463" s="7">
        <v>4413118.2809036262</v>
      </c>
      <c r="O463" s="7">
        <v>7603513.923004996</v>
      </c>
      <c r="P463" s="7">
        <v>263668.78521790431</v>
      </c>
      <c r="Q463" s="7">
        <v>342169.00445283198</v>
      </c>
      <c r="R463" s="7">
        <v>629011.09362482047</v>
      </c>
      <c r="S463" s="7">
        <v>533689.30008145515</v>
      </c>
      <c r="T463" s="7">
        <v>305334.11130343261</v>
      </c>
      <c r="U463" s="7">
        <v>360349.28785461705</v>
      </c>
      <c r="V463" s="7">
        <v>341920.62058022659</v>
      </c>
      <c r="W463" s="7">
        <v>372234.40270786238</v>
      </c>
      <c r="X463" s="7">
        <v>346153.35143313697</v>
      </c>
      <c r="Y463" s="7">
        <v>269589.76758770976</v>
      </c>
      <c r="Z463" s="7">
        <v>0</v>
      </c>
      <c r="AA463" s="7">
        <v>307646.63386356097</v>
      </c>
      <c r="AB463" s="7">
        <v>526373.8148515051</v>
      </c>
      <c r="AC463" s="22">
        <v>778895.70140604593</v>
      </c>
      <c r="AD463" s="7">
        <f t="shared" ref="AD463:AE463" si="122">AC463*(1-0.05*AD$425)</f>
        <v>739950.91633574362</v>
      </c>
      <c r="AE463" s="7">
        <f t="shared" si="122"/>
        <v>704803.24780979578</v>
      </c>
      <c r="AF463" s="12">
        <f t="shared" ref="AF463:BE463" si="123">AE463*(1+0.01*AF$425)</f>
        <v>711164.09712127922</v>
      </c>
      <c r="AG463" s="7">
        <f t="shared" si="123"/>
        <v>717261.44029897277</v>
      </c>
      <c r="AH463" s="7">
        <f t="shared" si="123"/>
        <v>723103.57955904782</v>
      </c>
      <c r="AI463" s="7">
        <f t="shared" si="123"/>
        <v>728698.81721605593</v>
      </c>
      <c r="AJ463" s="7">
        <f t="shared" si="123"/>
        <v>734055.42312849138</v>
      </c>
      <c r="AK463" s="7">
        <f t="shared" si="123"/>
        <v>739181.60592219641</v>
      </c>
      <c r="AL463" s="7">
        <f t="shared" si="123"/>
        <v>744085.48772021488</v>
      </c>
      <c r="AM463" s="7">
        <f t="shared" si="123"/>
        <v>748775.08211441792</v>
      </c>
      <c r="AN463" s="7">
        <f t="shared" si="123"/>
        <v>753258.27512284939</v>
      </c>
      <c r="AO463" s="7">
        <f t="shared" si="123"/>
        <v>757542.80888682825</v>
      </c>
      <c r="AP463" s="7">
        <f t="shared" si="123"/>
        <v>761636.26787301106</v>
      </c>
      <c r="AQ463" s="7">
        <f t="shared" si="123"/>
        <v>765546.06735752267</v>
      </c>
      <c r="AR463" s="7">
        <f t="shared" si="123"/>
        <v>769279.44398162817</v>
      </c>
      <c r="AS463" s="7">
        <f t="shared" si="123"/>
        <v>772843.44818101684</v>
      </c>
      <c r="AT463" s="7">
        <f t="shared" si="123"/>
        <v>776244.93830338935</v>
      </c>
      <c r="AU463" s="7">
        <f t="shared" si="123"/>
        <v>779490.57624154538</v>
      </c>
      <c r="AV463" s="7">
        <f t="shared" si="123"/>
        <v>782586.8244214094</v>
      </c>
      <c r="AW463" s="7">
        <f t="shared" si="123"/>
        <v>785539.94399633026</v>
      </c>
      <c r="AX463" s="7">
        <f t="shared" si="123"/>
        <v>788355.99411045306</v>
      </c>
      <c r="AY463" s="7">
        <f t="shared" si="123"/>
        <v>791040.83210493543</v>
      </c>
      <c r="AZ463" s="7">
        <f t="shared" si="123"/>
        <v>793600.11455123418</v>
      </c>
      <c r="BA463" s="7">
        <f t="shared" si="123"/>
        <v>796039.29900558107</v>
      </c>
      <c r="BB463" s="7">
        <f t="shared" si="123"/>
        <v>798363.64638810069</v>
      </c>
      <c r="BC463" s="7">
        <f t="shared" si="123"/>
        <v>800578.22389877669</v>
      </c>
      <c r="BD463" s="7">
        <f t="shared" si="123"/>
        <v>802687.90839066694</v>
      </c>
      <c r="BE463" s="7">
        <f t="shared" si="123"/>
        <v>804697.39012840029</v>
      </c>
    </row>
    <row r="464" spans="1:57" ht="12" customHeight="1" x14ac:dyDescent="0.2">
      <c r="A464" t="s">
        <v>138</v>
      </c>
      <c r="B464" s="7">
        <v>0</v>
      </c>
      <c r="C464" s="7">
        <v>4471.5710895501106</v>
      </c>
      <c r="D464" s="7">
        <v>5130.5366888535027</v>
      </c>
      <c r="E464" s="7">
        <v>709.98083636952219</v>
      </c>
      <c r="F464" s="7">
        <v>0</v>
      </c>
      <c r="G464" s="7">
        <v>0</v>
      </c>
      <c r="H464" s="7">
        <v>424.29421175685144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0.81901974435290459</v>
      </c>
      <c r="AA464" s="7">
        <v>1.1483251109279908</v>
      </c>
      <c r="AB464" s="7">
        <v>4405.4506911294156</v>
      </c>
      <c r="AC464" s="22">
        <v>4405.4506911294156</v>
      </c>
      <c r="AD464" s="7">
        <f t="shared" ref="AD464:AE464" si="124">AC464*(1-0.05*AD$425)</f>
        <v>4185.1781565729443</v>
      </c>
      <c r="AE464" s="7">
        <f t="shared" si="124"/>
        <v>3986.3821941357296</v>
      </c>
      <c r="AF464" s="12">
        <f t="shared" ref="AF464:BE464" si="125">AE464*(1+0.01*AF$425)</f>
        <v>4022.3592934378048</v>
      </c>
      <c r="AG464" s="7">
        <f t="shared" si="125"/>
        <v>4056.8459964299172</v>
      </c>
      <c r="AH464" s="7">
        <f t="shared" si="125"/>
        <v>4089.8892606237132</v>
      </c>
      <c r="AI464" s="7">
        <f t="shared" si="125"/>
        <v>4121.5360440872792</v>
      </c>
      <c r="AJ464" s="7">
        <f t="shared" si="125"/>
        <v>4151.8331213165511</v>
      </c>
      <c r="AK464" s="7">
        <f t="shared" si="125"/>
        <v>4180.8269204742774</v>
      </c>
      <c r="AL464" s="7">
        <f t="shared" si="125"/>
        <v>4208.5633804615372</v>
      </c>
      <c r="AM464" s="7">
        <f t="shared" si="125"/>
        <v>4235.0878263247823</v>
      </c>
      <c r="AN464" s="7">
        <f t="shared" si="125"/>
        <v>4260.444861550176</v>
      </c>
      <c r="AO464" s="7">
        <f t="shared" si="125"/>
        <v>4284.6782758540612</v>
      </c>
      <c r="AP464" s="7">
        <f t="shared" si="125"/>
        <v>4307.8309671415282</v>
      </c>
      <c r="AQ464" s="7">
        <f t="shared" si="125"/>
        <v>4329.9448763724122</v>
      </c>
      <c r="AR464" s="7">
        <f t="shared" si="125"/>
        <v>4351.0609341439749</v>
      </c>
      <c r="AS464" s="7">
        <f t="shared" si="125"/>
        <v>4371.2190178707715</v>
      </c>
      <c r="AT464" s="7">
        <f t="shared" si="125"/>
        <v>4390.4579185135981</v>
      </c>
      <c r="AU464" s="7">
        <f t="shared" si="125"/>
        <v>4408.8153158801442</v>
      </c>
      <c r="AV464" s="7">
        <f t="shared" si="125"/>
        <v>4426.3277615891993</v>
      </c>
      <c r="AW464" s="7">
        <f t="shared" si="125"/>
        <v>4443.0306688575765</v>
      </c>
      <c r="AX464" s="7">
        <f t="shared" si="125"/>
        <v>4458.9583083337257</v>
      </c>
      <c r="AY464" s="7">
        <f t="shared" si="125"/>
        <v>4474.1438092640956</v>
      </c>
      <c r="AZ464" s="7">
        <f t="shared" si="125"/>
        <v>4488.6191653374299</v>
      </c>
      <c r="BA464" s="7">
        <f t="shared" si="125"/>
        <v>4502.4152446081162</v>
      </c>
      <c r="BB464" s="7">
        <f t="shared" si="125"/>
        <v>4515.5618029525276</v>
      </c>
      <c r="BC464" s="7">
        <f t="shared" si="125"/>
        <v>4528.0875005617909</v>
      </c>
      <c r="BD464" s="7">
        <f t="shared" si="125"/>
        <v>4540.0199210207629</v>
      </c>
      <c r="BE464" s="7">
        <f t="shared" si="125"/>
        <v>4551.3855925661683</v>
      </c>
    </row>
    <row r="465" spans="1:57" ht="12" customHeight="1" x14ac:dyDescent="0.2">
      <c r="A465" t="s">
        <v>139</v>
      </c>
      <c r="B465" s="7">
        <v>1608008.1562379329</v>
      </c>
      <c r="C465" s="7">
        <v>2283704.528827419</v>
      </c>
      <c r="D465" s="7">
        <v>2164291.0425109728</v>
      </c>
      <c r="E465" s="7">
        <v>4896365.1992030051</v>
      </c>
      <c r="F465" s="7">
        <v>2059670.5809540241</v>
      </c>
      <c r="G465" s="7">
        <v>1539322.1512691963</v>
      </c>
      <c r="H465" s="7">
        <v>1881869.9786974802</v>
      </c>
      <c r="I465" s="7">
        <v>2482491.1208438235</v>
      </c>
      <c r="J465" s="7">
        <v>8017388.1226293594</v>
      </c>
      <c r="K465" s="7">
        <v>7972285.3974947045</v>
      </c>
      <c r="L465" s="7">
        <v>6411039.0812794929</v>
      </c>
      <c r="M465" s="7">
        <v>5483188.2597730169</v>
      </c>
      <c r="N465" s="7">
        <v>4413118.2809036262</v>
      </c>
      <c r="O465" s="7">
        <v>7603513.923004996</v>
      </c>
      <c r="P465" s="7">
        <v>263668.78521790431</v>
      </c>
      <c r="Q465" s="7">
        <v>342169.00445283198</v>
      </c>
      <c r="R465" s="7">
        <v>629011.09362482047</v>
      </c>
      <c r="S465" s="7">
        <v>533689.30008145515</v>
      </c>
      <c r="T465" s="7">
        <v>305334.11130343261</v>
      </c>
      <c r="U465" s="7">
        <v>360349.28785461705</v>
      </c>
      <c r="V465" s="7">
        <v>341920.62058022659</v>
      </c>
      <c r="W465" s="7">
        <v>372234.40270786238</v>
      </c>
      <c r="X465" s="7">
        <v>346153.35143313697</v>
      </c>
      <c r="Y465" s="7">
        <v>269589.76758770976</v>
      </c>
      <c r="Z465" s="7">
        <v>234586.42220736496</v>
      </c>
      <c r="AA465" s="7">
        <v>307646.63386356097</v>
      </c>
      <c r="AB465" s="7">
        <v>526373.8148515051</v>
      </c>
      <c r="AC465" s="22">
        <v>778895.70140604593</v>
      </c>
      <c r="AD465" s="7">
        <f t="shared" ref="AD465:AE465" si="126">AC465*(1-0.05*AD$425)</f>
        <v>739950.91633574362</v>
      </c>
      <c r="AE465" s="7">
        <f t="shared" si="126"/>
        <v>704803.24780979578</v>
      </c>
      <c r="AF465" s="12">
        <f t="shared" ref="AF465:BE465" si="127">AE465*(1+0.01*AF$425)</f>
        <v>711164.09712127922</v>
      </c>
      <c r="AG465" s="7">
        <f t="shared" si="127"/>
        <v>717261.44029897277</v>
      </c>
      <c r="AH465" s="7">
        <f t="shared" si="127"/>
        <v>723103.57955904782</v>
      </c>
      <c r="AI465" s="7">
        <f t="shared" si="127"/>
        <v>728698.81721605593</v>
      </c>
      <c r="AJ465" s="7">
        <f t="shared" si="127"/>
        <v>734055.42312849138</v>
      </c>
      <c r="AK465" s="7">
        <f t="shared" si="127"/>
        <v>739181.60592219641</v>
      </c>
      <c r="AL465" s="7">
        <f t="shared" si="127"/>
        <v>744085.48772021488</v>
      </c>
      <c r="AM465" s="7">
        <f t="shared" si="127"/>
        <v>748775.08211441792</v>
      </c>
      <c r="AN465" s="7">
        <f t="shared" si="127"/>
        <v>753258.27512284939</v>
      </c>
      <c r="AO465" s="7">
        <f t="shared" si="127"/>
        <v>757542.80888682825</v>
      </c>
      <c r="AP465" s="7">
        <f t="shared" si="127"/>
        <v>761636.26787301106</v>
      </c>
      <c r="AQ465" s="7">
        <f t="shared" si="127"/>
        <v>765546.06735752267</v>
      </c>
      <c r="AR465" s="7">
        <f t="shared" si="127"/>
        <v>769279.44398162817</v>
      </c>
      <c r="AS465" s="7">
        <f t="shared" si="127"/>
        <v>772843.44818101684</v>
      </c>
      <c r="AT465" s="7">
        <f t="shared" si="127"/>
        <v>776244.93830338935</v>
      </c>
      <c r="AU465" s="7">
        <f t="shared" si="127"/>
        <v>779490.57624154538</v>
      </c>
      <c r="AV465" s="7">
        <f t="shared" si="127"/>
        <v>782586.8244214094</v>
      </c>
      <c r="AW465" s="7">
        <f t="shared" si="127"/>
        <v>785539.94399633026</v>
      </c>
      <c r="AX465" s="7">
        <f t="shared" si="127"/>
        <v>788355.99411045306</v>
      </c>
      <c r="AY465" s="7">
        <f t="shared" si="127"/>
        <v>791040.83210493543</v>
      </c>
      <c r="AZ465" s="7">
        <f t="shared" si="127"/>
        <v>793600.11455123418</v>
      </c>
      <c r="BA465" s="7">
        <f t="shared" si="127"/>
        <v>796039.29900558107</v>
      </c>
      <c r="BB465" s="7">
        <f t="shared" si="127"/>
        <v>798363.64638810069</v>
      </c>
      <c r="BC465" s="7">
        <f t="shared" si="127"/>
        <v>800578.22389877669</v>
      </c>
      <c r="BD465" s="7">
        <f t="shared" si="127"/>
        <v>802687.90839066694</v>
      </c>
      <c r="BE465" s="7">
        <f t="shared" si="127"/>
        <v>804697.39012840029</v>
      </c>
    </row>
    <row r="466" spans="1:57" ht="12" customHeight="1" x14ac:dyDescent="0.2">
      <c r="A466" t="s">
        <v>140</v>
      </c>
      <c r="B466" s="7">
        <v>1608008.1562379329</v>
      </c>
      <c r="C466" s="7">
        <v>2283704.528827419</v>
      </c>
      <c r="D466" s="7">
        <v>2164291.0425109728</v>
      </c>
      <c r="E466" s="7">
        <v>4896365.1992030051</v>
      </c>
      <c r="F466" s="7">
        <v>2059670.5809540241</v>
      </c>
      <c r="G466" s="7">
        <v>1539322.1512691963</v>
      </c>
      <c r="H466" s="7">
        <v>1881869.9786974802</v>
      </c>
      <c r="I466" s="7">
        <v>2482491.1208438235</v>
      </c>
      <c r="J466" s="7">
        <v>8017388.1226293594</v>
      </c>
      <c r="K466" s="7">
        <v>7972285.3974947045</v>
      </c>
      <c r="L466" s="7">
        <v>6411039.0812794929</v>
      </c>
      <c r="M466" s="7">
        <v>5483188.2597730169</v>
      </c>
      <c r="N466" s="7">
        <v>4413118.2809036262</v>
      </c>
      <c r="O466" s="7">
        <v>7603513.923004996</v>
      </c>
      <c r="P466" s="7">
        <v>263668.78521790431</v>
      </c>
      <c r="Q466" s="7">
        <v>318584.24252766825</v>
      </c>
      <c r="R466" s="7">
        <v>458064.99035571667</v>
      </c>
      <c r="S466" s="7">
        <v>524299.70258870686</v>
      </c>
      <c r="T466" s="7">
        <v>669729.15024676488</v>
      </c>
      <c r="U466" s="7">
        <v>706029.90216105746</v>
      </c>
      <c r="V466" s="7">
        <v>593649.85612216394</v>
      </c>
      <c r="W466" s="7">
        <v>837332.14490778267</v>
      </c>
      <c r="X466" s="7">
        <v>1983145.9177121036</v>
      </c>
      <c r="Y466" s="7">
        <v>3155023.2827207739</v>
      </c>
      <c r="Z466" s="7">
        <v>234586.42220736496</v>
      </c>
      <c r="AA466" s="7">
        <v>307646.63386356097</v>
      </c>
      <c r="AB466" s="7">
        <v>526373.8148515051</v>
      </c>
      <c r="AC466" s="22">
        <v>778895.70140604593</v>
      </c>
      <c r="AD466" s="7">
        <f t="shared" ref="AD466:AE466" si="128">AC466*(1-0.05*AD$425)</f>
        <v>739950.91633574362</v>
      </c>
      <c r="AE466" s="7">
        <f t="shared" si="128"/>
        <v>704803.24780979578</v>
      </c>
      <c r="AF466" s="12">
        <f t="shared" ref="AF466:BE466" si="129">AE466*(1+0.01*AF$425)</f>
        <v>711164.09712127922</v>
      </c>
      <c r="AG466" s="7">
        <f t="shared" si="129"/>
        <v>717261.44029897277</v>
      </c>
      <c r="AH466" s="7">
        <f t="shared" si="129"/>
        <v>723103.57955904782</v>
      </c>
      <c r="AI466" s="7">
        <f t="shared" si="129"/>
        <v>728698.81721605593</v>
      </c>
      <c r="AJ466" s="7">
        <f t="shared" si="129"/>
        <v>734055.42312849138</v>
      </c>
      <c r="AK466" s="7">
        <f t="shared" si="129"/>
        <v>739181.60592219641</v>
      </c>
      <c r="AL466" s="7">
        <f t="shared" si="129"/>
        <v>744085.48772021488</v>
      </c>
      <c r="AM466" s="7">
        <f t="shared" si="129"/>
        <v>748775.08211441792</v>
      </c>
      <c r="AN466" s="7">
        <f t="shared" si="129"/>
        <v>753258.27512284939</v>
      </c>
      <c r="AO466" s="7">
        <f t="shared" si="129"/>
        <v>757542.80888682825</v>
      </c>
      <c r="AP466" s="7">
        <f t="shared" si="129"/>
        <v>761636.26787301106</v>
      </c>
      <c r="AQ466" s="7">
        <f t="shared" si="129"/>
        <v>765546.06735752267</v>
      </c>
      <c r="AR466" s="7">
        <f t="shared" si="129"/>
        <v>769279.44398162817</v>
      </c>
      <c r="AS466" s="7">
        <f t="shared" si="129"/>
        <v>772843.44818101684</v>
      </c>
      <c r="AT466" s="7">
        <f t="shared" si="129"/>
        <v>776244.93830338935</v>
      </c>
      <c r="AU466" s="7">
        <f t="shared" si="129"/>
        <v>779490.57624154538</v>
      </c>
      <c r="AV466" s="7">
        <f t="shared" si="129"/>
        <v>782586.8244214094</v>
      </c>
      <c r="AW466" s="7">
        <f t="shared" si="129"/>
        <v>785539.94399633026</v>
      </c>
      <c r="AX466" s="7">
        <f t="shared" si="129"/>
        <v>788355.99411045306</v>
      </c>
      <c r="AY466" s="7">
        <f t="shared" si="129"/>
        <v>791040.83210493543</v>
      </c>
      <c r="AZ466" s="7">
        <f t="shared" si="129"/>
        <v>793600.11455123418</v>
      </c>
      <c r="BA466" s="7">
        <f t="shared" si="129"/>
        <v>796039.29900558107</v>
      </c>
      <c r="BB466" s="7">
        <f t="shared" si="129"/>
        <v>798363.64638810069</v>
      </c>
      <c r="BC466" s="7">
        <f t="shared" si="129"/>
        <v>800578.22389877669</v>
      </c>
      <c r="BD466" s="7">
        <f t="shared" si="129"/>
        <v>802687.90839066694</v>
      </c>
      <c r="BE466" s="7">
        <f t="shared" si="129"/>
        <v>804697.39012840029</v>
      </c>
    </row>
    <row r="467" spans="1:57" ht="12" customHeight="1" x14ac:dyDescent="0.2">
      <c r="A467" t="s">
        <v>141</v>
      </c>
      <c r="B467" s="7">
        <v>1608008.1562379329</v>
      </c>
      <c r="C467" s="7">
        <v>2283704.528827419</v>
      </c>
      <c r="D467" s="7">
        <v>2164291.0425109728</v>
      </c>
      <c r="E467" s="7">
        <v>4896365.1992030051</v>
      </c>
      <c r="F467" s="7">
        <v>2059670.5809540241</v>
      </c>
      <c r="G467" s="7">
        <v>1539322.1512691963</v>
      </c>
      <c r="H467" s="7">
        <v>1881869.9786974802</v>
      </c>
      <c r="I467" s="7">
        <v>2482491.1208438235</v>
      </c>
      <c r="J467" s="7">
        <v>8017388.1226293594</v>
      </c>
      <c r="K467" s="7">
        <v>7972285.3974947045</v>
      </c>
      <c r="L467" s="7">
        <v>6411039.0812794929</v>
      </c>
      <c r="M467" s="7">
        <v>5483188.2597730169</v>
      </c>
      <c r="N467" s="7">
        <v>4413118.2809036262</v>
      </c>
      <c r="O467" s="7">
        <v>7603513.923004996</v>
      </c>
      <c r="P467" s="7">
        <v>263668.78521790431</v>
      </c>
      <c r="Q467" s="7">
        <v>342169.00445283198</v>
      </c>
      <c r="R467" s="7">
        <v>927085.89027805883</v>
      </c>
      <c r="S467" s="7">
        <v>756730.10674572352</v>
      </c>
      <c r="T467" s="7">
        <v>1261454.797102354</v>
      </c>
      <c r="U467" s="7">
        <v>1345653.284982892</v>
      </c>
      <c r="V467" s="7">
        <v>2374073.221011349</v>
      </c>
      <c r="W467" s="7">
        <v>3153706.7039225888</v>
      </c>
      <c r="X467" s="7">
        <v>7427295.4096559463</v>
      </c>
      <c r="Y467" s="7">
        <v>6187876.3922094218</v>
      </c>
      <c r="Z467" s="7">
        <v>234586.42220736496</v>
      </c>
      <c r="AA467" s="7">
        <v>307646.63386356097</v>
      </c>
      <c r="AB467" s="7">
        <v>526373.8148515051</v>
      </c>
      <c r="AC467" s="22">
        <v>778895.70140604593</v>
      </c>
      <c r="AD467" s="7">
        <f t="shared" ref="AD467:AE467" si="130">AC467*(1-0.05*AD$425)</f>
        <v>739950.91633574362</v>
      </c>
      <c r="AE467" s="7">
        <f t="shared" si="130"/>
        <v>704803.24780979578</v>
      </c>
      <c r="AF467" s="12">
        <f t="shared" ref="AF467:BE467" si="131">AE467*(1+0.01*AF$425)</f>
        <v>711164.09712127922</v>
      </c>
      <c r="AG467" s="7">
        <f t="shared" si="131"/>
        <v>717261.44029897277</v>
      </c>
      <c r="AH467" s="7">
        <f t="shared" si="131"/>
        <v>723103.57955904782</v>
      </c>
      <c r="AI467" s="7">
        <f t="shared" si="131"/>
        <v>728698.81721605593</v>
      </c>
      <c r="AJ467" s="7">
        <f t="shared" si="131"/>
        <v>734055.42312849138</v>
      </c>
      <c r="AK467" s="7">
        <f t="shared" si="131"/>
        <v>739181.60592219641</v>
      </c>
      <c r="AL467" s="7">
        <f t="shared" si="131"/>
        <v>744085.48772021488</v>
      </c>
      <c r="AM467" s="7">
        <f t="shared" si="131"/>
        <v>748775.08211441792</v>
      </c>
      <c r="AN467" s="7">
        <f t="shared" si="131"/>
        <v>753258.27512284939</v>
      </c>
      <c r="AO467" s="7">
        <f t="shared" si="131"/>
        <v>757542.80888682825</v>
      </c>
      <c r="AP467" s="7">
        <f t="shared" si="131"/>
        <v>761636.26787301106</v>
      </c>
      <c r="AQ467" s="7">
        <f t="shared" si="131"/>
        <v>765546.06735752267</v>
      </c>
      <c r="AR467" s="7">
        <f t="shared" si="131"/>
        <v>769279.44398162817</v>
      </c>
      <c r="AS467" s="7">
        <f t="shared" si="131"/>
        <v>772843.44818101684</v>
      </c>
      <c r="AT467" s="7">
        <f t="shared" si="131"/>
        <v>776244.93830338935</v>
      </c>
      <c r="AU467" s="7">
        <f t="shared" si="131"/>
        <v>779490.57624154538</v>
      </c>
      <c r="AV467" s="7">
        <f t="shared" si="131"/>
        <v>782586.8244214094</v>
      </c>
      <c r="AW467" s="7">
        <f t="shared" si="131"/>
        <v>785539.94399633026</v>
      </c>
      <c r="AX467" s="7">
        <f t="shared" si="131"/>
        <v>788355.99411045306</v>
      </c>
      <c r="AY467" s="7">
        <f t="shared" si="131"/>
        <v>791040.83210493543</v>
      </c>
      <c r="AZ467" s="7">
        <f t="shared" si="131"/>
        <v>793600.11455123418</v>
      </c>
      <c r="BA467" s="7">
        <f t="shared" si="131"/>
        <v>796039.29900558107</v>
      </c>
      <c r="BB467" s="7">
        <f t="shared" si="131"/>
        <v>798363.64638810069</v>
      </c>
      <c r="BC467" s="7">
        <f t="shared" si="131"/>
        <v>800578.22389877669</v>
      </c>
      <c r="BD467" s="7">
        <f t="shared" si="131"/>
        <v>802687.90839066694</v>
      </c>
      <c r="BE467" s="7">
        <f t="shared" si="131"/>
        <v>804697.39012840029</v>
      </c>
    </row>
    <row r="468" spans="1:57" ht="12" customHeight="1" x14ac:dyDescent="0.2">
      <c r="A468" t="s">
        <v>142</v>
      </c>
      <c r="B468" s="7">
        <v>1608008.1562379329</v>
      </c>
      <c r="C468" s="7">
        <v>2283704.528827419</v>
      </c>
      <c r="D468" s="7">
        <v>2164291.0425109728</v>
      </c>
      <c r="E468" s="7">
        <v>4896365.1992030051</v>
      </c>
      <c r="F468" s="7">
        <v>2059670.5809540241</v>
      </c>
      <c r="G468" s="7">
        <v>1539322.1512691963</v>
      </c>
      <c r="H468" s="7">
        <v>1881869.9786974802</v>
      </c>
      <c r="I468" s="7">
        <v>2482491.1208438235</v>
      </c>
      <c r="J468" s="7">
        <v>8017388.1226293594</v>
      </c>
      <c r="K468" s="7">
        <v>7972285.3974947045</v>
      </c>
      <c r="L468" s="7">
        <v>6411039.0812794929</v>
      </c>
      <c r="M468" s="7">
        <v>5483188.2597730169</v>
      </c>
      <c r="N468" s="7">
        <v>4413118.2809036262</v>
      </c>
      <c r="O468" s="7">
        <v>7603513.923004996</v>
      </c>
      <c r="P468" s="7">
        <v>263668.78521790431</v>
      </c>
      <c r="Q468" s="7">
        <v>342169.00445283198</v>
      </c>
      <c r="R468" s="7">
        <v>629011.09362482047</v>
      </c>
      <c r="S468" s="7">
        <v>533689.30008145515</v>
      </c>
      <c r="T468" s="7">
        <v>305334.11130343261</v>
      </c>
      <c r="U468" s="7">
        <v>360349.28785461705</v>
      </c>
      <c r="V468" s="7">
        <v>341920.62058022659</v>
      </c>
      <c r="W468" s="7">
        <v>372234.40270786238</v>
      </c>
      <c r="X468" s="7">
        <v>346153.35143313697</v>
      </c>
      <c r="Y468" s="7">
        <v>269589.76758770976</v>
      </c>
      <c r="Z468" s="7">
        <v>234586.42220736496</v>
      </c>
      <c r="AA468" s="7">
        <v>307646.63386356097</v>
      </c>
      <c r="AB468" s="7">
        <v>526373.8148515051</v>
      </c>
      <c r="AC468" s="22">
        <v>778895.70140604593</v>
      </c>
      <c r="AD468" s="7">
        <f t="shared" ref="AD468:AE468" si="132">AC468*(1-0.05*AD$425)</f>
        <v>739950.91633574362</v>
      </c>
      <c r="AE468" s="7">
        <f t="shared" si="132"/>
        <v>704803.24780979578</v>
      </c>
      <c r="AF468" s="12">
        <f t="shared" ref="AF468:BE468" si="133">AE468*(1+0.01*AF$425)</f>
        <v>711164.09712127922</v>
      </c>
      <c r="AG468" s="7">
        <f t="shared" si="133"/>
        <v>717261.44029897277</v>
      </c>
      <c r="AH468" s="7">
        <f t="shared" si="133"/>
        <v>723103.57955904782</v>
      </c>
      <c r="AI468" s="7">
        <f t="shared" si="133"/>
        <v>728698.81721605593</v>
      </c>
      <c r="AJ468" s="7">
        <f t="shared" si="133"/>
        <v>734055.42312849138</v>
      </c>
      <c r="AK468" s="7">
        <f t="shared" si="133"/>
        <v>739181.60592219641</v>
      </c>
      <c r="AL468" s="7">
        <f t="shared" si="133"/>
        <v>744085.48772021488</v>
      </c>
      <c r="AM468" s="7">
        <f t="shared" si="133"/>
        <v>748775.08211441792</v>
      </c>
      <c r="AN468" s="7">
        <f t="shared" si="133"/>
        <v>753258.27512284939</v>
      </c>
      <c r="AO468" s="7">
        <f t="shared" si="133"/>
        <v>757542.80888682825</v>
      </c>
      <c r="AP468" s="7">
        <f t="shared" si="133"/>
        <v>761636.26787301106</v>
      </c>
      <c r="AQ468" s="7">
        <f t="shared" si="133"/>
        <v>765546.06735752267</v>
      </c>
      <c r="AR468" s="7">
        <f t="shared" si="133"/>
        <v>769279.44398162817</v>
      </c>
      <c r="AS468" s="7">
        <f t="shared" si="133"/>
        <v>772843.44818101684</v>
      </c>
      <c r="AT468" s="7">
        <f t="shared" si="133"/>
        <v>776244.93830338935</v>
      </c>
      <c r="AU468" s="7">
        <f t="shared" si="133"/>
        <v>779490.57624154538</v>
      </c>
      <c r="AV468" s="7">
        <f t="shared" si="133"/>
        <v>782586.8244214094</v>
      </c>
      <c r="AW468" s="7">
        <f t="shared" si="133"/>
        <v>785539.94399633026</v>
      </c>
      <c r="AX468" s="7">
        <f t="shared" si="133"/>
        <v>788355.99411045306</v>
      </c>
      <c r="AY468" s="7">
        <f t="shared" si="133"/>
        <v>791040.83210493543</v>
      </c>
      <c r="AZ468" s="7">
        <f t="shared" si="133"/>
        <v>793600.11455123418</v>
      </c>
      <c r="BA468" s="7">
        <f t="shared" si="133"/>
        <v>796039.29900558107</v>
      </c>
      <c r="BB468" s="7">
        <f t="shared" si="133"/>
        <v>798363.64638810069</v>
      </c>
      <c r="BC468" s="7">
        <f t="shared" si="133"/>
        <v>800578.22389877669</v>
      </c>
      <c r="BD468" s="7">
        <f t="shared" si="133"/>
        <v>802687.90839066694</v>
      </c>
      <c r="BE468" s="7">
        <f t="shared" si="133"/>
        <v>804697.39012840029</v>
      </c>
    </row>
    <row r="469" spans="1:57" ht="12" customHeight="1" x14ac:dyDescent="0.2">
      <c r="A469" t="s">
        <v>143</v>
      </c>
      <c r="B469" s="7">
        <v>1608008.1562379329</v>
      </c>
      <c r="C469" s="7">
        <v>2283704.528827419</v>
      </c>
      <c r="D469" s="7">
        <v>2164291.0425109728</v>
      </c>
      <c r="E469" s="7">
        <v>4896365.1992030051</v>
      </c>
      <c r="F469" s="7">
        <v>2059670.5809540241</v>
      </c>
      <c r="G469" s="7">
        <v>1539322.1512691963</v>
      </c>
      <c r="H469" s="7">
        <v>1881869.9786974802</v>
      </c>
      <c r="I469" s="7">
        <v>2482491.1208438235</v>
      </c>
      <c r="J469" s="7">
        <v>8017388.1226293594</v>
      </c>
      <c r="K469" s="7">
        <v>7972285.3974947045</v>
      </c>
      <c r="L469" s="7">
        <v>6411039.0812794929</v>
      </c>
      <c r="M469" s="7">
        <v>5483188.2597730169</v>
      </c>
      <c r="N469" s="7">
        <v>4413118.2809036262</v>
      </c>
      <c r="O469" s="7">
        <v>7603513.923004996</v>
      </c>
      <c r="P469" s="7">
        <v>263668.78521790431</v>
      </c>
      <c r="Q469" s="7">
        <v>342169.00445283198</v>
      </c>
      <c r="R469" s="7">
        <v>382233.18853074772</v>
      </c>
      <c r="S469" s="7">
        <v>572070.18573096639</v>
      </c>
      <c r="T469" s="7">
        <v>305334.11130343261</v>
      </c>
      <c r="U469" s="7">
        <v>360349.28785461705</v>
      </c>
      <c r="V469" s="7">
        <v>341920.62058022659</v>
      </c>
      <c r="W469" s="7">
        <v>372234.40270786238</v>
      </c>
      <c r="X469" s="7">
        <v>346153.35143313697</v>
      </c>
      <c r="Y469" s="7">
        <v>269589.76758770976</v>
      </c>
      <c r="Z469" s="7">
        <v>234586.42220736496</v>
      </c>
      <c r="AA469" s="7">
        <v>307646.63386356097</v>
      </c>
      <c r="AB469" s="7">
        <v>526373.8148515051</v>
      </c>
      <c r="AC469" s="22">
        <v>778895.70140604593</v>
      </c>
      <c r="AD469" s="7">
        <f t="shared" ref="AD469:AE469" si="134">AC469*(1-0.05*AD$425)</f>
        <v>739950.91633574362</v>
      </c>
      <c r="AE469" s="7">
        <f t="shared" si="134"/>
        <v>704803.24780979578</v>
      </c>
      <c r="AF469" s="12">
        <f t="shared" ref="AF469:BE469" si="135">AE469*(1+0.01*AF$425)</f>
        <v>711164.09712127922</v>
      </c>
      <c r="AG469" s="7">
        <f t="shared" si="135"/>
        <v>717261.44029897277</v>
      </c>
      <c r="AH469" s="7">
        <f t="shared" si="135"/>
        <v>723103.57955904782</v>
      </c>
      <c r="AI469" s="7">
        <f t="shared" si="135"/>
        <v>728698.81721605593</v>
      </c>
      <c r="AJ469" s="7">
        <f t="shared" si="135"/>
        <v>734055.42312849138</v>
      </c>
      <c r="AK469" s="7">
        <f t="shared" si="135"/>
        <v>739181.60592219641</v>
      </c>
      <c r="AL469" s="7">
        <f t="shared" si="135"/>
        <v>744085.48772021488</v>
      </c>
      <c r="AM469" s="7">
        <f t="shared" si="135"/>
        <v>748775.08211441792</v>
      </c>
      <c r="AN469" s="7">
        <f t="shared" si="135"/>
        <v>753258.27512284939</v>
      </c>
      <c r="AO469" s="7">
        <f t="shared" si="135"/>
        <v>757542.80888682825</v>
      </c>
      <c r="AP469" s="7">
        <f t="shared" si="135"/>
        <v>761636.26787301106</v>
      </c>
      <c r="AQ469" s="7">
        <f t="shared" si="135"/>
        <v>765546.06735752267</v>
      </c>
      <c r="AR469" s="7">
        <f t="shared" si="135"/>
        <v>769279.44398162817</v>
      </c>
      <c r="AS469" s="7">
        <f t="shared" si="135"/>
        <v>772843.44818101684</v>
      </c>
      <c r="AT469" s="7">
        <f t="shared" si="135"/>
        <v>776244.93830338935</v>
      </c>
      <c r="AU469" s="7">
        <f t="shared" si="135"/>
        <v>779490.57624154538</v>
      </c>
      <c r="AV469" s="7">
        <f t="shared" si="135"/>
        <v>782586.8244214094</v>
      </c>
      <c r="AW469" s="7">
        <f t="shared" si="135"/>
        <v>785539.94399633026</v>
      </c>
      <c r="AX469" s="7">
        <f t="shared" si="135"/>
        <v>788355.99411045306</v>
      </c>
      <c r="AY469" s="7">
        <f t="shared" si="135"/>
        <v>791040.83210493543</v>
      </c>
      <c r="AZ469" s="7">
        <f t="shared" si="135"/>
        <v>793600.11455123418</v>
      </c>
      <c r="BA469" s="7">
        <f t="shared" si="135"/>
        <v>796039.29900558107</v>
      </c>
      <c r="BB469" s="7">
        <f t="shared" si="135"/>
        <v>798363.64638810069</v>
      </c>
      <c r="BC469" s="7">
        <f t="shared" si="135"/>
        <v>800578.22389877669</v>
      </c>
      <c r="BD469" s="7">
        <f t="shared" si="135"/>
        <v>802687.90839066694</v>
      </c>
      <c r="BE469" s="7">
        <f t="shared" si="135"/>
        <v>804697.39012840029</v>
      </c>
    </row>
    <row r="470" spans="1:57" ht="12" customHeight="1" x14ac:dyDescent="0.2">
      <c r="A470" t="s">
        <v>144</v>
      </c>
      <c r="B470" s="7">
        <v>1608008.1562379329</v>
      </c>
      <c r="C470" s="7">
        <v>2283704.528827419</v>
      </c>
      <c r="D470" s="7">
        <v>2164291.0425109728</v>
      </c>
      <c r="E470" s="7">
        <v>4896365.1992030051</v>
      </c>
      <c r="F470" s="7">
        <v>2059670.5809540241</v>
      </c>
      <c r="G470" s="7">
        <v>1539322.1512691963</v>
      </c>
      <c r="H470" s="7">
        <v>1881869.9786974802</v>
      </c>
      <c r="I470" s="7">
        <v>2482491.1208438235</v>
      </c>
      <c r="J470" s="7">
        <v>8017388.1226293594</v>
      </c>
      <c r="K470" s="7">
        <v>7972285.3974947045</v>
      </c>
      <c r="L470" s="7">
        <v>6411039.0812794929</v>
      </c>
      <c r="M470" s="7">
        <v>5483188.2597730169</v>
      </c>
      <c r="N470" s="7">
        <v>4413118.2809036262</v>
      </c>
      <c r="O470" s="7">
        <v>7603513.923004996</v>
      </c>
      <c r="P470" s="7">
        <v>5273.8244722233521</v>
      </c>
      <c r="Q470" s="7">
        <v>31068.452131094928</v>
      </c>
      <c r="R470" s="7">
        <v>205401.27049553997</v>
      </c>
      <c r="S470" s="7">
        <v>526967.54433210765</v>
      </c>
      <c r="T470" s="7">
        <v>559003.14167648868</v>
      </c>
      <c r="U470" s="7">
        <v>389958.75162427471</v>
      </c>
      <c r="V470" s="7">
        <v>505895.2367910574</v>
      </c>
      <c r="W470" s="7">
        <v>263347.64296463161</v>
      </c>
      <c r="X470" s="7">
        <v>153781.21906985194</v>
      </c>
      <c r="Y470" s="7">
        <v>83452.067880714298</v>
      </c>
      <c r="Z470" s="7">
        <v>10848.586687845251</v>
      </c>
      <c r="AA470" s="7">
        <v>142688.9265018591</v>
      </c>
      <c r="AB470" s="7">
        <v>28724.406855076297</v>
      </c>
      <c r="AC470" s="22">
        <v>77738.534401531855</v>
      </c>
      <c r="AD470" s="7">
        <f t="shared" ref="AD470:AE470" si="136">AC470*(1-0.05*AD$425)</f>
        <v>73851.607681455265</v>
      </c>
      <c r="AE470" s="7">
        <f t="shared" si="136"/>
        <v>70343.656316586144</v>
      </c>
      <c r="AF470" s="12">
        <f t="shared" ref="AF470:BE470" si="137">AE470*(1+0.01*AF$425)</f>
        <v>70978.507814843339</v>
      </c>
      <c r="AG470" s="7">
        <f t="shared" si="137"/>
        <v>71587.059796220856</v>
      </c>
      <c r="AH470" s="7">
        <f t="shared" si="137"/>
        <v>72170.140872452306</v>
      </c>
      <c r="AI470" s="7">
        <f t="shared" si="137"/>
        <v>72728.579665090234</v>
      </c>
      <c r="AJ470" s="7">
        <f t="shared" si="137"/>
        <v>73263.201556375046</v>
      </c>
      <c r="AK470" s="7">
        <f t="shared" si="137"/>
        <v>73774.82581715555</v>
      </c>
      <c r="AL470" s="7">
        <f t="shared" si="137"/>
        <v>74264.263084774473</v>
      </c>
      <c r="AM470" s="7">
        <f t="shared" si="137"/>
        <v>74732.313164502586</v>
      </c>
      <c r="AN470" s="7">
        <f t="shared" si="137"/>
        <v>75179.763128965773</v>
      </c>
      <c r="AO470" s="7">
        <f t="shared" si="137"/>
        <v>75607.385691016563</v>
      </c>
      <c r="AP470" s="7">
        <f t="shared" si="137"/>
        <v>76015.937826615962</v>
      </c>
      <c r="AQ470" s="7">
        <f t="shared" si="137"/>
        <v>76406.159625479573</v>
      </c>
      <c r="AR470" s="7">
        <f t="shared" si="137"/>
        <v>76778.773348476112</v>
      </c>
      <c r="AS470" s="7">
        <f t="shared" si="137"/>
        <v>77134.482672023834</v>
      </c>
      <c r="AT470" s="7">
        <f t="shared" si="137"/>
        <v>77473.97210098998</v>
      </c>
      <c r="AU470" s="7">
        <f t="shared" si="137"/>
        <v>77797.906532846246</v>
      </c>
      <c r="AV470" s="7">
        <f t="shared" si="137"/>
        <v>78106.930957055461</v>
      </c>
      <c r="AW470" s="7">
        <f t="shared" si="137"/>
        <v>78401.670274851669</v>
      </c>
      <c r="AX470" s="7">
        <f t="shared" si="137"/>
        <v>78682.729225720177</v>
      </c>
      <c r="AY470" s="7">
        <f t="shared" si="137"/>
        <v>78950.69240797915</v>
      </c>
      <c r="AZ470" s="7">
        <f t="shared" si="137"/>
        <v>79206.124381907983</v>
      </c>
      <c r="BA470" s="7">
        <f t="shared" si="137"/>
        <v>79449.569844854603</v>
      </c>
      <c r="BB470" s="7">
        <f t="shared" si="137"/>
        <v>79681.553868685951</v>
      </c>
      <c r="BC470" s="7">
        <f t="shared" si="137"/>
        <v>79902.582190819157</v>
      </c>
      <c r="BD470" s="7">
        <f t="shared" si="137"/>
        <v>80113.141550888977</v>
      </c>
      <c r="BE470" s="7">
        <f t="shared" si="137"/>
        <v>80313.70006586863</v>
      </c>
    </row>
    <row r="471" spans="1:57" ht="12" customHeight="1" x14ac:dyDescent="0.2">
      <c r="A471" t="s">
        <v>145</v>
      </c>
      <c r="B471" s="7">
        <v>1608008.1562379329</v>
      </c>
      <c r="C471" s="7">
        <v>2283704.528827419</v>
      </c>
      <c r="D471" s="7">
        <v>2164291.0425109728</v>
      </c>
      <c r="E471" s="7">
        <v>4896365.1992030051</v>
      </c>
      <c r="F471" s="7">
        <v>2059670.5809540241</v>
      </c>
      <c r="G471" s="7">
        <v>1539322.1512691963</v>
      </c>
      <c r="H471" s="7">
        <v>1881869.9786974802</v>
      </c>
      <c r="I471" s="7">
        <v>2482491.1208438235</v>
      </c>
      <c r="J471" s="7">
        <v>8017388.1226293594</v>
      </c>
      <c r="K471" s="7">
        <v>7972285.3974947045</v>
      </c>
      <c r="L471" s="7">
        <v>6411039.0812794929</v>
      </c>
      <c r="M471" s="7">
        <v>5483188.2597730169</v>
      </c>
      <c r="N471" s="7">
        <v>4413118.2809036262</v>
      </c>
      <c r="O471" s="7">
        <v>7603513.923004996</v>
      </c>
      <c r="P471" s="7">
        <v>263668.78521790431</v>
      </c>
      <c r="Q471" s="7">
        <v>342169.00445283198</v>
      </c>
      <c r="R471" s="7">
        <v>629011.09362482047</v>
      </c>
      <c r="S471" s="7">
        <v>533689.30008145515</v>
      </c>
      <c r="T471" s="7">
        <v>2336820.6298586838</v>
      </c>
      <c r="U471" s="7">
        <v>1458714.7859812235</v>
      </c>
      <c r="V471" s="7">
        <v>1012867.4006874178</v>
      </c>
      <c r="W471" s="7">
        <v>2132430.7323730942</v>
      </c>
      <c r="X471" s="7">
        <v>2130143.687136814</v>
      </c>
      <c r="Y471" s="7">
        <v>1677309.750553817</v>
      </c>
      <c r="Z471" s="7">
        <v>1612853.9704742434</v>
      </c>
      <c r="AA471" s="7">
        <v>431802.49613435479</v>
      </c>
      <c r="AB471" s="7">
        <v>343137.59810666298</v>
      </c>
      <c r="AC471" s="22">
        <v>1207326.3826061126</v>
      </c>
      <c r="AD471" s="7">
        <f t="shared" ref="AD471:AE471" si="138">AC471*(1-0.05*AD$425)</f>
        <v>1146960.063475807</v>
      </c>
      <c r="AE471" s="7">
        <f t="shared" si="138"/>
        <v>1092479.4604607061</v>
      </c>
      <c r="AF471" s="12">
        <f t="shared" ref="AF471:BE471" si="139">AE471*(1+0.01*AF$425)</f>
        <v>1102339.087591364</v>
      </c>
      <c r="AG471" s="7">
        <f t="shared" si="139"/>
        <v>1111790.2673436005</v>
      </c>
      <c r="AH471" s="7">
        <f t="shared" si="139"/>
        <v>1120845.8685580057</v>
      </c>
      <c r="AI471" s="7">
        <f t="shared" si="139"/>
        <v>1129518.7602276639</v>
      </c>
      <c r="AJ471" s="7">
        <f t="shared" si="139"/>
        <v>1137821.7610371856</v>
      </c>
      <c r="AK471" s="7">
        <f t="shared" si="139"/>
        <v>1145767.5947575788</v>
      </c>
      <c r="AL471" s="7">
        <f t="shared" si="139"/>
        <v>1153368.8510762898</v>
      </c>
      <c r="AM471" s="7">
        <f t="shared" si="139"/>
        <v>1160637.9514521456</v>
      </c>
      <c r="AN471" s="7">
        <f t="shared" si="139"/>
        <v>1167587.119598309</v>
      </c>
      <c r="AO471" s="7">
        <f t="shared" si="139"/>
        <v>1174228.3562119924</v>
      </c>
      <c r="AP471" s="7">
        <f t="shared" si="139"/>
        <v>1180573.417586979</v>
      </c>
      <c r="AQ471" s="7">
        <f t="shared" si="139"/>
        <v>1186633.797763464</v>
      </c>
      <c r="AR471" s="7">
        <f t="shared" si="139"/>
        <v>1192420.7138888848</v>
      </c>
      <c r="AS471" s="7">
        <f t="shared" si="139"/>
        <v>1197945.0944829404</v>
      </c>
      <c r="AT471" s="7">
        <f t="shared" si="139"/>
        <v>1203217.5703195655</v>
      </c>
      <c r="AU471" s="7">
        <f t="shared" si="139"/>
        <v>1208248.4676580017</v>
      </c>
      <c r="AV471" s="7">
        <f t="shared" si="139"/>
        <v>1213047.8035740915</v>
      </c>
      <c r="AW471" s="7">
        <f t="shared" si="139"/>
        <v>1217625.2831613538</v>
      </c>
      <c r="AX471" s="7">
        <f t="shared" si="139"/>
        <v>1221990.2983891745</v>
      </c>
      <c r="AY471" s="7">
        <f t="shared" si="139"/>
        <v>1226151.9284224515</v>
      </c>
      <c r="AZ471" s="7">
        <f t="shared" si="139"/>
        <v>1230118.9412232402</v>
      </c>
      <c r="BA471" s="7">
        <f t="shared" si="139"/>
        <v>1233899.7962702762</v>
      </c>
      <c r="BB471" s="7">
        <f t="shared" si="139"/>
        <v>1237502.6482467239</v>
      </c>
      <c r="BC471" s="7">
        <f t="shared" si="139"/>
        <v>1240935.3515600669</v>
      </c>
      <c r="BD471" s="7">
        <f t="shared" si="139"/>
        <v>1244205.4655707569</v>
      </c>
      <c r="BE471" s="7">
        <f t="shared" si="139"/>
        <v>1247320.2604180658</v>
      </c>
    </row>
    <row r="472" spans="1:57" ht="12" customHeight="1" x14ac:dyDescent="0.2">
      <c r="A472" t="s">
        <v>146</v>
      </c>
      <c r="B472" s="7">
        <v>49788.531541477001</v>
      </c>
      <c r="C472" s="7">
        <v>13926.801328138681</v>
      </c>
      <c r="D472" s="7">
        <v>147218.39395867367</v>
      </c>
      <c r="E472" s="7">
        <v>1060.0371811088328</v>
      </c>
      <c r="F472" s="7">
        <v>5559.7163776554853</v>
      </c>
      <c r="G472" s="7">
        <v>83352.304800707119</v>
      </c>
      <c r="H472" s="7">
        <v>208452.32946576644</v>
      </c>
      <c r="I472" s="7">
        <v>2482491.1208438235</v>
      </c>
      <c r="J472" s="7">
        <v>8017388.1226293594</v>
      </c>
      <c r="K472" s="7">
        <v>7972285.3974947045</v>
      </c>
      <c r="L472" s="7">
        <v>6411039.0812794929</v>
      </c>
      <c r="M472" s="7">
        <v>5483188.2597730169</v>
      </c>
      <c r="N472" s="7">
        <v>13474.246576453324</v>
      </c>
      <c r="O472" s="7">
        <v>13787.930760584735</v>
      </c>
      <c r="P472" s="7">
        <v>23031.454670038962</v>
      </c>
      <c r="Q472" s="7">
        <v>195992.76593916322</v>
      </c>
      <c r="R472" s="7">
        <v>187832.24632479763</v>
      </c>
      <c r="S472" s="7">
        <v>338370.98262929969</v>
      </c>
      <c r="T472" s="7">
        <v>792521.51313869178</v>
      </c>
      <c r="U472" s="7">
        <v>718828.05863591353</v>
      </c>
      <c r="V472" s="7">
        <v>722004.64498578524</v>
      </c>
      <c r="W472" s="7">
        <v>884879.62050290871</v>
      </c>
      <c r="X472" s="7">
        <v>866359.38576676184</v>
      </c>
      <c r="Y472" s="7">
        <v>544697.06929249992</v>
      </c>
      <c r="Z472" s="7">
        <v>614130.91849048412</v>
      </c>
      <c r="AA472" s="7">
        <v>545224.95371326967</v>
      </c>
      <c r="AB472" s="7">
        <v>273389.71188445896</v>
      </c>
      <c r="AC472" s="22">
        <v>1288955.6109047509</v>
      </c>
      <c r="AD472" s="7">
        <f t="shared" ref="AD472:AE472" si="140">AC472*(1-0.05*AD$425)</f>
        <v>1224507.8303595132</v>
      </c>
      <c r="AE472" s="7">
        <f t="shared" si="140"/>
        <v>1166343.7084174363</v>
      </c>
      <c r="AF472" s="12">
        <f t="shared" ref="AF472:BE472" si="141">AE472*(1+0.01*AF$425)</f>
        <v>1176869.9603859037</v>
      </c>
      <c r="AG472" s="7">
        <f t="shared" si="141"/>
        <v>1186960.1492087625</v>
      </c>
      <c r="AH472" s="7">
        <f t="shared" si="141"/>
        <v>1196628.013809077</v>
      </c>
      <c r="AI472" s="7">
        <f t="shared" si="141"/>
        <v>1205887.2932727165</v>
      </c>
      <c r="AJ472" s="7">
        <f t="shared" si="141"/>
        <v>1214751.6729756414</v>
      </c>
      <c r="AK472" s="7">
        <f t="shared" si="141"/>
        <v>1223234.7369629531</v>
      </c>
      <c r="AL472" s="7">
        <f t="shared" si="141"/>
        <v>1231349.9261305905</v>
      </c>
      <c r="AM472" s="7">
        <f t="shared" si="141"/>
        <v>1239110.5017716729</v>
      </c>
      <c r="AN472" s="7">
        <f t="shared" si="141"/>
        <v>1246529.5140637618</v>
      </c>
      <c r="AO472" s="7">
        <f t="shared" si="141"/>
        <v>1253619.7750900099</v>
      </c>
      <c r="AP472" s="7">
        <f t="shared" si="141"/>
        <v>1260393.8360056423</v>
      </c>
      <c r="AQ472" s="7">
        <f t="shared" si="141"/>
        <v>1266863.9679809201</v>
      </c>
      <c r="AR472" s="7">
        <f t="shared" si="141"/>
        <v>1273042.1465721931</v>
      </c>
      <c r="AS472" s="7">
        <f t="shared" si="141"/>
        <v>1278940.0391934996</v>
      </c>
      <c r="AT472" s="7">
        <f t="shared" si="141"/>
        <v>1284568.9953820554</v>
      </c>
      <c r="AU472" s="7">
        <f t="shared" si="141"/>
        <v>1289940.0395716685</v>
      </c>
      <c r="AV472" s="7">
        <f t="shared" si="141"/>
        <v>1295063.8661083728</v>
      </c>
      <c r="AW472" s="7">
        <f t="shared" si="141"/>
        <v>1299950.8362622657</v>
      </c>
      <c r="AX472" s="7">
        <f t="shared" si="141"/>
        <v>1304610.977008498</v>
      </c>
      <c r="AY472" s="7">
        <f t="shared" si="141"/>
        <v>1309053.9813685312</v>
      </c>
      <c r="AZ472" s="7">
        <f t="shared" si="141"/>
        <v>1313289.2101200724</v>
      </c>
      <c r="BA472" s="7">
        <f t="shared" si="141"/>
        <v>1317325.6947004681</v>
      </c>
      <c r="BB472" s="7">
        <f t="shared" si="141"/>
        <v>1321172.1411437881</v>
      </c>
      <c r="BC472" s="7">
        <f t="shared" si="141"/>
        <v>1324836.9349063116</v>
      </c>
      <c r="BD472" s="7">
        <f t="shared" si="141"/>
        <v>1328328.1464486939</v>
      </c>
      <c r="BE472" s="7">
        <f t="shared" si="141"/>
        <v>1331653.5374557136</v>
      </c>
    </row>
    <row r="473" spans="1:57" ht="12" customHeight="1" x14ac:dyDescent="0.2">
      <c r="A473" t="s">
        <v>147</v>
      </c>
      <c r="B473" s="7">
        <v>1608008.1562379329</v>
      </c>
      <c r="C473" s="7">
        <v>2283704.528827419</v>
      </c>
      <c r="D473" s="7">
        <v>2164291.0425109728</v>
      </c>
      <c r="E473" s="7">
        <v>4896365.1992030051</v>
      </c>
      <c r="F473" s="7">
        <v>2059670.5809540241</v>
      </c>
      <c r="G473" s="7">
        <v>1539322.1512691963</v>
      </c>
      <c r="H473" s="7">
        <v>1881869.9786974802</v>
      </c>
      <c r="I473" s="7">
        <v>2482491.1208438235</v>
      </c>
      <c r="J473" s="7">
        <v>8017388.1226293594</v>
      </c>
      <c r="K473" s="7">
        <v>7972285.3974947045</v>
      </c>
      <c r="L473" s="7">
        <v>6411039.0812794929</v>
      </c>
      <c r="M473" s="7">
        <v>5483188.2597730169</v>
      </c>
      <c r="N473" s="7">
        <v>4413118.2809036262</v>
      </c>
      <c r="O473" s="7">
        <v>7603513.923004996</v>
      </c>
      <c r="P473" s="7">
        <v>263668.78521790431</v>
      </c>
      <c r="Q473" s="7">
        <v>342169.00445283198</v>
      </c>
      <c r="R473" s="7">
        <v>629011.09362482047</v>
      </c>
      <c r="S473" s="7">
        <v>533689.30008145515</v>
      </c>
      <c r="T473" s="7">
        <v>305334.11130343261</v>
      </c>
      <c r="U473" s="7">
        <v>360349.28785461705</v>
      </c>
      <c r="V473" s="7">
        <v>341920.62058022659</v>
      </c>
      <c r="W473" s="7">
        <v>372234.40270786238</v>
      </c>
      <c r="X473" s="7">
        <v>346153.35143313697</v>
      </c>
      <c r="Y473" s="7">
        <v>269589.76758770976</v>
      </c>
      <c r="Z473" s="7">
        <v>70219.205583257732</v>
      </c>
      <c r="AA473" s="7">
        <v>307646.63386356097</v>
      </c>
      <c r="AB473" s="7">
        <v>526373.8148515051</v>
      </c>
      <c r="AC473" s="22">
        <v>778895.70140604593</v>
      </c>
      <c r="AD473" s="7">
        <f t="shared" ref="AD473:AE473" si="142">AC473*(1-0.05*AD$425)</f>
        <v>739950.91633574362</v>
      </c>
      <c r="AE473" s="7">
        <f t="shared" si="142"/>
        <v>704803.24780979578</v>
      </c>
      <c r="AF473" s="12">
        <f t="shared" ref="AF473:BE473" si="143">AE473*(1+0.01*AF$425)</f>
        <v>711164.09712127922</v>
      </c>
      <c r="AG473" s="7">
        <f t="shared" si="143"/>
        <v>717261.44029897277</v>
      </c>
      <c r="AH473" s="7">
        <f t="shared" si="143"/>
        <v>723103.57955904782</v>
      </c>
      <c r="AI473" s="7">
        <f t="shared" si="143"/>
        <v>728698.81721605593</v>
      </c>
      <c r="AJ473" s="7">
        <f t="shared" si="143"/>
        <v>734055.42312849138</v>
      </c>
      <c r="AK473" s="7">
        <f t="shared" si="143"/>
        <v>739181.60592219641</v>
      </c>
      <c r="AL473" s="7">
        <f t="shared" si="143"/>
        <v>744085.48772021488</v>
      </c>
      <c r="AM473" s="7">
        <f t="shared" si="143"/>
        <v>748775.08211441792</v>
      </c>
      <c r="AN473" s="7">
        <f t="shared" si="143"/>
        <v>753258.27512284939</v>
      </c>
      <c r="AO473" s="7">
        <f t="shared" si="143"/>
        <v>757542.80888682825</v>
      </c>
      <c r="AP473" s="7">
        <f t="shared" si="143"/>
        <v>761636.26787301106</v>
      </c>
      <c r="AQ473" s="7">
        <f t="shared" si="143"/>
        <v>765546.06735752267</v>
      </c>
      <c r="AR473" s="7">
        <f t="shared" si="143"/>
        <v>769279.44398162817</v>
      </c>
      <c r="AS473" s="7">
        <f t="shared" si="143"/>
        <v>772843.44818101684</v>
      </c>
      <c r="AT473" s="7">
        <f t="shared" si="143"/>
        <v>776244.93830338935</v>
      </c>
      <c r="AU473" s="7">
        <f t="shared" si="143"/>
        <v>779490.57624154538</v>
      </c>
      <c r="AV473" s="7">
        <f t="shared" si="143"/>
        <v>782586.8244214094</v>
      </c>
      <c r="AW473" s="7">
        <f t="shared" si="143"/>
        <v>785539.94399633026</v>
      </c>
      <c r="AX473" s="7">
        <f t="shared" si="143"/>
        <v>788355.99411045306</v>
      </c>
      <c r="AY473" s="7">
        <f t="shared" si="143"/>
        <v>791040.83210493543</v>
      </c>
      <c r="AZ473" s="7">
        <f t="shared" si="143"/>
        <v>793600.11455123418</v>
      </c>
      <c r="BA473" s="7">
        <f t="shared" si="143"/>
        <v>796039.29900558107</v>
      </c>
      <c r="BB473" s="7">
        <f t="shared" si="143"/>
        <v>798363.64638810069</v>
      </c>
      <c r="BC473" s="7">
        <f t="shared" si="143"/>
        <v>800578.22389877669</v>
      </c>
      <c r="BD473" s="7">
        <f t="shared" si="143"/>
        <v>802687.90839066694</v>
      </c>
      <c r="BE473" s="7">
        <f t="shared" si="143"/>
        <v>804697.39012840029</v>
      </c>
    </row>
    <row r="474" spans="1:57" ht="12" customHeight="1" x14ac:dyDescent="0.2">
      <c r="A474" t="s">
        <v>148</v>
      </c>
      <c r="B474" s="7">
        <v>1608008.1562379329</v>
      </c>
      <c r="C474" s="7">
        <v>2283704.528827419</v>
      </c>
      <c r="D474" s="7">
        <v>2164291.0425109728</v>
      </c>
      <c r="E474" s="7">
        <v>4896365.1992030051</v>
      </c>
      <c r="F474" s="7">
        <v>2059670.5809540241</v>
      </c>
      <c r="G474" s="7">
        <v>1539322.1512691963</v>
      </c>
      <c r="H474" s="7">
        <v>1881869.9786974802</v>
      </c>
      <c r="I474" s="7">
        <v>2482491.1208438235</v>
      </c>
      <c r="J474" s="7">
        <v>8017388.1226293594</v>
      </c>
      <c r="K474" s="7">
        <v>7972285.3974947045</v>
      </c>
      <c r="L474" s="7">
        <v>6411039.0812794929</v>
      </c>
      <c r="M474" s="7">
        <v>5483188.2597730169</v>
      </c>
      <c r="N474" s="7">
        <v>4413118.2809036262</v>
      </c>
      <c r="O474" s="7">
        <v>7603513.923004996</v>
      </c>
      <c r="P474" s="7">
        <v>1166457.1415300095</v>
      </c>
      <c r="Q474" s="7">
        <v>2138148.6655301596</v>
      </c>
      <c r="R474" s="7">
        <v>1475012.3423993895</v>
      </c>
      <c r="S474" s="7">
        <v>1412944.996703028</v>
      </c>
      <c r="T474" s="7">
        <v>1416394.3973803031</v>
      </c>
      <c r="U474" s="7">
        <v>2405687.0261207055</v>
      </c>
      <c r="V474" s="7">
        <v>3046988.0406532725</v>
      </c>
      <c r="W474" s="7">
        <v>3391609.4398409654</v>
      </c>
      <c r="X474" s="7">
        <v>1345239.0025004847</v>
      </c>
      <c r="Y474" s="7">
        <v>1207672.4502745711</v>
      </c>
      <c r="Z474" s="7">
        <v>633588.40425626421</v>
      </c>
      <c r="AA474" s="7">
        <v>628454.3854253944</v>
      </c>
      <c r="AB474" s="7">
        <v>663960.75561792171</v>
      </c>
      <c r="AC474" s="22">
        <v>1164710.6236090395</v>
      </c>
      <c r="AD474" s="7">
        <f t="shared" ref="AD474:AE474" si="144">AC474*(1-0.05*AD$425)</f>
        <v>1106475.0924285874</v>
      </c>
      <c r="AE474" s="7">
        <f t="shared" si="144"/>
        <v>1053917.5255382294</v>
      </c>
      <c r="AF474" s="12">
        <f t="shared" ref="AF474:BE474" si="145">AE474*(1+0.01*AF$425)</f>
        <v>1063429.1312062119</v>
      </c>
      <c r="AG474" s="7">
        <f t="shared" si="145"/>
        <v>1072546.7067198912</v>
      </c>
      <c r="AH474" s="7">
        <f t="shared" si="145"/>
        <v>1081282.6666802939</v>
      </c>
      <c r="AI474" s="7">
        <f t="shared" si="145"/>
        <v>1089649.4258355577</v>
      </c>
      <c r="AJ474" s="7">
        <f t="shared" si="145"/>
        <v>1097659.3504011168</v>
      </c>
      <c r="AK474" s="7">
        <f t="shared" si="145"/>
        <v>1105324.715029028</v>
      </c>
      <c r="AL474" s="7">
        <f t="shared" si="145"/>
        <v>1112657.6650206181</v>
      </c>
      <c r="AM474" s="7">
        <f t="shared" si="145"/>
        <v>1119670.1833866662</v>
      </c>
      <c r="AN474" s="7">
        <f t="shared" si="145"/>
        <v>1126374.0623722402</v>
      </c>
      <c r="AO474" s="7">
        <f t="shared" si="145"/>
        <v>1132780.8790783917</v>
      </c>
      <c r="AP474" s="7">
        <f t="shared" si="145"/>
        <v>1138901.9748296051</v>
      </c>
      <c r="AQ474" s="7">
        <f t="shared" si="145"/>
        <v>1144748.4379537068</v>
      </c>
      <c r="AR474" s="7">
        <f t="shared" si="145"/>
        <v>1150331.0896594229</v>
      </c>
      <c r="AS474" s="7">
        <f t="shared" si="145"/>
        <v>1155660.4727156162</v>
      </c>
      <c r="AT474" s="7">
        <f t="shared" si="145"/>
        <v>1160746.8426551046</v>
      </c>
      <c r="AU474" s="7">
        <f t="shared" si="145"/>
        <v>1165600.1612446602</v>
      </c>
      <c r="AV474" s="7">
        <f t="shared" si="145"/>
        <v>1170230.0919810962</v>
      </c>
      <c r="AW474" s="7">
        <f t="shared" si="145"/>
        <v>1174645.9973911389</v>
      </c>
      <c r="AX474" s="7">
        <f t="shared" si="145"/>
        <v>1178856.9379299216</v>
      </c>
      <c r="AY474" s="7">
        <f t="shared" si="145"/>
        <v>1182871.6722893459</v>
      </c>
      <c r="AZ474" s="7">
        <f t="shared" si="145"/>
        <v>1186698.6589431935</v>
      </c>
      <c r="BA474" s="7">
        <f t="shared" si="145"/>
        <v>1190346.0587706561</v>
      </c>
      <c r="BB474" s="7">
        <f t="shared" si="145"/>
        <v>1193821.7386139156</v>
      </c>
      <c r="BC474" s="7">
        <f t="shared" si="145"/>
        <v>1197133.2756384925</v>
      </c>
      <c r="BD474" s="7">
        <f t="shared" si="145"/>
        <v>1200287.9623773361</v>
      </c>
      <c r="BE474" s="7">
        <f t="shared" si="145"/>
        <v>1203292.8123510377</v>
      </c>
    </row>
    <row r="475" spans="1:57" ht="12" customHeight="1" x14ac:dyDescent="0.2">
      <c r="A475" t="s">
        <v>150</v>
      </c>
      <c r="K475" s="20"/>
      <c r="AC475" s="28"/>
      <c r="AF475" s="20"/>
    </row>
    <row r="476" spans="1:57" ht="12" customHeight="1" x14ac:dyDescent="0.2">
      <c r="W476">
        <v>22</v>
      </c>
    </row>
    <row r="477" spans="1:57" ht="12" customHeight="1" x14ac:dyDescent="0.2">
      <c r="A477" t="s">
        <v>151</v>
      </c>
      <c r="AC477" s="28"/>
    </row>
    <row r="478" spans="1:57" ht="12" customHeight="1" x14ac:dyDescent="0.2">
      <c r="A478" s="19" t="s">
        <v>152</v>
      </c>
      <c r="B478">
        <v>1995</v>
      </c>
      <c r="C478">
        <v>1996</v>
      </c>
      <c r="D478">
        <v>1997</v>
      </c>
      <c r="E478">
        <v>1998</v>
      </c>
      <c r="F478">
        <v>1999</v>
      </c>
      <c r="G478">
        <v>2000</v>
      </c>
      <c r="H478">
        <v>2001</v>
      </c>
      <c r="I478">
        <v>2002</v>
      </c>
      <c r="J478">
        <v>2003</v>
      </c>
      <c r="K478">
        <v>2004</v>
      </c>
      <c r="L478">
        <v>2005</v>
      </c>
      <c r="M478">
        <v>2006</v>
      </c>
      <c r="N478">
        <v>2007</v>
      </c>
      <c r="O478">
        <v>2008</v>
      </c>
      <c r="P478">
        <v>2009</v>
      </c>
      <c r="Q478">
        <v>2010</v>
      </c>
      <c r="R478">
        <f>+Q478+1</f>
        <v>2011</v>
      </c>
      <c r="S478">
        <f>+R478+1</f>
        <v>2012</v>
      </c>
      <c r="T478">
        <f>+S478+1</f>
        <v>2013</v>
      </c>
      <c r="U478">
        <v>2014</v>
      </c>
      <c r="V478">
        <v>2015</v>
      </c>
      <c r="W478">
        <v>2016</v>
      </c>
      <c r="X478">
        <v>2017</v>
      </c>
      <c r="Y478">
        <v>2018</v>
      </c>
      <c r="Z478">
        <v>2019</v>
      </c>
      <c r="AA478">
        <v>2020</v>
      </c>
      <c r="AB478">
        <v>2021</v>
      </c>
      <c r="AC478" s="28">
        <v>2022</v>
      </c>
      <c r="AD478">
        <v>2023</v>
      </c>
      <c r="AE478">
        <v>2024</v>
      </c>
      <c r="AF478">
        <v>2025</v>
      </c>
      <c r="AG478">
        <v>2026</v>
      </c>
      <c r="AH478">
        <v>2027</v>
      </c>
      <c r="AI478">
        <v>2028</v>
      </c>
      <c r="AJ478">
        <v>2029</v>
      </c>
      <c r="AK478">
        <v>2030</v>
      </c>
      <c r="AL478">
        <v>2031</v>
      </c>
      <c r="AM478">
        <v>2032</v>
      </c>
      <c r="AN478">
        <v>2033</v>
      </c>
      <c r="AO478">
        <v>2034</v>
      </c>
      <c r="AP478">
        <v>2035</v>
      </c>
      <c r="AQ478">
        <v>2036</v>
      </c>
      <c r="AR478">
        <v>2037</v>
      </c>
      <c r="AS478">
        <v>2038</v>
      </c>
      <c r="AT478">
        <v>2039</v>
      </c>
      <c r="AU478">
        <v>2040</v>
      </c>
      <c r="AV478">
        <v>2041</v>
      </c>
      <c r="AW478">
        <v>2042</v>
      </c>
      <c r="AX478">
        <v>2043</v>
      </c>
      <c r="AY478">
        <v>2044</v>
      </c>
      <c r="AZ478">
        <v>2045</v>
      </c>
      <c r="BA478">
        <v>2046</v>
      </c>
      <c r="BB478">
        <v>2047</v>
      </c>
      <c r="BC478">
        <v>2048</v>
      </c>
      <c r="BD478">
        <v>2049</v>
      </c>
      <c r="BE478">
        <v>2050</v>
      </c>
    </row>
    <row r="479" spans="1:57" ht="12" customHeight="1" x14ac:dyDescent="0.2">
      <c r="A479" t="s">
        <v>101</v>
      </c>
      <c r="B479">
        <v>114</v>
      </c>
      <c r="C479">
        <v>110</v>
      </c>
      <c r="D479">
        <v>165</v>
      </c>
      <c r="E479">
        <v>254</v>
      </c>
      <c r="F479">
        <v>303</v>
      </c>
      <c r="G479">
        <v>265</v>
      </c>
      <c r="H479">
        <v>313</v>
      </c>
      <c r="I479">
        <v>173</v>
      </c>
      <c r="J479">
        <v>108</v>
      </c>
      <c r="K479">
        <v>131</v>
      </c>
      <c r="L479">
        <v>130</v>
      </c>
      <c r="M479">
        <v>127</v>
      </c>
      <c r="N479">
        <v>101</v>
      </c>
      <c r="O479">
        <v>112</v>
      </c>
      <c r="P479">
        <v>103</v>
      </c>
      <c r="Q479">
        <v>95</v>
      </c>
      <c r="R479">
        <v>80</v>
      </c>
      <c r="S479">
        <v>121</v>
      </c>
      <c r="T479">
        <v>152</v>
      </c>
      <c r="U479">
        <v>187</v>
      </c>
      <c r="V479">
        <v>170</v>
      </c>
      <c r="W479">
        <v>201</v>
      </c>
      <c r="X479">
        <v>222</v>
      </c>
      <c r="Y479">
        <v>199</v>
      </c>
      <c r="Z479">
        <v>140</v>
      </c>
      <c r="AA479">
        <v>71</v>
      </c>
      <c r="AB479">
        <v>117</v>
      </c>
      <c r="AC479" s="28">
        <v>167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ht="12" customHeight="1" x14ac:dyDescent="0.2">
      <c r="A480" t="s">
        <v>102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14</v>
      </c>
      <c r="I480">
        <v>28</v>
      </c>
      <c r="J480">
        <v>19</v>
      </c>
      <c r="K480">
        <v>11</v>
      </c>
      <c r="L480">
        <v>15</v>
      </c>
      <c r="M480">
        <v>13</v>
      </c>
      <c r="N480">
        <v>8</v>
      </c>
      <c r="O480">
        <v>7</v>
      </c>
      <c r="P480">
        <v>11</v>
      </c>
      <c r="Q480">
        <v>5</v>
      </c>
      <c r="R480">
        <v>7</v>
      </c>
      <c r="S480">
        <v>4</v>
      </c>
      <c r="T480">
        <v>6</v>
      </c>
      <c r="U480">
        <v>9</v>
      </c>
      <c r="V480">
        <v>19</v>
      </c>
      <c r="W480">
        <v>6</v>
      </c>
      <c r="X480">
        <v>9</v>
      </c>
      <c r="Y480">
        <v>25</v>
      </c>
      <c r="Z480">
        <v>13</v>
      </c>
      <c r="AA480">
        <v>19</v>
      </c>
      <c r="AB480">
        <v>18</v>
      </c>
      <c r="AC480" s="28">
        <v>14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ht="12" customHeight="1" x14ac:dyDescent="0.2">
      <c r="A481" t="s">
        <v>103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7</v>
      </c>
      <c r="I481">
        <v>4</v>
      </c>
      <c r="J481">
        <v>10</v>
      </c>
      <c r="K481">
        <v>13</v>
      </c>
      <c r="L481">
        <v>15</v>
      </c>
      <c r="M481">
        <v>14</v>
      </c>
      <c r="N481">
        <v>21</v>
      </c>
      <c r="O481">
        <v>12</v>
      </c>
      <c r="P481">
        <v>2</v>
      </c>
      <c r="Q481">
        <v>2</v>
      </c>
      <c r="R481">
        <v>9</v>
      </c>
      <c r="S481">
        <v>14</v>
      </c>
      <c r="T481">
        <v>14</v>
      </c>
      <c r="U481">
        <v>16</v>
      </c>
      <c r="V481">
        <v>21</v>
      </c>
      <c r="W481">
        <v>29</v>
      </c>
      <c r="X481">
        <v>18</v>
      </c>
      <c r="Y481">
        <v>31</v>
      </c>
      <c r="Z481">
        <v>20</v>
      </c>
      <c r="AA481">
        <v>12</v>
      </c>
      <c r="AB481">
        <v>20</v>
      </c>
      <c r="AC481" s="28">
        <v>38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ht="12" customHeight="1" x14ac:dyDescent="0.2">
      <c r="A482" t="s">
        <v>104</v>
      </c>
      <c r="B482">
        <v>95</v>
      </c>
      <c r="C482">
        <v>91</v>
      </c>
      <c r="D482">
        <v>138</v>
      </c>
      <c r="E482">
        <v>212</v>
      </c>
      <c r="F482">
        <v>253</v>
      </c>
      <c r="G482">
        <v>221</v>
      </c>
      <c r="H482">
        <v>158</v>
      </c>
      <c r="I482">
        <v>141</v>
      </c>
      <c r="J482">
        <v>139</v>
      </c>
      <c r="K482">
        <v>146</v>
      </c>
      <c r="L482">
        <v>137</v>
      </c>
      <c r="M482">
        <v>163</v>
      </c>
      <c r="N482">
        <v>207</v>
      </c>
      <c r="O482">
        <v>210</v>
      </c>
      <c r="P482">
        <v>229</v>
      </c>
      <c r="Q482">
        <v>204</v>
      </c>
      <c r="R482">
        <v>217</v>
      </c>
      <c r="S482">
        <v>155</v>
      </c>
      <c r="T482">
        <v>139</v>
      </c>
      <c r="U482">
        <v>122</v>
      </c>
      <c r="V482">
        <v>165</v>
      </c>
      <c r="W482">
        <v>246</v>
      </c>
      <c r="X482">
        <v>213</v>
      </c>
      <c r="Y482">
        <v>256</v>
      </c>
      <c r="Z482">
        <v>162</v>
      </c>
      <c r="AA482">
        <v>101</v>
      </c>
      <c r="AB482">
        <v>142</v>
      </c>
      <c r="AC482" s="28">
        <v>181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ht="12" customHeight="1" x14ac:dyDescent="0.2">
      <c r="A483" t="s">
        <v>105</v>
      </c>
      <c r="B483">
        <v>1</v>
      </c>
      <c r="C483">
        <v>1</v>
      </c>
      <c r="D483">
        <v>1</v>
      </c>
      <c r="E483">
        <v>2</v>
      </c>
      <c r="F483">
        <v>2</v>
      </c>
      <c r="G483">
        <v>2</v>
      </c>
      <c r="H483">
        <v>0</v>
      </c>
      <c r="I483">
        <v>0</v>
      </c>
      <c r="J483">
        <v>3</v>
      </c>
      <c r="K483">
        <v>0</v>
      </c>
      <c r="L483">
        <v>3</v>
      </c>
      <c r="M483">
        <v>13</v>
      </c>
      <c r="N483">
        <v>20</v>
      </c>
      <c r="O483">
        <v>18</v>
      </c>
      <c r="P483">
        <v>20</v>
      </c>
      <c r="Q483">
        <v>18</v>
      </c>
      <c r="R483">
        <v>17</v>
      </c>
      <c r="S483">
        <v>38</v>
      </c>
      <c r="T483">
        <v>39</v>
      </c>
      <c r="U483">
        <v>20</v>
      </c>
      <c r="V483">
        <v>10</v>
      </c>
      <c r="W483">
        <v>15</v>
      </c>
      <c r="X483">
        <v>17</v>
      </c>
      <c r="Y483">
        <v>30</v>
      </c>
      <c r="Z483">
        <v>15</v>
      </c>
      <c r="AA483">
        <v>5</v>
      </c>
      <c r="AB483">
        <v>10</v>
      </c>
      <c r="AC483" s="28">
        <v>3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ht="12" customHeight="1" x14ac:dyDescent="0.2">
      <c r="A484" t="s">
        <v>106</v>
      </c>
      <c r="B484">
        <v>2</v>
      </c>
      <c r="C484">
        <v>2</v>
      </c>
      <c r="D484">
        <v>3</v>
      </c>
      <c r="E484">
        <v>5</v>
      </c>
      <c r="F484">
        <v>6</v>
      </c>
      <c r="G484">
        <v>5</v>
      </c>
      <c r="H484">
        <v>10</v>
      </c>
      <c r="I484">
        <v>33</v>
      </c>
      <c r="J484">
        <v>20</v>
      </c>
      <c r="K484">
        <v>25</v>
      </c>
      <c r="L484">
        <v>22</v>
      </c>
      <c r="M484">
        <v>15</v>
      </c>
      <c r="N484">
        <v>6</v>
      </c>
      <c r="O484">
        <v>12</v>
      </c>
      <c r="P484">
        <v>14</v>
      </c>
      <c r="Q484">
        <v>14</v>
      </c>
      <c r="R484">
        <v>34</v>
      </c>
      <c r="S484">
        <v>23</v>
      </c>
      <c r="T484">
        <v>20</v>
      </c>
      <c r="U484">
        <v>12</v>
      </c>
      <c r="V484">
        <v>12</v>
      </c>
      <c r="W484">
        <v>5</v>
      </c>
      <c r="X484">
        <v>5</v>
      </c>
      <c r="Y484">
        <v>4</v>
      </c>
      <c r="Z484">
        <v>12</v>
      </c>
      <c r="AA484">
        <v>0</v>
      </c>
      <c r="AB484">
        <v>2</v>
      </c>
      <c r="AC484" s="28">
        <v>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ht="12" customHeight="1" x14ac:dyDescent="0.2">
      <c r="A485" t="s">
        <v>107</v>
      </c>
      <c r="B485">
        <v>4</v>
      </c>
      <c r="C485">
        <v>4</v>
      </c>
      <c r="D485">
        <v>6</v>
      </c>
      <c r="E485">
        <v>10</v>
      </c>
      <c r="F485">
        <v>11</v>
      </c>
      <c r="G485">
        <v>10</v>
      </c>
      <c r="H485">
        <v>9</v>
      </c>
      <c r="I485">
        <v>9</v>
      </c>
      <c r="J485">
        <v>6</v>
      </c>
      <c r="K485">
        <v>8</v>
      </c>
      <c r="L485">
        <v>3</v>
      </c>
      <c r="M485">
        <v>4</v>
      </c>
      <c r="N485">
        <v>3</v>
      </c>
      <c r="O485">
        <v>4</v>
      </c>
      <c r="P485">
        <v>5</v>
      </c>
      <c r="Q485">
        <v>1</v>
      </c>
      <c r="R485">
        <v>6</v>
      </c>
      <c r="S485">
        <v>14</v>
      </c>
      <c r="T485">
        <v>8</v>
      </c>
      <c r="U485">
        <v>2</v>
      </c>
      <c r="V485">
        <v>7</v>
      </c>
      <c r="W485">
        <v>6</v>
      </c>
      <c r="X485">
        <v>7</v>
      </c>
      <c r="Y485">
        <v>12</v>
      </c>
      <c r="Z485">
        <v>2</v>
      </c>
      <c r="AA485">
        <v>3</v>
      </c>
      <c r="AB485">
        <v>5</v>
      </c>
      <c r="AC485" s="28">
        <v>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ht="12" customHeight="1" x14ac:dyDescent="0.2">
      <c r="A486" t="s">
        <v>108</v>
      </c>
      <c r="B486">
        <v>1</v>
      </c>
      <c r="C486">
        <v>1</v>
      </c>
      <c r="D486">
        <v>2</v>
      </c>
      <c r="E486">
        <v>3</v>
      </c>
      <c r="F486">
        <v>3</v>
      </c>
      <c r="G486">
        <v>3</v>
      </c>
      <c r="H486">
        <v>4</v>
      </c>
      <c r="I486">
        <v>2</v>
      </c>
      <c r="J486">
        <v>10</v>
      </c>
      <c r="K486">
        <v>11</v>
      </c>
      <c r="L486">
        <v>2</v>
      </c>
      <c r="M486">
        <v>8</v>
      </c>
      <c r="N486">
        <v>10</v>
      </c>
      <c r="O486">
        <v>21</v>
      </c>
      <c r="P486">
        <v>23</v>
      </c>
      <c r="Q486">
        <v>5</v>
      </c>
      <c r="R486">
        <v>16</v>
      </c>
      <c r="S486">
        <v>14</v>
      </c>
      <c r="T486">
        <v>23</v>
      </c>
      <c r="U486">
        <v>39</v>
      </c>
      <c r="V486">
        <v>13</v>
      </c>
      <c r="W486">
        <v>26</v>
      </c>
      <c r="X486">
        <v>49</v>
      </c>
      <c r="Y486">
        <v>48</v>
      </c>
      <c r="Z486">
        <v>19</v>
      </c>
      <c r="AA486">
        <v>8</v>
      </c>
      <c r="AB486">
        <v>17</v>
      </c>
      <c r="AC486" s="28">
        <v>4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ht="12" customHeight="1" x14ac:dyDescent="0.2">
      <c r="A487" t="s">
        <v>109</v>
      </c>
      <c r="B487">
        <v>1</v>
      </c>
      <c r="C487">
        <v>1</v>
      </c>
      <c r="D487">
        <v>1</v>
      </c>
      <c r="E487">
        <v>2</v>
      </c>
      <c r="F487">
        <v>2</v>
      </c>
      <c r="G487">
        <v>2</v>
      </c>
      <c r="H487">
        <v>4</v>
      </c>
      <c r="I487">
        <v>1</v>
      </c>
      <c r="J487">
        <v>0</v>
      </c>
      <c r="K487">
        <v>2</v>
      </c>
      <c r="L487">
        <v>5</v>
      </c>
      <c r="M487">
        <v>3</v>
      </c>
      <c r="N487">
        <v>3</v>
      </c>
      <c r="O487">
        <v>6</v>
      </c>
      <c r="P487">
        <v>7</v>
      </c>
      <c r="Q487">
        <v>8</v>
      </c>
      <c r="R487">
        <v>6</v>
      </c>
      <c r="S487">
        <v>5</v>
      </c>
      <c r="T487">
        <v>10</v>
      </c>
      <c r="U487">
        <v>3</v>
      </c>
      <c r="V487">
        <v>0</v>
      </c>
      <c r="W487">
        <v>6</v>
      </c>
      <c r="X487">
        <v>5</v>
      </c>
      <c r="Y487">
        <v>8</v>
      </c>
      <c r="Z487">
        <v>6</v>
      </c>
      <c r="AA487">
        <v>6</v>
      </c>
      <c r="AB487">
        <v>3</v>
      </c>
      <c r="AC487" s="28">
        <v>17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ht="12" customHeight="1" x14ac:dyDescent="0.2">
      <c r="A488" t="s">
        <v>110</v>
      </c>
      <c r="B488">
        <v>12</v>
      </c>
      <c r="C488">
        <v>12</v>
      </c>
      <c r="D488">
        <v>17</v>
      </c>
      <c r="E488">
        <v>27</v>
      </c>
      <c r="F488">
        <v>32</v>
      </c>
      <c r="G488">
        <v>28</v>
      </c>
      <c r="H488">
        <v>27</v>
      </c>
      <c r="I488">
        <v>36</v>
      </c>
      <c r="J488">
        <v>48</v>
      </c>
      <c r="K488">
        <v>54</v>
      </c>
      <c r="L488">
        <v>104</v>
      </c>
      <c r="M488">
        <v>120</v>
      </c>
      <c r="N488">
        <v>120</v>
      </c>
      <c r="O488">
        <v>102</v>
      </c>
      <c r="P488">
        <v>157</v>
      </c>
      <c r="Q488">
        <v>168</v>
      </c>
      <c r="R488">
        <v>159</v>
      </c>
      <c r="S488">
        <v>190</v>
      </c>
      <c r="T488">
        <v>232</v>
      </c>
      <c r="U488">
        <v>252</v>
      </c>
      <c r="V488">
        <v>299</v>
      </c>
      <c r="W488">
        <v>280</v>
      </c>
      <c r="X488">
        <v>318</v>
      </c>
      <c r="Y488">
        <v>324</v>
      </c>
      <c r="Z488">
        <v>160</v>
      </c>
      <c r="AA488">
        <v>88</v>
      </c>
      <c r="AB488">
        <v>111</v>
      </c>
      <c r="AC488" s="28">
        <v>64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ht="12" customHeight="1" x14ac:dyDescent="0.2">
      <c r="A489" t="s">
        <v>111</v>
      </c>
      <c r="B489">
        <v>2</v>
      </c>
      <c r="C489">
        <v>2</v>
      </c>
      <c r="D489">
        <v>2</v>
      </c>
      <c r="E489">
        <v>4</v>
      </c>
      <c r="F489">
        <v>5</v>
      </c>
      <c r="G489">
        <v>4</v>
      </c>
      <c r="H489">
        <v>6</v>
      </c>
      <c r="I489">
        <v>4</v>
      </c>
      <c r="J489">
        <v>3</v>
      </c>
      <c r="K489">
        <v>1</v>
      </c>
      <c r="L489">
        <v>23</v>
      </c>
      <c r="M489">
        <v>46</v>
      </c>
      <c r="N489">
        <v>58</v>
      </c>
      <c r="O489">
        <v>27</v>
      </c>
      <c r="P489">
        <v>39</v>
      </c>
      <c r="Q489">
        <v>26</v>
      </c>
      <c r="R489">
        <v>23</v>
      </c>
      <c r="S489">
        <v>32</v>
      </c>
      <c r="T489">
        <v>39</v>
      </c>
      <c r="U489">
        <v>31</v>
      </c>
      <c r="V489">
        <v>9</v>
      </c>
      <c r="W489">
        <v>29</v>
      </c>
      <c r="X489">
        <v>45</v>
      </c>
      <c r="Y489">
        <v>87</v>
      </c>
      <c r="Z489">
        <v>62</v>
      </c>
      <c r="AA489">
        <v>52</v>
      </c>
      <c r="AB489">
        <v>63</v>
      </c>
      <c r="AC489" s="28">
        <v>58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ht="12" customHeight="1" x14ac:dyDescent="0.2">
      <c r="A490" t="s">
        <v>112</v>
      </c>
      <c r="B490">
        <v>2</v>
      </c>
      <c r="C490">
        <v>2</v>
      </c>
      <c r="D490">
        <v>3</v>
      </c>
      <c r="E490">
        <v>5</v>
      </c>
      <c r="F490">
        <v>6</v>
      </c>
      <c r="G490">
        <v>5</v>
      </c>
      <c r="H490">
        <v>7</v>
      </c>
      <c r="I490">
        <v>7</v>
      </c>
      <c r="J490">
        <v>9</v>
      </c>
      <c r="K490">
        <v>19</v>
      </c>
      <c r="L490">
        <v>18</v>
      </c>
      <c r="M490">
        <v>30</v>
      </c>
      <c r="N490">
        <v>48</v>
      </c>
      <c r="O490">
        <v>57</v>
      </c>
      <c r="P490">
        <v>40</v>
      </c>
      <c r="Q490">
        <v>85</v>
      </c>
      <c r="R490">
        <v>78</v>
      </c>
      <c r="S490">
        <v>119</v>
      </c>
      <c r="T490">
        <v>137</v>
      </c>
      <c r="U490">
        <v>138</v>
      </c>
      <c r="V490">
        <v>111</v>
      </c>
      <c r="W490">
        <v>94</v>
      </c>
      <c r="X490">
        <v>95</v>
      </c>
      <c r="Y490">
        <v>89</v>
      </c>
      <c r="Z490">
        <v>58</v>
      </c>
      <c r="AA490">
        <v>10</v>
      </c>
      <c r="AB490">
        <v>18</v>
      </c>
      <c r="AC490" s="28">
        <v>31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ht="12" customHeight="1" x14ac:dyDescent="0.2">
      <c r="A491" t="s">
        <v>113</v>
      </c>
      <c r="B491">
        <v>5</v>
      </c>
      <c r="C491">
        <v>5</v>
      </c>
      <c r="D491">
        <v>7</v>
      </c>
      <c r="E491">
        <v>11</v>
      </c>
      <c r="F491">
        <v>13</v>
      </c>
      <c r="G491">
        <v>11</v>
      </c>
      <c r="H491">
        <v>7</v>
      </c>
      <c r="I491">
        <v>9</v>
      </c>
      <c r="J491">
        <v>12</v>
      </c>
      <c r="K491">
        <v>9</v>
      </c>
      <c r="L491">
        <v>9</v>
      </c>
      <c r="M491">
        <v>13</v>
      </c>
      <c r="N491">
        <v>18</v>
      </c>
      <c r="O491">
        <v>26</v>
      </c>
      <c r="P491">
        <v>59</v>
      </c>
      <c r="Q491">
        <v>56</v>
      </c>
      <c r="R491">
        <v>47</v>
      </c>
      <c r="S491">
        <v>46</v>
      </c>
      <c r="T491">
        <v>30</v>
      </c>
      <c r="U491">
        <v>37</v>
      </c>
      <c r="V491">
        <v>53</v>
      </c>
      <c r="W491">
        <v>28</v>
      </c>
      <c r="X491">
        <v>38</v>
      </c>
      <c r="Y491">
        <v>44</v>
      </c>
      <c r="Z491">
        <v>19</v>
      </c>
      <c r="AA491">
        <v>23</v>
      </c>
      <c r="AB491">
        <v>36</v>
      </c>
      <c r="AC491" s="28">
        <v>40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ht="12" customHeight="1" x14ac:dyDescent="0.2">
      <c r="A492" t="s">
        <v>114</v>
      </c>
      <c r="B492">
        <v>9</v>
      </c>
      <c r="C492">
        <v>9</v>
      </c>
      <c r="D492">
        <v>14</v>
      </c>
      <c r="E492">
        <v>21</v>
      </c>
      <c r="F492">
        <v>25</v>
      </c>
      <c r="G492">
        <v>22</v>
      </c>
      <c r="H492">
        <v>17</v>
      </c>
      <c r="I492">
        <v>13</v>
      </c>
      <c r="J492">
        <v>15</v>
      </c>
      <c r="K492">
        <v>11</v>
      </c>
      <c r="L492">
        <v>13</v>
      </c>
      <c r="M492">
        <v>20</v>
      </c>
      <c r="N492">
        <v>18</v>
      </c>
      <c r="O492">
        <v>12</v>
      </c>
      <c r="P492">
        <v>17</v>
      </c>
      <c r="Q492">
        <v>26</v>
      </c>
      <c r="R492">
        <v>17</v>
      </c>
      <c r="S492">
        <v>20</v>
      </c>
      <c r="T492">
        <v>11</v>
      </c>
      <c r="U492">
        <v>14</v>
      </c>
      <c r="V492">
        <v>12</v>
      </c>
      <c r="W492">
        <v>13</v>
      </c>
      <c r="X492">
        <v>12</v>
      </c>
      <c r="Y492">
        <v>11</v>
      </c>
      <c r="Z492">
        <v>10</v>
      </c>
      <c r="AA492">
        <v>13</v>
      </c>
      <c r="AB492">
        <v>5</v>
      </c>
      <c r="AC492" s="28">
        <v>13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ht="12" customHeight="1" x14ac:dyDescent="0.2">
      <c r="A493" t="s">
        <v>115</v>
      </c>
      <c r="B493">
        <v>2</v>
      </c>
      <c r="C493">
        <v>2</v>
      </c>
      <c r="D493">
        <v>2</v>
      </c>
      <c r="E493">
        <v>4</v>
      </c>
      <c r="F493">
        <v>5</v>
      </c>
      <c r="G493">
        <v>4</v>
      </c>
      <c r="H493">
        <v>16</v>
      </c>
      <c r="I493">
        <v>23</v>
      </c>
      <c r="J493">
        <v>0</v>
      </c>
      <c r="K493">
        <v>1</v>
      </c>
      <c r="L493">
        <v>5</v>
      </c>
      <c r="M493">
        <v>20</v>
      </c>
      <c r="N493">
        <v>34</v>
      </c>
      <c r="O493">
        <v>20</v>
      </c>
      <c r="P493">
        <v>20</v>
      </c>
      <c r="Q493">
        <v>23</v>
      </c>
      <c r="R493">
        <v>20</v>
      </c>
      <c r="S493">
        <v>22</v>
      </c>
      <c r="T493">
        <v>29</v>
      </c>
      <c r="U493">
        <v>20</v>
      </c>
      <c r="V493">
        <v>24</v>
      </c>
      <c r="W493">
        <v>14</v>
      </c>
      <c r="X493">
        <v>13</v>
      </c>
      <c r="Y493">
        <v>15</v>
      </c>
      <c r="Z493">
        <v>15</v>
      </c>
      <c r="AA493">
        <v>3</v>
      </c>
      <c r="AB493">
        <v>8</v>
      </c>
      <c r="AC493" s="28">
        <v>8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ht="12" customHeight="1" x14ac:dyDescent="0.2">
      <c r="A494" t="s">
        <v>116</v>
      </c>
      <c r="B494">
        <v>9</v>
      </c>
      <c r="C494">
        <v>8</v>
      </c>
      <c r="D494">
        <v>12</v>
      </c>
      <c r="E494">
        <v>19</v>
      </c>
      <c r="F494">
        <v>23</v>
      </c>
      <c r="G494">
        <v>20</v>
      </c>
      <c r="H494">
        <v>16</v>
      </c>
      <c r="I494">
        <v>14</v>
      </c>
      <c r="J494">
        <v>17</v>
      </c>
      <c r="K494">
        <v>11</v>
      </c>
      <c r="L494">
        <v>8</v>
      </c>
      <c r="M494">
        <v>16</v>
      </c>
      <c r="N494">
        <v>17</v>
      </c>
      <c r="O494">
        <v>27</v>
      </c>
      <c r="P494">
        <v>19</v>
      </c>
      <c r="Q494">
        <v>29</v>
      </c>
      <c r="R494">
        <v>40</v>
      </c>
      <c r="S494">
        <v>38</v>
      </c>
      <c r="T494">
        <v>27</v>
      </c>
      <c r="U494">
        <v>42</v>
      </c>
      <c r="V494">
        <v>37</v>
      </c>
      <c r="W494">
        <v>18</v>
      </c>
      <c r="X494">
        <v>19</v>
      </c>
      <c r="Y494">
        <v>27</v>
      </c>
      <c r="Z494">
        <v>34</v>
      </c>
      <c r="AA494">
        <v>6</v>
      </c>
      <c r="AB494">
        <v>23</v>
      </c>
      <c r="AC494" s="28">
        <v>26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ht="12" customHeight="1" x14ac:dyDescent="0.2">
      <c r="A495" t="s">
        <v>117</v>
      </c>
      <c r="B495">
        <v>48</v>
      </c>
      <c r="C495">
        <v>51</v>
      </c>
      <c r="D495">
        <v>64</v>
      </c>
      <c r="E495">
        <v>77</v>
      </c>
      <c r="F495">
        <v>78</v>
      </c>
      <c r="G495">
        <v>61</v>
      </c>
      <c r="H495">
        <v>42</v>
      </c>
      <c r="I495">
        <v>29</v>
      </c>
      <c r="J495">
        <v>20</v>
      </c>
      <c r="K495">
        <v>10</v>
      </c>
      <c r="L495">
        <v>3</v>
      </c>
      <c r="M495">
        <v>8</v>
      </c>
      <c r="N495">
        <v>11</v>
      </c>
      <c r="O495">
        <v>2</v>
      </c>
      <c r="P495">
        <v>11</v>
      </c>
      <c r="Q495">
        <v>9</v>
      </c>
      <c r="R495">
        <v>3</v>
      </c>
      <c r="S495">
        <v>12</v>
      </c>
      <c r="T495">
        <v>20</v>
      </c>
      <c r="U495">
        <v>21</v>
      </c>
      <c r="V495">
        <v>34</v>
      </c>
      <c r="W495">
        <v>22</v>
      </c>
      <c r="X495">
        <v>37</v>
      </c>
      <c r="Y495">
        <v>22</v>
      </c>
      <c r="Z495">
        <v>33</v>
      </c>
      <c r="AA495">
        <v>33</v>
      </c>
      <c r="AB495">
        <v>5</v>
      </c>
      <c r="AC495" s="28">
        <v>19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ht="12" customHeight="1" x14ac:dyDescent="0.2">
      <c r="A496" t="s">
        <v>118</v>
      </c>
      <c r="B496">
        <v>2</v>
      </c>
      <c r="C496">
        <v>2</v>
      </c>
      <c r="D496">
        <v>3</v>
      </c>
      <c r="E496">
        <v>4</v>
      </c>
      <c r="F496">
        <v>4</v>
      </c>
      <c r="G496">
        <v>3</v>
      </c>
      <c r="H496">
        <v>8</v>
      </c>
      <c r="I496">
        <v>1</v>
      </c>
      <c r="J496">
        <v>0</v>
      </c>
      <c r="K496">
        <v>2</v>
      </c>
      <c r="L496">
        <v>0</v>
      </c>
      <c r="M496">
        <v>0</v>
      </c>
      <c r="N496">
        <v>8</v>
      </c>
      <c r="O496">
        <v>8</v>
      </c>
      <c r="P496">
        <v>2</v>
      </c>
      <c r="Q496">
        <v>0</v>
      </c>
      <c r="R496">
        <v>0</v>
      </c>
      <c r="S496">
        <v>0</v>
      </c>
      <c r="T496">
        <v>4</v>
      </c>
      <c r="U496">
        <v>7</v>
      </c>
      <c r="V496">
        <v>6</v>
      </c>
      <c r="W496">
        <v>11</v>
      </c>
      <c r="X496">
        <v>9</v>
      </c>
      <c r="Y496">
        <v>5</v>
      </c>
      <c r="Z496">
        <v>5</v>
      </c>
      <c r="AA496">
        <v>3</v>
      </c>
      <c r="AB496">
        <v>0</v>
      </c>
      <c r="AC496" s="28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ht="12" customHeight="1" x14ac:dyDescent="0.2">
      <c r="A497" t="s">
        <v>119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3</v>
      </c>
      <c r="U497">
        <v>3</v>
      </c>
      <c r="V497">
        <v>3</v>
      </c>
      <c r="W497">
        <v>3</v>
      </c>
      <c r="X497">
        <v>3</v>
      </c>
      <c r="Y497">
        <v>2</v>
      </c>
      <c r="Z497">
        <v>2</v>
      </c>
      <c r="AA497">
        <v>0</v>
      </c>
      <c r="AB497">
        <v>0</v>
      </c>
      <c r="AC497" s="28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ht="12" customHeight="1" x14ac:dyDescent="0.2">
      <c r="A498" t="s">
        <v>120</v>
      </c>
      <c r="B498">
        <v>45</v>
      </c>
      <c r="C498">
        <v>47</v>
      </c>
      <c r="D498">
        <v>60</v>
      </c>
      <c r="E498">
        <v>72</v>
      </c>
      <c r="F498">
        <v>72</v>
      </c>
      <c r="G498">
        <v>57</v>
      </c>
      <c r="H498">
        <v>43</v>
      </c>
      <c r="I498">
        <v>44</v>
      </c>
      <c r="J498">
        <v>34</v>
      </c>
      <c r="K498">
        <v>38</v>
      </c>
      <c r="L498">
        <v>26</v>
      </c>
      <c r="M498">
        <v>35</v>
      </c>
      <c r="N498">
        <v>27</v>
      </c>
      <c r="O498">
        <v>27</v>
      </c>
      <c r="P498">
        <v>29</v>
      </c>
      <c r="Q498">
        <v>36</v>
      </c>
      <c r="R498">
        <v>31</v>
      </c>
      <c r="S498">
        <v>43</v>
      </c>
      <c r="T498">
        <v>38</v>
      </c>
      <c r="U498">
        <v>48</v>
      </c>
      <c r="V498">
        <v>55</v>
      </c>
      <c r="W498">
        <v>76</v>
      </c>
      <c r="X498">
        <v>44</v>
      </c>
      <c r="Y498">
        <v>53</v>
      </c>
      <c r="Z498">
        <v>72</v>
      </c>
      <c r="AA498">
        <v>36</v>
      </c>
      <c r="AB498">
        <v>22</v>
      </c>
      <c r="AC498" s="28">
        <v>31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ht="12" customHeight="1" x14ac:dyDescent="0.2">
      <c r="A499" t="s">
        <v>121</v>
      </c>
      <c r="B499">
        <v>6</v>
      </c>
      <c r="C499">
        <v>6</v>
      </c>
      <c r="D499">
        <v>7</v>
      </c>
      <c r="E499">
        <v>9</v>
      </c>
      <c r="F499">
        <v>9</v>
      </c>
      <c r="G499">
        <v>7</v>
      </c>
      <c r="H499">
        <v>1</v>
      </c>
      <c r="I499">
        <v>17</v>
      </c>
      <c r="J499">
        <v>15</v>
      </c>
      <c r="K499">
        <v>14</v>
      </c>
      <c r="L499">
        <v>13</v>
      </c>
      <c r="M499">
        <v>10</v>
      </c>
      <c r="N499">
        <v>10</v>
      </c>
      <c r="O499">
        <v>8</v>
      </c>
      <c r="P499">
        <v>9</v>
      </c>
      <c r="Q499">
        <v>10</v>
      </c>
      <c r="R499">
        <v>14</v>
      </c>
      <c r="S499">
        <v>25</v>
      </c>
      <c r="T499">
        <v>15</v>
      </c>
      <c r="U499">
        <v>21</v>
      </c>
      <c r="V499">
        <v>19</v>
      </c>
      <c r="W499">
        <v>20</v>
      </c>
      <c r="X499">
        <v>11</v>
      </c>
      <c r="Y499">
        <v>7</v>
      </c>
      <c r="Z499">
        <v>17</v>
      </c>
      <c r="AA499">
        <v>9</v>
      </c>
      <c r="AB499">
        <v>8</v>
      </c>
      <c r="AC499" s="28">
        <v>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ht="12" customHeight="1" x14ac:dyDescent="0.2">
      <c r="A500" t="s">
        <v>122</v>
      </c>
      <c r="B500">
        <v>3</v>
      </c>
      <c r="C500">
        <v>3</v>
      </c>
      <c r="D500">
        <v>4</v>
      </c>
      <c r="E500">
        <v>5</v>
      </c>
      <c r="F500">
        <v>5</v>
      </c>
      <c r="G500">
        <v>4</v>
      </c>
      <c r="H500">
        <v>0</v>
      </c>
      <c r="I500">
        <v>5</v>
      </c>
      <c r="J500">
        <v>7</v>
      </c>
      <c r="K500">
        <v>5</v>
      </c>
      <c r="L500">
        <v>5</v>
      </c>
      <c r="M500">
        <v>5</v>
      </c>
      <c r="N500">
        <v>4</v>
      </c>
      <c r="O500">
        <v>8</v>
      </c>
      <c r="P500">
        <v>7</v>
      </c>
      <c r="Q500">
        <v>7</v>
      </c>
      <c r="R500">
        <v>11</v>
      </c>
      <c r="S500">
        <v>5</v>
      </c>
      <c r="T500">
        <v>5</v>
      </c>
      <c r="U500">
        <v>10</v>
      </c>
      <c r="V500">
        <v>7</v>
      </c>
      <c r="W500">
        <v>3</v>
      </c>
      <c r="X500">
        <v>4</v>
      </c>
      <c r="Y500">
        <v>8</v>
      </c>
      <c r="Z500">
        <v>4</v>
      </c>
      <c r="AA500">
        <v>0</v>
      </c>
      <c r="AB500">
        <v>0</v>
      </c>
      <c r="AC500" s="28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ht="12" customHeight="1" x14ac:dyDescent="0.2">
      <c r="A501" t="s">
        <v>123</v>
      </c>
      <c r="B501">
        <v>6</v>
      </c>
      <c r="C501">
        <v>6</v>
      </c>
      <c r="D501">
        <v>7</v>
      </c>
      <c r="E501">
        <v>9</v>
      </c>
      <c r="F501">
        <v>9</v>
      </c>
      <c r="G501">
        <v>7</v>
      </c>
      <c r="H501">
        <v>7</v>
      </c>
      <c r="I501">
        <v>6</v>
      </c>
      <c r="J501">
        <v>2</v>
      </c>
      <c r="K501">
        <v>2</v>
      </c>
      <c r="L501">
        <v>5</v>
      </c>
      <c r="M501">
        <v>4</v>
      </c>
      <c r="N501">
        <v>7</v>
      </c>
      <c r="O501">
        <v>3</v>
      </c>
      <c r="P501">
        <v>5</v>
      </c>
      <c r="Q501">
        <v>7</v>
      </c>
      <c r="R501">
        <v>11</v>
      </c>
      <c r="S501">
        <v>5</v>
      </c>
      <c r="T501">
        <v>8</v>
      </c>
      <c r="U501">
        <v>8</v>
      </c>
      <c r="V501">
        <v>16</v>
      </c>
      <c r="W501">
        <v>7</v>
      </c>
      <c r="X501">
        <v>12</v>
      </c>
      <c r="Y501">
        <v>10</v>
      </c>
      <c r="Z501">
        <v>7</v>
      </c>
      <c r="AA501">
        <v>3</v>
      </c>
      <c r="AB501">
        <v>0</v>
      </c>
      <c r="AC501" s="28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ht="12" customHeight="1" x14ac:dyDescent="0.2">
      <c r="A502" t="s">
        <v>124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0</v>
      </c>
      <c r="M502">
        <v>0</v>
      </c>
      <c r="N502">
        <v>0</v>
      </c>
      <c r="O502">
        <v>4</v>
      </c>
      <c r="P502">
        <v>7</v>
      </c>
      <c r="Q502">
        <v>2</v>
      </c>
      <c r="R502">
        <v>4</v>
      </c>
      <c r="S502">
        <v>9</v>
      </c>
      <c r="T502">
        <v>5</v>
      </c>
      <c r="U502">
        <v>6</v>
      </c>
      <c r="V502">
        <v>4</v>
      </c>
      <c r="W502">
        <v>2</v>
      </c>
      <c r="X502">
        <v>1</v>
      </c>
      <c r="Y502">
        <v>1</v>
      </c>
      <c r="Z502">
        <v>2</v>
      </c>
      <c r="AA502">
        <v>1</v>
      </c>
      <c r="AB502">
        <v>2</v>
      </c>
      <c r="AC502" s="28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ht="12" customHeight="1" x14ac:dyDescent="0.2">
      <c r="A503" t="s">
        <v>125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2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2</v>
      </c>
      <c r="R503">
        <v>1</v>
      </c>
      <c r="S503">
        <v>5</v>
      </c>
      <c r="T503">
        <v>4</v>
      </c>
      <c r="U503">
        <v>5</v>
      </c>
      <c r="V503">
        <v>0</v>
      </c>
      <c r="W503">
        <v>2</v>
      </c>
      <c r="X503">
        <v>0</v>
      </c>
      <c r="Y503">
        <v>2</v>
      </c>
      <c r="Z503">
        <v>3</v>
      </c>
      <c r="AA503">
        <v>0</v>
      </c>
      <c r="AB503">
        <v>1</v>
      </c>
      <c r="AC503" s="28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ht="12" customHeight="1" x14ac:dyDescent="0.2">
      <c r="A504" t="s">
        <v>126</v>
      </c>
      <c r="B504">
        <v>3</v>
      </c>
      <c r="C504">
        <v>3</v>
      </c>
      <c r="D504">
        <v>4</v>
      </c>
      <c r="E504">
        <v>5</v>
      </c>
      <c r="F504">
        <v>5</v>
      </c>
      <c r="G504">
        <v>4</v>
      </c>
      <c r="H504">
        <v>14</v>
      </c>
      <c r="I504">
        <v>6</v>
      </c>
      <c r="J504">
        <v>10</v>
      </c>
      <c r="K504">
        <v>5</v>
      </c>
      <c r="L504">
        <v>11</v>
      </c>
      <c r="M504">
        <v>23</v>
      </c>
      <c r="N504">
        <v>26</v>
      </c>
      <c r="O504">
        <v>26</v>
      </c>
      <c r="P504">
        <v>6</v>
      </c>
      <c r="Q504">
        <v>22</v>
      </c>
      <c r="R504">
        <v>28</v>
      </c>
      <c r="S504">
        <v>42</v>
      </c>
      <c r="T504">
        <v>57</v>
      </c>
      <c r="U504">
        <v>62</v>
      </c>
      <c r="V504">
        <v>49</v>
      </c>
      <c r="W504">
        <v>53</v>
      </c>
      <c r="X504">
        <v>72</v>
      </c>
      <c r="Y504">
        <v>91</v>
      </c>
      <c r="Z504">
        <v>46</v>
      </c>
      <c r="AA504">
        <v>6</v>
      </c>
      <c r="AB504">
        <v>14</v>
      </c>
      <c r="AC504" s="28">
        <v>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ht="12" customHeight="1" x14ac:dyDescent="0.2">
      <c r="A505" t="s">
        <v>127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3</v>
      </c>
      <c r="M505">
        <v>1</v>
      </c>
      <c r="N505">
        <v>21</v>
      </c>
      <c r="O505">
        <v>15</v>
      </c>
      <c r="P505">
        <v>8</v>
      </c>
      <c r="Q505">
        <v>3</v>
      </c>
      <c r="R505">
        <v>0</v>
      </c>
      <c r="S505">
        <v>8</v>
      </c>
      <c r="T505">
        <v>7</v>
      </c>
      <c r="U505">
        <v>7</v>
      </c>
      <c r="V505">
        <v>3</v>
      </c>
      <c r="W505">
        <v>1</v>
      </c>
      <c r="X505">
        <v>5</v>
      </c>
      <c r="Y505">
        <v>2</v>
      </c>
      <c r="Z505">
        <v>0</v>
      </c>
      <c r="AA505">
        <v>2</v>
      </c>
      <c r="AB505">
        <v>0</v>
      </c>
      <c r="AC505" s="28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ht="12" customHeight="1" x14ac:dyDescent="0.2">
      <c r="A506" t="s">
        <v>128</v>
      </c>
      <c r="B506">
        <v>7</v>
      </c>
      <c r="C506">
        <v>7</v>
      </c>
      <c r="D506">
        <v>9</v>
      </c>
      <c r="E506">
        <v>11</v>
      </c>
      <c r="F506">
        <v>11</v>
      </c>
      <c r="G506">
        <v>9</v>
      </c>
      <c r="H506">
        <v>27</v>
      </c>
      <c r="I506">
        <v>20</v>
      </c>
      <c r="J506">
        <v>21</v>
      </c>
      <c r="K506">
        <v>23</v>
      </c>
      <c r="L506">
        <v>27</v>
      </c>
      <c r="M506">
        <v>20</v>
      </c>
      <c r="N506">
        <v>19</v>
      </c>
      <c r="O506">
        <v>20</v>
      </c>
      <c r="P506">
        <v>31</v>
      </c>
      <c r="Q506">
        <v>21</v>
      </c>
      <c r="R506">
        <v>21</v>
      </c>
      <c r="S506">
        <v>30</v>
      </c>
      <c r="T506">
        <v>53</v>
      </c>
      <c r="U506">
        <v>50</v>
      </c>
      <c r="V506">
        <v>67</v>
      </c>
      <c r="W506">
        <v>42</v>
      </c>
      <c r="X506">
        <v>53</v>
      </c>
      <c r="Y506">
        <v>50</v>
      </c>
      <c r="Z506">
        <v>48</v>
      </c>
      <c r="AA506">
        <v>10</v>
      </c>
      <c r="AB506">
        <v>9</v>
      </c>
      <c r="AC506" s="28">
        <v>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ht="12" customHeight="1" x14ac:dyDescent="0.2">
      <c r="A507" t="s">
        <v>129</v>
      </c>
      <c r="B507">
        <v>10</v>
      </c>
      <c r="C507">
        <v>11</v>
      </c>
      <c r="D507">
        <v>14</v>
      </c>
      <c r="E507">
        <v>16</v>
      </c>
      <c r="F507">
        <v>17</v>
      </c>
      <c r="G507">
        <v>13</v>
      </c>
      <c r="H507">
        <v>13</v>
      </c>
      <c r="I507">
        <v>14</v>
      </c>
      <c r="J507">
        <v>19</v>
      </c>
      <c r="K507">
        <v>13</v>
      </c>
      <c r="L507">
        <v>18</v>
      </c>
      <c r="M507">
        <v>39</v>
      </c>
      <c r="N507">
        <v>29</v>
      </c>
      <c r="O507">
        <v>25</v>
      </c>
      <c r="P507">
        <v>39</v>
      </c>
      <c r="Q507">
        <v>30</v>
      </c>
      <c r="R507">
        <v>28</v>
      </c>
      <c r="S507">
        <v>48</v>
      </c>
      <c r="T507">
        <v>46</v>
      </c>
      <c r="U507">
        <v>58</v>
      </c>
      <c r="V507">
        <v>65</v>
      </c>
      <c r="W507">
        <v>88</v>
      </c>
      <c r="X507">
        <v>84</v>
      </c>
      <c r="Y507">
        <v>59</v>
      </c>
      <c r="Z507">
        <v>41</v>
      </c>
      <c r="AA507">
        <v>13</v>
      </c>
      <c r="AB507">
        <v>1</v>
      </c>
      <c r="AC507" s="28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ht="12" customHeight="1" x14ac:dyDescent="0.2">
      <c r="A508" t="s">
        <v>130</v>
      </c>
      <c r="B508">
        <v>2</v>
      </c>
      <c r="C508">
        <v>2</v>
      </c>
      <c r="D508">
        <v>2</v>
      </c>
      <c r="E508">
        <v>3</v>
      </c>
      <c r="F508">
        <v>3</v>
      </c>
      <c r="G508">
        <v>2</v>
      </c>
      <c r="H508">
        <v>7</v>
      </c>
      <c r="I508">
        <v>4</v>
      </c>
      <c r="J508">
        <v>4</v>
      </c>
      <c r="K508">
        <v>9</v>
      </c>
      <c r="L508">
        <v>15</v>
      </c>
      <c r="M508">
        <v>5</v>
      </c>
      <c r="N508">
        <v>4</v>
      </c>
      <c r="O508">
        <v>0</v>
      </c>
      <c r="P508">
        <v>7</v>
      </c>
      <c r="Q508">
        <v>7</v>
      </c>
      <c r="R508">
        <v>19</v>
      </c>
      <c r="S508">
        <v>4</v>
      </c>
      <c r="T508">
        <v>9</v>
      </c>
      <c r="U508">
        <v>16</v>
      </c>
      <c r="V508">
        <v>15</v>
      </c>
      <c r="W508">
        <v>19</v>
      </c>
      <c r="X508">
        <v>13</v>
      </c>
      <c r="Y508">
        <v>8</v>
      </c>
      <c r="Z508">
        <v>19</v>
      </c>
      <c r="AA508">
        <v>4</v>
      </c>
      <c r="AB508">
        <v>2</v>
      </c>
      <c r="AC508" s="2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ht="12" customHeight="1" x14ac:dyDescent="0.2">
      <c r="A509" t="s">
        <v>131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2</v>
      </c>
      <c r="I509">
        <v>4</v>
      </c>
      <c r="J509">
        <v>0</v>
      </c>
      <c r="K509">
        <v>0</v>
      </c>
      <c r="L509">
        <v>1</v>
      </c>
      <c r="M509">
        <v>0</v>
      </c>
      <c r="N509">
        <v>2</v>
      </c>
      <c r="O509">
        <v>8</v>
      </c>
      <c r="P509">
        <v>0</v>
      </c>
      <c r="Q509">
        <v>2</v>
      </c>
      <c r="R509">
        <v>2</v>
      </c>
      <c r="S509">
        <v>4</v>
      </c>
      <c r="T509">
        <v>2</v>
      </c>
      <c r="U509">
        <v>2</v>
      </c>
      <c r="V509">
        <v>3</v>
      </c>
      <c r="W509">
        <v>6</v>
      </c>
      <c r="X509">
        <v>0</v>
      </c>
      <c r="Y509">
        <v>0</v>
      </c>
      <c r="Z509">
        <v>3</v>
      </c>
      <c r="AA509">
        <v>0</v>
      </c>
      <c r="AB509">
        <v>0</v>
      </c>
      <c r="AC509" s="28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ht="12" customHeight="1" x14ac:dyDescent="0.2">
      <c r="A510" t="s">
        <v>132</v>
      </c>
      <c r="B510">
        <v>2</v>
      </c>
      <c r="C510">
        <v>2</v>
      </c>
      <c r="D510">
        <v>2</v>
      </c>
      <c r="E510">
        <v>3</v>
      </c>
      <c r="F510">
        <v>3</v>
      </c>
      <c r="G510">
        <v>2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6</v>
      </c>
      <c r="N510">
        <v>3</v>
      </c>
      <c r="O510">
        <v>8</v>
      </c>
      <c r="P510">
        <v>6</v>
      </c>
      <c r="Q510">
        <v>1</v>
      </c>
      <c r="R510">
        <v>6</v>
      </c>
      <c r="S510">
        <v>14</v>
      </c>
      <c r="T510">
        <v>7</v>
      </c>
      <c r="U510">
        <v>11</v>
      </c>
      <c r="V510">
        <v>12</v>
      </c>
      <c r="W510">
        <v>11</v>
      </c>
      <c r="X510">
        <v>7</v>
      </c>
      <c r="Y510">
        <v>3</v>
      </c>
      <c r="Z510">
        <v>1</v>
      </c>
      <c r="AA510">
        <v>0</v>
      </c>
      <c r="AB510">
        <v>0</v>
      </c>
      <c r="AC510" s="28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</row>
    <row r="511" spans="1:57" ht="12" customHeight="1" x14ac:dyDescent="0.2">
      <c r="A511" t="s">
        <v>133</v>
      </c>
      <c r="B511">
        <v>17</v>
      </c>
      <c r="C511">
        <v>20</v>
      </c>
      <c r="D511">
        <v>26</v>
      </c>
      <c r="E511">
        <v>40</v>
      </c>
      <c r="F511">
        <v>59</v>
      </c>
      <c r="G511">
        <v>88</v>
      </c>
      <c r="H511">
        <v>123</v>
      </c>
      <c r="I511">
        <v>155</v>
      </c>
      <c r="J511">
        <v>288</v>
      </c>
      <c r="K511">
        <v>271</v>
      </c>
      <c r="L511">
        <v>173</v>
      </c>
      <c r="M511">
        <v>87</v>
      </c>
      <c r="N511">
        <v>98</v>
      </c>
      <c r="O511">
        <v>129</v>
      </c>
      <c r="P511">
        <v>54</v>
      </c>
      <c r="Q511">
        <v>35</v>
      </c>
      <c r="R511">
        <v>38</v>
      </c>
      <c r="S511">
        <v>11</v>
      </c>
      <c r="T511">
        <v>49</v>
      </c>
      <c r="U511">
        <v>108</v>
      </c>
      <c r="V511">
        <v>115</v>
      </c>
      <c r="W511">
        <v>105</v>
      </c>
      <c r="X511">
        <v>72</v>
      </c>
      <c r="Y511">
        <v>63</v>
      </c>
      <c r="Z511">
        <v>79</v>
      </c>
      <c r="AA511">
        <v>40</v>
      </c>
      <c r="AB511">
        <v>29</v>
      </c>
      <c r="AC511" s="28">
        <v>33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 ht="12" customHeight="1" x14ac:dyDescent="0.2">
      <c r="A512" t="s">
        <v>134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8</v>
      </c>
      <c r="L512">
        <v>39</v>
      </c>
      <c r="M512">
        <v>17</v>
      </c>
      <c r="N512">
        <v>26</v>
      </c>
      <c r="O512">
        <v>5</v>
      </c>
      <c r="P512">
        <v>16</v>
      </c>
      <c r="Q512">
        <v>8</v>
      </c>
      <c r="R512">
        <v>20</v>
      </c>
      <c r="S512">
        <v>5</v>
      </c>
      <c r="T512">
        <v>14</v>
      </c>
      <c r="U512">
        <v>7</v>
      </c>
      <c r="V512">
        <v>14</v>
      </c>
      <c r="W512">
        <v>20</v>
      </c>
      <c r="X512">
        <v>16</v>
      </c>
      <c r="Y512">
        <v>3</v>
      </c>
      <c r="Z512">
        <v>0</v>
      </c>
      <c r="AA512">
        <v>4</v>
      </c>
      <c r="AB512">
        <v>1</v>
      </c>
      <c r="AC512" s="28">
        <v>4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ht="12" customHeight="1" x14ac:dyDescent="0.2">
      <c r="A513" t="s">
        <v>135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</v>
      </c>
      <c r="L513">
        <v>0</v>
      </c>
      <c r="M513">
        <v>0</v>
      </c>
      <c r="N513">
        <v>3</v>
      </c>
      <c r="O513">
        <v>3</v>
      </c>
      <c r="P513">
        <v>1</v>
      </c>
      <c r="Q513">
        <v>1</v>
      </c>
      <c r="R513">
        <v>4</v>
      </c>
      <c r="S513">
        <v>8</v>
      </c>
      <c r="T513">
        <v>7</v>
      </c>
      <c r="U513">
        <v>12</v>
      </c>
      <c r="V513">
        <v>7</v>
      </c>
      <c r="W513">
        <v>5</v>
      </c>
      <c r="X513">
        <v>2</v>
      </c>
      <c r="Y513">
        <v>4</v>
      </c>
      <c r="Z513">
        <v>0</v>
      </c>
      <c r="AA513">
        <v>0</v>
      </c>
      <c r="AB513">
        <v>0</v>
      </c>
      <c r="AC513" s="28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ht="12" customHeight="1" x14ac:dyDescent="0.2">
      <c r="A514" t="s">
        <v>136</v>
      </c>
      <c r="B514">
        <v>7</v>
      </c>
      <c r="C514">
        <v>8</v>
      </c>
      <c r="D514">
        <v>11</v>
      </c>
      <c r="E514">
        <v>16</v>
      </c>
      <c r="F514">
        <v>24</v>
      </c>
      <c r="G514">
        <v>36</v>
      </c>
      <c r="H514">
        <v>42</v>
      </c>
      <c r="I514">
        <v>27</v>
      </c>
      <c r="J514">
        <v>30</v>
      </c>
      <c r="K514">
        <v>31</v>
      </c>
      <c r="L514">
        <v>30</v>
      </c>
      <c r="M514">
        <v>61</v>
      </c>
      <c r="N514">
        <v>49</v>
      </c>
      <c r="O514">
        <v>37</v>
      </c>
      <c r="P514">
        <v>124</v>
      </c>
      <c r="Q514">
        <v>84</v>
      </c>
      <c r="R514">
        <v>68</v>
      </c>
      <c r="S514">
        <v>66</v>
      </c>
      <c r="T514">
        <v>38</v>
      </c>
      <c r="U514">
        <v>22</v>
      </c>
      <c r="V514">
        <v>27</v>
      </c>
      <c r="W514">
        <v>46</v>
      </c>
      <c r="X514">
        <v>41</v>
      </c>
      <c r="Y514">
        <v>34</v>
      </c>
      <c r="Z514">
        <v>17</v>
      </c>
      <c r="AA514">
        <v>12</v>
      </c>
      <c r="AB514">
        <v>17</v>
      </c>
      <c r="AC514" s="28">
        <v>10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ht="12" customHeight="1" x14ac:dyDescent="0.2">
      <c r="A515" t="s">
        <v>137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3</v>
      </c>
      <c r="J515">
        <v>3</v>
      </c>
      <c r="K515">
        <v>0</v>
      </c>
      <c r="L515">
        <v>2</v>
      </c>
      <c r="M515">
        <v>1</v>
      </c>
      <c r="N515">
        <v>0</v>
      </c>
      <c r="O515">
        <v>1</v>
      </c>
      <c r="P515">
        <v>8</v>
      </c>
      <c r="Q515">
        <v>8</v>
      </c>
      <c r="R515">
        <v>5</v>
      </c>
      <c r="S515">
        <v>4</v>
      </c>
      <c r="T515">
        <v>7</v>
      </c>
      <c r="U515">
        <v>3</v>
      </c>
      <c r="V515">
        <v>6</v>
      </c>
      <c r="W515">
        <v>9</v>
      </c>
      <c r="X515">
        <v>15</v>
      </c>
      <c r="Y515">
        <v>10</v>
      </c>
      <c r="Z515">
        <v>6</v>
      </c>
      <c r="AA515">
        <v>0</v>
      </c>
      <c r="AB515">
        <v>2</v>
      </c>
      <c r="AC515" s="28">
        <v>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ht="12" customHeight="1" x14ac:dyDescent="0.2">
      <c r="A516" t="s">
        <v>138</v>
      </c>
      <c r="B516">
        <v>1</v>
      </c>
      <c r="C516">
        <v>1</v>
      </c>
      <c r="D516">
        <v>2</v>
      </c>
      <c r="E516">
        <v>3</v>
      </c>
      <c r="F516">
        <v>4</v>
      </c>
      <c r="G516">
        <v>6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4</v>
      </c>
      <c r="O516">
        <v>16</v>
      </c>
      <c r="P516">
        <v>12</v>
      </c>
      <c r="Q516">
        <v>4</v>
      </c>
      <c r="R516">
        <v>10</v>
      </c>
      <c r="S516">
        <v>8</v>
      </c>
      <c r="T516">
        <v>8</v>
      </c>
      <c r="U516">
        <v>2</v>
      </c>
      <c r="V516">
        <v>4</v>
      </c>
      <c r="W516">
        <v>5</v>
      </c>
      <c r="X516">
        <v>2</v>
      </c>
      <c r="Y516">
        <v>4</v>
      </c>
      <c r="Z516">
        <v>5</v>
      </c>
      <c r="AA516">
        <v>1</v>
      </c>
      <c r="AB516">
        <v>1</v>
      </c>
      <c r="AC516" s="28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ht="12" customHeight="1" x14ac:dyDescent="0.2">
      <c r="A517" t="s">
        <v>139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s="28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ht="12" customHeight="1" x14ac:dyDescent="0.2">
      <c r="A518" t="s">
        <v>140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4</v>
      </c>
      <c r="P518">
        <v>1</v>
      </c>
      <c r="Q518">
        <v>1</v>
      </c>
      <c r="R518">
        <v>21</v>
      </c>
      <c r="S518">
        <v>7</v>
      </c>
      <c r="T518">
        <v>7</v>
      </c>
      <c r="U518">
        <v>19</v>
      </c>
      <c r="V518">
        <v>11</v>
      </c>
      <c r="W518">
        <v>13</v>
      </c>
      <c r="X518">
        <v>19</v>
      </c>
      <c r="Y518">
        <v>25</v>
      </c>
      <c r="Z518">
        <v>2</v>
      </c>
      <c r="AA518">
        <v>2</v>
      </c>
      <c r="AB518">
        <v>12</v>
      </c>
      <c r="AC518" s="2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ht="12" customHeight="1" x14ac:dyDescent="0.2">
      <c r="A519" t="s">
        <v>141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2</v>
      </c>
      <c r="P519">
        <v>2</v>
      </c>
      <c r="Q519">
        <v>0</v>
      </c>
      <c r="R519">
        <v>6</v>
      </c>
      <c r="S519">
        <v>14</v>
      </c>
      <c r="T519">
        <v>9</v>
      </c>
      <c r="U519">
        <v>4</v>
      </c>
      <c r="V519">
        <v>3</v>
      </c>
      <c r="W519">
        <v>0</v>
      </c>
      <c r="X519">
        <v>2</v>
      </c>
      <c r="Y519">
        <v>6</v>
      </c>
      <c r="Z519">
        <v>9</v>
      </c>
      <c r="AA519">
        <v>2</v>
      </c>
      <c r="AB519">
        <v>0</v>
      </c>
      <c r="AC519" s="28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ht="12" customHeight="1" x14ac:dyDescent="0.2">
      <c r="A520" t="s">
        <v>142</v>
      </c>
      <c r="B520">
        <v>3</v>
      </c>
      <c r="C520">
        <v>3</v>
      </c>
      <c r="D520">
        <v>4</v>
      </c>
      <c r="E520">
        <v>7</v>
      </c>
      <c r="F520">
        <v>10</v>
      </c>
      <c r="G520">
        <v>15</v>
      </c>
      <c r="H520">
        <v>15</v>
      </c>
      <c r="I520">
        <v>8</v>
      </c>
      <c r="J520">
        <v>9</v>
      </c>
      <c r="K520">
        <v>8</v>
      </c>
      <c r="L520">
        <v>7</v>
      </c>
      <c r="M520">
        <v>4</v>
      </c>
      <c r="N520">
        <v>4</v>
      </c>
      <c r="O520">
        <v>19</v>
      </c>
      <c r="P520">
        <v>20</v>
      </c>
      <c r="Q520">
        <v>18</v>
      </c>
      <c r="R520">
        <v>21</v>
      </c>
      <c r="S520">
        <v>27</v>
      </c>
      <c r="T520">
        <v>15</v>
      </c>
      <c r="U520">
        <v>11</v>
      </c>
      <c r="V520">
        <v>15</v>
      </c>
      <c r="W520">
        <v>17</v>
      </c>
      <c r="X520">
        <v>21</v>
      </c>
      <c r="Y520">
        <v>9</v>
      </c>
      <c r="Z520">
        <v>14</v>
      </c>
      <c r="AA520">
        <v>20</v>
      </c>
      <c r="AB520">
        <v>18</v>
      </c>
      <c r="AC520" s="28">
        <v>27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ht="12" customHeight="1" x14ac:dyDescent="0.2">
      <c r="A521" t="s">
        <v>143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7</v>
      </c>
      <c r="R521">
        <v>8</v>
      </c>
      <c r="S521">
        <v>11</v>
      </c>
      <c r="T521">
        <v>3</v>
      </c>
      <c r="U521">
        <v>2</v>
      </c>
      <c r="V521">
        <v>4</v>
      </c>
      <c r="W521">
        <v>5</v>
      </c>
      <c r="X521">
        <v>8</v>
      </c>
      <c r="Y521">
        <v>16</v>
      </c>
      <c r="Z521">
        <v>11</v>
      </c>
      <c r="AA521">
        <v>0</v>
      </c>
      <c r="AB521">
        <v>4</v>
      </c>
      <c r="AC521" s="28">
        <v>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ht="12" customHeight="1" x14ac:dyDescent="0.2">
      <c r="A522" t="s">
        <v>144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2</v>
      </c>
      <c r="N522">
        <v>3</v>
      </c>
      <c r="O522">
        <v>6</v>
      </c>
      <c r="P522">
        <v>26</v>
      </c>
      <c r="Q522">
        <v>22</v>
      </c>
      <c r="R522">
        <v>14</v>
      </c>
      <c r="S522">
        <v>16</v>
      </c>
      <c r="T522">
        <v>36</v>
      </c>
      <c r="U522">
        <v>52</v>
      </c>
      <c r="V522">
        <v>36</v>
      </c>
      <c r="W522">
        <v>36</v>
      </c>
      <c r="X522">
        <v>26</v>
      </c>
      <c r="Y522">
        <v>25</v>
      </c>
      <c r="Z522">
        <v>12</v>
      </c>
      <c r="AA522">
        <v>4</v>
      </c>
      <c r="AB522">
        <v>4</v>
      </c>
      <c r="AC522" s="28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ht="12" customHeight="1" x14ac:dyDescent="0.2">
      <c r="A523" t="s">
        <v>145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0</v>
      </c>
      <c r="L523">
        <v>2</v>
      </c>
      <c r="M523">
        <v>17</v>
      </c>
      <c r="N523">
        <v>7</v>
      </c>
      <c r="O523">
        <v>18</v>
      </c>
      <c r="P523">
        <v>8</v>
      </c>
      <c r="Q523">
        <v>15</v>
      </c>
      <c r="R523">
        <v>8</v>
      </c>
      <c r="S523">
        <v>4</v>
      </c>
      <c r="T523">
        <v>1</v>
      </c>
      <c r="U523">
        <v>6</v>
      </c>
      <c r="V523">
        <v>2</v>
      </c>
      <c r="W523">
        <v>3</v>
      </c>
      <c r="X523">
        <v>7</v>
      </c>
      <c r="Y523">
        <v>5</v>
      </c>
      <c r="Z523">
        <v>0</v>
      </c>
      <c r="AA523">
        <v>0</v>
      </c>
      <c r="AB523">
        <v>0</v>
      </c>
      <c r="AC523" s="28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ht="12" customHeight="1" x14ac:dyDescent="0.2">
      <c r="A524" t="s">
        <v>146</v>
      </c>
      <c r="B524">
        <v>0</v>
      </c>
      <c r="C524">
        <v>0</v>
      </c>
      <c r="D524">
        <v>1</v>
      </c>
      <c r="E524">
        <v>1</v>
      </c>
      <c r="F524">
        <v>1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3</v>
      </c>
      <c r="N524">
        <v>11</v>
      </c>
      <c r="O524">
        <v>6</v>
      </c>
      <c r="P524">
        <v>19</v>
      </c>
      <c r="Q524">
        <v>24</v>
      </c>
      <c r="R524">
        <v>17</v>
      </c>
      <c r="S524">
        <v>16</v>
      </c>
      <c r="T524">
        <v>7</v>
      </c>
      <c r="U524">
        <v>15</v>
      </c>
      <c r="V524">
        <v>7</v>
      </c>
      <c r="W524">
        <v>8</v>
      </c>
      <c r="X524">
        <v>7</v>
      </c>
      <c r="Y524">
        <v>9</v>
      </c>
      <c r="Z524">
        <v>13</v>
      </c>
      <c r="AA524">
        <v>3</v>
      </c>
      <c r="AB524">
        <v>5</v>
      </c>
      <c r="AC524" s="28">
        <v>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ht="12" customHeight="1" x14ac:dyDescent="0.2">
      <c r="A525" t="s">
        <v>147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2</v>
      </c>
      <c r="O525">
        <v>8</v>
      </c>
      <c r="P525">
        <v>15</v>
      </c>
      <c r="Q525">
        <v>19</v>
      </c>
      <c r="R525">
        <v>27</v>
      </c>
      <c r="S525">
        <v>37</v>
      </c>
      <c r="T525">
        <v>23</v>
      </c>
      <c r="U525">
        <v>16</v>
      </c>
      <c r="V525">
        <v>17</v>
      </c>
      <c r="W525">
        <v>0</v>
      </c>
      <c r="X525">
        <v>1</v>
      </c>
      <c r="Y525">
        <v>1</v>
      </c>
      <c r="Z525">
        <v>4</v>
      </c>
      <c r="AA525">
        <v>4</v>
      </c>
      <c r="AB525">
        <v>3</v>
      </c>
      <c r="AC525" s="28">
        <v>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ht="12" customHeight="1" x14ac:dyDescent="0.2">
      <c r="A526" t="s">
        <v>148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13</v>
      </c>
      <c r="N526">
        <v>14</v>
      </c>
      <c r="O526">
        <v>16</v>
      </c>
      <c r="P526">
        <v>12</v>
      </c>
      <c r="Q526">
        <v>17</v>
      </c>
      <c r="R526">
        <v>19</v>
      </c>
      <c r="S526">
        <v>7</v>
      </c>
      <c r="T526">
        <v>21</v>
      </c>
      <c r="U526">
        <v>13</v>
      </c>
      <c r="V526">
        <v>9</v>
      </c>
      <c r="W526">
        <v>9</v>
      </c>
      <c r="X526">
        <v>5</v>
      </c>
      <c r="Y526">
        <v>4</v>
      </c>
      <c r="Z526">
        <v>6</v>
      </c>
      <c r="AA526">
        <v>0</v>
      </c>
      <c r="AB526">
        <v>0</v>
      </c>
      <c r="AC526" s="28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ht="12" customHeight="1" x14ac:dyDescent="0.2">
      <c r="A527" s="1" t="s">
        <v>153</v>
      </c>
      <c r="B527" s="33">
        <v>422</v>
      </c>
      <c r="C527" s="33">
        <v>423</v>
      </c>
      <c r="D527" s="33">
        <v>594</v>
      </c>
      <c r="E527" s="33">
        <v>861</v>
      </c>
      <c r="F527" s="33">
        <v>1003</v>
      </c>
      <c r="G527" s="33">
        <v>919</v>
      </c>
      <c r="H527" s="33">
        <v>963</v>
      </c>
      <c r="I527" s="33">
        <v>841</v>
      </c>
      <c r="J527" s="33">
        <v>886</v>
      </c>
      <c r="K527" s="33">
        <v>905</v>
      </c>
      <c r="L527" s="33">
        <v>895</v>
      </c>
      <c r="M527" s="33">
        <v>990</v>
      </c>
      <c r="N527" s="33">
        <v>1087</v>
      </c>
      <c r="O527" s="33">
        <v>1107</v>
      </c>
      <c r="P527" s="33">
        <v>1251</v>
      </c>
      <c r="Q527">
        <v>1187</v>
      </c>
      <c r="R527">
        <v>1241</v>
      </c>
      <c r="S527">
        <v>1350</v>
      </c>
      <c r="T527">
        <v>1444</v>
      </c>
      <c r="U527">
        <v>1571</v>
      </c>
      <c r="V527">
        <v>1597</v>
      </c>
      <c r="W527">
        <v>1663</v>
      </c>
      <c r="X527">
        <v>1684</v>
      </c>
      <c r="Y527">
        <v>1751</v>
      </c>
      <c r="Z527">
        <v>1228</v>
      </c>
      <c r="AA527">
        <v>632</v>
      </c>
      <c r="AC527" s="28"/>
    </row>
    <row r="528" spans="1:57" ht="12" customHeight="1" x14ac:dyDescent="0.2">
      <c r="A528" s="1" t="s">
        <v>154</v>
      </c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AC528" s="28"/>
    </row>
    <row r="529" spans="1:57" ht="12" customHeight="1" x14ac:dyDescent="0.2">
      <c r="AC529" s="28"/>
    </row>
    <row r="530" spans="1:57" ht="12" customHeight="1" x14ac:dyDescent="0.2">
      <c r="A530" t="s">
        <v>155</v>
      </c>
      <c r="AC530" s="28"/>
    </row>
    <row r="531" spans="1:57" ht="12" customHeight="1" x14ac:dyDescent="0.2">
      <c r="A531" s="19" t="s">
        <v>156</v>
      </c>
      <c r="B531">
        <v>1995</v>
      </c>
      <c r="C531">
        <v>1996</v>
      </c>
      <c r="D531">
        <v>1997</v>
      </c>
      <c r="E531">
        <v>1998</v>
      </c>
      <c r="F531">
        <v>1999</v>
      </c>
      <c r="G531">
        <v>2000</v>
      </c>
      <c r="H531">
        <v>2001</v>
      </c>
      <c r="I531">
        <v>2002</v>
      </c>
      <c r="J531">
        <v>2003</v>
      </c>
      <c r="K531">
        <v>2004</v>
      </c>
      <c r="L531">
        <v>2005</v>
      </c>
      <c r="M531">
        <v>2006</v>
      </c>
      <c r="N531">
        <v>2007</v>
      </c>
      <c r="O531">
        <v>2008</v>
      </c>
      <c r="P531">
        <v>2009</v>
      </c>
      <c r="Q531">
        <v>2010</v>
      </c>
      <c r="R531">
        <v>2011</v>
      </c>
      <c r="S531">
        <v>2012</v>
      </c>
      <c r="T531">
        <v>2013</v>
      </c>
      <c r="U531">
        <v>2014</v>
      </c>
      <c r="V531">
        <v>2015</v>
      </c>
      <c r="W531">
        <v>2016</v>
      </c>
      <c r="X531">
        <v>2017</v>
      </c>
      <c r="Y531">
        <v>2018</v>
      </c>
      <c r="Z531">
        <v>2019</v>
      </c>
      <c r="AA531">
        <v>2020</v>
      </c>
      <c r="AB531">
        <v>2021</v>
      </c>
      <c r="AC531" s="28">
        <v>2022</v>
      </c>
      <c r="AD531">
        <v>2023</v>
      </c>
      <c r="AE531">
        <v>2024</v>
      </c>
      <c r="AF531">
        <v>2025</v>
      </c>
      <c r="AG531">
        <v>2026</v>
      </c>
      <c r="AH531">
        <v>2027</v>
      </c>
      <c r="AI531">
        <v>2028</v>
      </c>
      <c r="AJ531">
        <v>2029</v>
      </c>
      <c r="AK531">
        <v>2030</v>
      </c>
      <c r="AL531">
        <v>2031</v>
      </c>
      <c r="AM531">
        <v>2032</v>
      </c>
      <c r="AN531">
        <v>2033</v>
      </c>
      <c r="AO531">
        <v>2034</v>
      </c>
      <c r="AP531">
        <v>2035</v>
      </c>
      <c r="AQ531">
        <v>2036</v>
      </c>
      <c r="AR531">
        <v>2037</v>
      </c>
      <c r="AS531">
        <v>2038</v>
      </c>
      <c r="AT531">
        <v>2039</v>
      </c>
      <c r="AU531">
        <v>2040</v>
      </c>
      <c r="AV531">
        <v>2041</v>
      </c>
      <c r="AW531">
        <v>2042</v>
      </c>
      <c r="AX531">
        <v>2043</v>
      </c>
      <c r="AY531">
        <v>2044</v>
      </c>
      <c r="AZ531">
        <v>2045</v>
      </c>
      <c r="BA531">
        <v>2046</v>
      </c>
      <c r="BB531">
        <v>2047</v>
      </c>
      <c r="BC531">
        <v>2048</v>
      </c>
      <c r="BD531">
        <v>2049</v>
      </c>
      <c r="BE531">
        <v>2050</v>
      </c>
    </row>
    <row r="532" spans="1:57" ht="12" customHeight="1" x14ac:dyDescent="0.2">
      <c r="A532" t="s">
        <v>101</v>
      </c>
      <c r="B532">
        <v>3011</v>
      </c>
      <c r="C532">
        <v>3082</v>
      </c>
      <c r="D532">
        <v>3181</v>
      </c>
      <c r="E532">
        <v>3346</v>
      </c>
      <c r="F532">
        <v>3525</v>
      </c>
      <c r="G532">
        <v>3698</v>
      </c>
      <c r="H532">
        <v>3495</v>
      </c>
      <c r="I532">
        <v>3484</v>
      </c>
      <c r="J532">
        <v>3472</v>
      </c>
      <c r="K532">
        <v>3526</v>
      </c>
      <c r="L532">
        <v>3430</v>
      </c>
      <c r="M532">
        <v>3484</v>
      </c>
      <c r="N532">
        <v>3525</v>
      </c>
      <c r="O532">
        <v>3334</v>
      </c>
      <c r="P532">
        <v>3272</v>
      </c>
      <c r="Q532">
        <v>3354</v>
      </c>
      <c r="R532">
        <v>3258</v>
      </c>
      <c r="S532">
        <v>3264</v>
      </c>
      <c r="T532">
        <v>3337</v>
      </c>
      <c r="U532">
        <v>3331</v>
      </c>
      <c r="V532">
        <v>3446</v>
      </c>
      <c r="W532">
        <v>3565</v>
      </c>
      <c r="X532">
        <v>3661</v>
      </c>
      <c r="Y532">
        <v>3837</v>
      </c>
      <c r="Z532">
        <v>3874</v>
      </c>
      <c r="AA532">
        <v>3084</v>
      </c>
      <c r="AB532">
        <v>3725</v>
      </c>
      <c r="AC532" s="28">
        <v>4012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ht="12" customHeight="1" x14ac:dyDescent="0.2">
      <c r="A533" t="s">
        <v>102</v>
      </c>
      <c r="B533">
        <v>175</v>
      </c>
      <c r="C533">
        <v>179</v>
      </c>
      <c r="D533">
        <v>185</v>
      </c>
      <c r="E533">
        <v>195</v>
      </c>
      <c r="F533">
        <v>205</v>
      </c>
      <c r="G533">
        <v>215</v>
      </c>
      <c r="H533">
        <v>179</v>
      </c>
      <c r="I533">
        <v>224</v>
      </c>
      <c r="J533">
        <v>242</v>
      </c>
      <c r="K533">
        <v>241</v>
      </c>
      <c r="L533">
        <v>228</v>
      </c>
      <c r="M533">
        <v>227</v>
      </c>
      <c r="N533">
        <v>223</v>
      </c>
      <c r="O533">
        <v>233</v>
      </c>
      <c r="P533">
        <v>250</v>
      </c>
      <c r="Q533">
        <v>251</v>
      </c>
      <c r="R533">
        <v>268</v>
      </c>
      <c r="S533">
        <v>278</v>
      </c>
      <c r="T533">
        <v>291</v>
      </c>
      <c r="U533">
        <v>304</v>
      </c>
      <c r="V533">
        <v>314</v>
      </c>
      <c r="W533">
        <v>308</v>
      </c>
      <c r="X533">
        <v>323</v>
      </c>
      <c r="Y533">
        <v>332</v>
      </c>
      <c r="Z533">
        <v>359</v>
      </c>
      <c r="AA533">
        <v>182</v>
      </c>
      <c r="AB533">
        <v>316</v>
      </c>
      <c r="AC533" s="28">
        <v>386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ht="12" customHeight="1" x14ac:dyDescent="0.2">
      <c r="A534" t="s">
        <v>103</v>
      </c>
      <c r="B534">
        <v>151</v>
      </c>
      <c r="C534">
        <v>155</v>
      </c>
      <c r="D534">
        <v>160</v>
      </c>
      <c r="E534">
        <v>168</v>
      </c>
      <c r="F534">
        <v>177</v>
      </c>
      <c r="G534">
        <v>186</v>
      </c>
      <c r="H534">
        <v>187</v>
      </c>
      <c r="I534">
        <v>201</v>
      </c>
      <c r="J534">
        <v>218</v>
      </c>
      <c r="K534">
        <v>219</v>
      </c>
      <c r="L534">
        <v>213</v>
      </c>
      <c r="M534">
        <v>236</v>
      </c>
      <c r="N534">
        <v>241</v>
      </c>
      <c r="O534">
        <v>203</v>
      </c>
      <c r="P534">
        <v>170</v>
      </c>
      <c r="Q534">
        <v>120</v>
      </c>
      <c r="R534">
        <v>142</v>
      </c>
      <c r="S534">
        <v>155</v>
      </c>
      <c r="T534">
        <v>167</v>
      </c>
      <c r="U534">
        <v>181</v>
      </c>
      <c r="V534">
        <v>193</v>
      </c>
      <c r="W534">
        <v>210</v>
      </c>
      <c r="X534">
        <v>222</v>
      </c>
      <c r="Y534">
        <v>242</v>
      </c>
      <c r="Z534">
        <v>258</v>
      </c>
      <c r="AA534">
        <v>185</v>
      </c>
      <c r="AB534">
        <v>231</v>
      </c>
      <c r="AC534" s="28">
        <v>281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ht="12" customHeight="1" x14ac:dyDescent="0.2">
      <c r="A535" t="s">
        <v>104</v>
      </c>
      <c r="B535">
        <v>1715</v>
      </c>
      <c r="C535">
        <v>1755</v>
      </c>
      <c r="D535">
        <v>1812</v>
      </c>
      <c r="E535">
        <v>1906</v>
      </c>
      <c r="F535">
        <v>2008</v>
      </c>
      <c r="G535">
        <v>2106</v>
      </c>
      <c r="H535">
        <v>2039</v>
      </c>
      <c r="I535">
        <v>2144</v>
      </c>
      <c r="J535">
        <v>2213</v>
      </c>
      <c r="K535">
        <v>2324</v>
      </c>
      <c r="L535">
        <v>2456</v>
      </c>
      <c r="M535">
        <v>2621</v>
      </c>
      <c r="N535">
        <v>2763</v>
      </c>
      <c r="O535">
        <v>2787</v>
      </c>
      <c r="P535">
        <v>2808</v>
      </c>
      <c r="Q535">
        <v>2883</v>
      </c>
      <c r="R535">
        <v>2885</v>
      </c>
      <c r="S535">
        <v>2899</v>
      </c>
      <c r="T535">
        <v>2936</v>
      </c>
      <c r="U535">
        <v>3025</v>
      </c>
      <c r="V535">
        <v>3132</v>
      </c>
      <c r="W535">
        <v>3280</v>
      </c>
      <c r="X535">
        <v>3363</v>
      </c>
      <c r="Y535">
        <v>3633</v>
      </c>
      <c r="Z535">
        <v>3706</v>
      </c>
      <c r="AA535">
        <v>2500</v>
      </c>
      <c r="AB535">
        <v>3362</v>
      </c>
      <c r="AC535" s="28">
        <v>3729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ht="12" customHeight="1" x14ac:dyDescent="0.2">
      <c r="A536" t="s">
        <v>105</v>
      </c>
      <c r="B536">
        <v>96</v>
      </c>
      <c r="C536">
        <v>98</v>
      </c>
      <c r="D536">
        <v>102</v>
      </c>
      <c r="E536">
        <v>107</v>
      </c>
      <c r="F536">
        <v>112</v>
      </c>
      <c r="G536">
        <v>118</v>
      </c>
      <c r="H536">
        <v>123</v>
      </c>
      <c r="I536">
        <v>125</v>
      </c>
      <c r="J536">
        <v>130</v>
      </c>
      <c r="K536">
        <v>129</v>
      </c>
      <c r="L536">
        <v>132</v>
      </c>
      <c r="M536">
        <v>147</v>
      </c>
      <c r="N536">
        <v>161</v>
      </c>
      <c r="O536">
        <v>167</v>
      </c>
      <c r="P536">
        <v>180</v>
      </c>
      <c r="Q536">
        <v>184</v>
      </c>
      <c r="R536">
        <v>198</v>
      </c>
      <c r="S536">
        <v>209</v>
      </c>
      <c r="T536">
        <v>229</v>
      </c>
      <c r="U536">
        <v>236</v>
      </c>
      <c r="V536">
        <v>242</v>
      </c>
      <c r="W536">
        <v>251</v>
      </c>
      <c r="X536">
        <v>262</v>
      </c>
      <c r="Y536">
        <v>283</v>
      </c>
      <c r="Z536">
        <v>269</v>
      </c>
      <c r="AA536">
        <v>261</v>
      </c>
      <c r="AB536">
        <v>256</v>
      </c>
      <c r="AC536" s="28">
        <v>254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ht="12" customHeight="1" x14ac:dyDescent="0.2">
      <c r="A537" t="s">
        <v>106</v>
      </c>
      <c r="B537">
        <v>93</v>
      </c>
      <c r="C537">
        <v>95</v>
      </c>
      <c r="D537">
        <v>98</v>
      </c>
      <c r="E537">
        <v>103</v>
      </c>
      <c r="F537">
        <v>109</v>
      </c>
      <c r="G537">
        <v>114</v>
      </c>
      <c r="H537">
        <v>108</v>
      </c>
      <c r="I537">
        <v>125</v>
      </c>
      <c r="J537">
        <v>139</v>
      </c>
      <c r="K537">
        <v>155</v>
      </c>
      <c r="L537">
        <v>173</v>
      </c>
      <c r="M537">
        <v>177</v>
      </c>
      <c r="N537">
        <v>188</v>
      </c>
      <c r="O537">
        <v>204</v>
      </c>
      <c r="P537">
        <v>206</v>
      </c>
      <c r="Q537">
        <v>225</v>
      </c>
      <c r="R537">
        <v>242</v>
      </c>
      <c r="S537">
        <v>246</v>
      </c>
      <c r="T537">
        <v>258</v>
      </c>
      <c r="U537">
        <v>253</v>
      </c>
      <c r="V537">
        <v>255</v>
      </c>
      <c r="W537">
        <v>262</v>
      </c>
      <c r="X537">
        <v>267</v>
      </c>
      <c r="Y537">
        <v>275</v>
      </c>
      <c r="Z537">
        <v>316</v>
      </c>
      <c r="AA537">
        <v>244</v>
      </c>
      <c r="AB537">
        <v>310</v>
      </c>
      <c r="AC537" s="28">
        <v>269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ht="12" customHeight="1" x14ac:dyDescent="0.2">
      <c r="A538" t="s">
        <v>107</v>
      </c>
      <c r="B538">
        <v>37</v>
      </c>
      <c r="C538">
        <v>38</v>
      </c>
      <c r="D538">
        <v>40</v>
      </c>
      <c r="E538">
        <v>42</v>
      </c>
      <c r="F538">
        <v>44</v>
      </c>
      <c r="G538">
        <v>46</v>
      </c>
      <c r="H538">
        <v>51</v>
      </c>
      <c r="I538">
        <v>56</v>
      </c>
      <c r="J538">
        <v>60</v>
      </c>
      <c r="K538">
        <v>61</v>
      </c>
      <c r="L538">
        <v>59</v>
      </c>
      <c r="M538">
        <v>58</v>
      </c>
      <c r="N538">
        <v>63</v>
      </c>
      <c r="O538">
        <v>70</v>
      </c>
      <c r="P538">
        <v>83</v>
      </c>
      <c r="Q538">
        <v>88</v>
      </c>
      <c r="R538">
        <v>100</v>
      </c>
      <c r="S538">
        <v>120</v>
      </c>
      <c r="T538">
        <v>128</v>
      </c>
      <c r="U538">
        <v>140</v>
      </c>
      <c r="V538">
        <v>155</v>
      </c>
      <c r="W538">
        <v>170</v>
      </c>
      <c r="X538">
        <v>187</v>
      </c>
      <c r="Y538">
        <v>208</v>
      </c>
      <c r="Z538">
        <v>229</v>
      </c>
      <c r="AA538">
        <v>158</v>
      </c>
      <c r="AB538">
        <v>172</v>
      </c>
      <c r="AC538" s="28">
        <v>186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ht="12" customHeight="1" x14ac:dyDescent="0.2">
      <c r="A539" t="s">
        <v>108</v>
      </c>
      <c r="B539">
        <v>692</v>
      </c>
      <c r="C539">
        <v>708</v>
      </c>
      <c r="D539">
        <v>731</v>
      </c>
      <c r="E539">
        <v>769</v>
      </c>
      <c r="F539">
        <v>810</v>
      </c>
      <c r="G539">
        <v>850</v>
      </c>
      <c r="H539">
        <v>809</v>
      </c>
      <c r="I539">
        <v>812</v>
      </c>
      <c r="J539">
        <v>828</v>
      </c>
      <c r="K539">
        <v>857</v>
      </c>
      <c r="L539">
        <v>850</v>
      </c>
      <c r="M539">
        <v>873</v>
      </c>
      <c r="N539">
        <v>826</v>
      </c>
      <c r="O539">
        <v>661</v>
      </c>
      <c r="P539">
        <v>697</v>
      </c>
      <c r="Q539">
        <v>719</v>
      </c>
      <c r="R539">
        <v>637</v>
      </c>
      <c r="S539">
        <v>663</v>
      </c>
      <c r="T539">
        <v>552</v>
      </c>
      <c r="U539">
        <v>559</v>
      </c>
      <c r="V539">
        <v>484</v>
      </c>
      <c r="W539">
        <v>491</v>
      </c>
      <c r="X539">
        <v>537</v>
      </c>
      <c r="Y539">
        <v>589</v>
      </c>
      <c r="Z539">
        <v>578</v>
      </c>
      <c r="AA539">
        <v>449</v>
      </c>
      <c r="AB539">
        <v>555</v>
      </c>
      <c r="AC539" s="28">
        <v>428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ht="12" customHeight="1" x14ac:dyDescent="0.2">
      <c r="A540" t="s">
        <v>109</v>
      </c>
      <c r="B540">
        <v>248</v>
      </c>
      <c r="C540">
        <v>254</v>
      </c>
      <c r="D540">
        <v>262</v>
      </c>
      <c r="E540">
        <v>276</v>
      </c>
      <c r="F540">
        <v>291</v>
      </c>
      <c r="G540">
        <v>305</v>
      </c>
      <c r="H540">
        <v>293</v>
      </c>
      <c r="I540">
        <v>286</v>
      </c>
      <c r="J540">
        <v>284</v>
      </c>
      <c r="K540">
        <v>249</v>
      </c>
      <c r="L540">
        <v>245</v>
      </c>
      <c r="M540">
        <v>254</v>
      </c>
      <c r="N540">
        <v>244</v>
      </c>
      <c r="O540">
        <v>207</v>
      </c>
      <c r="P540">
        <v>223</v>
      </c>
      <c r="Q540">
        <v>225</v>
      </c>
      <c r="R540">
        <v>242</v>
      </c>
      <c r="S540">
        <v>237</v>
      </c>
      <c r="T540">
        <v>217</v>
      </c>
      <c r="U540">
        <v>222</v>
      </c>
      <c r="V540">
        <v>214</v>
      </c>
      <c r="W540">
        <v>230</v>
      </c>
      <c r="X540">
        <v>241</v>
      </c>
      <c r="Y540">
        <v>229</v>
      </c>
      <c r="Z540">
        <v>216</v>
      </c>
      <c r="AA540">
        <v>147</v>
      </c>
      <c r="AB540">
        <v>186</v>
      </c>
      <c r="AC540" s="28">
        <v>166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ht="12" customHeight="1" x14ac:dyDescent="0.2">
      <c r="A541" t="s">
        <v>110</v>
      </c>
      <c r="B541">
        <v>316</v>
      </c>
      <c r="C541">
        <v>323</v>
      </c>
      <c r="D541">
        <v>334</v>
      </c>
      <c r="E541">
        <v>351</v>
      </c>
      <c r="F541">
        <v>370</v>
      </c>
      <c r="G541">
        <v>388</v>
      </c>
      <c r="H541">
        <v>410</v>
      </c>
      <c r="I541">
        <v>456</v>
      </c>
      <c r="J541">
        <v>508</v>
      </c>
      <c r="K541">
        <v>573</v>
      </c>
      <c r="L541">
        <v>685</v>
      </c>
      <c r="M541">
        <v>801</v>
      </c>
      <c r="N541">
        <v>924</v>
      </c>
      <c r="O541">
        <v>1015</v>
      </c>
      <c r="P541">
        <v>1153</v>
      </c>
      <c r="Q541">
        <v>1288</v>
      </c>
      <c r="R541">
        <v>1412</v>
      </c>
      <c r="S541">
        <v>1562</v>
      </c>
      <c r="T541">
        <v>1762</v>
      </c>
      <c r="U541">
        <v>1972</v>
      </c>
      <c r="V541">
        <v>2235</v>
      </c>
      <c r="W541">
        <v>2480</v>
      </c>
      <c r="X541">
        <v>2745</v>
      </c>
      <c r="Y541">
        <v>3001</v>
      </c>
      <c r="Z541">
        <v>3108</v>
      </c>
      <c r="AA541">
        <v>2952</v>
      </c>
      <c r="AB541">
        <v>3113</v>
      </c>
      <c r="AC541" s="28">
        <v>3196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ht="12" customHeight="1" x14ac:dyDescent="0.2">
      <c r="A542" t="s">
        <v>111</v>
      </c>
      <c r="B542">
        <v>58</v>
      </c>
      <c r="C542">
        <v>59</v>
      </c>
      <c r="D542">
        <v>61</v>
      </c>
      <c r="E542">
        <v>64</v>
      </c>
      <c r="F542">
        <v>68</v>
      </c>
      <c r="G542">
        <v>71</v>
      </c>
      <c r="H542">
        <v>86</v>
      </c>
      <c r="I542">
        <v>97</v>
      </c>
      <c r="J542">
        <v>107</v>
      </c>
      <c r="K542">
        <v>119</v>
      </c>
      <c r="L542">
        <v>146</v>
      </c>
      <c r="M542">
        <v>199</v>
      </c>
      <c r="N542">
        <v>241</v>
      </c>
      <c r="O542">
        <v>251</v>
      </c>
      <c r="P542">
        <v>266</v>
      </c>
      <c r="Q542">
        <v>280</v>
      </c>
      <c r="R542">
        <v>301</v>
      </c>
      <c r="S542">
        <v>279</v>
      </c>
      <c r="T542">
        <v>296</v>
      </c>
      <c r="U542">
        <v>296</v>
      </c>
      <c r="V542">
        <v>324</v>
      </c>
      <c r="W542">
        <v>369</v>
      </c>
      <c r="X542">
        <v>436</v>
      </c>
      <c r="Y542">
        <v>522</v>
      </c>
      <c r="Z542">
        <v>558</v>
      </c>
      <c r="AA542">
        <v>470</v>
      </c>
      <c r="AB542">
        <v>490</v>
      </c>
      <c r="AC542" s="28">
        <v>506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ht="12" customHeight="1" x14ac:dyDescent="0.2">
      <c r="A543" t="s">
        <v>112</v>
      </c>
      <c r="B543">
        <v>219</v>
      </c>
      <c r="C543">
        <v>224</v>
      </c>
      <c r="D543">
        <v>231</v>
      </c>
      <c r="E543">
        <v>243</v>
      </c>
      <c r="F543">
        <v>256</v>
      </c>
      <c r="G543">
        <v>269</v>
      </c>
      <c r="H543">
        <v>289</v>
      </c>
      <c r="I543">
        <v>339</v>
      </c>
      <c r="J543">
        <v>412</v>
      </c>
      <c r="K543">
        <v>461</v>
      </c>
      <c r="L543">
        <v>526</v>
      </c>
      <c r="M543">
        <v>525</v>
      </c>
      <c r="N543">
        <v>568</v>
      </c>
      <c r="O543">
        <v>554</v>
      </c>
      <c r="P543">
        <v>613</v>
      </c>
      <c r="Q543">
        <v>690</v>
      </c>
      <c r="R543">
        <v>769</v>
      </c>
      <c r="S543">
        <v>908</v>
      </c>
      <c r="T543">
        <v>1021</v>
      </c>
      <c r="U543">
        <v>1108</v>
      </c>
      <c r="V543">
        <v>1198</v>
      </c>
      <c r="W543">
        <v>1232</v>
      </c>
      <c r="X543">
        <v>1326</v>
      </c>
      <c r="Y543">
        <v>1332</v>
      </c>
      <c r="Z543">
        <v>1302</v>
      </c>
      <c r="AA543">
        <v>769</v>
      </c>
      <c r="AB543">
        <v>809</v>
      </c>
      <c r="AC543" s="28">
        <v>1101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ht="12" customHeight="1" x14ac:dyDescent="0.2">
      <c r="A544" t="s">
        <v>113</v>
      </c>
      <c r="B544">
        <v>183</v>
      </c>
      <c r="C544">
        <v>188</v>
      </c>
      <c r="D544">
        <v>194</v>
      </c>
      <c r="E544">
        <v>204</v>
      </c>
      <c r="F544">
        <v>214</v>
      </c>
      <c r="G544">
        <v>225</v>
      </c>
      <c r="H544">
        <v>212</v>
      </c>
      <c r="I544">
        <v>200</v>
      </c>
      <c r="J544">
        <v>202</v>
      </c>
      <c r="K544">
        <v>209</v>
      </c>
      <c r="L544">
        <v>228</v>
      </c>
      <c r="M544">
        <v>255</v>
      </c>
      <c r="N544">
        <v>285</v>
      </c>
      <c r="O544">
        <v>330</v>
      </c>
      <c r="P544">
        <v>406</v>
      </c>
      <c r="Q544">
        <v>441</v>
      </c>
      <c r="R544">
        <v>437</v>
      </c>
      <c r="S544">
        <v>487</v>
      </c>
      <c r="T544">
        <v>473</v>
      </c>
      <c r="U544">
        <v>508</v>
      </c>
      <c r="V544">
        <v>580</v>
      </c>
      <c r="W544">
        <v>618</v>
      </c>
      <c r="X544">
        <v>650</v>
      </c>
      <c r="Y544">
        <v>648</v>
      </c>
      <c r="Z544">
        <v>624</v>
      </c>
      <c r="AA544">
        <v>462</v>
      </c>
      <c r="AB544">
        <v>563</v>
      </c>
      <c r="AC544" s="28">
        <v>601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ht="12" customHeight="1" x14ac:dyDescent="0.2">
      <c r="A545" t="s">
        <v>114</v>
      </c>
      <c r="B545">
        <v>257</v>
      </c>
      <c r="C545">
        <v>263</v>
      </c>
      <c r="D545">
        <v>271</v>
      </c>
      <c r="E545">
        <v>285</v>
      </c>
      <c r="F545">
        <v>300</v>
      </c>
      <c r="G545">
        <v>315</v>
      </c>
      <c r="H545">
        <v>321</v>
      </c>
      <c r="I545">
        <v>379</v>
      </c>
      <c r="J545">
        <v>407</v>
      </c>
      <c r="K545">
        <v>411</v>
      </c>
      <c r="L545">
        <v>430</v>
      </c>
      <c r="M545">
        <v>459</v>
      </c>
      <c r="N545">
        <v>447</v>
      </c>
      <c r="O545">
        <v>470</v>
      </c>
      <c r="P545">
        <v>512</v>
      </c>
      <c r="Q545">
        <v>541</v>
      </c>
      <c r="R545">
        <v>483</v>
      </c>
      <c r="S545">
        <v>479</v>
      </c>
      <c r="T545">
        <v>491</v>
      </c>
      <c r="U545">
        <v>525</v>
      </c>
      <c r="V545">
        <v>535</v>
      </c>
      <c r="W545">
        <v>543</v>
      </c>
      <c r="X545">
        <v>555</v>
      </c>
      <c r="Y545">
        <v>511</v>
      </c>
      <c r="Z545">
        <v>494</v>
      </c>
      <c r="AA545">
        <v>355</v>
      </c>
      <c r="AB545">
        <v>390</v>
      </c>
      <c r="AC545" s="28">
        <v>382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ht="12" customHeight="1" x14ac:dyDescent="0.2">
      <c r="A546" t="s">
        <v>115</v>
      </c>
      <c r="B546">
        <v>104</v>
      </c>
      <c r="C546">
        <v>107</v>
      </c>
      <c r="D546">
        <v>110</v>
      </c>
      <c r="E546">
        <v>116</v>
      </c>
      <c r="F546">
        <v>122</v>
      </c>
      <c r="G546">
        <v>128</v>
      </c>
      <c r="H546">
        <v>143</v>
      </c>
      <c r="I546">
        <v>159</v>
      </c>
      <c r="J546">
        <v>151</v>
      </c>
      <c r="K546">
        <v>155</v>
      </c>
      <c r="L546">
        <v>156</v>
      </c>
      <c r="M546">
        <v>174</v>
      </c>
      <c r="N546">
        <v>204</v>
      </c>
      <c r="O546">
        <v>230</v>
      </c>
      <c r="P546">
        <v>256</v>
      </c>
      <c r="Q546">
        <v>271</v>
      </c>
      <c r="R546">
        <v>293</v>
      </c>
      <c r="S546">
        <v>274</v>
      </c>
      <c r="T546">
        <v>300</v>
      </c>
      <c r="U546">
        <v>303</v>
      </c>
      <c r="V546">
        <v>323</v>
      </c>
      <c r="W546">
        <v>299</v>
      </c>
      <c r="X546">
        <v>294</v>
      </c>
      <c r="Y546">
        <v>295</v>
      </c>
      <c r="Z546">
        <v>314</v>
      </c>
      <c r="AA546">
        <v>253</v>
      </c>
      <c r="AB546">
        <v>283</v>
      </c>
      <c r="AC546" s="28">
        <v>305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ht="12" customHeight="1" x14ac:dyDescent="0.2">
      <c r="A547" t="s">
        <v>116</v>
      </c>
      <c r="B547">
        <v>302</v>
      </c>
      <c r="C547">
        <v>309</v>
      </c>
      <c r="D547">
        <v>319</v>
      </c>
      <c r="E547">
        <v>336</v>
      </c>
      <c r="F547">
        <v>354</v>
      </c>
      <c r="G547">
        <v>371</v>
      </c>
      <c r="H547">
        <v>361</v>
      </c>
      <c r="I547">
        <v>361</v>
      </c>
      <c r="J547">
        <v>367</v>
      </c>
      <c r="K547">
        <v>356</v>
      </c>
      <c r="L547">
        <v>358</v>
      </c>
      <c r="M547">
        <v>399</v>
      </c>
      <c r="N547">
        <v>415</v>
      </c>
      <c r="O547">
        <v>417</v>
      </c>
      <c r="P547">
        <v>442</v>
      </c>
      <c r="Q547">
        <v>478</v>
      </c>
      <c r="R547">
        <v>476</v>
      </c>
      <c r="S547">
        <v>493</v>
      </c>
      <c r="T547">
        <v>515</v>
      </c>
      <c r="U547">
        <v>555</v>
      </c>
      <c r="V547">
        <v>599</v>
      </c>
      <c r="W547">
        <v>623</v>
      </c>
      <c r="X547">
        <v>641</v>
      </c>
      <c r="Y547">
        <v>608</v>
      </c>
      <c r="Z547">
        <v>581</v>
      </c>
      <c r="AA547">
        <v>394</v>
      </c>
      <c r="AB547">
        <v>506</v>
      </c>
      <c r="AC547" s="28">
        <v>554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ht="12" customHeight="1" x14ac:dyDescent="0.2">
      <c r="A548" t="s">
        <v>117</v>
      </c>
      <c r="B548">
        <v>577</v>
      </c>
      <c r="C548">
        <v>601</v>
      </c>
      <c r="D548">
        <v>618</v>
      </c>
      <c r="E548">
        <v>633</v>
      </c>
      <c r="F548">
        <v>655</v>
      </c>
      <c r="G548">
        <v>660</v>
      </c>
      <c r="H548">
        <v>614</v>
      </c>
      <c r="I548">
        <v>606</v>
      </c>
      <c r="J548">
        <v>553</v>
      </c>
      <c r="K548">
        <v>565</v>
      </c>
      <c r="L548">
        <v>551</v>
      </c>
      <c r="M548">
        <v>565</v>
      </c>
      <c r="N548">
        <v>574</v>
      </c>
      <c r="O548">
        <v>562</v>
      </c>
      <c r="P548">
        <v>541</v>
      </c>
      <c r="Q548">
        <v>561</v>
      </c>
      <c r="R548">
        <v>545</v>
      </c>
      <c r="S548">
        <v>545</v>
      </c>
      <c r="T548">
        <v>559</v>
      </c>
      <c r="U548">
        <v>548</v>
      </c>
      <c r="V548">
        <v>555</v>
      </c>
      <c r="W548">
        <v>542</v>
      </c>
      <c r="X548">
        <v>547</v>
      </c>
      <c r="Y548">
        <v>568</v>
      </c>
      <c r="Z548">
        <v>607</v>
      </c>
      <c r="AA548">
        <v>433</v>
      </c>
      <c r="AB548">
        <v>536</v>
      </c>
      <c r="AC548" s="28">
        <v>632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ht="12" customHeight="1" x14ac:dyDescent="0.2">
      <c r="A549" t="s">
        <v>118</v>
      </c>
      <c r="B549">
        <v>88</v>
      </c>
      <c r="C549">
        <v>92</v>
      </c>
      <c r="D549">
        <v>95</v>
      </c>
      <c r="E549">
        <v>97</v>
      </c>
      <c r="F549">
        <v>100</v>
      </c>
      <c r="G549">
        <v>101</v>
      </c>
      <c r="H549">
        <v>86</v>
      </c>
      <c r="I549">
        <v>82</v>
      </c>
      <c r="J549">
        <v>73</v>
      </c>
      <c r="K549">
        <v>74</v>
      </c>
      <c r="L549">
        <v>79</v>
      </c>
      <c r="M549">
        <v>84</v>
      </c>
      <c r="N549">
        <v>83</v>
      </c>
      <c r="O549">
        <v>72</v>
      </c>
      <c r="P549">
        <v>71</v>
      </c>
      <c r="Q549">
        <v>75</v>
      </c>
      <c r="R549">
        <v>80</v>
      </c>
      <c r="S549">
        <v>77</v>
      </c>
      <c r="T549">
        <v>79</v>
      </c>
      <c r="U549">
        <v>87</v>
      </c>
      <c r="V549">
        <v>97</v>
      </c>
      <c r="W549">
        <v>114</v>
      </c>
      <c r="X549">
        <v>124</v>
      </c>
      <c r="Y549">
        <v>132</v>
      </c>
      <c r="Z549">
        <v>140</v>
      </c>
      <c r="AA549">
        <v>66</v>
      </c>
      <c r="AB549">
        <v>90</v>
      </c>
      <c r="AC549" s="28">
        <v>106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ht="12" customHeight="1" x14ac:dyDescent="0.2">
      <c r="A550" t="s">
        <v>119</v>
      </c>
      <c r="B550">
        <v>5</v>
      </c>
      <c r="C550">
        <v>5</v>
      </c>
      <c r="D550">
        <v>6</v>
      </c>
      <c r="E550">
        <v>6</v>
      </c>
      <c r="F550">
        <v>6</v>
      </c>
      <c r="G550">
        <v>6</v>
      </c>
      <c r="H550">
        <v>5</v>
      </c>
      <c r="I550">
        <v>5</v>
      </c>
      <c r="J550">
        <v>6</v>
      </c>
      <c r="K550">
        <v>7</v>
      </c>
      <c r="L550">
        <v>7</v>
      </c>
      <c r="M550">
        <v>10</v>
      </c>
      <c r="N550">
        <v>10</v>
      </c>
      <c r="O550">
        <v>16</v>
      </c>
      <c r="P550">
        <v>15</v>
      </c>
      <c r="Q550">
        <v>10</v>
      </c>
      <c r="R550">
        <v>11</v>
      </c>
      <c r="S550">
        <v>11</v>
      </c>
      <c r="T550">
        <v>13</v>
      </c>
      <c r="U550">
        <v>15</v>
      </c>
      <c r="V550">
        <v>14</v>
      </c>
      <c r="W550">
        <v>15</v>
      </c>
      <c r="X550">
        <v>18</v>
      </c>
      <c r="Y550">
        <v>17</v>
      </c>
      <c r="Z550">
        <v>19</v>
      </c>
      <c r="AA550">
        <v>19</v>
      </c>
      <c r="AB550">
        <v>18</v>
      </c>
      <c r="AC550" s="28">
        <v>22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ht="12" customHeight="1" x14ac:dyDescent="0.2">
      <c r="A551" t="s">
        <v>120</v>
      </c>
      <c r="B551">
        <v>654</v>
      </c>
      <c r="C551">
        <v>681</v>
      </c>
      <c r="D551">
        <v>700</v>
      </c>
      <c r="E551">
        <v>717</v>
      </c>
      <c r="F551">
        <v>742</v>
      </c>
      <c r="G551">
        <v>748</v>
      </c>
      <c r="H551">
        <v>682</v>
      </c>
      <c r="I551">
        <v>705</v>
      </c>
      <c r="J551">
        <v>671</v>
      </c>
      <c r="K551">
        <v>702</v>
      </c>
      <c r="L551">
        <v>728</v>
      </c>
      <c r="M551">
        <v>749</v>
      </c>
      <c r="N551">
        <v>757</v>
      </c>
      <c r="O551">
        <v>760</v>
      </c>
      <c r="P551">
        <v>734</v>
      </c>
      <c r="Q551">
        <v>764</v>
      </c>
      <c r="R551">
        <v>760</v>
      </c>
      <c r="S551">
        <v>779</v>
      </c>
      <c r="T551">
        <v>794</v>
      </c>
      <c r="U551">
        <v>806</v>
      </c>
      <c r="V551">
        <v>851</v>
      </c>
      <c r="W551">
        <v>882</v>
      </c>
      <c r="X551">
        <v>921</v>
      </c>
      <c r="Y551">
        <v>979</v>
      </c>
      <c r="Z551">
        <v>1044</v>
      </c>
      <c r="AA551">
        <v>678</v>
      </c>
      <c r="AB551">
        <v>840</v>
      </c>
      <c r="AC551" s="28">
        <v>927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ht="12" customHeight="1" x14ac:dyDescent="0.2">
      <c r="A552" t="s">
        <v>121</v>
      </c>
      <c r="B552">
        <v>256</v>
      </c>
      <c r="C552">
        <v>267</v>
      </c>
      <c r="D552">
        <v>274</v>
      </c>
      <c r="E552">
        <v>281</v>
      </c>
      <c r="F552">
        <v>291</v>
      </c>
      <c r="G552">
        <v>293</v>
      </c>
      <c r="H552">
        <v>287</v>
      </c>
      <c r="I552">
        <v>290</v>
      </c>
      <c r="J552">
        <v>287</v>
      </c>
      <c r="K552">
        <v>283</v>
      </c>
      <c r="L552">
        <v>281</v>
      </c>
      <c r="M552">
        <v>278</v>
      </c>
      <c r="N552">
        <v>272</v>
      </c>
      <c r="O552">
        <v>266</v>
      </c>
      <c r="P552">
        <v>258</v>
      </c>
      <c r="Q552">
        <v>232</v>
      </c>
      <c r="R552">
        <v>213</v>
      </c>
      <c r="S552">
        <v>229</v>
      </c>
      <c r="T552">
        <v>237</v>
      </c>
      <c r="U552">
        <v>249</v>
      </c>
      <c r="V552">
        <v>250</v>
      </c>
      <c r="W552">
        <v>261</v>
      </c>
      <c r="X552">
        <v>265</v>
      </c>
      <c r="Y552">
        <v>266</v>
      </c>
      <c r="Z552">
        <v>280</v>
      </c>
      <c r="AA552">
        <v>259</v>
      </c>
      <c r="AB552">
        <v>230</v>
      </c>
      <c r="AC552" s="28">
        <v>239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ht="12" customHeight="1" x14ac:dyDescent="0.2">
      <c r="A553" t="s">
        <v>122</v>
      </c>
      <c r="B553">
        <v>94</v>
      </c>
      <c r="C553">
        <v>97</v>
      </c>
      <c r="D553">
        <v>100</v>
      </c>
      <c r="E553">
        <v>103</v>
      </c>
      <c r="F553">
        <v>106</v>
      </c>
      <c r="G553">
        <v>107</v>
      </c>
      <c r="H553">
        <v>100</v>
      </c>
      <c r="I553">
        <v>91</v>
      </c>
      <c r="J553">
        <v>91</v>
      </c>
      <c r="K553">
        <v>92</v>
      </c>
      <c r="L553">
        <v>93</v>
      </c>
      <c r="M553">
        <v>96</v>
      </c>
      <c r="N553">
        <v>102</v>
      </c>
      <c r="O553">
        <v>105</v>
      </c>
      <c r="P553">
        <v>108</v>
      </c>
      <c r="Q553">
        <v>111</v>
      </c>
      <c r="R553">
        <v>120</v>
      </c>
      <c r="S553">
        <v>113</v>
      </c>
      <c r="T553">
        <v>108</v>
      </c>
      <c r="U553">
        <v>97</v>
      </c>
      <c r="V553">
        <v>100</v>
      </c>
      <c r="W553">
        <v>100</v>
      </c>
      <c r="X553">
        <v>103</v>
      </c>
      <c r="Y553">
        <v>111</v>
      </c>
      <c r="Z553">
        <v>111</v>
      </c>
      <c r="AA553">
        <v>35</v>
      </c>
      <c r="AB553">
        <v>59</v>
      </c>
      <c r="AC553" s="28">
        <v>64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ht="12" customHeight="1" x14ac:dyDescent="0.2">
      <c r="A554" t="s">
        <v>123</v>
      </c>
      <c r="B554">
        <v>78</v>
      </c>
      <c r="C554">
        <v>81</v>
      </c>
      <c r="D554">
        <v>83</v>
      </c>
      <c r="E554">
        <v>85</v>
      </c>
      <c r="F554">
        <v>88</v>
      </c>
      <c r="G554">
        <v>89</v>
      </c>
      <c r="H554">
        <v>93</v>
      </c>
      <c r="I554">
        <v>93</v>
      </c>
      <c r="J554">
        <v>89</v>
      </c>
      <c r="K554">
        <v>90</v>
      </c>
      <c r="L554">
        <v>92</v>
      </c>
      <c r="M554">
        <v>95</v>
      </c>
      <c r="N554">
        <v>98</v>
      </c>
      <c r="O554">
        <v>100</v>
      </c>
      <c r="P554">
        <v>103</v>
      </c>
      <c r="Q554">
        <v>106</v>
      </c>
      <c r="R554">
        <v>114</v>
      </c>
      <c r="S554">
        <v>114</v>
      </c>
      <c r="T554">
        <v>116</v>
      </c>
      <c r="U554">
        <v>124</v>
      </c>
      <c r="V554">
        <v>136</v>
      </c>
      <c r="W554">
        <v>136</v>
      </c>
      <c r="X554">
        <v>144</v>
      </c>
      <c r="Y554">
        <v>153</v>
      </c>
      <c r="Z554">
        <v>159</v>
      </c>
      <c r="AA554">
        <v>107</v>
      </c>
      <c r="AB554">
        <v>100</v>
      </c>
      <c r="AC554" s="28">
        <v>132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ht="12" customHeight="1" x14ac:dyDescent="0.2">
      <c r="A555" t="s">
        <v>124</v>
      </c>
      <c r="B555">
        <v>91</v>
      </c>
      <c r="C555">
        <v>95</v>
      </c>
      <c r="D555">
        <v>97</v>
      </c>
      <c r="E555">
        <v>100</v>
      </c>
      <c r="F555">
        <v>103</v>
      </c>
      <c r="G555">
        <v>104</v>
      </c>
      <c r="H555">
        <v>88</v>
      </c>
      <c r="I555">
        <v>86</v>
      </c>
      <c r="J555">
        <v>85</v>
      </c>
      <c r="K555">
        <v>88</v>
      </c>
      <c r="L555">
        <v>92</v>
      </c>
      <c r="M555">
        <v>99</v>
      </c>
      <c r="N555">
        <v>103</v>
      </c>
      <c r="O555">
        <v>90</v>
      </c>
      <c r="P555">
        <v>91</v>
      </c>
      <c r="Q555">
        <v>102</v>
      </c>
      <c r="R555">
        <v>101</v>
      </c>
      <c r="S555">
        <v>119</v>
      </c>
      <c r="T555">
        <v>117</v>
      </c>
      <c r="U555">
        <v>123</v>
      </c>
      <c r="V555">
        <v>71</v>
      </c>
      <c r="W555">
        <v>93</v>
      </c>
      <c r="X555">
        <v>94</v>
      </c>
      <c r="Y555">
        <v>111</v>
      </c>
      <c r="Z555">
        <v>107</v>
      </c>
      <c r="AA555">
        <v>87</v>
      </c>
      <c r="AB555">
        <v>111</v>
      </c>
      <c r="AC555" s="28">
        <v>63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ht="12" customHeight="1" x14ac:dyDescent="0.2">
      <c r="A556" t="s">
        <v>125</v>
      </c>
      <c r="B556">
        <v>18</v>
      </c>
      <c r="C556">
        <v>19</v>
      </c>
      <c r="D556">
        <v>20</v>
      </c>
      <c r="E556">
        <v>20</v>
      </c>
      <c r="F556">
        <v>21</v>
      </c>
      <c r="G556">
        <v>21</v>
      </c>
      <c r="H556">
        <v>17</v>
      </c>
      <c r="I556">
        <v>16</v>
      </c>
      <c r="J556">
        <v>17</v>
      </c>
      <c r="K556">
        <v>18</v>
      </c>
      <c r="L556">
        <v>18</v>
      </c>
      <c r="M556">
        <v>14</v>
      </c>
      <c r="N556">
        <v>17</v>
      </c>
      <c r="O556">
        <v>18</v>
      </c>
      <c r="P556">
        <v>19</v>
      </c>
      <c r="Q556">
        <v>20</v>
      </c>
      <c r="R556">
        <v>19</v>
      </c>
      <c r="S556">
        <v>25</v>
      </c>
      <c r="T556">
        <v>29</v>
      </c>
      <c r="U556">
        <v>32</v>
      </c>
      <c r="V556">
        <v>30</v>
      </c>
      <c r="W556">
        <v>34</v>
      </c>
      <c r="X556">
        <v>33</v>
      </c>
      <c r="Y556">
        <v>38</v>
      </c>
      <c r="Z556">
        <v>38</v>
      </c>
      <c r="AA556">
        <v>22</v>
      </c>
      <c r="AB556">
        <v>27</v>
      </c>
      <c r="AC556" s="28">
        <v>26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ht="12" customHeight="1" x14ac:dyDescent="0.2">
      <c r="A557" t="s">
        <v>126</v>
      </c>
      <c r="B557">
        <v>122</v>
      </c>
      <c r="C557">
        <v>127</v>
      </c>
      <c r="D557">
        <v>130</v>
      </c>
      <c r="E557">
        <v>133</v>
      </c>
      <c r="F557">
        <v>138</v>
      </c>
      <c r="G557">
        <v>139</v>
      </c>
      <c r="H557">
        <v>150</v>
      </c>
      <c r="I557">
        <v>160</v>
      </c>
      <c r="J557">
        <v>170</v>
      </c>
      <c r="K557">
        <v>178</v>
      </c>
      <c r="L557">
        <v>191</v>
      </c>
      <c r="M557">
        <v>214</v>
      </c>
      <c r="N557">
        <v>237</v>
      </c>
      <c r="O557">
        <v>256</v>
      </c>
      <c r="P557">
        <v>250</v>
      </c>
      <c r="Q557">
        <v>269</v>
      </c>
      <c r="R557">
        <v>285</v>
      </c>
      <c r="S557">
        <v>316</v>
      </c>
      <c r="T557">
        <v>358</v>
      </c>
      <c r="U557">
        <v>390</v>
      </c>
      <c r="V557">
        <v>426</v>
      </c>
      <c r="W557">
        <v>477</v>
      </c>
      <c r="X557">
        <v>539</v>
      </c>
      <c r="Y557">
        <v>605</v>
      </c>
      <c r="Z557">
        <v>643</v>
      </c>
      <c r="AA557">
        <v>484</v>
      </c>
      <c r="AB557">
        <v>526</v>
      </c>
      <c r="AC557" s="28">
        <v>547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ht="12" customHeight="1" x14ac:dyDescent="0.2">
      <c r="A558" t="s">
        <v>127</v>
      </c>
      <c r="B558">
        <v>31</v>
      </c>
      <c r="C558">
        <v>33</v>
      </c>
      <c r="D558">
        <v>34</v>
      </c>
      <c r="E558">
        <v>35</v>
      </c>
      <c r="F558">
        <v>36</v>
      </c>
      <c r="G558">
        <v>36</v>
      </c>
      <c r="H558">
        <v>38</v>
      </c>
      <c r="I558">
        <v>37</v>
      </c>
      <c r="J558">
        <v>36</v>
      </c>
      <c r="K558">
        <v>38</v>
      </c>
      <c r="L558">
        <v>49</v>
      </c>
      <c r="M558">
        <v>43</v>
      </c>
      <c r="N558">
        <v>57</v>
      </c>
      <c r="O558">
        <v>63</v>
      </c>
      <c r="P558">
        <v>58</v>
      </c>
      <c r="Q558">
        <v>50</v>
      </c>
      <c r="R558">
        <v>48</v>
      </c>
      <c r="S558">
        <v>50</v>
      </c>
      <c r="T558">
        <v>55</v>
      </c>
      <c r="U558">
        <v>47</v>
      </c>
      <c r="V558">
        <v>52</v>
      </c>
      <c r="W558">
        <v>59</v>
      </c>
      <c r="X558">
        <v>64</v>
      </c>
      <c r="Y558">
        <v>67</v>
      </c>
      <c r="Z558">
        <v>49</v>
      </c>
      <c r="AA558">
        <v>39</v>
      </c>
      <c r="AB558">
        <v>39</v>
      </c>
      <c r="AC558" s="28">
        <v>46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ht="12" customHeight="1" x14ac:dyDescent="0.2">
      <c r="A559" t="s">
        <v>128</v>
      </c>
      <c r="B559">
        <v>317</v>
      </c>
      <c r="C559">
        <v>330</v>
      </c>
      <c r="D559">
        <v>340</v>
      </c>
      <c r="E559">
        <v>348</v>
      </c>
      <c r="F559">
        <v>360</v>
      </c>
      <c r="G559">
        <v>363</v>
      </c>
      <c r="H559">
        <v>380</v>
      </c>
      <c r="I559">
        <v>394</v>
      </c>
      <c r="J559">
        <v>408</v>
      </c>
      <c r="K559">
        <v>432</v>
      </c>
      <c r="L559">
        <v>420</v>
      </c>
      <c r="M559">
        <v>419</v>
      </c>
      <c r="N559">
        <v>420</v>
      </c>
      <c r="O559">
        <v>420</v>
      </c>
      <c r="P559">
        <v>459</v>
      </c>
      <c r="Q559">
        <v>468</v>
      </c>
      <c r="R559">
        <v>475</v>
      </c>
      <c r="S559">
        <v>478</v>
      </c>
      <c r="T559">
        <v>509</v>
      </c>
      <c r="U559">
        <v>520</v>
      </c>
      <c r="V559">
        <v>541</v>
      </c>
      <c r="W559">
        <v>531</v>
      </c>
      <c r="X559">
        <v>550</v>
      </c>
      <c r="Y559">
        <v>575</v>
      </c>
      <c r="Z559">
        <v>586</v>
      </c>
      <c r="AA559">
        <v>368</v>
      </c>
      <c r="AB559">
        <v>418</v>
      </c>
      <c r="AC559" s="28">
        <v>459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ht="12" customHeight="1" x14ac:dyDescent="0.2">
      <c r="A560" t="s">
        <v>129</v>
      </c>
      <c r="B560">
        <v>173</v>
      </c>
      <c r="C560">
        <v>180</v>
      </c>
      <c r="D560">
        <v>185</v>
      </c>
      <c r="E560">
        <v>190</v>
      </c>
      <c r="F560">
        <v>197</v>
      </c>
      <c r="G560">
        <v>198</v>
      </c>
      <c r="H560">
        <v>200</v>
      </c>
      <c r="I560">
        <v>221</v>
      </c>
      <c r="J560">
        <v>248</v>
      </c>
      <c r="K560">
        <v>296</v>
      </c>
      <c r="L560">
        <v>318</v>
      </c>
      <c r="M560">
        <v>348</v>
      </c>
      <c r="N560">
        <v>368</v>
      </c>
      <c r="O560">
        <v>377</v>
      </c>
      <c r="P560">
        <v>417</v>
      </c>
      <c r="Q560">
        <v>464</v>
      </c>
      <c r="R560">
        <v>468</v>
      </c>
      <c r="S560">
        <v>512</v>
      </c>
      <c r="T560">
        <v>550</v>
      </c>
      <c r="U560">
        <v>612</v>
      </c>
      <c r="V560">
        <v>666</v>
      </c>
      <c r="W560">
        <v>703</v>
      </c>
      <c r="X560">
        <v>772</v>
      </c>
      <c r="Y560">
        <v>768</v>
      </c>
      <c r="Z560">
        <v>763</v>
      </c>
      <c r="AA560">
        <v>553</v>
      </c>
      <c r="AB560">
        <v>633</v>
      </c>
      <c r="AC560" s="28">
        <v>667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ht="12" customHeight="1" x14ac:dyDescent="0.2">
      <c r="A561" t="s">
        <v>130</v>
      </c>
      <c r="B561">
        <v>109</v>
      </c>
      <c r="C561">
        <v>114</v>
      </c>
      <c r="D561">
        <v>117</v>
      </c>
      <c r="E561">
        <v>120</v>
      </c>
      <c r="F561">
        <v>124</v>
      </c>
      <c r="G561">
        <v>125</v>
      </c>
      <c r="H561">
        <v>118</v>
      </c>
      <c r="I561">
        <v>137</v>
      </c>
      <c r="J561">
        <v>132</v>
      </c>
      <c r="K561">
        <v>126</v>
      </c>
      <c r="L561">
        <v>124</v>
      </c>
      <c r="M561">
        <v>136</v>
      </c>
      <c r="N561">
        <v>138</v>
      </c>
      <c r="O561">
        <v>142</v>
      </c>
      <c r="P561">
        <v>154</v>
      </c>
      <c r="Q561">
        <v>159</v>
      </c>
      <c r="R561">
        <v>153</v>
      </c>
      <c r="S561">
        <v>148</v>
      </c>
      <c r="T561">
        <v>159</v>
      </c>
      <c r="U561">
        <v>170</v>
      </c>
      <c r="V561">
        <v>175</v>
      </c>
      <c r="W561">
        <v>185</v>
      </c>
      <c r="X561">
        <v>189</v>
      </c>
      <c r="Y561">
        <v>181</v>
      </c>
      <c r="Z561">
        <v>183</v>
      </c>
      <c r="AA561">
        <v>126</v>
      </c>
      <c r="AB561">
        <v>130</v>
      </c>
      <c r="AC561" s="28">
        <v>142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ht="12" customHeight="1" x14ac:dyDescent="0.2">
      <c r="A562" t="s">
        <v>131</v>
      </c>
      <c r="B562">
        <v>36</v>
      </c>
      <c r="C562">
        <v>37</v>
      </c>
      <c r="D562">
        <v>38</v>
      </c>
      <c r="E562">
        <v>39</v>
      </c>
      <c r="F562">
        <v>41</v>
      </c>
      <c r="G562">
        <v>41</v>
      </c>
      <c r="H562">
        <v>39</v>
      </c>
      <c r="I562">
        <v>39</v>
      </c>
      <c r="J562">
        <v>31</v>
      </c>
      <c r="K562">
        <v>35</v>
      </c>
      <c r="L562">
        <v>29</v>
      </c>
      <c r="M562">
        <v>25</v>
      </c>
      <c r="N562">
        <v>29</v>
      </c>
      <c r="O562">
        <v>28</v>
      </c>
      <c r="P562">
        <v>26</v>
      </c>
      <c r="Q562">
        <v>33</v>
      </c>
      <c r="R562">
        <v>29</v>
      </c>
      <c r="S562">
        <v>32</v>
      </c>
      <c r="T562">
        <v>40</v>
      </c>
      <c r="U562">
        <v>40</v>
      </c>
      <c r="V562">
        <v>43</v>
      </c>
      <c r="W562">
        <v>39</v>
      </c>
      <c r="X562">
        <v>41</v>
      </c>
      <c r="Y562">
        <v>40</v>
      </c>
      <c r="Z562">
        <v>42</v>
      </c>
      <c r="AA562">
        <v>32</v>
      </c>
      <c r="AB562">
        <v>27</v>
      </c>
      <c r="AC562" s="28">
        <v>28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ht="12" customHeight="1" x14ac:dyDescent="0.2">
      <c r="A563" t="s">
        <v>132</v>
      </c>
      <c r="B563">
        <v>39</v>
      </c>
      <c r="C563">
        <v>41</v>
      </c>
      <c r="D563">
        <v>42</v>
      </c>
      <c r="E563">
        <v>43</v>
      </c>
      <c r="F563">
        <v>45</v>
      </c>
      <c r="G563">
        <v>45</v>
      </c>
      <c r="H563">
        <v>49</v>
      </c>
      <c r="I563">
        <v>53</v>
      </c>
      <c r="J563">
        <v>53</v>
      </c>
      <c r="K563">
        <v>55</v>
      </c>
      <c r="L563">
        <v>51</v>
      </c>
      <c r="M563">
        <v>59</v>
      </c>
      <c r="N563">
        <v>64</v>
      </c>
      <c r="O563">
        <v>66</v>
      </c>
      <c r="P563">
        <v>73</v>
      </c>
      <c r="Q563">
        <v>70</v>
      </c>
      <c r="R563">
        <v>75</v>
      </c>
      <c r="S563">
        <v>83</v>
      </c>
      <c r="T563">
        <v>87</v>
      </c>
      <c r="U563">
        <v>93</v>
      </c>
      <c r="V563">
        <v>101</v>
      </c>
      <c r="W563">
        <v>105</v>
      </c>
      <c r="X563">
        <v>111</v>
      </c>
      <c r="Y563">
        <v>113</v>
      </c>
      <c r="Z563">
        <v>91</v>
      </c>
      <c r="AA563">
        <v>61</v>
      </c>
      <c r="AB563">
        <v>71</v>
      </c>
      <c r="AC563" s="28">
        <v>86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ht="12" customHeight="1" x14ac:dyDescent="0.2">
      <c r="A564" t="s">
        <v>133</v>
      </c>
      <c r="B564">
        <v>259</v>
      </c>
      <c r="C564">
        <v>289</v>
      </c>
      <c r="D564">
        <v>315</v>
      </c>
      <c r="E564">
        <v>358</v>
      </c>
      <c r="F564">
        <v>414</v>
      </c>
      <c r="G564">
        <v>516</v>
      </c>
      <c r="H564">
        <v>573</v>
      </c>
      <c r="I564">
        <v>712</v>
      </c>
      <c r="J564">
        <v>1431</v>
      </c>
      <c r="K564">
        <v>1644</v>
      </c>
      <c r="L564">
        <v>1781</v>
      </c>
      <c r="M564">
        <v>1808</v>
      </c>
      <c r="N564">
        <v>1897</v>
      </c>
      <c r="O564">
        <v>1917</v>
      </c>
      <c r="P564">
        <v>2294</v>
      </c>
      <c r="Q564">
        <v>2257</v>
      </c>
      <c r="R564">
        <v>2212</v>
      </c>
      <c r="S564">
        <v>2093</v>
      </c>
      <c r="T564">
        <v>2158</v>
      </c>
      <c r="U564">
        <v>2228</v>
      </c>
      <c r="V564">
        <v>2234</v>
      </c>
      <c r="W564">
        <v>2208</v>
      </c>
      <c r="X564">
        <v>2149</v>
      </c>
      <c r="Y564">
        <v>2191</v>
      </c>
      <c r="Z564">
        <v>2235</v>
      </c>
      <c r="AA564">
        <v>1868</v>
      </c>
      <c r="AB564">
        <v>1989</v>
      </c>
      <c r="AC564" s="28">
        <v>1792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ht="12" customHeight="1" x14ac:dyDescent="0.2">
      <c r="A565" t="s">
        <v>134</v>
      </c>
      <c r="B565">
        <v>34</v>
      </c>
      <c r="C565">
        <v>38</v>
      </c>
      <c r="D565">
        <v>42</v>
      </c>
      <c r="E565">
        <v>47</v>
      </c>
      <c r="F565">
        <v>55</v>
      </c>
      <c r="G565">
        <v>68</v>
      </c>
      <c r="H565">
        <v>59</v>
      </c>
      <c r="I565">
        <v>55</v>
      </c>
      <c r="J565">
        <v>48</v>
      </c>
      <c r="K565">
        <v>69</v>
      </c>
      <c r="L565">
        <v>93</v>
      </c>
      <c r="M565">
        <v>116</v>
      </c>
      <c r="N565">
        <v>142</v>
      </c>
      <c r="O565">
        <v>150</v>
      </c>
      <c r="P565">
        <v>325</v>
      </c>
      <c r="Q565">
        <v>331</v>
      </c>
      <c r="R565">
        <v>355</v>
      </c>
      <c r="S565">
        <v>351</v>
      </c>
      <c r="T565">
        <v>368</v>
      </c>
      <c r="U565">
        <v>374</v>
      </c>
      <c r="V565">
        <v>386</v>
      </c>
      <c r="W565">
        <v>387</v>
      </c>
      <c r="X565">
        <v>403</v>
      </c>
      <c r="Y565">
        <v>405</v>
      </c>
      <c r="Z565">
        <v>401</v>
      </c>
      <c r="AA565">
        <v>281</v>
      </c>
      <c r="AB565">
        <v>283</v>
      </c>
      <c r="AC565" s="28">
        <v>344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ht="12" customHeight="1" x14ac:dyDescent="0.2">
      <c r="A566" t="s">
        <v>135</v>
      </c>
      <c r="B566">
        <v>7</v>
      </c>
      <c r="C566">
        <v>7</v>
      </c>
      <c r="D566">
        <v>8</v>
      </c>
      <c r="E566">
        <v>9</v>
      </c>
      <c r="F566">
        <v>10</v>
      </c>
      <c r="G566">
        <v>13</v>
      </c>
      <c r="H566">
        <v>14</v>
      </c>
      <c r="I566">
        <v>14</v>
      </c>
      <c r="J566">
        <v>12</v>
      </c>
      <c r="K566">
        <v>17</v>
      </c>
      <c r="L566">
        <v>21</v>
      </c>
      <c r="M566">
        <v>41</v>
      </c>
      <c r="N566">
        <v>64</v>
      </c>
      <c r="O566">
        <v>66</v>
      </c>
      <c r="P566">
        <v>98</v>
      </c>
      <c r="Q566">
        <v>65</v>
      </c>
      <c r="R566">
        <v>68</v>
      </c>
      <c r="S566">
        <v>78</v>
      </c>
      <c r="T566">
        <v>85</v>
      </c>
      <c r="U566">
        <v>105</v>
      </c>
      <c r="V566">
        <v>117</v>
      </c>
      <c r="W566">
        <v>135</v>
      </c>
      <c r="X566">
        <v>133</v>
      </c>
      <c r="Y566">
        <v>132</v>
      </c>
      <c r="Z566">
        <v>123</v>
      </c>
      <c r="AA566">
        <v>91</v>
      </c>
      <c r="AB566">
        <v>81</v>
      </c>
      <c r="AC566" s="28">
        <v>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ht="12" customHeight="1" x14ac:dyDescent="0.2">
      <c r="A567" t="s">
        <v>136</v>
      </c>
      <c r="B567">
        <v>241</v>
      </c>
      <c r="C567">
        <v>269</v>
      </c>
      <c r="D567">
        <v>294</v>
      </c>
      <c r="E567">
        <v>334</v>
      </c>
      <c r="F567">
        <v>386</v>
      </c>
      <c r="G567">
        <v>481</v>
      </c>
      <c r="H567">
        <v>482</v>
      </c>
      <c r="I567">
        <v>510</v>
      </c>
      <c r="J567">
        <v>687</v>
      </c>
      <c r="K567">
        <v>701</v>
      </c>
      <c r="L567">
        <v>748</v>
      </c>
      <c r="M567">
        <v>807</v>
      </c>
      <c r="N567">
        <v>849</v>
      </c>
      <c r="O567">
        <v>817</v>
      </c>
      <c r="P567">
        <v>1469</v>
      </c>
      <c r="Q567">
        <v>1414</v>
      </c>
      <c r="R567">
        <v>1353</v>
      </c>
      <c r="S567">
        <v>1300</v>
      </c>
      <c r="T567">
        <v>1253</v>
      </c>
      <c r="U567">
        <v>1253</v>
      </c>
      <c r="V567">
        <v>1256</v>
      </c>
      <c r="W567">
        <v>1256</v>
      </c>
      <c r="X567">
        <v>1221</v>
      </c>
      <c r="Y567">
        <v>1221</v>
      </c>
      <c r="Z567">
        <v>1213</v>
      </c>
      <c r="AA567">
        <v>851</v>
      </c>
      <c r="AB567">
        <v>889</v>
      </c>
      <c r="AC567" s="28">
        <v>859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ht="12" customHeight="1" x14ac:dyDescent="0.2">
      <c r="A568" t="s">
        <v>137</v>
      </c>
      <c r="B568">
        <v>2</v>
      </c>
      <c r="C568">
        <v>2</v>
      </c>
      <c r="D568">
        <v>2</v>
      </c>
      <c r="E568">
        <v>3</v>
      </c>
      <c r="F568">
        <v>3</v>
      </c>
      <c r="G568">
        <v>4</v>
      </c>
      <c r="H568">
        <v>4</v>
      </c>
      <c r="I568">
        <v>7</v>
      </c>
      <c r="J568">
        <v>10</v>
      </c>
      <c r="K568">
        <v>10</v>
      </c>
      <c r="L568">
        <v>12</v>
      </c>
      <c r="M568">
        <v>13</v>
      </c>
      <c r="N568">
        <v>13</v>
      </c>
      <c r="O568">
        <v>14</v>
      </c>
      <c r="P568">
        <v>75</v>
      </c>
      <c r="Q568">
        <v>82</v>
      </c>
      <c r="R568">
        <v>86</v>
      </c>
      <c r="S568">
        <v>87</v>
      </c>
      <c r="T568">
        <v>94</v>
      </c>
      <c r="U568">
        <v>94</v>
      </c>
      <c r="V568">
        <v>98</v>
      </c>
      <c r="W568">
        <v>100</v>
      </c>
      <c r="X568">
        <v>105</v>
      </c>
      <c r="Y568">
        <v>105</v>
      </c>
      <c r="Z568">
        <v>115</v>
      </c>
      <c r="AA568">
        <v>111</v>
      </c>
      <c r="AB568">
        <v>83</v>
      </c>
      <c r="AC568" s="28">
        <v>112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ht="12" customHeight="1" x14ac:dyDescent="0.2">
      <c r="A569" t="s">
        <v>138</v>
      </c>
      <c r="B569">
        <v>25</v>
      </c>
      <c r="C569">
        <v>28</v>
      </c>
      <c r="D569">
        <v>31</v>
      </c>
      <c r="E569">
        <v>35</v>
      </c>
      <c r="F569">
        <v>40</v>
      </c>
      <c r="G569">
        <v>50</v>
      </c>
      <c r="H569">
        <v>21</v>
      </c>
      <c r="I569">
        <v>24</v>
      </c>
      <c r="J569">
        <v>21</v>
      </c>
      <c r="K569">
        <v>26</v>
      </c>
      <c r="L569">
        <v>22</v>
      </c>
      <c r="M569">
        <v>19</v>
      </c>
      <c r="N569">
        <v>30</v>
      </c>
      <c r="O569">
        <v>51</v>
      </c>
      <c r="P569">
        <v>217</v>
      </c>
      <c r="Q569">
        <v>239</v>
      </c>
      <c r="R569">
        <v>248</v>
      </c>
      <c r="S569">
        <v>278</v>
      </c>
      <c r="T569">
        <v>293</v>
      </c>
      <c r="U569">
        <v>304</v>
      </c>
      <c r="V569">
        <v>317</v>
      </c>
      <c r="W569">
        <v>302</v>
      </c>
      <c r="X569">
        <v>294</v>
      </c>
      <c r="Y569">
        <v>299</v>
      </c>
      <c r="Z569">
        <v>327</v>
      </c>
      <c r="AA569">
        <v>262</v>
      </c>
      <c r="AB569">
        <v>294</v>
      </c>
      <c r="AC569" s="28">
        <v>260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ht="12" customHeight="1" x14ac:dyDescent="0.2">
      <c r="A570" t="s">
        <v>139</v>
      </c>
      <c r="B570">
        <v>5</v>
      </c>
      <c r="C570">
        <v>6</v>
      </c>
      <c r="D570">
        <v>6</v>
      </c>
      <c r="E570">
        <v>7</v>
      </c>
      <c r="F570">
        <v>8</v>
      </c>
      <c r="G570">
        <v>10</v>
      </c>
      <c r="H570">
        <v>10</v>
      </c>
      <c r="I570">
        <v>10</v>
      </c>
      <c r="J570">
        <v>4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5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3</v>
      </c>
      <c r="W570">
        <v>3</v>
      </c>
      <c r="X570">
        <v>4</v>
      </c>
      <c r="Y570">
        <v>8</v>
      </c>
      <c r="Z570">
        <v>5</v>
      </c>
      <c r="AA570">
        <v>2</v>
      </c>
      <c r="AB570">
        <v>2</v>
      </c>
      <c r="AC570" s="28">
        <v>3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ht="12" customHeight="1" x14ac:dyDescent="0.2">
      <c r="A571" t="s">
        <v>140</v>
      </c>
      <c r="B571">
        <v>47</v>
      </c>
      <c r="C571">
        <v>52</v>
      </c>
      <c r="D571">
        <v>57</v>
      </c>
      <c r="E571">
        <v>64</v>
      </c>
      <c r="F571">
        <v>75</v>
      </c>
      <c r="G571">
        <v>93</v>
      </c>
      <c r="H571">
        <v>86</v>
      </c>
      <c r="I571">
        <v>98</v>
      </c>
      <c r="J571">
        <v>107</v>
      </c>
      <c r="K571">
        <v>110</v>
      </c>
      <c r="L571">
        <v>110</v>
      </c>
      <c r="M571">
        <v>111</v>
      </c>
      <c r="N571">
        <v>113</v>
      </c>
      <c r="O571">
        <v>89</v>
      </c>
      <c r="P571">
        <v>114</v>
      </c>
      <c r="Q571">
        <v>146</v>
      </c>
      <c r="R571">
        <v>168</v>
      </c>
      <c r="S571">
        <v>179</v>
      </c>
      <c r="T571">
        <v>181</v>
      </c>
      <c r="U571">
        <v>198</v>
      </c>
      <c r="V571">
        <v>194</v>
      </c>
      <c r="W571">
        <v>220</v>
      </c>
      <c r="X571">
        <v>249</v>
      </c>
      <c r="Y571">
        <v>268</v>
      </c>
      <c r="Z571">
        <v>246</v>
      </c>
      <c r="AA571">
        <v>206</v>
      </c>
      <c r="AB571">
        <v>252</v>
      </c>
      <c r="AC571" s="28">
        <v>84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ht="12" customHeight="1" x14ac:dyDescent="0.2">
      <c r="A572" t="s">
        <v>141</v>
      </c>
      <c r="B572">
        <v>19</v>
      </c>
      <c r="C572">
        <v>21</v>
      </c>
      <c r="D572">
        <v>23</v>
      </c>
      <c r="E572">
        <v>26</v>
      </c>
      <c r="F572">
        <v>30</v>
      </c>
      <c r="G572">
        <v>38</v>
      </c>
      <c r="H572">
        <v>38</v>
      </c>
      <c r="I572">
        <v>39</v>
      </c>
      <c r="J572">
        <v>32</v>
      </c>
      <c r="K572">
        <v>34</v>
      </c>
      <c r="L572">
        <v>37</v>
      </c>
      <c r="M572">
        <v>37</v>
      </c>
      <c r="N572">
        <v>47</v>
      </c>
      <c r="O572">
        <v>55</v>
      </c>
      <c r="P572">
        <v>83</v>
      </c>
      <c r="Q572">
        <v>103</v>
      </c>
      <c r="R572">
        <v>107</v>
      </c>
      <c r="S572">
        <v>117</v>
      </c>
      <c r="T572">
        <v>108</v>
      </c>
      <c r="U572">
        <v>115</v>
      </c>
      <c r="V572">
        <v>119</v>
      </c>
      <c r="W572">
        <v>109</v>
      </c>
      <c r="X572">
        <v>113</v>
      </c>
      <c r="Y572">
        <v>107</v>
      </c>
      <c r="Z572">
        <v>117</v>
      </c>
      <c r="AA572">
        <v>75</v>
      </c>
      <c r="AB572">
        <v>74</v>
      </c>
      <c r="AC572" s="28">
        <v>42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ht="12" customHeight="1" x14ac:dyDescent="0.2">
      <c r="A573" t="s">
        <v>142</v>
      </c>
      <c r="B573">
        <v>18</v>
      </c>
      <c r="C573">
        <v>20</v>
      </c>
      <c r="D573">
        <v>22</v>
      </c>
      <c r="E573">
        <v>25</v>
      </c>
      <c r="F573">
        <v>29</v>
      </c>
      <c r="G573">
        <v>36</v>
      </c>
      <c r="H573">
        <v>51</v>
      </c>
      <c r="I573">
        <v>54</v>
      </c>
      <c r="J573">
        <v>64</v>
      </c>
      <c r="K573">
        <v>73</v>
      </c>
      <c r="L573">
        <v>81</v>
      </c>
      <c r="M573">
        <v>82</v>
      </c>
      <c r="N573">
        <v>86</v>
      </c>
      <c r="O573">
        <v>105</v>
      </c>
      <c r="P573">
        <v>124</v>
      </c>
      <c r="Q573">
        <v>144</v>
      </c>
      <c r="R573">
        <v>140</v>
      </c>
      <c r="S573">
        <v>152</v>
      </c>
      <c r="T573">
        <v>164</v>
      </c>
      <c r="U573">
        <v>162</v>
      </c>
      <c r="V573">
        <v>170</v>
      </c>
      <c r="W573">
        <v>177</v>
      </c>
      <c r="X573">
        <v>195</v>
      </c>
      <c r="Y573">
        <v>200</v>
      </c>
      <c r="Z573">
        <v>217</v>
      </c>
      <c r="AA573">
        <v>184</v>
      </c>
      <c r="AB573">
        <v>197</v>
      </c>
      <c r="AC573" s="28">
        <v>210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ht="12" customHeight="1" x14ac:dyDescent="0.2">
      <c r="A574" t="s">
        <v>143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4</v>
      </c>
      <c r="I574">
        <v>4</v>
      </c>
      <c r="J574">
        <v>7</v>
      </c>
      <c r="K574">
        <v>7</v>
      </c>
      <c r="L574">
        <v>7</v>
      </c>
      <c r="M574">
        <v>9</v>
      </c>
      <c r="N574">
        <v>9</v>
      </c>
      <c r="O574">
        <v>13</v>
      </c>
      <c r="P574">
        <v>63</v>
      </c>
      <c r="Q574">
        <v>66</v>
      </c>
      <c r="R574">
        <v>75</v>
      </c>
      <c r="S574">
        <v>60</v>
      </c>
      <c r="T574">
        <v>59</v>
      </c>
      <c r="U574">
        <v>60</v>
      </c>
      <c r="V574">
        <v>61</v>
      </c>
      <c r="W574">
        <v>67</v>
      </c>
      <c r="X574">
        <v>76</v>
      </c>
      <c r="Y574">
        <v>95</v>
      </c>
      <c r="Z574">
        <v>109</v>
      </c>
      <c r="AA574">
        <v>101</v>
      </c>
      <c r="AB574">
        <v>99</v>
      </c>
      <c r="AC574" s="28">
        <v>100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</row>
    <row r="575" spans="1:57" ht="12" customHeight="1" x14ac:dyDescent="0.2">
      <c r="A575" t="s">
        <v>144</v>
      </c>
      <c r="B575">
        <v>41</v>
      </c>
      <c r="C575">
        <v>46</v>
      </c>
      <c r="D575">
        <v>50</v>
      </c>
      <c r="E575">
        <v>57</v>
      </c>
      <c r="F575">
        <v>66</v>
      </c>
      <c r="G575">
        <v>82</v>
      </c>
      <c r="H575">
        <v>76</v>
      </c>
      <c r="I575">
        <v>73</v>
      </c>
      <c r="J575">
        <v>71</v>
      </c>
      <c r="K575">
        <v>59</v>
      </c>
      <c r="L575">
        <v>64</v>
      </c>
      <c r="M575">
        <v>53</v>
      </c>
      <c r="N575">
        <v>62</v>
      </c>
      <c r="O575">
        <v>69</v>
      </c>
      <c r="P575">
        <v>241</v>
      </c>
      <c r="Q575">
        <v>285</v>
      </c>
      <c r="R575">
        <v>298</v>
      </c>
      <c r="S575">
        <v>339</v>
      </c>
      <c r="T575">
        <v>374</v>
      </c>
      <c r="U575">
        <v>423</v>
      </c>
      <c r="V575">
        <v>461</v>
      </c>
      <c r="W575">
        <v>471</v>
      </c>
      <c r="X575">
        <v>497</v>
      </c>
      <c r="Y575">
        <v>506</v>
      </c>
      <c r="Z575">
        <v>506</v>
      </c>
      <c r="AA575">
        <v>360</v>
      </c>
      <c r="AB575">
        <v>372</v>
      </c>
      <c r="AC575" s="28">
        <v>334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</row>
    <row r="576" spans="1:57" ht="12" customHeight="1" x14ac:dyDescent="0.2">
      <c r="A576" t="s">
        <v>145</v>
      </c>
      <c r="B576">
        <v>11</v>
      </c>
      <c r="C576">
        <v>12</v>
      </c>
      <c r="D576">
        <v>13</v>
      </c>
      <c r="E576">
        <v>15</v>
      </c>
      <c r="F576">
        <v>18</v>
      </c>
      <c r="G576">
        <v>22</v>
      </c>
      <c r="H576">
        <v>19</v>
      </c>
      <c r="I576">
        <v>17</v>
      </c>
      <c r="J576">
        <v>26</v>
      </c>
      <c r="K576">
        <v>31</v>
      </c>
      <c r="L576">
        <v>35</v>
      </c>
      <c r="M576">
        <v>58</v>
      </c>
      <c r="N576">
        <v>71</v>
      </c>
      <c r="O576">
        <v>94</v>
      </c>
      <c r="P576">
        <v>145</v>
      </c>
      <c r="Q576">
        <v>168</v>
      </c>
      <c r="R576">
        <v>168</v>
      </c>
      <c r="S576">
        <v>173</v>
      </c>
      <c r="T576">
        <v>182</v>
      </c>
      <c r="U576">
        <v>188</v>
      </c>
      <c r="V576">
        <v>184</v>
      </c>
      <c r="W576">
        <v>180</v>
      </c>
      <c r="X576">
        <v>177</v>
      </c>
      <c r="Y576">
        <v>158</v>
      </c>
      <c r="Z576">
        <v>150</v>
      </c>
      <c r="AA576">
        <v>127</v>
      </c>
      <c r="AB576">
        <v>113</v>
      </c>
      <c r="AC576" s="28">
        <v>95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ht="12" customHeight="1" x14ac:dyDescent="0.2">
      <c r="A577" t="s">
        <v>146</v>
      </c>
      <c r="B577">
        <v>43</v>
      </c>
      <c r="C577">
        <v>48</v>
      </c>
      <c r="D577">
        <v>52</v>
      </c>
      <c r="E577">
        <v>59</v>
      </c>
      <c r="F577">
        <v>68</v>
      </c>
      <c r="G577">
        <v>85</v>
      </c>
      <c r="H577">
        <v>79</v>
      </c>
      <c r="I577">
        <v>78</v>
      </c>
      <c r="J577">
        <v>76</v>
      </c>
      <c r="K577">
        <v>68</v>
      </c>
      <c r="L577">
        <v>71</v>
      </c>
      <c r="M577">
        <v>65</v>
      </c>
      <c r="N577">
        <v>84</v>
      </c>
      <c r="O577">
        <v>107</v>
      </c>
      <c r="P577">
        <v>293</v>
      </c>
      <c r="Q577">
        <v>339</v>
      </c>
      <c r="R577">
        <v>344</v>
      </c>
      <c r="S577">
        <v>362</v>
      </c>
      <c r="T577">
        <v>377</v>
      </c>
      <c r="U577">
        <v>443</v>
      </c>
      <c r="V577">
        <v>463</v>
      </c>
      <c r="W577">
        <v>479</v>
      </c>
      <c r="X577">
        <v>517</v>
      </c>
      <c r="Y577">
        <v>549</v>
      </c>
      <c r="Z577">
        <v>508</v>
      </c>
      <c r="AA577">
        <v>403</v>
      </c>
      <c r="AB577">
        <v>421</v>
      </c>
      <c r="AC577" s="28">
        <v>465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ht="12" customHeight="1" x14ac:dyDescent="0.2">
      <c r="A578" t="s">
        <v>147</v>
      </c>
      <c r="B578">
        <v>25</v>
      </c>
      <c r="C578">
        <v>28</v>
      </c>
      <c r="D578">
        <v>31</v>
      </c>
      <c r="E578">
        <v>35</v>
      </c>
      <c r="F578">
        <v>40</v>
      </c>
      <c r="G578">
        <v>50</v>
      </c>
      <c r="H578">
        <v>49</v>
      </c>
      <c r="I578">
        <v>47</v>
      </c>
      <c r="J578">
        <v>50</v>
      </c>
      <c r="K578">
        <v>29</v>
      </c>
      <c r="L578">
        <v>28</v>
      </c>
      <c r="M578">
        <v>34</v>
      </c>
      <c r="N578">
        <v>34</v>
      </c>
      <c r="O578">
        <v>31</v>
      </c>
      <c r="P578">
        <v>81</v>
      </c>
      <c r="Q578">
        <v>110</v>
      </c>
      <c r="R578">
        <v>148</v>
      </c>
      <c r="S578">
        <v>177</v>
      </c>
      <c r="T578">
        <v>190</v>
      </c>
      <c r="U578">
        <v>216</v>
      </c>
      <c r="V578">
        <v>216</v>
      </c>
      <c r="W578">
        <v>179</v>
      </c>
      <c r="X578">
        <v>167</v>
      </c>
      <c r="Y578">
        <v>148</v>
      </c>
      <c r="Z578">
        <v>180</v>
      </c>
      <c r="AA578">
        <v>169</v>
      </c>
      <c r="AB578">
        <v>159</v>
      </c>
      <c r="AC578" s="28">
        <v>176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</row>
    <row r="579" spans="1:57" ht="12" customHeight="1" x14ac:dyDescent="0.2">
      <c r="A579" t="s">
        <v>148</v>
      </c>
      <c r="B579">
        <v>11</v>
      </c>
      <c r="C579">
        <v>12</v>
      </c>
      <c r="D579">
        <v>13</v>
      </c>
      <c r="E579">
        <v>15</v>
      </c>
      <c r="F579">
        <v>17</v>
      </c>
      <c r="G579">
        <v>21</v>
      </c>
      <c r="H579">
        <v>21</v>
      </c>
      <c r="I579">
        <v>22</v>
      </c>
      <c r="J579">
        <v>27</v>
      </c>
      <c r="K579">
        <v>26</v>
      </c>
      <c r="L579">
        <v>24</v>
      </c>
      <c r="M579">
        <v>47</v>
      </c>
      <c r="N579">
        <v>62</v>
      </c>
      <c r="O579">
        <v>78</v>
      </c>
      <c r="P579">
        <v>221</v>
      </c>
      <c r="Q579">
        <v>261</v>
      </c>
      <c r="R579">
        <v>273</v>
      </c>
      <c r="S579">
        <v>249</v>
      </c>
      <c r="T579">
        <v>258</v>
      </c>
      <c r="U579">
        <v>283</v>
      </c>
      <c r="V579">
        <v>294</v>
      </c>
      <c r="W579">
        <v>275</v>
      </c>
      <c r="X579">
        <v>279</v>
      </c>
      <c r="Y579">
        <v>287</v>
      </c>
      <c r="Z579">
        <v>277</v>
      </c>
      <c r="AA579">
        <v>207</v>
      </c>
      <c r="AB579">
        <v>185</v>
      </c>
      <c r="AC579" s="28">
        <v>182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</row>
    <row r="580" spans="1:57" ht="12" customHeight="1" x14ac:dyDescent="0.2">
      <c r="A580" s="1" t="s">
        <v>153</v>
      </c>
      <c r="B580" s="35">
        <f t="shared" ref="B580:AB580" si="146">SUM(B532:B579)</f>
        <v>11133</v>
      </c>
      <c r="C580" s="35">
        <f t="shared" si="146"/>
        <v>11515</v>
      </c>
      <c r="D580" s="35">
        <f t="shared" si="146"/>
        <v>11929</v>
      </c>
      <c r="E580" s="35">
        <f t="shared" si="146"/>
        <v>12550</v>
      </c>
      <c r="F580" s="35">
        <f t="shared" si="146"/>
        <v>13277</v>
      </c>
      <c r="G580" s="35">
        <f t="shared" si="146"/>
        <v>14050</v>
      </c>
      <c r="H580" s="35">
        <f t="shared" si="146"/>
        <v>13638</v>
      </c>
      <c r="I580" s="35">
        <f t="shared" si="146"/>
        <v>14227</v>
      </c>
      <c r="J580" s="35">
        <f t="shared" si="146"/>
        <v>15363</v>
      </c>
      <c r="K580" s="35">
        <f t="shared" si="146"/>
        <v>16029</v>
      </c>
      <c r="L580" s="35">
        <f t="shared" si="146"/>
        <v>16572</v>
      </c>
      <c r="M580" s="35">
        <f t="shared" si="146"/>
        <v>17423</v>
      </c>
      <c r="N580" s="35">
        <f t="shared" si="146"/>
        <v>18211</v>
      </c>
      <c r="O580" s="35">
        <f t="shared" si="146"/>
        <v>18131</v>
      </c>
      <c r="P580" s="35">
        <f t="shared" si="146"/>
        <v>20762</v>
      </c>
      <c r="Q580" s="35">
        <f t="shared" si="146"/>
        <v>21543</v>
      </c>
      <c r="R580" s="35">
        <f t="shared" si="146"/>
        <v>21683</v>
      </c>
      <c r="S580" s="35">
        <f t="shared" si="146"/>
        <v>22180</v>
      </c>
      <c r="T580" s="35">
        <f t="shared" si="146"/>
        <v>22928</v>
      </c>
      <c r="U580" s="35">
        <f t="shared" si="146"/>
        <v>23918</v>
      </c>
      <c r="V580" s="35">
        <f t="shared" si="146"/>
        <v>24910</v>
      </c>
      <c r="W580" s="35">
        <f t="shared" si="146"/>
        <v>25755</v>
      </c>
      <c r="X580" s="35">
        <f t="shared" si="146"/>
        <v>26804</v>
      </c>
      <c r="Y580" s="35">
        <f t="shared" si="146"/>
        <v>27948</v>
      </c>
      <c r="Z580" s="35">
        <f t="shared" si="146"/>
        <v>28377</v>
      </c>
      <c r="AA580" s="35">
        <f t="shared" si="146"/>
        <v>21532</v>
      </c>
      <c r="AB580" s="35">
        <f t="shared" si="146"/>
        <v>24615</v>
      </c>
      <c r="AC580" s="68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</row>
    <row r="581" spans="1:57" ht="12" customHeight="1" x14ac:dyDescent="0.2">
      <c r="A581" s="1" t="s">
        <v>154</v>
      </c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6"/>
      <c r="AA581" s="36"/>
      <c r="AB581" s="36"/>
      <c r="AC581" s="37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</row>
    <row r="582" spans="1:57" ht="12" customHeight="1" x14ac:dyDescent="0.2">
      <c r="AC582" s="28"/>
    </row>
    <row r="583" spans="1:57" ht="12" customHeight="1" x14ac:dyDescent="0.2">
      <c r="A583" t="s">
        <v>157</v>
      </c>
      <c r="AC583" s="28"/>
    </row>
    <row r="584" spans="1:57" ht="12" customHeight="1" x14ac:dyDescent="0.2">
      <c r="A584" s="19" t="s">
        <v>158</v>
      </c>
      <c r="B584">
        <v>1995</v>
      </c>
      <c r="C584">
        <v>1996</v>
      </c>
      <c r="D584">
        <v>1997</v>
      </c>
      <c r="E584">
        <v>1998</v>
      </c>
      <c r="F584">
        <v>1999</v>
      </c>
      <c r="G584">
        <v>2000</v>
      </c>
      <c r="H584">
        <v>2001</v>
      </c>
      <c r="I584">
        <v>2002</v>
      </c>
      <c r="J584">
        <v>2003</v>
      </c>
      <c r="K584">
        <v>2004</v>
      </c>
      <c r="L584">
        <v>2005</v>
      </c>
      <c r="M584">
        <v>2006</v>
      </c>
      <c r="N584">
        <v>2007</v>
      </c>
      <c r="O584">
        <v>2008</v>
      </c>
      <c r="P584">
        <v>2009</v>
      </c>
      <c r="Q584">
        <v>2010</v>
      </c>
      <c r="R584">
        <v>2011</v>
      </c>
      <c r="S584">
        <v>2012</v>
      </c>
      <c r="T584">
        <v>2013</v>
      </c>
      <c r="U584">
        <v>2014</v>
      </c>
      <c r="V584">
        <v>2015</v>
      </c>
      <c r="W584">
        <v>2016</v>
      </c>
      <c r="X584">
        <v>2017</v>
      </c>
      <c r="Y584">
        <v>2018</v>
      </c>
      <c r="Z584">
        <v>2019</v>
      </c>
      <c r="AA584">
        <v>2020</v>
      </c>
      <c r="AB584">
        <v>2021</v>
      </c>
      <c r="AC584" s="28">
        <v>2022</v>
      </c>
      <c r="AD584">
        <v>2023</v>
      </c>
      <c r="AE584">
        <v>2024</v>
      </c>
      <c r="AF584">
        <v>2025</v>
      </c>
      <c r="AG584">
        <v>2026</v>
      </c>
      <c r="AH584">
        <v>2027</v>
      </c>
      <c r="AI584">
        <v>2028</v>
      </c>
      <c r="AJ584">
        <v>2029</v>
      </c>
      <c r="AK584">
        <v>2030</v>
      </c>
      <c r="AL584">
        <v>2031</v>
      </c>
      <c r="AM584">
        <v>2032</v>
      </c>
      <c r="AN584">
        <v>2033</v>
      </c>
      <c r="AO584">
        <v>2034</v>
      </c>
      <c r="AP584">
        <v>2035</v>
      </c>
      <c r="AQ584">
        <v>2036</v>
      </c>
      <c r="AR584">
        <v>2037</v>
      </c>
      <c r="AS584">
        <v>2038</v>
      </c>
      <c r="AT584">
        <v>2039</v>
      </c>
      <c r="AU584">
        <v>2040</v>
      </c>
      <c r="AV584">
        <v>2041</v>
      </c>
      <c r="AW584">
        <v>2042</v>
      </c>
      <c r="AX584">
        <v>2043</v>
      </c>
      <c r="AY584">
        <v>2044</v>
      </c>
      <c r="AZ584">
        <v>2045</v>
      </c>
      <c r="BA584">
        <v>2046</v>
      </c>
      <c r="BB584">
        <v>2047</v>
      </c>
      <c r="BC584">
        <v>2048</v>
      </c>
      <c r="BD584">
        <v>2049</v>
      </c>
      <c r="BE584">
        <v>2050</v>
      </c>
    </row>
    <row r="585" spans="1:57" ht="12" customHeight="1" x14ac:dyDescent="0.2">
      <c r="A585" t="s">
        <v>101</v>
      </c>
      <c r="B585">
        <v>128</v>
      </c>
      <c r="C585">
        <v>116</v>
      </c>
      <c r="D585">
        <v>113</v>
      </c>
      <c r="E585">
        <v>110</v>
      </c>
      <c r="F585">
        <v>169</v>
      </c>
      <c r="G585">
        <v>188</v>
      </c>
      <c r="H585">
        <v>686</v>
      </c>
      <c r="I585">
        <v>703</v>
      </c>
      <c r="J585">
        <v>673</v>
      </c>
      <c r="K585">
        <v>582</v>
      </c>
      <c r="L585">
        <v>603</v>
      </c>
      <c r="M585">
        <v>427</v>
      </c>
      <c r="N585">
        <v>313</v>
      </c>
      <c r="O585">
        <v>464</v>
      </c>
      <c r="P585">
        <v>473</v>
      </c>
      <c r="Q585">
        <v>470</v>
      </c>
      <c r="R585">
        <v>534</v>
      </c>
      <c r="S585">
        <v>520</v>
      </c>
      <c r="T585">
        <v>425</v>
      </c>
      <c r="U585">
        <v>531</v>
      </c>
      <c r="V585">
        <v>433</v>
      </c>
      <c r="W585">
        <v>407</v>
      </c>
      <c r="X585">
        <v>314</v>
      </c>
      <c r="Y585">
        <v>257</v>
      </c>
      <c r="Z585">
        <v>288</v>
      </c>
      <c r="AA585">
        <v>789</v>
      </c>
      <c r="AB585">
        <v>263</v>
      </c>
      <c r="AC585" s="28">
        <v>90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ht="12" customHeight="1" x14ac:dyDescent="0.2">
      <c r="A586" t="s">
        <v>102</v>
      </c>
      <c r="B586">
        <v>5</v>
      </c>
      <c r="C586">
        <v>5</v>
      </c>
      <c r="D586">
        <v>5</v>
      </c>
      <c r="E586">
        <v>5</v>
      </c>
      <c r="F586">
        <v>7</v>
      </c>
      <c r="G586">
        <v>8</v>
      </c>
      <c r="H586">
        <v>30</v>
      </c>
      <c r="I586">
        <v>29</v>
      </c>
      <c r="J586">
        <v>19</v>
      </c>
      <c r="K586">
        <v>23</v>
      </c>
      <c r="L586">
        <v>21</v>
      </c>
      <c r="M586">
        <v>11</v>
      </c>
      <c r="N586">
        <v>3</v>
      </c>
      <c r="O586">
        <v>7</v>
      </c>
      <c r="P586">
        <v>3</v>
      </c>
      <c r="Q586">
        <v>8</v>
      </c>
      <c r="R586">
        <v>8</v>
      </c>
      <c r="S586">
        <v>4</v>
      </c>
      <c r="T586">
        <v>6</v>
      </c>
      <c r="U586">
        <v>6</v>
      </c>
      <c r="V586">
        <v>9</v>
      </c>
      <c r="W586">
        <v>12</v>
      </c>
      <c r="X586">
        <v>4</v>
      </c>
      <c r="Y586">
        <v>5</v>
      </c>
      <c r="Z586">
        <v>12</v>
      </c>
      <c r="AA586">
        <v>136</v>
      </c>
      <c r="AB586">
        <v>13</v>
      </c>
      <c r="AC586" s="28">
        <v>21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ht="12" customHeight="1" x14ac:dyDescent="0.2">
      <c r="A587" t="s">
        <v>103</v>
      </c>
      <c r="B587">
        <v>10</v>
      </c>
      <c r="C587">
        <v>9</v>
      </c>
      <c r="D587">
        <v>8</v>
      </c>
      <c r="E587">
        <v>8</v>
      </c>
      <c r="F587">
        <v>13</v>
      </c>
      <c r="G587">
        <v>14</v>
      </c>
      <c r="H587">
        <v>19</v>
      </c>
      <c r="I587">
        <v>15</v>
      </c>
      <c r="J587">
        <v>11</v>
      </c>
      <c r="K587">
        <v>23</v>
      </c>
      <c r="L587">
        <v>23</v>
      </c>
      <c r="M587">
        <v>24</v>
      </c>
      <c r="N587">
        <v>32</v>
      </c>
      <c r="O587">
        <v>57</v>
      </c>
      <c r="P587">
        <v>83</v>
      </c>
      <c r="Q587">
        <v>108</v>
      </c>
      <c r="R587">
        <v>79</v>
      </c>
      <c r="S587">
        <v>66</v>
      </c>
      <c r="T587">
        <v>49</v>
      </c>
      <c r="U587">
        <v>31</v>
      </c>
      <c r="V587">
        <v>28</v>
      </c>
      <c r="W587">
        <v>33</v>
      </c>
      <c r="X587">
        <v>12</v>
      </c>
      <c r="Y587">
        <v>15</v>
      </c>
      <c r="Z587">
        <v>22</v>
      </c>
      <c r="AA587">
        <v>27</v>
      </c>
      <c r="AB587">
        <v>14</v>
      </c>
      <c r="AC587" s="28">
        <v>16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ht="12" customHeight="1" x14ac:dyDescent="0.2">
      <c r="A588" t="s">
        <v>104</v>
      </c>
      <c r="B588">
        <v>54</v>
      </c>
      <c r="C588">
        <v>49</v>
      </c>
      <c r="D588">
        <v>48</v>
      </c>
      <c r="E588">
        <v>47</v>
      </c>
      <c r="F588">
        <v>72</v>
      </c>
      <c r="G588">
        <v>80</v>
      </c>
      <c r="H588">
        <v>176</v>
      </c>
      <c r="I588">
        <v>109</v>
      </c>
      <c r="J588">
        <v>135</v>
      </c>
      <c r="K588">
        <v>97</v>
      </c>
      <c r="L588">
        <v>87</v>
      </c>
      <c r="M588">
        <v>50</v>
      </c>
      <c r="N588">
        <v>36</v>
      </c>
      <c r="O588">
        <v>126</v>
      </c>
      <c r="P588">
        <v>155</v>
      </c>
      <c r="Q588">
        <v>115</v>
      </c>
      <c r="R588">
        <v>151</v>
      </c>
      <c r="S588">
        <v>156</v>
      </c>
      <c r="T588">
        <v>123</v>
      </c>
      <c r="U588">
        <v>129</v>
      </c>
      <c r="V588">
        <v>102</v>
      </c>
      <c r="W588">
        <v>131</v>
      </c>
      <c r="X588">
        <v>195</v>
      </c>
      <c r="Y588">
        <v>134</v>
      </c>
      <c r="Z588">
        <v>200</v>
      </c>
      <c r="AA588">
        <v>1251</v>
      </c>
      <c r="AB588">
        <v>227</v>
      </c>
      <c r="AC588" s="28">
        <v>178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ht="12" customHeight="1" x14ac:dyDescent="0.2">
      <c r="A589" t="s">
        <v>105</v>
      </c>
      <c r="B589">
        <v>3</v>
      </c>
      <c r="C589">
        <v>3</v>
      </c>
      <c r="D589">
        <v>3</v>
      </c>
      <c r="E589">
        <v>3</v>
      </c>
      <c r="F589">
        <v>5</v>
      </c>
      <c r="G589">
        <v>5</v>
      </c>
      <c r="H589">
        <v>7</v>
      </c>
      <c r="I589">
        <v>6</v>
      </c>
      <c r="J589">
        <v>10</v>
      </c>
      <c r="K589">
        <v>6</v>
      </c>
      <c r="L589">
        <v>4</v>
      </c>
      <c r="M589">
        <v>1</v>
      </c>
      <c r="N589">
        <v>1</v>
      </c>
      <c r="O589">
        <v>2</v>
      </c>
      <c r="P589">
        <v>1</v>
      </c>
      <c r="Q589">
        <v>6</v>
      </c>
      <c r="R589">
        <v>2</v>
      </c>
      <c r="S589">
        <v>3</v>
      </c>
      <c r="T589">
        <v>3</v>
      </c>
      <c r="U589">
        <v>1</v>
      </c>
      <c r="V589">
        <v>2</v>
      </c>
      <c r="W589">
        <v>1</v>
      </c>
      <c r="X589">
        <v>0</v>
      </c>
      <c r="Y589">
        <v>0</v>
      </c>
      <c r="Z589">
        <v>26</v>
      </c>
      <c r="AA589">
        <v>5</v>
      </c>
      <c r="AB589">
        <v>1</v>
      </c>
      <c r="AC589" s="28">
        <v>3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ht="12" customHeight="1" x14ac:dyDescent="0.2">
      <c r="A590" t="s">
        <v>106</v>
      </c>
      <c r="B590">
        <v>5</v>
      </c>
      <c r="C590">
        <v>5</v>
      </c>
      <c r="D590">
        <v>5</v>
      </c>
      <c r="E590">
        <v>5</v>
      </c>
      <c r="F590">
        <v>7</v>
      </c>
      <c r="G590">
        <v>8</v>
      </c>
      <c r="H590">
        <v>28</v>
      </c>
      <c r="I590">
        <v>21</v>
      </c>
      <c r="J590">
        <v>5</v>
      </c>
      <c r="K590">
        <v>5</v>
      </c>
      <c r="L590">
        <v>4</v>
      </c>
      <c r="M590">
        <v>9</v>
      </c>
      <c r="N590">
        <v>6</v>
      </c>
      <c r="O590">
        <v>3</v>
      </c>
      <c r="P590">
        <v>1</v>
      </c>
      <c r="Q590">
        <v>0</v>
      </c>
      <c r="R590">
        <v>4</v>
      </c>
      <c r="S590">
        <v>6</v>
      </c>
      <c r="T590">
        <v>9</v>
      </c>
      <c r="U590">
        <v>7</v>
      </c>
      <c r="V590">
        <v>6</v>
      </c>
      <c r="W590">
        <v>3</v>
      </c>
      <c r="X590">
        <v>1</v>
      </c>
      <c r="Y590">
        <v>0</v>
      </c>
      <c r="Z590">
        <v>3</v>
      </c>
      <c r="AA590">
        <v>48</v>
      </c>
      <c r="AB590">
        <v>2</v>
      </c>
      <c r="AC590" s="28">
        <v>16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ht="12" customHeight="1" x14ac:dyDescent="0.2">
      <c r="A591" t="s">
        <v>107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2</v>
      </c>
      <c r="U591">
        <v>2</v>
      </c>
      <c r="V591">
        <v>0</v>
      </c>
      <c r="W591">
        <v>2</v>
      </c>
      <c r="X591">
        <v>1</v>
      </c>
      <c r="Y591">
        <v>0</v>
      </c>
      <c r="Z591">
        <v>4</v>
      </c>
      <c r="AA591">
        <v>55</v>
      </c>
      <c r="AB591">
        <v>12</v>
      </c>
      <c r="AC591" s="28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ht="12" customHeight="1" x14ac:dyDescent="0.2">
      <c r="A592" t="s">
        <v>108</v>
      </c>
      <c r="B592">
        <v>5</v>
      </c>
      <c r="C592">
        <v>4</v>
      </c>
      <c r="D592">
        <v>4</v>
      </c>
      <c r="E592">
        <v>4</v>
      </c>
      <c r="F592">
        <v>6</v>
      </c>
      <c r="G592">
        <v>7</v>
      </c>
      <c r="H592">
        <v>6</v>
      </c>
      <c r="I592">
        <v>5</v>
      </c>
      <c r="J592">
        <v>14</v>
      </c>
      <c r="K592">
        <v>12</v>
      </c>
      <c r="L592">
        <v>50</v>
      </c>
      <c r="M592">
        <v>69</v>
      </c>
      <c r="N592">
        <v>89</v>
      </c>
      <c r="O592">
        <v>162</v>
      </c>
      <c r="P592">
        <v>168</v>
      </c>
      <c r="Q592">
        <v>155</v>
      </c>
      <c r="R592">
        <v>231</v>
      </c>
      <c r="S592">
        <v>191</v>
      </c>
      <c r="T592">
        <v>267</v>
      </c>
      <c r="U592">
        <v>231</v>
      </c>
      <c r="V592">
        <v>239</v>
      </c>
      <c r="W592">
        <v>198</v>
      </c>
      <c r="X592">
        <v>196</v>
      </c>
      <c r="Y592">
        <v>191</v>
      </c>
      <c r="Z592">
        <v>176</v>
      </c>
      <c r="AA592">
        <v>117</v>
      </c>
      <c r="AB592">
        <v>26</v>
      </c>
      <c r="AC592" s="28">
        <v>24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ht="12" customHeight="1" x14ac:dyDescent="0.2">
      <c r="A593" t="s">
        <v>109</v>
      </c>
      <c r="B593">
        <v>10</v>
      </c>
      <c r="C593">
        <v>9</v>
      </c>
      <c r="D593">
        <v>8</v>
      </c>
      <c r="E593">
        <v>8</v>
      </c>
      <c r="F593">
        <v>13</v>
      </c>
      <c r="G593">
        <v>14</v>
      </c>
      <c r="H593">
        <v>37</v>
      </c>
      <c r="I593">
        <v>37</v>
      </c>
      <c r="J593">
        <v>29</v>
      </c>
      <c r="K593">
        <v>61</v>
      </c>
      <c r="L593">
        <v>62</v>
      </c>
      <c r="M593">
        <v>59</v>
      </c>
      <c r="N593">
        <v>55</v>
      </c>
      <c r="O593">
        <v>35</v>
      </c>
      <c r="P593">
        <v>40</v>
      </c>
      <c r="Q593">
        <v>50</v>
      </c>
      <c r="R593">
        <v>55</v>
      </c>
      <c r="S593">
        <v>57</v>
      </c>
      <c r="T593">
        <v>82</v>
      </c>
      <c r="U593">
        <v>76</v>
      </c>
      <c r="V593">
        <v>74</v>
      </c>
      <c r="W593">
        <v>79</v>
      </c>
      <c r="X593">
        <v>75</v>
      </c>
      <c r="Y593">
        <v>95</v>
      </c>
      <c r="Z593">
        <v>113</v>
      </c>
      <c r="AA593">
        <v>74</v>
      </c>
      <c r="AB593">
        <v>41</v>
      </c>
      <c r="AC593" s="28">
        <v>27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ht="12" customHeight="1" x14ac:dyDescent="0.2">
      <c r="A594" t="s">
        <v>110</v>
      </c>
      <c r="B594">
        <v>7</v>
      </c>
      <c r="C594">
        <v>6</v>
      </c>
      <c r="D594">
        <v>6</v>
      </c>
      <c r="E594">
        <v>6</v>
      </c>
      <c r="F594">
        <v>9</v>
      </c>
      <c r="G594">
        <v>10</v>
      </c>
      <c r="H594">
        <v>3</v>
      </c>
      <c r="I594">
        <v>1</v>
      </c>
      <c r="J594">
        <v>0</v>
      </c>
      <c r="K594">
        <v>14</v>
      </c>
      <c r="L594">
        <v>17</v>
      </c>
      <c r="M594">
        <v>22</v>
      </c>
      <c r="N594">
        <v>10</v>
      </c>
      <c r="O594">
        <v>13</v>
      </c>
      <c r="P594">
        <v>7</v>
      </c>
      <c r="Q594">
        <v>10</v>
      </c>
      <c r="R594">
        <v>11</v>
      </c>
      <c r="S594">
        <v>16</v>
      </c>
      <c r="T594">
        <v>19</v>
      </c>
      <c r="U594">
        <v>16</v>
      </c>
      <c r="V594">
        <v>18</v>
      </c>
      <c r="W594">
        <v>19</v>
      </c>
      <c r="X594">
        <v>13</v>
      </c>
      <c r="Y594">
        <v>30</v>
      </c>
      <c r="Z594">
        <v>79</v>
      </c>
      <c r="AA594">
        <v>302</v>
      </c>
      <c r="AB594">
        <v>183</v>
      </c>
      <c r="AC594" s="28">
        <v>130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ht="12" customHeight="1" x14ac:dyDescent="0.2">
      <c r="A595" t="s">
        <v>111</v>
      </c>
      <c r="B595">
        <v>4</v>
      </c>
      <c r="C595">
        <v>4</v>
      </c>
      <c r="D595">
        <v>4</v>
      </c>
      <c r="E595">
        <v>4</v>
      </c>
      <c r="F595">
        <v>5</v>
      </c>
      <c r="G595">
        <v>6</v>
      </c>
      <c r="H595">
        <v>0</v>
      </c>
      <c r="I595">
        <v>0</v>
      </c>
      <c r="J595">
        <v>0</v>
      </c>
      <c r="K595">
        <v>2</v>
      </c>
      <c r="L595">
        <v>0</v>
      </c>
      <c r="M595">
        <v>0</v>
      </c>
      <c r="N595">
        <v>5</v>
      </c>
      <c r="O595">
        <v>4</v>
      </c>
      <c r="P595">
        <v>7</v>
      </c>
      <c r="Q595">
        <v>11</v>
      </c>
      <c r="R595">
        <v>8</v>
      </c>
      <c r="S595">
        <v>20</v>
      </c>
      <c r="T595">
        <v>9</v>
      </c>
      <c r="U595">
        <v>7</v>
      </c>
      <c r="V595">
        <v>7</v>
      </c>
      <c r="W595">
        <v>9</v>
      </c>
      <c r="X595">
        <v>7</v>
      </c>
      <c r="Y595">
        <v>3</v>
      </c>
      <c r="Z595">
        <v>22</v>
      </c>
      <c r="AA595">
        <v>91</v>
      </c>
      <c r="AB595">
        <v>54</v>
      </c>
      <c r="AC595" s="28">
        <v>33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ht="12" customHeight="1" x14ac:dyDescent="0.2">
      <c r="A596" t="s">
        <v>112</v>
      </c>
      <c r="B596">
        <v>9</v>
      </c>
      <c r="C596">
        <v>8</v>
      </c>
      <c r="D596">
        <v>8</v>
      </c>
      <c r="E596">
        <v>8</v>
      </c>
      <c r="F596">
        <v>12</v>
      </c>
      <c r="G596">
        <v>13</v>
      </c>
      <c r="H596">
        <v>16</v>
      </c>
      <c r="I596">
        <v>15</v>
      </c>
      <c r="J596">
        <v>17</v>
      </c>
      <c r="K596">
        <v>22</v>
      </c>
      <c r="L596">
        <v>39</v>
      </c>
      <c r="M596">
        <v>64</v>
      </c>
      <c r="N596">
        <v>73</v>
      </c>
      <c r="O596">
        <v>85</v>
      </c>
      <c r="P596">
        <v>72</v>
      </c>
      <c r="Q596">
        <v>69</v>
      </c>
      <c r="R596">
        <v>82</v>
      </c>
      <c r="S596">
        <v>91</v>
      </c>
      <c r="T596">
        <v>114</v>
      </c>
      <c r="U596">
        <v>128</v>
      </c>
      <c r="V596">
        <v>120</v>
      </c>
      <c r="W596">
        <v>133</v>
      </c>
      <c r="X596">
        <v>69</v>
      </c>
      <c r="Y596">
        <v>94</v>
      </c>
      <c r="Z596">
        <v>150</v>
      </c>
      <c r="AA596">
        <v>385</v>
      </c>
      <c r="AB596">
        <v>258</v>
      </c>
      <c r="AC596" s="28">
        <v>34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ht="12" customHeight="1" x14ac:dyDescent="0.2">
      <c r="A597" t="s">
        <v>113</v>
      </c>
      <c r="B597">
        <v>10</v>
      </c>
      <c r="C597">
        <v>9</v>
      </c>
      <c r="D597">
        <v>8</v>
      </c>
      <c r="E597">
        <v>8</v>
      </c>
      <c r="F597">
        <v>13</v>
      </c>
      <c r="G597">
        <v>14</v>
      </c>
      <c r="H597">
        <v>29</v>
      </c>
      <c r="I597">
        <v>31</v>
      </c>
      <c r="J597">
        <v>43</v>
      </c>
      <c r="K597">
        <v>39</v>
      </c>
      <c r="L597">
        <v>35</v>
      </c>
      <c r="M597">
        <v>30</v>
      </c>
      <c r="N597">
        <v>25</v>
      </c>
      <c r="O597">
        <v>27</v>
      </c>
      <c r="P597">
        <v>18</v>
      </c>
      <c r="Q597">
        <v>22</v>
      </c>
      <c r="R597">
        <v>56</v>
      </c>
      <c r="S597">
        <v>54</v>
      </c>
      <c r="T597">
        <v>68</v>
      </c>
      <c r="U597">
        <v>57</v>
      </c>
      <c r="V597">
        <v>59</v>
      </c>
      <c r="W597">
        <v>57</v>
      </c>
      <c r="X597">
        <v>57</v>
      </c>
      <c r="Y597">
        <v>79</v>
      </c>
      <c r="Z597">
        <v>94</v>
      </c>
      <c r="AA597">
        <v>180</v>
      </c>
      <c r="AB597">
        <v>95</v>
      </c>
      <c r="AC597" s="28">
        <v>34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ht="12" customHeight="1" x14ac:dyDescent="0.2">
      <c r="A598" t="s">
        <v>114</v>
      </c>
      <c r="B598">
        <v>15</v>
      </c>
      <c r="C598">
        <v>14</v>
      </c>
      <c r="D598">
        <v>13</v>
      </c>
      <c r="E598">
        <v>13</v>
      </c>
      <c r="F598">
        <v>20</v>
      </c>
      <c r="G598">
        <v>22</v>
      </c>
      <c r="H598">
        <v>22</v>
      </c>
      <c r="I598">
        <v>21</v>
      </c>
      <c r="J598">
        <v>21</v>
      </c>
      <c r="K598">
        <v>43</v>
      </c>
      <c r="L598">
        <v>60</v>
      </c>
      <c r="M598">
        <v>60</v>
      </c>
      <c r="N598">
        <v>91</v>
      </c>
      <c r="O598">
        <v>104</v>
      </c>
      <c r="P598">
        <v>114</v>
      </c>
      <c r="Q598">
        <v>116</v>
      </c>
      <c r="R598">
        <v>160</v>
      </c>
      <c r="S598">
        <v>148</v>
      </c>
      <c r="T598">
        <v>133</v>
      </c>
      <c r="U598">
        <v>117</v>
      </c>
      <c r="V598">
        <v>113</v>
      </c>
      <c r="W598">
        <v>119</v>
      </c>
      <c r="X598">
        <v>76</v>
      </c>
      <c r="Y598">
        <v>100</v>
      </c>
      <c r="Z598">
        <v>146</v>
      </c>
      <c r="AA598">
        <v>147</v>
      </c>
      <c r="AB598">
        <v>69</v>
      </c>
      <c r="AC598" s="28">
        <v>41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ht="12" customHeight="1" x14ac:dyDescent="0.2">
      <c r="A599" t="s">
        <v>115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10</v>
      </c>
      <c r="I599">
        <v>4</v>
      </c>
      <c r="J599">
        <v>4</v>
      </c>
      <c r="K599">
        <v>14</v>
      </c>
      <c r="L599">
        <v>26</v>
      </c>
      <c r="M599">
        <v>22</v>
      </c>
      <c r="N599">
        <v>26</v>
      </c>
      <c r="O599">
        <v>16</v>
      </c>
      <c r="P599">
        <v>12</v>
      </c>
      <c r="Q599">
        <v>9</v>
      </c>
      <c r="R599">
        <v>6</v>
      </c>
      <c r="S599">
        <v>30</v>
      </c>
      <c r="T599">
        <v>20</v>
      </c>
      <c r="U599">
        <v>12</v>
      </c>
      <c r="V599">
        <v>12</v>
      </c>
      <c r="W599">
        <v>22</v>
      </c>
      <c r="X599">
        <v>8</v>
      </c>
      <c r="Y599">
        <v>14</v>
      </c>
      <c r="Z599">
        <v>33</v>
      </c>
      <c r="AA599">
        <v>55</v>
      </c>
      <c r="AB599">
        <v>35</v>
      </c>
      <c r="AC599" s="28">
        <v>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ht="12" customHeight="1" x14ac:dyDescent="0.2">
      <c r="A600" t="s">
        <v>116</v>
      </c>
      <c r="B600">
        <v>9</v>
      </c>
      <c r="C600">
        <v>8</v>
      </c>
      <c r="D600">
        <v>8</v>
      </c>
      <c r="E600">
        <v>8</v>
      </c>
      <c r="F600">
        <v>12</v>
      </c>
      <c r="G600">
        <v>13</v>
      </c>
      <c r="H600">
        <v>18</v>
      </c>
      <c r="I600">
        <v>22</v>
      </c>
      <c r="J600">
        <v>35</v>
      </c>
      <c r="K600">
        <v>52</v>
      </c>
      <c r="L600">
        <v>79</v>
      </c>
      <c r="M600">
        <v>68</v>
      </c>
      <c r="N600">
        <v>68</v>
      </c>
      <c r="O600">
        <v>71</v>
      </c>
      <c r="P600">
        <v>87</v>
      </c>
      <c r="Q600">
        <v>98</v>
      </c>
      <c r="R600">
        <v>121</v>
      </c>
      <c r="S600">
        <v>117</v>
      </c>
      <c r="T600">
        <v>102</v>
      </c>
      <c r="U600">
        <v>82</v>
      </c>
      <c r="V600">
        <v>67</v>
      </c>
      <c r="W600">
        <v>61</v>
      </c>
      <c r="X600">
        <v>24</v>
      </c>
      <c r="Y600">
        <v>64</v>
      </c>
      <c r="Z600">
        <v>130</v>
      </c>
      <c r="AA600">
        <v>129</v>
      </c>
      <c r="AB600">
        <v>45</v>
      </c>
      <c r="AC600" s="28">
        <v>22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ht="12" customHeight="1" x14ac:dyDescent="0.2">
      <c r="A601" t="s">
        <v>117</v>
      </c>
      <c r="B601">
        <v>143</v>
      </c>
      <c r="C601">
        <v>126</v>
      </c>
      <c r="D601">
        <v>146</v>
      </c>
      <c r="E601">
        <v>160</v>
      </c>
      <c r="F601">
        <v>159</v>
      </c>
      <c r="G601">
        <v>192</v>
      </c>
      <c r="H601">
        <v>242</v>
      </c>
      <c r="I601">
        <v>207</v>
      </c>
      <c r="J601">
        <v>272</v>
      </c>
      <c r="K601">
        <v>240</v>
      </c>
      <c r="L601">
        <v>216</v>
      </c>
      <c r="M601">
        <v>155</v>
      </c>
      <c r="N601">
        <v>125</v>
      </c>
      <c r="O601">
        <v>122</v>
      </c>
      <c r="P601">
        <v>114</v>
      </c>
      <c r="Q601">
        <v>91</v>
      </c>
      <c r="R601">
        <v>79</v>
      </c>
      <c r="S601">
        <v>84</v>
      </c>
      <c r="T601">
        <v>59</v>
      </c>
      <c r="U601">
        <v>81</v>
      </c>
      <c r="V601">
        <v>104</v>
      </c>
      <c r="W601">
        <v>105</v>
      </c>
      <c r="X601">
        <v>97</v>
      </c>
      <c r="Y601">
        <v>81</v>
      </c>
      <c r="Z601">
        <v>39</v>
      </c>
      <c r="AA601">
        <v>189</v>
      </c>
      <c r="AB601">
        <v>69</v>
      </c>
      <c r="AC601" s="28">
        <v>22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ht="12" customHeight="1" x14ac:dyDescent="0.2">
      <c r="A602" t="s">
        <v>118</v>
      </c>
      <c r="B602">
        <v>2</v>
      </c>
      <c r="C602">
        <v>2</v>
      </c>
      <c r="D602">
        <v>2</v>
      </c>
      <c r="E602">
        <v>3</v>
      </c>
      <c r="F602">
        <v>2</v>
      </c>
      <c r="G602">
        <v>3</v>
      </c>
      <c r="H602">
        <v>13</v>
      </c>
      <c r="I602">
        <v>23</v>
      </c>
      <c r="J602">
        <v>23</v>
      </c>
      <c r="K602">
        <v>14</v>
      </c>
      <c r="L602">
        <v>14</v>
      </c>
      <c r="M602">
        <v>10</v>
      </c>
      <c r="N602">
        <v>10</v>
      </c>
      <c r="O602">
        <v>22</v>
      </c>
      <c r="P602">
        <v>18</v>
      </c>
      <c r="Q602">
        <v>9</v>
      </c>
      <c r="R602">
        <v>10</v>
      </c>
      <c r="S602">
        <v>2</v>
      </c>
      <c r="T602">
        <v>2</v>
      </c>
      <c r="U602">
        <v>1</v>
      </c>
      <c r="V602">
        <v>1</v>
      </c>
      <c r="W602">
        <v>1</v>
      </c>
      <c r="X602">
        <v>0</v>
      </c>
      <c r="Y602">
        <v>1</v>
      </c>
      <c r="Z602">
        <v>2</v>
      </c>
      <c r="AA602">
        <v>42</v>
      </c>
      <c r="AB602">
        <v>13</v>
      </c>
      <c r="AC602" s="28">
        <v>7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ht="12" customHeight="1" x14ac:dyDescent="0.2">
      <c r="A603" t="s">
        <v>119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4</v>
      </c>
      <c r="R603">
        <v>1</v>
      </c>
      <c r="S603">
        <v>0</v>
      </c>
      <c r="T603">
        <v>1</v>
      </c>
      <c r="U603">
        <v>2</v>
      </c>
      <c r="V603">
        <v>1</v>
      </c>
      <c r="W603">
        <v>2</v>
      </c>
      <c r="X603">
        <v>0</v>
      </c>
      <c r="Y603">
        <v>1</v>
      </c>
      <c r="Z603">
        <v>1</v>
      </c>
      <c r="AA603">
        <v>1</v>
      </c>
      <c r="AB603">
        <v>1</v>
      </c>
      <c r="AC603" s="28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ht="12" customHeight="1" x14ac:dyDescent="0.2">
      <c r="A604" t="s">
        <v>120</v>
      </c>
      <c r="B604">
        <v>29</v>
      </c>
      <c r="C604">
        <v>26</v>
      </c>
      <c r="D604">
        <v>30</v>
      </c>
      <c r="E604">
        <v>33</v>
      </c>
      <c r="F604">
        <v>32</v>
      </c>
      <c r="G604">
        <v>39</v>
      </c>
      <c r="H604">
        <v>105</v>
      </c>
      <c r="I604">
        <v>69</v>
      </c>
      <c r="J604">
        <v>101</v>
      </c>
      <c r="K604">
        <v>58</v>
      </c>
      <c r="L604">
        <v>53</v>
      </c>
      <c r="M604">
        <v>48</v>
      </c>
      <c r="N604">
        <v>38</v>
      </c>
      <c r="O604">
        <v>51</v>
      </c>
      <c r="P604">
        <v>58</v>
      </c>
      <c r="Q604">
        <v>46</v>
      </c>
      <c r="R604">
        <v>61</v>
      </c>
      <c r="S604">
        <v>61</v>
      </c>
      <c r="T604">
        <v>36</v>
      </c>
      <c r="U604">
        <v>36</v>
      </c>
      <c r="V604">
        <v>41</v>
      </c>
      <c r="W604">
        <v>98</v>
      </c>
      <c r="X604">
        <v>87</v>
      </c>
      <c r="Y604">
        <v>58</v>
      </c>
      <c r="Z604">
        <v>89</v>
      </c>
      <c r="AA604">
        <v>268</v>
      </c>
      <c r="AB604">
        <v>51</v>
      </c>
      <c r="AC604" s="28">
        <v>50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ht="12" customHeight="1" x14ac:dyDescent="0.2">
      <c r="A605" t="s">
        <v>121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3</v>
      </c>
      <c r="I605">
        <v>0</v>
      </c>
      <c r="J605">
        <v>2</v>
      </c>
      <c r="K605">
        <v>0</v>
      </c>
      <c r="L605">
        <v>1</v>
      </c>
      <c r="M605">
        <v>1</v>
      </c>
      <c r="N605">
        <v>2</v>
      </c>
      <c r="O605">
        <v>3</v>
      </c>
      <c r="P605">
        <v>3</v>
      </c>
      <c r="Q605">
        <v>6</v>
      </c>
      <c r="R605">
        <v>2</v>
      </c>
      <c r="S605">
        <v>1</v>
      </c>
      <c r="T605">
        <v>2</v>
      </c>
      <c r="U605">
        <v>2</v>
      </c>
      <c r="V605">
        <v>4</v>
      </c>
      <c r="W605">
        <v>2</v>
      </c>
      <c r="X605">
        <v>1</v>
      </c>
      <c r="Y605">
        <v>2</v>
      </c>
      <c r="Z605">
        <v>5</v>
      </c>
      <c r="AA605">
        <v>19</v>
      </c>
      <c r="AB605">
        <v>14</v>
      </c>
      <c r="AC605" s="28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</row>
    <row r="606" spans="1:57" ht="12" customHeight="1" x14ac:dyDescent="0.2">
      <c r="A606" t="s">
        <v>122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12</v>
      </c>
      <c r="I606">
        <v>7</v>
      </c>
      <c r="J606">
        <v>13</v>
      </c>
      <c r="K606">
        <v>1</v>
      </c>
      <c r="L606">
        <v>1</v>
      </c>
      <c r="M606">
        <v>1</v>
      </c>
      <c r="N606">
        <v>0</v>
      </c>
      <c r="O606">
        <v>4</v>
      </c>
      <c r="P606">
        <v>4</v>
      </c>
      <c r="Q606">
        <v>3</v>
      </c>
      <c r="R606">
        <v>2</v>
      </c>
      <c r="S606">
        <v>8</v>
      </c>
      <c r="T606">
        <v>11</v>
      </c>
      <c r="U606">
        <v>16</v>
      </c>
      <c r="V606">
        <v>7</v>
      </c>
      <c r="W606">
        <v>3</v>
      </c>
      <c r="X606">
        <v>1</v>
      </c>
      <c r="Y606">
        <v>0</v>
      </c>
      <c r="Z606">
        <v>3</v>
      </c>
      <c r="AA606">
        <v>40</v>
      </c>
      <c r="AB606">
        <v>5</v>
      </c>
      <c r="AC606" s="28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ht="12" customHeight="1" x14ac:dyDescent="0.2">
      <c r="A607" t="s">
        <v>123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2</v>
      </c>
      <c r="U607">
        <v>0</v>
      </c>
      <c r="V607">
        <v>0</v>
      </c>
      <c r="W607">
        <v>2</v>
      </c>
      <c r="X607">
        <v>1</v>
      </c>
      <c r="Y607">
        <v>1</v>
      </c>
      <c r="Z607">
        <v>4</v>
      </c>
      <c r="AA607">
        <v>50</v>
      </c>
      <c r="AB607">
        <v>54</v>
      </c>
      <c r="AC607" s="28">
        <v>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ht="12" customHeight="1" x14ac:dyDescent="0.2">
      <c r="A608" t="s">
        <v>124</v>
      </c>
      <c r="B608">
        <v>3</v>
      </c>
      <c r="C608">
        <v>3</v>
      </c>
      <c r="D608">
        <v>3</v>
      </c>
      <c r="E608">
        <v>3</v>
      </c>
      <c r="F608">
        <v>3</v>
      </c>
      <c r="G608">
        <v>4</v>
      </c>
      <c r="H608">
        <v>3</v>
      </c>
      <c r="I608">
        <v>3</v>
      </c>
      <c r="J608">
        <v>5</v>
      </c>
      <c r="K608">
        <v>5</v>
      </c>
      <c r="L608">
        <v>12</v>
      </c>
      <c r="M608">
        <v>10</v>
      </c>
      <c r="N608">
        <v>6</v>
      </c>
      <c r="O608">
        <v>31</v>
      </c>
      <c r="P608">
        <v>35</v>
      </c>
      <c r="Q608">
        <v>32</v>
      </c>
      <c r="R608">
        <v>37</v>
      </c>
      <c r="S608">
        <v>30</v>
      </c>
      <c r="T608">
        <v>29</v>
      </c>
      <c r="U608">
        <v>22</v>
      </c>
      <c r="V608">
        <v>60</v>
      </c>
      <c r="W608">
        <v>39</v>
      </c>
      <c r="X608">
        <v>41</v>
      </c>
      <c r="Y608">
        <v>27</v>
      </c>
      <c r="Z608">
        <v>28</v>
      </c>
      <c r="AA608">
        <v>33</v>
      </c>
      <c r="AB608">
        <v>9</v>
      </c>
      <c r="AC608" s="28">
        <v>13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ht="12" customHeight="1" x14ac:dyDescent="0.2">
      <c r="A609" t="s">
        <v>125</v>
      </c>
      <c r="B609">
        <v>2</v>
      </c>
      <c r="C609">
        <v>2</v>
      </c>
      <c r="D609">
        <v>2</v>
      </c>
      <c r="E609">
        <v>3</v>
      </c>
      <c r="F609">
        <v>2</v>
      </c>
      <c r="G609">
        <v>3</v>
      </c>
      <c r="H609">
        <v>5</v>
      </c>
      <c r="I609">
        <v>8</v>
      </c>
      <c r="J609">
        <v>8</v>
      </c>
      <c r="K609">
        <v>12</v>
      </c>
      <c r="L609">
        <v>11</v>
      </c>
      <c r="M609">
        <v>12</v>
      </c>
      <c r="N609">
        <v>12</v>
      </c>
      <c r="O609">
        <v>12</v>
      </c>
      <c r="P609">
        <v>11</v>
      </c>
      <c r="Q609">
        <v>13</v>
      </c>
      <c r="R609">
        <v>14</v>
      </c>
      <c r="S609">
        <v>8</v>
      </c>
      <c r="T609">
        <v>6</v>
      </c>
      <c r="U609">
        <v>5</v>
      </c>
      <c r="V609">
        <v>3</v>
      </c>
      <c r="W609">
        <v>3</v>
      </c>
      <c r="X609">
        <v>2</v>
      </c>
      <c r="Y609">
        <v>4</v>
      </c>
      <c r="Z609">
        <v>6</v>
      </c>
      <c r="AA609">
        <v>14</v>
      </c>
      <c r="AB609">
        <v>9</v>
      </c>
      <c r="AC609" s="28">
        <v>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ht="12" customHeight="1" x14ac:dyDescent="0.2">
      <c r="A610" t="s">
        <v>126</v>
      </c>
      <c r="B610">
        <v>3</v>
      </c>
      <c r="C610">
        <v>3</v>
      </c>
      <c r="D610">
        <v>3</v>
      </c>
      <c r="E610">
        <v>3</v>
      </c>
      <c r="F610">
        <v>3</v>
      </c>
      <c r="G610">
        <v>4</v>
      </c>
      <c r="H610">
        <v>6</v>
      </c>
      <c r="I610">
        <v>4</v>
      </c>
      <c r="J610">
        <v>1</v>
      </c>
      <c r="K610">
        <v>4</v>
      </c>
      <c r="L610">
        <v>2</v>
      </c>
      <c r="M610">
        <v>1</v>
      </c>
      <c r="N610">
        <v>2</v>
      </c>
      <c r="O610">
        <v>1</v>
      </c>
      <c r="P610">
        <v>3</v>
      </c>
      <c r="Q610">
        <v>2</v>
      </c>
      <c r="R610">
        <v>0</v>
      </c>
      <c r="S610">
        <v>7</v>
      </c>
      <c r="T610">
        <v>7</v>
      </c>
      <c r="U610">
        <v>15</v>
      </c>
      <c r="V610">
        <v>19</v>
      </c>
      <c r="W610">
        <v>16</v>
      </c>
      <c r="X610">
        <v>15</v>
      </c>
      <c r="Y610">
        <v>21</v>
      </c>
      <c r="Z610">
        <v>27</v>
      </c>
      <c r="AA610">
        <v>72</v>
      </c>
      <c r="AB610">
        <v>43</v>
      </c>
      <c r="AC610" s="28">
        <v>31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ht="12" customHeight="1" x14ac:dyDescent="0.2">
      <c r="A611" t="s">
        <v>127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2</v>
      </c>
      <c r="K611">
        <v>2</v>
      </c>
      <c r="L611">
        <v>0</v>
      </c>
      <c r="M611">
        <v>0</v>
      </c>
      <c r="N611">
        <v>1</v>
      </c>
      <c r="O611">
        <v>2</v>
      </c>
      <c r="P611">
        <v>2</v>
      </c>
      <c r="Q611">
        <v>1</v>
      </c>
      <c r="R611">
        <v>3</v>
      </c>
      <c r="S611">
        <v>3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17</v>
      </c>
      <c r="AA611">
        <v>14</v>
      </c>
      <c r="AB611">
        <v>8</v>
      </c>
      <c r="AC611" s="28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ht="12" customHeight="1" x14ac:dyDescent="0.2">
      <c r="A612" t="s">
        <v>128</v>
      </c>
      <c r="B612">
        <v>7</v>
      </c>
      <c r="C612">
        <v>6</v>
      </c>
      <c r="D612">
        <v>7</v>
      </c>
      <c r="E612">
        <v>8</v>
      </c>
      <c r="F612">
        <v>7</v>
      </c>
      <c r="G612">
        <v>9</v>
      </c>
      <c r="H612">
        <v>10</v>
      </c>
      <c r="I612">
        <v>10</v>
      </c>
      <c r="J612">
        <v>23</v>
      </c>
      <c r="K612">
        <v>19</v>
      </c>
      <c r="L612">
        <v>20</v>
      </c>
      <c r="M612">
        <v>18</v>
      </c>
      <c r="N612">
        <v>15</v>
      </c>
      <c r="O612">
        <v>18</v>
      </c>
      <c r="P612">
        <v>23</v>
      </c>
      <c r="Q612">
        <v>23</v>
      </c>
      <c r="R612">
        <v>25</v>
      </c>
      <c r="S612">
        <v>29</v>
      </c>
      <c r="T612">
        <v>35</v>
      </c>
      <c r="U612">
        <v>47</v>
      </c>
      <c r="V612">
        <v>49</v>
      </c>
      <c r="W612">
        <v>67</v>
      </c>
      <c r="X612">
        <v>56</v>
      </c>
      <c r="Y612">
        <v>58</v>
      </c>
      <c r="Z612">
        <v>91</v>
      </c>
      <c r="AA612">
        <v>181</v>
      </c>
      <c r="AB612">
        <v>49</v>
      </c>
      <c r="AC612" s="28">
        <v>15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ht="12" customHeight="1" x14ac:dyDescent="0.2">
      <c r="A613" t="s">
        <v>129</v>
      </c>
      <c r="B613">
        <v>13</v>
      </c>
      <c r="C613">
        <v>12</v>
      </c>
      <c r="D613">
        <v>14</v>
      </c>
      <c r="E613">
        <v>15</v>
      </c>
      <c r="F613">
        <v>15</v>
      </c>
      <c r="G613">
        <v>18</v>
      </c>
      <c r="H613">
        <v>23</v>
      </c>
      <c r="I613">
        <v>26</v>
      </c>
      <c r="J613">
        <v>23</v>
      </c>
      <c r="K613">
        <v>23</v>
      </c>
      <c r="L613">
        <v>25</v>
      </c>
      <c r="M613">
        <v>19</v>
      </c>
      <c r="N613">
        <v>27</v>
      </c>
      <c r="O613">
        <v>23</v>
      </c>
      <c r="P613">
        <v>18</v>
      </c>
      <c r="Q613">
        <v>15</v>
      </c>
      <c r="R613">
        <v>40</v>
      </c>
      <c r="S613">
        <v>34</v>
      </c>
      <c r="T613">
        <v>34</v>
      </c>
      <c r="U613">
        <v>33</v>
      </c>
      <c r="V613">
        <v>33</v>
      </c>
      <c r="W613">
        <v>41</v>
      </c>
      <c r="X613">
        <v>33</v>
      </c>
      <c r="Y613">
        <v>60</v>
      </c>
      <c r="Z613">
        <v>100</v>
      </c>
      <c r="AA613">
        <v>206</v>
      </c>
      <c r="AB613">
        <v>113</v>
      </c>
      <c r="AC613" s="28">
        <v>22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ht="12" customHeight="1" x14ac:dyDescent="0.2">
      <c r="A614" t="s">
        <v>130</v>
      </c>
      <c r="B614">
        <v>4</v>
      </c>
      <c r="C614">
        <v>4</v>
      </c>
      <c r="D614">
        <v>5</v>
      </c>
      <c r="E614">
        <v>5</v>
      </c>
      <c r="F614">
        <v>5</v>
      </c>
      <c r="G614">
        <v>6</v>
      </c>
      <c r="H614">
        <v>8</v>
      </c>
      <c r="I614">
        <v>4</v>
      </c>
      <c r="J614">
        <v>9</v>
      </c>
      <c r="K614">
        <v>14</v>
      </c>
      <c r="L614">
        <v>20</v>
      </c>
      <c r="M614">
        <v>14</v>
      </c>
      <c r="N614">
        <v>16</v>
      </c>
      <c r="O614">
        <v>10</v>
      </c>
      <c r="P614">
        <v>14</v>
      </c>
      <c r="Q614">
        <v>12</v>
      </c>
      <c r="R614">
        <v>20</v>
      </c>
      <c r="S614">
        <v>19</v>
      </c>
      <c r="T614">
        <v>19</v>
      </c>
      <c r="U614">
        <v>26</v>
      </c>
      <c r="V614">
        <v>23</v>
      </c>
      <c r="W614">
        <v>24</v>
      </c>
      <c r="X614">
        <v>19</v>
      </c>
      <c r="Y614">
        <v>22</v>
      </c>
      <c r="Z614">
        <v>41</v>
      </c>
      <c r="AA614">
        <v>41</v>
      </c>
      <c r="AB614">
        <v>19</v>
      </c>
      <c r="AC614" s="28">
        <v>9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ht="12" customHeight="1" x14ac:dyDescent="0.2">
      <c r="A615" t="s">
        <v>131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3</v>
      </c>
      <c r="I615">
        <v>3</v>
      </c>
      <c r="J615">
        <v>3</v>
      </c>
      <c r="K615">
        <v>3</v>
      </c>
      <c r="L615">
        <v>7</v>
      </c>
      <c r="M615">
        <v>4</v>
      </c>
      <c r="N615">
        <v>7</v>
      </c>
      <c r="O615">
        <v>5</v>
      </c>
      <c r="P615">
        <v>4</v>
      </c>
      <c r="Q615">
        <v>2</v>
      </c>
      <c r="R615">
        <v>3</v>
      </c>
      <c r="S615">
        <v>2</v>
      </c>
      <c r="T615">
        <v>1</v>
      </c>
      <c r="U615">
        <v>2</v>
      </c>
      <c r="V615">
        <v>2</v>
      </c>
      <c r="W615">
        <v>7</v>
      </c>
      <c r="X615">
        <v>4</v>
      </c>
      <c r="Y615">
        <v>3</v>
      </c>
      <c r="Z615">
        <v>5</v>
      </c>
      <c r="AA615">
        <v>9</v>
      </c>
      <c r="AB615">
        <v>3</v>
      </c>
      <c r="AC615" s="28">
        <v>3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</row>
    <row r="616" spans="1:57" ht="12" customHeight="1" x14ac:dyDescent="0.2">
      <c r="A616" t="s">
        <v>132</v>
      </c>
      <c r="B616">
        <v>2</v>
      </c>
      <c r="C616">
        <v>2</v>
      </c>
      <c r="D616">
        <v>2</v>
      </c>
      <c r="E616">
        <v>3</v>
      </c>
      <c r="F616">
        <v>2</v>
      </c>
      <c r="G616">
        <v>3</v>
      </c>
      <c r="H616">
        <v>5</v>
      </c>
      <c r="I616">
        <v>6</v>
      </c>
      <c r="J616">
        <v>4</v>
      </c>
      <c r="K616">
        <v>7</v>
      </c>
      <c r="L616">
        <v>5</v>
      </c>
      <c r="M616">
        <v>5</v>
      </c>
      <c r="N616">
        <v>3</v>
      </c>
      <c r="O616">
        <v>3</v>
      </c>
      <c r="P616">
        <v>2</v>
      </c>
      <c r="Q616">
        <v>4</v>
      </c>
      <c r="R616">
        <v>6</v>
      </c>
      <c r="S616">
        <v>8</v>
      </c>
      <c r="T616">
        <v>7</v>
      </c>
      <c r="U616">
        <v>10</v>
      </c>
      <c r="V616">
        <v>10</v>
      </c>
      <c r="W616">
        <v>10</v>
      </c>
      <c r="X616">
        <v>4</v>
      </c>
      <c r="Y616">
        <v>7</v>
      </c>
      <c r="Z616">
        <v>18</v>
      </c>
      <c r="AA616">
        <v>26</v>
      </c>
      <c r="AB616">
        <v>9</v>
      </c>
      <c r="AC616" s="28">
        <v>8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ht="12" customHeight="1" x14ac:dyDescent="0.2">
      <c r="A617" t="s">
        <v>133</v>
      </c>
      <c r="B617">
        <v>3</v>
      </c>
      <c r="C617">
        <v>1</v>
      </c>
      <c r="D617">
        <v>1</v>
      </c>
      <c r="E617">
        <v>1</v>
      </c>
      <c r="F617">
        <v>3</v>
      </c>
      <c r="G617">
        <v>2</v>
      </c>
      <c r="H617">
        <v>56</v>
      </c>
      <c r="I617">
        <v>53</v>
      </c>
      <c r="J617">
        <v>57</v>
      </c>
      <c r="K617">
        <v>91</v>
      </c>
      <c r="L617">
        <v>110</v>
      </c>
      <c r="M617">
        <v>117</v>
      </c>
      <c r="N617">
        <v>68</v>
      </c>
      <c r="O617">
        <v>134</v>
      </c>
      <c r="P617">
        <v>237</v>
      </c>
      <c r="Q617">
        <v>263</v>
      </c>
      <c r="R617">
        <v>338</v>
      </c>
      <c r="S617">
        <v>375</v>
      </c>
      <c r="T617">
        <v>318</v>
      </c>
      <c r="U617">
        <v>441</v>
      </c>
      <c r="V617">
        <v>502</v>
      </c>
      <c r="W617">
        <v>565</v>
      </c>
      <c r="X617">
        <v>554</v>
      </c>
      <c r="Y617">
        <v>456</v>
      </c>
      <c r="Z617">
        <v>400</v>
      </c>
      <c r="AA617">
        <v>251</v>
      </c>
      <c r="AB617">
        <v>232</v>
      </c>
      <c r="AC617" s="28">
        <v>135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</row>
    <row r="618" spans="1:57" ht="12" customHeight="1" x14ac:dyDescent="0.2">
      <c r="A618" t="s">
        <v>134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12</v>
      </c>
      <c r="I618">
        <v>34</v>
      </c>
      <c r="J618">
        <v>25</v>
      </c>
      <c r="K618">
        <v>30</v>
      </c>
      <c r="L618">
        <v>45</v>
      </c>
      <c r="M618">
        <v>44</v>
      </c>
      <c r="N618">
        <v>42</v>
      </c>
      <c r="O618">
        <v>38</v>
      </c>
      <c r="P618">
        <v>53</v>
      </c>
      <c r="Q618">
        <v>42</v>
      </c>
      <c r="R618">
        <v>59</v>
      </c>
      <c r="S618">
        <v>71</v>
      </c>
      <c r="T618">
        <v>65</v>
      </c>
      <c r="U618">
        <v>76</v>
      </c>
      <c r="V618">
        <v>71</v>
      </c>
      <c r="W618">
        <v>58</v>
      </c>
      <c r="X618">
        <v>62</v>
      </c>
      <c r="Y618">
        <v>60</v>
      </c>
      <c r="Z618">
        <v>52</v>
      </c>
      <c r="AA618">
        <v>111</v>
      </c>
      <c r="AB618">
        <v>62</v>
      </c>
      <c r="AC618" s="28">
        <v>28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ht="12" customHeight="1" x14ac:dyDescent="0.2">
      <c r="A619" t="s">
        <v>135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3</v>
      </c>
      <c r="O619">
        <v>17</v>
      </c>
      <c r="P619">
        <v>3</v>
      </c>
      <c r="Q619">
        <v>31</v>
      </c>
      <c r="R619">
        <v>3</v>
      </c>
      <c r="S619">
        <v>2</v>
      </c>
      <c r="T619">
        <v>2</v>
      </c>
      <c r="U619">
        <v>2</v>
      </c>
      <c r="V619">
        <v>3</v>
      </c>
      <c r="W619">
        <v>5</v>
      </c>
      <c r="X619">
        <v>13</v>
      </c>
      <c r="Y619">
        <v>6</v>
      </c>
      <c r="Z619">
        <v>31</v>
      </c>
      <c r="AA619">
        <v>26</v>
      </c>
      <c r="AB619">
        <v>18</v>
      </c>
      <c r="AC619" s="28">
        <v>13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ht="12" customHeight="1" x14ac:dyDescent="0.2">
      <c r="A620" t="s">
        <v>136</v>
      </c>
      <c r="B620">
        <v>24</v>
      </c>
      <c r="C620">
        <v>13</v>
      </c>
      <c r="D620">
        <v>13</v>
      </c>
      <c r="E620">
        <v>13</v>
      </c>
      <c r="F620">
        <v>23</v>
      </c>
      <c r="G620">
        <v>18</v>
      </c>
      <c r="H620">
        <v>50</v>
      </c>
      <c r="I620">
        <v>46</v>
      </c>
      <c r="J620">
        <v>65</v>
      </c>
      <c r="K620">
        <v>78</v>
      </c>
      <c r="L620">
        <v>74</v>
      </c>
      <c r="M620">
        <v>64</v>
      </c>
      <c r="N620">
        <v>44</v>
      </c>
      <c r="O620">
        <v>76</v>
      </c>
      <c r="P620">
        <v>155</v>
      </c>
      <c r="Q620">
        <v>148</v>
      </c>
      <c r="R620">
        <v>160</v>
      </c>
      <c r="S620">
        <v>213</v>
      </c>
      <c r="T620">
        <v>195</v>
      </c>
      <c r="U620">
        <v>166</v>
      </c>
      <c r="V620">
        <v>149</v>
      </c>
      <c r="W620">
        <v>174</v>
      </c>
      <c r="X620">
        <v>193</v>
      </c>
      <c r="Y620">
        <v>218</v>
      </c>
      <c r="Z620">
        <v>200</v>
      </c>
      <c r="AA620">
        <v>241</v>
      </c>
      <c r="AB620">
        <v>109</v>
      </c>
      <c r="AC620" s="28">
        <v>48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ht="12" customHeight="1" x14ac:dyDescent="0.2">
      <c r="A621" t="s">
        <v>137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2</v>
      </c>
      <c r="W621">
        <v>2</v>
      </c>
      <c r="X621">
        <v>1</v>
      </c>
      <c r="Y621">
        <v>0</v>
      </c>
      <c r="Z621">
        <v>15</v>
      </c>
      <c r="AA621">
        <v>10</v>
      </c>
      <c r="AB621">
        <v>38</v>
      </c>
      <c r="AC621" s="28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ht="12" customHeight="1" x14ac:dyDescent="0.2">
      <c r="A622" t="s">
        <v>138</v>
      </c>
      <c r="B622">
        <v>5</v>
      </c>
      <c r="C622">
        <v>3</v>
      </c>
      <c r="D622">
        <v>3</v>
      </c>
      <c r="E622">
        <v>3</v>
      </c>
      <c r="F622">
        <v>5</v>
      </c>
      <c r="G622">
        <v>4</v>
      </c>
      <c r="H622">
        <v>35</v>
      </c>
      <c r="I622">
        <v>11</v>
      </c>
      <c r="J622">
        <v>11</v>
      </c>
      <c r="K622">
        <v>9</v>
      </c>
      <c r="L622">
        <v>7</v>
      </c>
      <c r="M622">
        <v>2</v>
      </c>
      <c r="N622">
        <v>2</v>
      </c>
      <c r="O622">
        <v>4</v>
      </c>
      <c r="P622">
        <v>13</v>
      </c>
      <c r="Q622">
        <v>10</v>
      </c>
      <c r="R622">
        <v>14</v>
      </c>
      <c r="S622">
        <v>9</v>
      </c>
      <c r="T622">
        <v>8</v>
      </c>
      <c r="U622">
        <v>15</v>
      </c>
      <c r="V622">
        <v>16</v>
      </c>
      <c r="W622">
        <v>27</v>
      </c>
      <c r="X622">
        <v>30</v>
      </c>
      <c r="Y622">
        <v>29</v>
      </c>
      <c r="Z622">
        <v>26</v>
      </c>
      <c r="AA622">
        <v>48</v>
      </c>
      <c r="AB622">
        <v>29</v>
      </c>
      <c r="AC622" s="28">
        <v>15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ht="12" customHeight="1" x14ac:dyDescent="0.2">
      <c r="A623" t="s">
        <v>139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1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5</v>
      </c>
      <c r="AA623">
        <v>1</v>
      </c>
      <c r="AB623">
        <v>1</v>
      </c>
      <c r="AC623" s="28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</row>
    <row r="624" spans="1:57" ht="12" customHeight="1" x14ac:dyDescent="0.2">
      <c r="A624" t="s">
        <v>140</v>
      </c>
      <c r="B624">
        <v>5</v>
      </c>
      <c r="C624">
        <v>3</v>
      </c>
      <c r="D624">
        <v>3</v>
      </c>
      <c r="E624">
        <v>3</v>
      </c>
      <c r="F624">
        <v>5</v>
      </c>
      <c r="G624">
        <v>4</v>
      </c>
      <c r="H624">
        <v>4</v>
      </c>
      <c r="I624">
        <v>3</v>
      </c>
      <c r="J624">
        <v>1</v>
      </c>
      <c r="K624">
        <v>0</v>
      </c>
      <c r="L624">
        <v>2</v>
      </c>
      <c r="M624">
        <v>2</v>
      </c>
      <c r="N624">
        <v>4</v>
      </c>
      <c r="O624">
        <v>8</v>
      </c>
      <c r="P624">
        <v>12</v>
      </c>
      <c r="Q624">
        <v>8</v>
      </c>
      <c r="R624">
        <v>27</v>
      </c>
      <c r="S624">
        <v>40</v>
      </c>
      <c r="T624">
        <v>44</v>
      </c>
      <c r="U624">
        <v>59</v>
      </c>
      <c r="V624">
        <v>74</v>
      </c>
      <c r="W624">
        <v>59</v>
      </c>
      <c r="X624">
        <v>54</v>
      </c>
      <c r="Y624">
        <v>76</v>
      </c>
      <c r="Z624">
        <v>86</v>
      </c>
      <c r="AA624">
        <v>59</v>
      </c>
      <c r="AB624">
        <v>34</v>
      </c>
      <c r="AC624" s="28">
        <v>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ht="12" customHeight="1" x14ac:dyDescent="0.2">
      <c r="A625" t="s">
        <v>141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2</v>
      </c>
      <c r="K625">
        <v>6</v>
      </c>
      <c r="L625">
        <v>5</v>
      </c>
      <c r="M625">
        <v>10</v>
      </c>
      <c r="N625">
        <v>9</v>
      </c>
      <c r="O625">
        <v>7</v>
      </c>
      <c r="P625">
        <v>17</v>
      </c>
      <c r="Q625">
        <v>10</v>
      </c>
      <c r="R625">
        <v>11</v>
      </c>
      <c r="S625">
        <v>26</v>
      </c>
      <c r="T625">
        <v>43</v>
      </c>
      <c r="U625">
        <v>40</v>
      </c>
      <c r="V625">
        <v>32</v>
      </c>
      <c r="W625">
        <v>35</v>
      </c>
      <c r="X625">
        <v>27</v>
      </c>
      <c r="Y625">
        <v>36</v>
      </c>
      <c r="Z625">
        <v>29</v>
      </c>
      <c r="AA625">
        <v>26</v>
      </c>
      <c r="AB625">
        <v>23</v>
      </c>
      <c r="AC625" s="28">
        <v>14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</row>
    <row r="626" spans="1:57" ht="12" customHeight="1" x14ac:dyDescent="0.2">
      <c r="A626" t="s">
        <v>142</v>
      </c>
      <c r="B626">
        <v>5</v>
      </c>
      <c r="C626">
        <v>3</v>
      </c>
      <c r="D626">
        <v>3</v>
      </c>
      <c r="E626">
        <v>3</v>
      </c>
      <c r="F626">
        <v>5</v>
      </c>
      <c r="G626">
        <v>4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3</v>
      </c>
      <c r="N626">
        <v>3</v>
      </c>
      <c r="O626">
        <v>5</v>
      </c>
      <c r="P626">
        <v>2</v>
      </c>
      <c r="Q626">
        <v>1</v>
      </c>
      <c r="R626">
        <v>20</v>
      </c>
      <c r="S626">
        <v>34</v>
      </c>
      <c r="T626">
        <v>33</v>
      </c>
      <c r="U626">
        <v>43</v>
      </c>
      <c r="V626">
        <v>46</v>
      </c>
      <c r="W626">
        <v>45</v>
      </c>
      <c r="X626">
        <v>42</v>
      </c>
      <c r="Y626">
        <v>43</v>
      </c>
      <c r="Z626">
        <v>69</v>
      </c>
      <c r="AA626">
        <v>37</v>
      </c>
      <c r="AB626">
        <v>37</v>
      </c>
      <c r="AC626" s="28">
        <v>27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ht="12" customHeight="1" x14ac:dyDescent="0.2">
      <c r="A627" t="s">
        <v>143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</v>
      </c>
      <c r="O627">
        <v>2</v>
      </c>
      <c r="P627">
        <v>4</v>
      </c>
      <c r="Q627">
        <v>2</v>
      </c>
      <c r="R627">
        <v>0</v>
      </c>
      <c r="S627">
        <v>14</v>
      </c>
      <c r="T627">
        <v>5</v>
      </c>
      <c r="U627">
        <v>8</v>
      </c>
      <c r="V627">
        <v>10</v>
      </c>
      <c r="W627">
        <v>11</v>
      </c>
      <c r="X627">
        <v>10</v>
      </c>
      <c r="Y627">
        <v>11</v>
      </c>
      <c r="Z627">
        <v>29</v>
      </c>
      <c r="AA627">
        <v>15</v>
      </c>
      <c r="AB627">
        <v>22</v>
      </c>
      <c r="AC627" s="28">
        <v>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</row>
    <row r="628" spans="1:57" ht="12" customHeight="1" x14ac:dyDescent="0.2">
      <c r="A628" t="s">
        <v>144</v>
      </c>
      <c r="B628">
        <v>5</v>
      </c>
      <c r="C628">
        <v>3</v>
      </c>
      <c r="D628">
        <v>3</v>
      </c>
      <c r="E628">
        <v>3</v>
      </c>
      <c r="F628">
        <v>5</v>
      </c>
      <c r="G628">
        <v>4</v>
      </c>
      <c r="H628">
        <v>11</v>
      </c>
      <c r="I628">
        <v>13</v>
      </c>
      <c r="J628">
        <v>13</v>
      </c>
      <c r="K628">
        <v>27</v>
      </c>
      <c r="L628">
        <v>27</v>
      </c>
      <c r="M628">
        <v>33</v>
      </c>
      <c r="N628">
        <v>29</v>
      </c>
      <c r="O628">
        <v>22</v>
      </c>
      <c r="P628">
        <v>40</v>
      </c>
      <c r="Q628">
        <v>37</v>
      </c>
      <c r="R628">
        <v>49</v>
      </c>
      <c r="S628">
        <v>41</v>
      </c>
      <c r="T628">
        <v>46</v>
      </c>
      <c r="U628">
        <v>43</v>
      </c>
      <c r="V628">
        <v>42</v>
      </c>
      <c r="W628">
        <v>64</v>
      </c>
      <c r="X628">
        <v>56</v>
      </c>
      <c r="Y628">
        <v>57</v>
      </c>
      <c r="Z628">
        <v>95</v>
      </c>
      <c r="AA628">
        <v>157</v>
      </c>
      <c r="AB628">
        <v>102</v>
      </c>
      <c r="AC628" s="28">
        <v>38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ht="12" customHeight="1" x14ac:dyDescent="0.2">
      <c r="A629" t="s">
        <v>145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2</v>
      </c>
      <c r="I629">
        <v>1</v>
      </c>
      <c r="J629">
        <v>1</v>
      </c>
      <c r="K629">
        <v>1</v>
      </c>
      <c r="L629">
        <v>1</v>
      </c>
      <c r="M629">
        <v>2</v>
      </c>
      <c r="N629">
        <v>2</v>
      </c>
      <c r="O629">
        <v>4</v>
      </c>
      <c r="P629">
        <v>13</v>
      </c>
      <c r="Q629">
        <v>12</v>
      </c>
      <c r="R629">
        <v>19</v>
      </c>
      <c r="S629">
        <v>19</v>
      </c>
      <c r="T629">
        <v>16</v>
      </c>
      <c r="U629">
        <v>16</v>
      </c>
      <c r="V629">
        <v>15</v>
      </c>
      <c r="W629">
        <v>18</v>
      </c>
      <c r="X629">
        <v>26</v>
      </c>
      <c r="Y629">
        <v>41</v>
      </c>
      <c r="Z629">
        <v>56</v>
      </c>
      <c r="AA629">
        <v>27</v>
      </c>
      <c r="AB629">
        <v>30</v>
      </c>
      <c r="AC629" s="28">
        <v>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</row>
    <row r="630" spans="1:57" ht="12" customHeight="1" x14ac:dyDescent="0.2">
      <c r="A630" t="s">
        <v>146</v>
      </c>
      <c r="B630">
        <v>18</v>
      </c>
      <c r="C630">
        <v>9</v>
      </c>
      <c r="D630">
        <v>10</v>
      </c>
      <c r="E630">
        <v>10</v>
      </c>
      <c r="F630">
        <v>17</v>
      </c>
      <c r="G630">
        <v>13</v>
      </c>
      <c r="H630">
        <v>19</v>
      </c>
      <c r="I630">
        <v>22</v>
      </c>
      <c r="J630">
        <v>24</v>
      </c>
      <c r="K630">
        <v>25</v>
      </c>
      <c r="L630">
        <v>22</v>
      </c>
      <c r="M630">
        <v>10</v>
      </c>
      <c r="N630">
        <v>10</v>
      </c>
      <c r="O630">
        <v>14</v>
      </c>
      <c r="P630">
        <v>34</v>
      </c>
      <c r="Q630">
        <v>25</v>
      </c>
      <c r="R630">
        <v>53</v>
      </c>
      <c r="S630">
        <v>54</v>
      </c>
      <c r="T630">
        <v>61</v>
      </c>
      <c r="U630">
        <v>69</v>
      </c>
      <c r="V630">
        <v>67</v>
      </c>
      <c r="W630">
        <v>73</v>
      </c>
      <c r="X630">
        <v>68</v>
      </c>
      <c r="Y630">
        <v>68</v>
      </c>
      <c r="Z630">
        <v>139</v>
      </c>
      <c r="AA630">
        <v>106</v>
      </c>
      <c r="AB630">
        <v>57</v>
      </c>
      <c r="AC630" s="28">
        <v>50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ht="12" customHeight="1" x14ac:dyDescent="0.2">
      <c r="A631" t="s">
        <v>147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5</v>
      </c>
      <c r="K631">
        <v>11</v>
      </c>
      <c r="L631">
        <v>10</v>
      </c>
      <c r="M631">
        <v>1</v>
      </c>
      <c r="N631">
        <v>2</v>
      </c>
      <c r="O631">
        <v>3</v>
      </c>
      <c r="P631">
        <v>2</v>
      </c>
      <c r="Q631">
        <v>7</v>
      </c>
      <c r="R631">
        <v>9</v>
      </c>
      <c r="S631">
        <v>12</v>
      </c>
      <c r="T631">
        <v>10</v>
      </c>
      <c r="U631">
        <v>27</v>
      </c>
      <c r="V631">
        <v>25</v>
      </c>
      <c r="W631">
        <v>32</v>
      </c>
      <c r="X631">
        <v>25</v>
      </c>
      <c r="Y631">
        <v>29</v>
      </c>
      <c r="Z631">
        <v>54</v>
      </c>
      <c r="AA631">
        <v>17</v>
      </c>
      <c r="AB631">
        <v>32</v>
      </c>
      <c r="AC631" s="28">
        <v>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ht="12" customHeight="1" x14ac:dyDescent="0.2">
      <c r="A632" t="s">
        <v>148</v>
      </c>
      <c r="B632">
        <v>4</v>
      </c>
      <c r="C632">
        <v>2</v>
      </c>
      <c r="D632">
        <v>2</v>
      </c>
      <c r="E632">
        <v>2</v>
      </c>
      <c r="F632">
        <v>4</v>
      </c>
      <c r="G632">
        <v>3</v>
      </c>
      <c r="H632">
        <v>4</v>
      </c>
      <c r="I632">
        <v>3</v>
      </c>
      <c r="J632">
        <v>2</v>
      </c>
      <c r="K632">
        <v>5</v>
      </c>
      <c r="L632">
        <v>7</v>
      </c>
      <c r="M632">
        <v>11</v>
      </c>
      <c r="N632">
        <v>9</v>
      </c>
      <c r="O632">
        <v>6</v>
      </c>
      <c r="P632">
        <v>20</v>
      </c>
      <c r="Q632">
        <v>20</v>
      </c>
      <c r="R632">
        <v>29</v>
      </c>
      <c r="S632">
        <v>58</v>
      </c>
      <c r="T632">
        <v>70</v>
      </c>
      <c r="U632">
        <v>75</v>
      </c>
      <c r="V632">
        <v>54</v>
      </c>
      <c r="W632">
        <v>61</v>
      </c>
      <c r="X632">
        <v>59</v>
      </c>
      <c r="Y632">
        <v>56</v>
      </c>
      <c r="Z632">
        <v>76</v>
      </c>
      <c r="AA632">
        <v>54</v>
      </c>
      <c r="AB632">
        <v>42</v>
      </c>
      <c r="AC632" s="28">
        <v>18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ht="12" customHeight="1" x14ac:dyDescent="0.2">
      <c r="A633" s="1" t="s">
        <v>153</v>
      </c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6"/>
      <c r="AA633" s="36"/>
      <c r="AB633" s="36"/>
      <c r="AC633" s="37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</row>
    <row r="634" spans="1:57" ht="12" customHeight="1" x14ac:dyDescent="0.2">
      <c r="A634" s="1" t="s">
        <v>154</v>
      </c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6"/>
      <c r="AA634" s="36"/>
      <c r="AB634" s="36"/>
      <c r="AC634" s="37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</row>
    <row r="635" spans="1:57" ht="12" customHeight="1" x14ac:dyDescent="0.2">
      <c r="AC635" s="28"/>
    </row>
    <row r="636" spans="1:57" ht="12" customHeight="1" x14ac:dyDescent="0.2">
      <c r="A636" t="s">
        <v>361</v>
      </c>
      <c r="AC636" s="28"/>
    </row>
    <row r="637" spans="1:57" ht="12" customHeight="1" x14ac:dyDescent="0.2">
      <c r="A637" s="19" t="s">
        <v>159</v>
      </c>
      <c r="B637">
        <v>1995</v>
      </c>
      <c r="C637">
        <v>1996</v>
      </c>
      <c r="D637">
        <v>1997</v>
      </c>
      <c r="E637">
        <v>1998</v>
      </c>
      <c r="F637">
        <v>1999</v>
      </c>
      <c r="G637">
        <v>2000</v>
      </c>
      <c r="H637">
        <v>2001</v>
      </c>
      <c r="I637">
        <v>2002</v>
      </c>
      <c r="J637">
        <v>2003</v>
      </c>
      <c r="K637">
        <v>2004</v>
      </c>
      <c r="L637">
        <v>2005</v>
      </c>
      <c r="M637">
        <v>2006</v>
      </c>
      <c r="N637">
        <v>2007</v>
      </c>
      <c r="O637">
        <v>2008</v>
      </c>
      <c r="P637">
        <v>2009</v>
      </c>
      <c r="Q637">
        <v>2010</v>
      </c>
      <c r="R637">
        <v>2011</v>
      </c>
      <c r="S637">
        <v>2012</v>
      </c>
      <c r="T637">
        <v>2013</v>
      </c>
      <c r="U637">
        <v>2014</v>
      </c>
      <c r="V637">
        <v>2015</v>
      </c>
      <c r="W637">
        <v>2016</v>
      </c>
      <c r="X637">
        <v>2017</v>
      </c>
      <c r="Y637">
        <v>2018</v>
      </c>
      <c r="Z637">
        <v>2019</v>
      </c>
      <c r="AA637">
        <v>2020</v>
      </c>
      <c r="AB637">
        <v>2021</v>
      </c>
      <c r="AC637" s="28">
        <v>2022</v>
      </c>
      <c r="AD637">
        <v>2023</v>
      </c>
      <c r="AE637">
        <v>2024</v>
      </c>
      <c r="AF637">
        <v>2025</v>
      </c>
      <c r="AG637">
        <v>2026</v>
      </c>
      <c r="AH637">
        <v>2027</v>
      </c>
      <c r="AI637">
        <v>2028</v>
      </c>
      <c r="AJ637">
        <v>2029</v>
      </c>
      <c r="AK637">
        <v>2030</v>
      </c>
      <c r="AL637">
        <v>2031</v>
      </c>
      <c r="AM637">
        <v>2032</v>
      </c>
      <c r="AN637">
        <v>2033</v>
      </c>
      <c r="AO637">
        <v>2034</v>
      </c>
      <c r="AP637">
        <v>2035</v>
      </c>
      <c r="AQ637">
        <v>2036</v>
      </c>
      <c r="AR637">
        <v>2037</v>
      </c>
      <c r="AS637">
        <v>2038</v>
      </c>
      <c r="AT637">
        <v>2039</v>
      </c>
      <c r="AU637">
        <v>2040</v>
      </c>
      <c r="AV637">
        <v>2041</v>
      </c>
      <c r="AW637">
        <v>2042</v>
      </c>
      <c r="AX637">
        <v>2043</v>
      </c>
      <c r="AY637">
        <v>2044</v>
      </c>
      <c r="AZ637">
        <v>2045</v>
      </c>
      <c r="BA637">
        <v>2046</v>
      </c>
      <c r="BB637">
        <v>2047</v>
      </c>
      <c r="BC637">
        <v>2048</v>
      </c>
      <c r="BD637">
        <v>2049</v>
      </c>
      <c r="BE637">
        <v>2050</v>
      </c>
    </row>
    <row r="638" spans="1:57" ht="12" customHeight="1" x14ac:dyDescent="0.2">
      <c r="A638" t="s">
        <v>101</v>
      </c>
      <c r="B638">
        <v>664</v>
      </c>
      <c r="C638">
        <v>690</v>
      </c>
      <c r="D638">
        <v>705</v>
      </c>
      <c r="E638">
        <v>708</v>
      </c>
      <c r="F638">
        <v>712</v>
      </c>
      <c r="G638">
        <v>713</v>
      </c>
      <c r="H638">
        <v>577</v>
      </c>
      <c r="I638">
        <v>546</v>
      </c>
      <c r="J638">
        <v>513</v>
      </c>
      <c r="K638">
        <v>501</v>
      </c>
      <c r="L638">
        <v>468</v>
      </c>
      <c r="M638">
        <v>446</v>
      </c>
      <c r="N638">
        <v>386</v>
      </c>
      <c r="O638">
        <v>354</v>
      </c>
      <c r="P638">
        <v>294</v>
      </c>
      <c r="Q638">
        <v>268</v>
      </c>
      <c r="R638">
        <v>254</v>
      </c>
      <c r="S638">
        <v>236</v>
      </c>
      <c r="T638">
        <v>208</v>
      </c>
      <c r="U638">
        <v>228</v>
      </c>
      <c r="V638">
        <v>249</v>
      </c>
      <c r="W638">
        <v>262</v>
      </c>
      <c r="X638">
        <v>267</v>
      </c>
      <c r="Y638">
        <v>265</v>
      </c>
      <c r="Z638">
        <v>269</v>
      </c>
      <c r="AA638">
        <v>261</v>
      </c>
      <c r="AB638">
        <v>282</v>
      </c>
      <c r="AC638" s="28">
        <v>224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ht="12" customHeight="1" x14ac:dyDescent="0.2">
      <c r="A639" t="s">
        <v>102</v>
      </c>
      <c r="B639">
        <v>34</v>
      </c>
      <c r="C639">
        <v>36</v>
      </c>
      <c r="D639">
        <v>37</v>
      </c>
      <c r="E639">
        <v>37</v>
      </c>
      <c r="F639">
        <v>37</v>
      </c>
      <c r="G639">
        <v>37</v>
      </c>
      <c r="H639">
        <v>30</v>
      </c>
      <c r="I639">
        <v>32</v>
      </c>
      <c r="J639">
        <v>32</v>
      </c>
      <c r="K639">
        <v>37</v>
      </c>
      <c r="L639">
        <v>34</v>
      </c>
      <c r="M639">
        <v>33</v>
      </c>
      <c r="N639">
        <v>33</v>
      </c>
      <c r="O639">
        <v>35</v>
      </c>
      <c r="P639">
        <v>33</v>
      </c>
      <c r="Q639">
        <v>31</v>
      </c>
      <c r="R639">
        <v>28</v>
      </c>
      <c r="S639">
        <v>29</v>
      </c>
      <c r="T639">
        <v>30</v>
      </c>
      <c r="U639">
        <v>33</v>
      </c>
      <c r="V639">
        <v>21</v>
      </c>
      <c r="W639">
        <v>23</v>
      </c>
      <c r="X639">
        <v>25</v>
      </c>
      <c r="Y639">
        <v>23</v>
      </c>
      <c r="Z639">
        <v>20</v>
      </c>
      <c r="AA639">
        <v>21</v>
      </c>
      <c r="AB639">
        <v>28</v>
      </c>
      <c r="AC639" s="28">
        <v>24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ht="12" customHeight="1" x14ac:dyDescent="0.2">
      <c r="A640" t="s">
        <v>103</v>
      </c>
      <c r="B640">
        <v>9</v>
      </c>
      <c r="C640">
        <v>10</v>
      </c>
      <c r="D640">
        <v>10</v>
      </c>
      <c r="E640">
        <v>10</v>
      </c>
      <c r="F640">
        <v>10</v>
      </c>
      <c r="G640">
        <v>10</v>
      </c>
      <c r="H640">
        <v>7</v>
      </c>
      <c r="I640">
        <v>6</v>
      </c>
      <c r="J640">
        <v>3</v>
      </c>
      <c r="K640">
        <v>3</v>
      </c>
      <c r="L640">
        <v>5</v>
      </c>
      <c r="M640">
        <v>5</v>
      </c>
      <c r="N640">
        <v>5</v>
      </c>
      <c r="O640">
        <v>5</v>
      </c>
      <c r="P640">
        <v>5</v>
      </c>
      <c r="Q640">
        <v>5</v>
      </c>
      <c r="R640">
        <v>6</v>
      </c>
      <c r="S640">
        <v>7</v>
      </c>
      <c r="T640">
        <v>8</v>
      </c>
      <c r="U640">
        <v>8</v>
      </c>
      <c r="V640">
        <v>10</v>
      </c>
      <c r="W640">
        <v>10</v>
      </c>
      <c r="X640">
        <v>16</v>
      </c>
      <c r="Y640">
        <v>21</v>
      </c>
      <c r="Z640">
        <v>18</v>
      </c>
      <c r="AA640">
        <v>23</v>
      </c>
      <c r="AB640">
        <v>25</v>
      </c>
      <c r="AC640" s="28">
        <v>15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ht="12" customHeight="1" x14ac:dyDescent="0.2">
      <c r="A641" t="s">
        <v>104</v>
      </c>
      <c r="B641">
        <v>61</v>
      </c>
      <c r="C641">
        <v>64</v>
      </c>
      <c r="D641">
        <v>65</v>
      </c>
      <c r="E641">
        <v>66</v>
      </c>
      <c r="F641">
        <v>66</v>
      </c>
      <c r="G641">
        <v>66</v>
      </c>
      <c r="H641">
        <v>79</v>
      </c>
      <c r="I641">
        <v>89</v>
      </c>
      <c r="J641">
        <v>95</v>
      </c>
      <c r="K641">
        <v>91</v>
      </c>
      <c r="L641">
        <v>86</v>
      </c>
      <c r="M641">
        <v>86</v>
      </c>
      <c r="N641">
        <v>96</v>
      </c>
      <c r="O641">
        <v>97</v>
      </c>
      <c r="P641">
        <v>91</v>
      </c>
      <c r="Q641">
        <v>97</v>
      </c>
      <c r="R641">
        <v>101</v>
      </c>
      <c r="S641">
        <v>102</v>
      </c>
      <c r="T641">
        <v>100</v>
      </c>
      <c r="U641">
        <v>107</v>
      </c>
      <c r="V641">
        <v>115</v>
      </c>
      <c r="W641">
        <v>115</v>
      </c>
      <c r="X641">
        <v>128</v>
      </c>
      <c r="Y641">
        <v>144</v>
      </c>
      <c r="Z641">
        <v>136</v>
      </c>
      <c r="AA641">
        <v>134</v>
      </c>
      <c r="AB641">
        <v>128</v>
      </c>
      <c r="AC641" s="28">
        <v>117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ht="12" customHeight="1" x14ac:dyDescent="0.2">
      <c r="A642" t="s">
        <v>105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s="28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ht="12" customHeight="1" x14ac:dyDescent="0.2">
      <c r="A643" t="s">
        <v>106</v>
      </c>
      <c r="B643">
        <v>5</v>
      </c>
      <c r="C643">
        <v>5</v>
      </c>
      <c r="D643">
        <v>5</v>
      </c>
      <c r="E643">
        <v>5</v>
      </c>
      <c r="F643">
        <v>5</v>
      </c>
      <c r="G643">
        <v>5</v>
      </c>
      <c r="H643">
        <v>5</v>
      </c>
      <c r="I643">
        <v>8</v>
      </c>
      <c r="J643">
        <v>8</v>
      </c>
      <c r="K643">
        <v>7</v>
      </c>
      <c r="L643">
        <v>9</v>
      </c>
      <c r="M643">
        <v>10</v>
      </c>
      <c r="N643">
        <v>15</v>
      </c>
      <c r="O643">
        <v>14</v>
      </c>
      <c r="P643">
        <v>11</v>
      </c>
      <c r="Q643">
        <v>11</v>
      </c>
      <c r="R643">
        <v>12</v>
      </c>
      <c r="S643">
        <v>12</v>
      </c>
      <c r="T643">
        <v>14</v>
      </c>
      <c r="U643">
        <v>13</v>
      </c>
      <c r="V643">
        <v>13</v>
      </c>
      <c r="W643">
        <v>13</v>
      </c>
      <c r="X643">
        <v>14</v>
      </c>
      <c r="Y643">
        <v>16</v>
      </c>
      <c r="Z643">
        <v>18</v>
      </c>
      <c r="AA643">
        <v>18</v>
      </c>
      <c r="AB643">
        <v>14</v>
      </c>
      <c r="AC643" s="28">
        <v>16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</row>
    <row r="644" spans="1:57" ht="12" customHeight="1" x14ac:dyDescent="0.2">
      <c r="A644" t="s">
        <v>107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2</v>
      </c>
      <c r="W644">
        <v>2</v>
      </c>
      <c r="X644">
        <v>2</v>
      </c>
      <c r="Y644">
        <v>2</v>
      </c>
      <c r="Z644">
        <v>0</v>
      </c>
      <c r="AA644">
        <v>1</v>
      </c>
      <c r="AB644">
        <v>0</v>
      </c>
      <c r="AC644" s="28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ht="12" customHeight="1" x14ac:dyDescent="0.2">
      <c r="A645" t="s">
        <v>108</v>
      </c>
      <c r="B645">
        <v>7</v>
      </c>
      <c r="C645">
        <v>8</v>
      </c>
      <c r="D645">
        <v>8</v>
      </c>
      <c r="E645">
        <v>8</v>
      </c>
      <c r="F645">
        <v>8</v>
      </c>
      <c r="G645">
        <v>8</v>
      </c>
      <c r="H645">
        <v>5</v>
      </c>
      <c r="I645">
        <v>6</v>
      </c>
      <c r="J645">
        <v>6</v>
      </c>
      <c r="K645">
        <v>7</v>
      </c>
      <c r="L645">
        <v>6</v>
      </c>
      <c r="M645">
        <v>6</v>
      </c>
      <c r="N645">
        <v>7</v>
      </c>
      <c r="O645">
        <v>8</v>
      </c>
      <c r="P645">
        <v>11</v>
      </c>
      <c r="Q645">
        <v>8</v>
      </c>
      <c r="R645">
        <v>11</v>
      </c>
      <c r="S645">
        <v>16</v>
      </c>
      <c r="T645">
        <v>19</v>
      </c>
      <c r="U645">
        <v>21</v>
      </c>
      <c r="V645">
        <v>18</v>
      </c>
      <c r="W645">
        <v>19</v>
      </c>
      <c r="X645">
        <v>20</v>
      </c>
      <c r="Y645">
        <v>21</v>
      </c>
      <c r="Z645">
        <v>9</v>
      </c>
      <c r="AA645">
        <v>6</v>
      </c>
      <c r="AB645">
        <v>8</v>
      </c>
      <c r="AC645" s="28">
        <v>2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</row>
    <row r="646" spans="1:57" ht="12" customHeight="1" x14ac:dyDescent="0.2">
      <c r="A646" t="s">
        <v>109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</v>
      </c>
      <c r="M646">
        <v>2</v>
      </c>
      <c r="N646">
        <v>2</v>
      </c>
      <c r="O646">
        <v>3</v>
      </c>
      <c r="P646">
        <v>2</v>
      </c>
      <c r="Q646">
        <v>2</v>
      </c>
      <c r="R646">
        <v>2</v>
      </c>
      <c r="S646">
        <v>1</v>
      </c>
      <c r="T646">
        <v>1</v>
      </c>
      <c r="U646">
        <v>1</v>
      </c>
      <c r="V646">
        <v>2</v>
      </c>
      <c r="W646">
        <v>3</v>
      </c>
      <c r="X646">
        <v>3</v>
      </c>
      <c r="Y646">
        <v>2</v>
      </c>
      <c r="Z646">
        <v>2</v>
      </c>
      <c r="AA646">
        <v>1</v>
      </c>
      <c r="AB646">
        <v>1</v>
      </c>
      <c r="AC646" s="28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ht="12" customHeight="1" x14ac:dyDescent="0.2">
      <c r="A647" t="s">
        <v>110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5</v>
      </c>
      <c r="K647">
        <v>9</v>
      </c>
      <c r="L647">
        <v>11</v>
      </c>
      <c r="M647">
        <v>20</v>
      </c>
      <c r="N647">
        <v>20</v>
      </c>
      <c r="O647">
        <v>25</v>
      </c>
      <c r="P647">
        <v>30</v>
      </c>
      <c r="Q647">
        <v>36</v>
      </c>
      <c r="R647">
        <v>41</v>
      </c>
      <c r="S647">
        <v>51</v>
      </c>
      <c r="T647">
        <v>60</v>
      </c>
      <c r="U647">
        <v>75</v>
      </c>
      <c r="V647">
        <v>79</v>
      </c>
      <c r="W647">
        <v>85</v>
      </c>
      <c r="X647">
        <v>89</v>
      </c>
      <c r="Y647">
        <v>104</v>
      </c>
      <c r="Z647">
        <v>101</v>
      </c>
      <c r="AA647">
        <v>24</v>
      </c>
      <c r="AB647">
        <v>64</v>
      </c>
      <c r="AC647" s="28">
        <v>76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</row>
    <row r="648" spans="1:57" ht="12" customHeight="1" x14ac:dyDescent="0.2">
      <c r="A648" t="s">
        <v>111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3</v>
      </c>
      <c r="I648">
        <v>3</v>
      </c>
      <c r="J648">
        <v>4</v>
      </c>
      <c r="K648">
        <v>5</v>
      </c>
      <c r="L648">
        <v>5</v>
      </c>
      <c r="M648">
        <v>7</v>
      </c>
      <c r="N648">
        <v>10</v>
      </c>
      <c r="O648">
        <v>13</v>
      </c>
      <c r="P648">
        <v>13</v>
      </c>
      <c r="Q648">
        <v>12</v>
      </c>
      <c r="R648">
        <v>12</v>
      </c>
      <c r="S648">
        <v>12</v>
      </c>
      <c r="T648">
        <v>9</v>
      </c>
      <c r="U648">
        <v>9</v>
      </c>
      <c r="V648">
        <v>8</v>
      </c>
      <c r="W648">
        <v>9</v>
      </c>
      <c r="X648">
        <v>8</v>
      </c>
      <c r="Y648">
        <v>7</v>
      </c>
      <c r="Z648">
        <v>8</v>
      </c>
      <c r="AA648">
        <v>8</v>
      </c>
      <c r="AB648">
        <v>8</v>
      </c>
      <c r="AC648" s="28">
        <v>7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ht="12" customHeight="1" x14ac:dyDescent="0.2">
      <c r="A649" t="s">
        <v>112</v>
      </c>
      <c r="B649">
        <v>6</v>
      </c>
      <c r="C649">
        <v>6</v>
      </c>
      <c r="D649">
        <v>6</v>
      </c>
      <c r="E649">
        <v>6</v>
      </c>
      <c r="F649">
        <v>6</v>
      </c>
      <c r="G649">
        <v>6</v>
      </c>
      <c r="H649">
        <v>5</v>
      </c>
      <c r="I649">
        <v>12</v>
      </c>
      <c r="J649">
        <v>15</v>
      </c>
      <c r="K649">
        <v>21</v>
      </c>
      <c r="L649">
        <v>20</v>
      </c>
      <c r="M649">
        <v>23</v>
      </c>
      <c r="N649">
        <v>21</v>
      </c>
      <c r="O649">
        <v>23</v>
      </c>
      <c r="P649">
        <v>26</v>
      </c>
      <c r="Q649">
        <v>27</v>
      </c>
      <c r="R649">
        <v>24</v>
      </c>
      <c r="S649">
        <v>28</v>
      </c>
      <c r="T649">
        <v>35</v>
      </c>
      <c r="U649">
        <v>35</v>
      </c>
      <c r="V649">
        <v>35</v>
      </c>
      <c r="W649">
        <v>37</v>
      </c>
      <c r="X649">
        <v>36</v>
      </c>
      <c r="Y649">
        <v>33</v>
      </c>
      <c r="Z649">
        <v>33</v>
      </c>
      <c r="AA649">
        <v>34</v>
      </c>
      <c r="AB649">
        <v>34</v>
      </c>
      <c r="AC649" s="28">
        <v>31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</row>
    <row r="650" spans="1:57" ht="12" customHeight="1" x14ac:dyDescent="0.2">
      <c r="A650" t="s">
        <v>113</v>
      </c>
      <c r="B650">
        <v>7</v>
      </c>
      <c r="C650">
        <v>7</v>
      </c>
      <c r="D650">
        <v>7</v>
      </c>
      <c r="E650">
        <v>7</v>
      </c>
      <c r="F650">
        <v>7</v>
      </c>
      <c r="G650">
        <v>7</v>
      </c>
      <c r="H650">
        <v>7</v>
      </c>
      <c r="I650">
        <v>4</v>
      </c>
      <c r="J650">
        <v>3</v>
      </c>
      <c r="K650">
        <v>2</v>
      </c>
      <c r="L650">
        <v>10</v>
      </c>
      <c r="M650">
        <v>12</v>
      </c>
      <c r="N650">
        <v>10</v>
      </c>
      <c r="O650">
        <v>12</v>
      </c>
      <c r="P650">
        <v>13</v>
      </c>
      <c r="Q650">
        <v>12</v>
      </c>
      <c r="R650">
        <v>12</v>
      </c>
      <c r="S650">
        <v>12</v>
      </c>
      <c r="T650">
        <v>13</v>
      </c>
      <c r="U650">
        <v>12</v>
      </c>
      <c r="V650">
        <v>12</v>
      </c>
      <c r="W650">
        <v>11</v>
      </c>
      <c r="X650">
        <v>8</v>
      </c>
      <c r="Y650">
        <v>7</v>
      </c>
      <c r="Z650">
        <v>7</v>
      </c>
      <c r="AA650">
        <v>5</v>
      </c>
      <c r="AB650">
        <v>3</v>
      </c>
      <c r="AC650" s="28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</row>
    <row r="651" spans="1:57" ht="12" customHeight="1" x14ac:dyDescent="0.2">
      <c r="A651" t="s">
        <v>114</v>
      </c>
      <c r="B651">
        <v>57</v>
      </c>
      <c r="C651">
        <v>59</v>
      </c>
      <c r="D651">
        <v>60</v>
      </c>
      <c r="E651">
        <v>61</v>
      </c>
      <c r="F651">
        <v>61</v>
      </c>
      <c r="G651">
        <v>61</v>
      </c>
      <c r="H651">
        <v>55</v>
      </c>
      <c r="I651">
        <v>50</v>
      </c>
      <c r="J651">
        <v>60</v>
      </c>
      <c r="K651">
        <v>63</v>
      </c>
      <c r="L651">
        <v>62</v>
      </c>
      <c r="M651">
        <v>56</v>
      </c>
      <c r="N651">
        <v>52</v>
      </c>
      <c r="O651">
        <v>59</v>
      </c>
      <c r="P651">
        <v>56</v>
      </c>
      <c r="Q651">
        <v>55</v>
      </c>
      <c r="R651">
        <v>51</v>
      </c>
      <c r="S651">
        <v>51</v>
      </c>
      <c r="T651">
        <v>52</v>
      </c>
      <c r="U651">
        <v>51</v>
      </c>
      <c r="V651">
        <v>46</v>
      </c>
      <c r="W651">
        <v>49</v>
      </c>
      <c r="X651">
        <v>58</v>
      </c>
      <c r="Y651">
        <v>40</v>
      </c>
      <c r="Z651">
        <v>36</v>
      </c>
      <c r="AA651">
        <v>26</v>
      </c>
      <c r="AB651">
        <v>33</v>
      </c>
      <c r="AC651" s="28">
        <v>24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 ht="12" customHeight="1" x14ac:dyDescent="0.2">
      <c r="A652" t="s">
        <v>115</v>
      </c>
      <c r="B652">
        <v>25</v>
      </c>
      <c r="C652">
        <v>26</v>
      </c>
      <c r="D652">
        <v>27</v>
      </c>
      <c r="E652">
        <v>27</v>
      </c>
      <c r="F652">
        <v>27</v>
      </c>
      <c r="G652">
        <v>27</v>
      </c>
      <c r="H652">
        <v>25</v>
      </c>
      <c r="I652">
        <v>27</v>
      </c>
      <c r="J652">
        <v>32</v>
      </c>
      <c r="K652">
        <v>36</v>
      </c>
      <c r="L652">
        <v>26</v>
      </c>
      <c r="M652">
        <v>27</v>
      </c>
      <c r="N652">
        <v>31</v>
      </c>
      <c r="O652">
        <v>30</v>
      </c>
      <c r="P652">
        <v>28</v>
      </c>
      <c r="Q652">
        <v>32</v>
      </c>
      <c r="R652">
        <v>24</v>
      </c>
      <c r="S652">
        <v>19</v>
      </c>
      <c r="T652">
        <v>24</v>
      </c>
      <c r="U652">
        <v>25</v>
      </c>
      <c r="V652">
        <v>27</v>
      </c>
      <c r="W652">
        <v>30</v>
      </c>
      <c r="X652">
        <v>30</v>
      </c>
      <c r="Y652">
        <v>27</v>
      </c>
      <c r="Z652">
        <v>28</v>
      </c>
      <c r="AA652">
        <v>18</v>
      </c>
      <c r="AB652">
        <v>12</v>
      </c>
      <c r="AC652" s="28">
        <v>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</row>
    <row r="653" spans="1:57" ht="12" customHeight="1" x14ac:dyDescent="0.2">
      <c r="A653" t="s">
        <v>116</v>
      </c>
      <c r="B653">
        <v>27</v>
      </c>
      <c r="C653">
        <v>28</v>
      </c>
      <c r="D653">
        <v>29</v>
      </c>
      <c r="E653">
        <v>29</v>
      </c>
      <c r="F653">
        <v>29</v>
      </c>
      <c r="G653">
        <v>29</v>
      </c>
      <c r="H653">
        <v>26</v>
      </c>
      <c r="I653">
        <v>28</v>
      </c>
      <c r="J653">
        <v>31</v>
      </c>
      <c r="K653">
        <v>26</v>
      </c>
      <c r="L653">
        <v>27</v>
      </c>
      <c r="M653">
        <v>26</v>
      </c>
      <c r="N653">
        <v>29</v>
      </c>
      <c r="O653">
        <v>25</v>
      </c>
      <c r="P653">
        <v>28</v>
      </c>
      <c r="Q653">
        <v>29</v>
      </c>
      <c r="R653">
        <v>28</v>
      </c>
      <c r="S653">
        <v>26</v>
      </c>
      <c r="T653">
        <v>27</v>
      </c>
      <c r="U653">
        <v>25</v>
      </c>
      <c r="V653">
        <v>28</v>
      </c>
      <c r="W653">
        <v>27</v>
      </c>
      <c r="X653">
        <v>28</v>
      </c>
      <c r="Y653">
        <v>26</v>
      </c>
      <c r="Z653">
        <v>28</v>
      </c>
      <c r="AA653">
        <v>23</v>
      </c>
      <c r="AB653">
        <v>19</v>
      </c>
      <c r="AC653" s="28">
        <v>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</row>
    <row r="654" spans="1:57" ht="12" customHeight="1" x14ac:dyDescent="0.2">
      <c r="A654" t="s">
        <v>117</v>
      </c>
      <c r="B654">
        <v>158</v>
      </c>
      <c r="C654">
        <v>190</v>
      </c>
      <c r="D654">
        <v>221</v>
      </c>
      <c r="E654">
        <v>275</v>
      </c>
      <c r="F654">
        <v>329</v>
      </c>
      <c r="G654">
        <v>370</v>
      </c>
      <c r="H654">
        <v>407</v>
      </c>
      <c r="I654">
        <v>434</v>
      </c>
      <c r="J654">
        <v>443</v>
      </c>
      <c r="K654">
        <v>454</v>
      </c>
      <c r="L654">
        <v>494</v>
      </c>
      <c r="M654">
        <v>549</v>
      </c>
      <c r="N654">
        <v>575</v>
      </c>
      <c r="O654">
        <v>586</v>
      </c>
      <c r="P654">
        <v>539</v>
      </c>
      <c r="Q654">
        <v>540</v>
      </c>
      <c r="R654">
        <v>563</v>
      </c>
      <c r="S654">
        <v>538</v>
      </c>
      <c r="T654">
        <v>538</v>
      </c>
      <c r="U654">
        <v>533</v>
      </c>
      <c r="V654">
        <v>530</v>
      </c>
      <c r="W654">
        <v>543</v>
      </c>
      <c r="X654">
        <v>584</v>
      </c>
      <c r="Y654">
        <v>632</v>
      </c>
      <c r="Z654">
        <v>631</v>
      </c>
      <c r="AA654">
        <v>640</v>
      </c>
      <c r="AB654">
        <v>663</v>
      </c>
      <c r="AC654" s="28">
        <v>666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ht="12" customHeight="1" x14ac:dyDescent="0.2">
      <c r="A655" t="s">
        <v>118</v>
      </c>
      <c r="B655">
        <v>2</v>
      </c>
      <c r="C655">
        <v>3</v>
      </c>
      <c r="D655">
        <v>3</v>
      </c>
      <c r="E655">
        <v>4</v>
      </c>
      <c r="F655">
        <v>4</v>
      </c>
      <c r="G655">
        <v>5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</v>
      </c>
      <c r="P655">
        <v>5</v>
      </c>
      <c r="Q655">
        <v>7</v>
      </c>
      <c r="R655">
        <v>6</v>
      </c>
      <c r="S655">
        <v>6</v>
      </c>
      <c r="T655">
        <v>7</v>
      </c>
      <c r="U655">
        <v>12</v>
      </c>
      <c r="V655">
        <v>14</v>
      </c>
      <c r="W655">
        <v>10</v>
      </c>
      <c r="X655">
        <v>11</v>
      </c>
      <c r="Y655">
        <v>14</v>
      </c>
      <c r="Z655">
        <v>12</v>
      </c>
      <c r="AA655">
        <v>15</v>
      </c>
      <c r="AB655">
        <v>15</v>
      </c>
      <c r="AC655" s="28">
        <v>15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</row>
    <row r="656" spans="1:57" ht="12" customHeight="1" x14ac:dyDescent="0.2">
      <c r="A656" t="s">
        <v>119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2</v>
      </c>
      <c r="J656">
        <v>3</v>
      </c>
      <c r="K656">
        <v>4</v>
      </c>
      <c r="L656">
        <v>4</v>
      </c>
      <c r="M656">
        <v>5</v>
      </c>
      <c r="N656">
        <v>6</v>
      </c>
      <c r="O656">
        <v>7</v>
      </c>
      <c r="P656">
        <v>6</v>
      </c>
      <c r="Q656">
        <v>9</v>
      </c>
      <c r="R656">
        <v>9</v>
      </c>
      <c r="S656">
        <v>8</v>
      </c>
      <c r="T656">
        <v>8</v>
      </c>
      <c r="U656">
        <v>9</v>
      </c>
      <c r="V656">
        <v>9</v>
      </c>
      <c r="W656">
        <v>8</v>
      </c>
      <c r="X656">
        <v>9</v>
      </c>
      <c r="Y656">
        <v>8</v>
      </c>
      <c r="Z656">
        <v>8</v>
      </c>
      <c r="AA656">
        <v>8</v>
      </c>
      <c r="AB656">
        <v>8</v>
      </c>
      <c r="AC656" s="28">
        <v>7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ht="12" customHeight="1" x14ac:dyDescent="0.2">
      <c r="A657" t="s">
        <v>120</v>
      </c>
      <c r="B657">
        <v>36</v>
      </c>
      <c r="C657">
        <v>43</v>
      </c>
      <c r="D657">
        <v>50</v>
      </c>
      <c r="E657">
        <v>62</v>
      </c>
      <c r="F657">
        <v>75</v>
      </c>
      <c r="G657">
        <v>84</v>
      </c>
      <c r="H657">
        <v>76</v>
      </c>
      <c r="I657">
        <v>93</v>
      </c>
      <c r="J657">
        <v>97</v>
      </c>
      <c r="K657">
        <v>104</v>
      </c>
      <c r="L657">
        <v>117</v>
      </c>
      <c r="M657">
        <v>124</v>
      </c>
      <c r="N657">
        <v>135</v>
      </c>
      <c r="O657">
        <v>135</v>
      </c>
      <c r="P657">
        <v>137</v>
      </c>
      <c r="Q657">
        <v>140</v>
      </c>
      <c r="R657">
        <v>139</v>
      </c>
      <c r="S657">
        <v>149</v>
      </c>
      <c r="T657">
        <v>154</v>
      </c>
      <c r="U657">
        <v>151</v>
      </c>
      <c r="V657">
        <v>154</v>
      </c>
      <c r="W657">
        <v>157</v>
      </c>
      <c r="X657">
        <v>163</v>
      </c>
      <c r="Y657">
        <v>161</v>
      </c>
      <c r="Z657">
        <v>186</v>
      </c>
      <c r="AA657">
        <v>180</v>
      </c>
      <c r="AB657">
        <v>191</v>
      </c>
      <c r="AC657" s="28">
        <v>201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</row>
    <row r="658" spans="1:57" ht="12" customHeight="1" x14ac:dyDescent="0.2">
      <c r="A658" t="s">
        <v>121</v>
      </c>
      <c r="B658">
        <v>8</v>
      </c>
      <c r="C658">
        <v>10</v>
      </c>
      <c r="D658">
        <v>11</v>
      </c>
      <c r="E658">
        <v>14</v>
      </c>
      <c r="F658">
        <v>17</v>
      </c>
      <c r="G658">
        <v>19</v>
      </c>
      <c r="H658">
        <v>20</v>
      </c>
      <c r="I658">
        <v>22</v>
      </c>
      <c r="J658">
        <v>22</v>
      </c>
      <c r="K658">
        <v>24</v>
      </c>
      <c r="L658">
        <v>27</v>
      </c>
      <c r="M658">
        <v>30</v>
      </c>
      <c r="N658">
        <v>31</v>
      </c>
      <c r="O658">
        <v>25</v>
      </c>
      <c r="P658">
        <v>27</v>
      </c>
      <c r="Q658">
        <v>20</v>
      </c>
      <c r="R658">
        <v>17</v>
      </c>
      <c r="S658">
        <v>19</v>
      </c>
      <c r="T658">
        <v>21</v>
      </c>
      <c r="U658">
        <v>23</v>
      </c>
      <c r="V658">
        <v>25</v>
      </c>
      <c r="W658">
        <v>24</v>
      </c>
      <c r="X658">
        <v>23</v>
      </c>
      <c r="Y658">
        <v>24</v>
      </c>
      <c r="Z658">
        <v>20</v>
      </c>
      <c r="AA658">
        <v>19</v>
      </c>
      <c r="AB658">
        <v>19</v>
      </c>
      <c r="AC658" s="28">
        <v>19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ht="12" customHeight="1" x14ac:dyDescent="0.2">
      <c r="A659" t="s">
        <v>122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2</v>
      </c>
      <c r="Z659">
        <v>7</v>
      </c>
      <c r="AA659">
        <v>6</v>
      </c>
      <c r="AB659">
        <v>8</v>
      </c>
      <c r="AC659" s="28">
        <v>7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</row>
    <row r="660" spans="1:57" ht="12" customHeight="1" x14ac:dyDescent="0.2">
      <c r="A660" t="s">
        <v>123</v>
      </c>
      <c r="B660">
        <v>9</v>
      </c>
      <c r="C660">
        <v>11</v>
      </c>
      <c r="D660">
        <v>13</v>
      </c>
      <c r="E660">
        <v>16</v>
      </c>
      <c r="F660">
        <v>20</v>
      </c>
      <c r="G660">
        <v>22</v>
      </c>
      <c r="H660">
        <v>24</v>
      </c>
      <c r="I660">
        <v>24</v>
      </c>
      <c r="J660">
        <v>27</v>
      </c>
      <c r="K660">
        <v>27</v>
      </c>
      <c r="L660">
        <v>25</v>
      </c>
      <c r="M660">
        <v>27</v>
      </c>
      <c r="N660">
        <v>32</v>
      </c>
      <c r="O660">
        <v>32</v>
      </c>
      <c r="P660">
        <v>31</v>
      </c>
      <c r="Q660">
        <v>33</v>
      </c>
      <c r="R660">
        <v>33</v>
      </c>
      <c r="S660">
        <v>38</v>
      </c>
      <c r="T660">
        <v>37</v>
      </c>
      <c r="U660">
        <v>37</v>
      </c>
      <c r="V660">
        <v>39</v>
      </c>
      <c r="W660">
        <v>41</v>
      </c>
      <c r="X660">
        <v>39</v>
      </c>
      <c r="Y660">
        <v>40</v>
      </c>
      <c r="Z660">
        <v>35</v>
      </c>
      <c r="AA660">
        <v>36</v>
      </c>
      <c r="AB660">
        <v>38</v>
      </c>
      <c r="AC660" s="28">
        <v>37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ht="12" customHeight="1" x14ac:dyDescent="0.2">
      <c r="A661" t="s">
        <v>124</v>
      </c>
      <c r="B661">
        <v>0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2</v>
      </c>
      <c r="J661">
        <v>4</v>
      </c>
      <c r="K661">
        <v>6</v>
      </c>
      <c r="L661">
        <v>7</v>
      </c>
      <c r="M661">
        <v>9</v>
      </c>
      <c r="N661">
        <v>13</v>
      </c>
      <c r="O661">
        <v>9</v>
      </c>
      <c r="P661">
        <v>8</v>
      </c>
      <c r="Q661">
        <v>11</v>
      </c>
      <c r="R661">
        <v>11</v>
      </c>
      <c r="S661">
        <v>12</v>
      </c>
      <c r="T661">
        <v>9</v>
      </c>
      <c r="U661">
        <v>9</v>
      </c>
      <c r="V661">
        <v>11</v>
      </c>
      <c r="W661">
        <v>11</v>
      </c>
      <c r="X661">
        <v>14</v>
      </c>
      <c r="Y661">
        <v>16</v>
      </c>
      <c r="Z661">
        <v>20</v>
      </c>
      <c r="AA661">
        <v>20</v>
      </c>
      <c r="AB661">
        <v>20</v>
      </c>
      <c r="AC661" s="28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 ht="12" customHeight="1" x14ac:dyDescent="0.2">
      <c r="A662" t="s">
        <v>125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</v>
      </c>
      <c r="Q662">
        <v>8</v>
      </c>
      <c r="R662">
        <v>11</v>
      </c>
      <c r="S662">
        <v>16</v>
      </c>
      <c r="T662">
        <v>15</v>
      </c>
      <c r="U662">
        <v>18</v>
      </c>
      <c r="V662">
        <v>17</v>
      </c>
      <c r="W662">
        <v>22</v>
      </c>
      <c r="X662">
        <v>25</v>
      </c>
      <c r="Y662">
        <v>26</v>
      </c>
      <c r="Z662">
        <v>27</v>
      </c>
      <c r="AA662">
        <v>28</v>
      </c>
      <c r="AB662">
        <v>32</v>
      </c>
      <c r="AC662" s="28">
        <v>26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ht="12" customHeight="1" x14ac:dyDescent="0.2">
      <c r="A663" t="s">
        <v>126</v>
      </c>
      <c r="B663">
        <v>7</v>
      </c>
      <c r="C663">
        <v>9</v>
      </c>
      <c r="D663">
        <v>10</v>
      </c>
      <c r="E663">
        <v>13</v>
      </c>
      <c r="F663">
        <v>15</v>
      </c>
      <c r="G663">
        <v>17</v>
      </c>
      <c r="H663">
        <v>22</v>
      </c>
      <c r="I663">
        <v>25</v>
      </c>
      <c r="J663">
        <v>28</v>
      </c>
      <c r="K663">
        <v>34</v>
      </c>
      <c r="L663">
        <v>39</v>
      </c>
      <c r="M663">
        <v>52</v>
      </c>
      <c r="N663">
        <v>65</v>
      </c>
      <c r="O663">
        <v>71</v>
      </c>
      <c r="P663">
        <v>72</v>
      </c>
      <c r="Q663">
        <v>84</v>
      </c>
      <c r="R663">
        <v>81</v>
      </c>
      <c r="S663">
        <v>86</v>
      </c>
      <c r="T663">
        <v>81</v>
      </c>
      <c r="U663">
        <v>75</v>
      </c>
      <c r="V663">
        <v>86</v>
      </c>
      <c r="W663">
        <v>90</v>
      </c>
      <c r="X663">
        <v>92</v>
      </c>
      <c r="Y663">
        <v>93</v>
      </c>
      <c r="Z663">
        <v>84</v>
      </c>
      <c r="AA663">
        <v>84</v>
      </c>
      <c r="AB663">
        <v>87</v>
      </c>
      <c r="AC663" s="28">
        <v>95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</row>
    <row r="664" spans="1:57" ht="12" customHeight="1" x14ac:dyDescent="0.2">
      <c r="A664" t="s">
        <v>127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</v>
      </c>
      <c r="O664">
        <v>4</v>
      </c>
      <c r="P664">
        <v>7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s="28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ht="12" customHeight="1" x14ac:dyDescent="0.2">
      <c r="A665" t="s">
        <v>128</v>
      </c>
      <c r="B665">
        <v>15</v>
      </c>
      <c r="C665">
        <v>18</v>
      </c>
      <c r="D665">
        <v>21</v>
      </c>
      <c r="E665">
        <v>26</v>
      </c>
      <c r="F665">
        <v>31</v>
      </c>
      <c r="G665">
        <v>35</v>
      </c>
      <c r="H665">
        <v>39</v>
      </c>
      <c r="I665">
        <v>40</v>
      </c>
      <c r="J665">
        <v>45</v>
      </c>
      <c r="K665">
        <v>55</v>
      </c>
      <c r="L665">
        <v>61</v>
      </c>
      <c r="M665">
        <v>64</v>
      </c>
      <c r="N665">
        <v>64</v>
      </c>
      <c r="O665">
        <v>65</v>
      </c>
      <c r="P665">
        <v>54</v>
      </c>
      <c r="Q665">
        <v>54</v>
      </c>
      <c r="R665">
        <v>58</v>
      </c>
      <c r="S665">
        <v>54</v>
      </c>
      <c r="T665">
        <v>52</v>
      </c>
      <c r="U665">
        <v>49</v>
      </c>
      <c r="V665">
        <v>43</v>
      </c>
      <c r="W665">
        <v>40</v>
      </c>
      <c r="X665">
        <v>39</v>
      </c>
      <c r="Y665">
        <v>40</v>
      </c>
      <c r="Z665">
        <v>35</v>
      </c>
      <c r="AA665">
        <v>40</v>
      </c>
      <c r="AB665">
        <v>46</v>
      </c>
      <c r="AC665" s="28">
        <v>46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</row>
    <row r="666" spans="1:57" ht="12" customHeight="1" x14ac:dyDescent="0.2">
      <c r="A666" t="s">
        <v>129</v>
      </c>
      <c r="B666">
        <v>6</v>
      </c>
      <c r="C666">
        <v>8</v>
      </c>
      <c r="D666">
        <v>9</v>
      </c>
      <c r="E666">
        <v>11</v>
      </c>
      <c r="F666">
        <v>13</v>
      </c>
      <c r="G666">
        <v>15</v>
      </c>
      <c r="H666">
        <v>16</v>
      </c>
      <c r="I666">
        <v>15</v>
      </c>
      <c r="J666">
        <v>19</v>
      </c>
      <c r="K666">
        <v>23</v>
      </c>
      <c r="L666">
        <v>27</v>
      </c>
      <c r="M666">
        <v>29</v>
      </c>
      <c r="N666">
        <v>36</v>
      </c>
      <c r="O666">
        <v>38</v>
      </c>
      <c r="P666">
        <v>44</v>
      </c>
      <c r="Q666">
        <v>49</v>
      </c>
      <c r="R666">
        <v>48</v>
      </c>
      <c r="S666">
        <v>55</v>
      </c>
      <c r="T666">
        <v>62</v>
      </c>
      <c r="U666">
        <v>65</v>
      </c>
      <c r="V666">
        <v>76</v>
      </c>
      <c r="W666">
        <v>75</v>
      </c>
      <c r="X666">
        <v>79</v>
      </c>
      <c r="Y666">
        <v>76</v>
      </c>
      <c r="Z666">
        <v>81</v>
      </c>
      <c r="AA666">
        <v>76</v>
      </c>
      <c r="AB666">
        <v>70</v>
      </c>
      <c r="AC666" s="28">
        <v>65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ht="12" customHeight="1" x14ac:dyDescent="0.2">
      <c r="A667" t="s">
        <v>130</v>
      </c>
      <c r="B667">
        <v>4</v>
      </c>
      <c r="C667">
        <v>5</v>
      </c>
      <c r="D667">
        <v>6</v>
      </c>
      <c r="E667">
        <v>7</v>
      </c>
      <c r="F667">
        <v>9</v>
      </c>
      <c r="G667">
        <v>10</v>
      </c>
      <c r="H667">
        <v>9</v>
      </c>
      <c r="I667">
        <v>13</v>
      </c>
      <c r="J667">
        <v>15</v>
      </c>
      <c r="K667">
        <v>17</v>
      </c>
      <c r="L667">
        <v>18</v>
      </c>
      <c r="M667">
        <v>16</v>
      </c>
      <c r="N667">
        <v>15</v>
      </c>
      <c r="O667">
        <v>9</v>
      </c>
      <c r="P667">
        <v>7</v>
      </c>
      <c r="Q667">
        <v>8</v>
      </c>
      <c r="R667">
        <v>9</v>
      </c>
      <c r="S667">
        <v>11</v>
      </c>
      <c r="T667">
        <v>12</v>
      </c>
      <c r="U667">
        <v>16</v>
      </c>
      <c r="V667">
        <v>17</v>
      </c>
      <c r="W667">
        <v>15</v>
      </c>
      <c r="X667">
        <v>16</v>
      </c>
      <c r="Y667">
        <v>20</v>
      </c>
      <c r="Z667">
        <v>15</v>
      </c>
      <c r="AA667">
        <v>14</v>
      </c>
      <c r="AB667">
        <v>14</v>
      </c>
      <c r="AC667" s="28">
        <v>13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</row>
    <row r="668" spans="1:57" ht="12" customHeight="1" x14ac:dyDescent="0.2">
      <c r="A668" t="s">
        <v>131</v>
      </c>
      <c r="B668">
        <v>1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3</v>
      </c>
      <c r="I668">
        <v>4</v>
      </c>
      <c r="J668">
        <v>4</v>
      </c>
      <c r="K668">
        <v>3</v>
      </c>
      <c r="L668">
        <v>4</v>
      </c>
      <c r="M668">
        <v>7</v>
      </c>
      <c r="N668">
        <v>8</v>
      </c>
      <c r="O668">
        <v>6</v>
      </c>
      <c r="P668">
        <v>4</v>
      </c>
      <c r="Q668">
        <v>7</v>
      </c>
      <c r="R668">
        <v>6</v>
      </c>
      <c r="S668">
        <v>6</v>
      </c>
      <c r="T668">
        <v>5</v>
      </c>
      <c r="U668">
        <v>6</v>
      </c>
      <c r="V668">
        <v>6</v>
      </c>
      <c r="W668">
        <v>5</v>
      </c>
      <c r="X668">
        <v>4</v>
      </c>
      <c r="Y668">
        <v>4</v>
      </c>
      <c r="Z668">
        <v>3</v>
      </c>
      <c r="AA668">
        <v>3</v>
      </c>
      <c r="AB668">
        <v>3</v>
      </c>
      <c r="AC668" s="28">
        <v>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ht="12" customHeight="1" x14ac:dyDescent="0.2">
      <c r="A669" t="s">
        <v>132</v>
      </c>
      <c r="B669">
        <v>4</v>
      </c>
      <c r="C669">
        <v>5</v>
      </c>
      <c r="D669">
        <v>5</v>
      </c>
      <c r="E669">
        <v>7</v>
      </c>
      <c r="F669">
        <v>8</v>
      </c>
      <c r="G669">
        <v>9</v>
      </c>
      <c r="H669">
        <v>9</v>
      </c>
      <c r="I669">
        <v>10</v>
      </c>
      <c r="J669">
        <v>10</v>
      </c>
      <c r="K669">
        <v>13</v>
      </c>
      <c r="L669">
        <v>15</v>
      </c>
      <c r="M669">
        <v>14</v>
      </c>
      <c r="N669">
        <v>14</v>
      </c>
      <c r="O669">
        <v>13</v>
      </c>
      <c r="P669">
        <v>16</v>
      </c>
      <c r="Q669">
        <v>18</v>
      </c>
      <c r="R669">
        <v>15</v>
      </c>
      <c r="S669">
        <v>19</v>
      </c>
      <c r="T669">
        <v>21</v>
      </c>
      <c r="U669">
        <v>18</v>
      </c>
      <c r="V669">
        <v>17</v>
      </c>
      <c r="W669">
        <v>17</v>
      </c>
      <c r="X669">
        <v>17</v>
      </c>
      <c r="Y669">
        <v>15</v>
      </c>
      <c r="Z669">
        <v>16</v>
      </c>
      <c r="AA669">
        <v>16</v>
      </c>
      <c r="AB669">
        <v>15</v>
      </c>
      <c r="AC669" s="28">
        <v>14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</row>
    <row r="670" spans="1:57" ht="12" customHeight="1" x14ac:dyDescent="0.2">
      <c r="A670" t="s">
        <v>133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  <c r="O670">
        <v>0</v>
      </c>
      <c r="P670">
        <v>28</v>
      </c>
      <c r="Q670">
        <v>29</v>
      </c>
      <c r="R670">
        <v>35</v>
      </c>
      <c r="S670">
        <v>37</v>
      </c>
      <c r="T670">
        <v>40</v>
      </c>
      <c r="U670">
        <v>41</v>
      </c>
      <c r="V670">
        <v>48</v>
      </c>
      <c r="W670">
        <v>46</v>
      </c>
      <c r="X670">
        <v>47</v>
      </c>
      <c r="Y670">
        <v>51</v>
      </c>
      <c r="Z670">
        <v>44</v>
      </c>
      <c r="AA670">
        <v>30</v>
      </c>
      <c r="AB670">
        <v>33</v>
      </c>
      <c r="AC670" s="28">
        <v>31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ht="12" customHeight="1" x14ac:dyDescent="0.2">
      <c r="A671" t="s">
        <v>134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6</v>
      </c>
      <c r="Q671">
        <v>7</v>
      </c>
      <c r="R671">
        <v>7</v>
      </c>
      <c r="S671">
        <v>10</v>
      </c>
      <c r="T671">
        <v>10</v>
      </c>
      <c r="U671">
        <v>9</v>
      </c>
      <c r="V671">
        <v>9</v>
      </c>
      <c r="W671">
        <v>12</v>
      </c>
      <c r="X671">
        <v>14</v>
      </c>
      <c r="Y671">
        <v>17</v>
      </c>
      <c r="Z671">
        <v>15</v>
      </c>
      <c r="AA671">
        <v>10</v>
      </c>
      <c r="AB671">
        <v>11</v>
      </c>
      <c r="AC671" s="28">
        <v>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 ht="12" customHeight="1" x14ac:dyDescent="0.2">
      <c r="A672" t="s">
        <v>135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</v>
      </c>
      <c r="P672">
        <v>6</v>
      </c>
      <c r="Q672">
        <v>3</v>
      </c>
      <c r="R672">
        <v>3</v>
      </c>
      <c r="S672">
        <v>3</v>
      </c>
      <c r="T672">
        <v>3</v>
      </c>
      <c r="U672">
        <v>3</v>
      </c>
      <c r="V672">
        <v>5</v>
      </c>
      <c r="W672">
        <v>5</v>
      </c>
      <c r="X672">
        <v>6</v>
      </c>
      <c r="Y672">
        <v>7</v>
      </c>
      <c r="Z672">
        <v>7</v>
      </c>
      <c r="AA672">
        <v>5</v>
      </c>
      <c r="AB672">
        <v>3</v>
      </c>
      <c r="AC672" s="28">
        <v>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ht="12" customHeight="1" x14ac:dyDescent="0.2">
      <c r="A673" t="s">
        <v>136</v>
      </c>
      <c r="B673">
        <v>20</v>
      </c>
      <c r="C673">
        <v>19</v>
      </c>
      <c r="D673">
        <v>19</v>
      </c>
      <c r="E673">
        <v>19</v>
      </c>
      <c r="F673">
        <v>19</v>
      </c>
      <c r="G673">
        <v>20</v>
      </c>
      <c r="H673">
        <v>20</v>
      </c>
      <c r="I673">
        <v>20</v>
      </c>
      <c r="J673">
        <v>22</v>
      </c>
      <c r="K673">
        <v>22</v>
      </c>
      <c r="L673">
        <v>22</v>
      </c>
      <c r="M673">
        <v>25</v>
      </c>
      <c r="N673">
        <v>25</v>
      </c>
      <c r="O673">
        <v>25</v>
      </c>
      <c r="P673">
        <v>109</v>
      </c>
      <c r="Q673">
        <v>108</v>
      </c>
      <c r="R673">
        <v>102</v>
      </c>
      <c r="S673">
        <v>96</v>
      </c>
      <c r="T673">
        <v>100</v>
      </c>
      <c r="U673">
        <v>100</v>
      </c>
      <c r="V673">
        <v>99</v>
      </c>
      <c r="W673">
        <v>96</v>
      </c>
      <c r="X673">
        <v>94</v>
      </c>
      <c r="Y673">
        <v>85</v>
      </c>
      <c r="Z673">
        <v>104</v>
      </c>
      <c r="AA673">
        <v>83</v>
      </c>
      <c r="AB673">
        <v>71</v>
      </c>
      <c r="AC673" s="28">
        <v>35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</row>
    <row r="674" spans="1:57" ht="12" customHeight="1" x14ac:dyDescent="0.2">
      <c r="A674" t="s">
        <v>137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4</v>
      </c>
      <c r="AA674">
        <v>0</v>
      </c>
      <c r="AB674">
        <v>0</v>
      </c>
      <c r="AC674" s="28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ht="12" customHeight="1" x14ac:dyDescent="0.2">
      <c r="A675" t="s">
        <v>138</v>
      </c>
      <c r="B675">
        <v>5</v>
      </c>
      <c r="C675">
        <v>5</v>
      </c>
      <c r="D675">
        <v>5</v>
      </c>
      <c r="E675">
        <v>5</v>
      </c>
      <c r="F675">
        <v>5</v>
      </c>
      <c r="G675">
        <v>5</v>
      </c>
      <c r="H675">
        <v>3</v>
      </c>
      <c r="I675">
        <v>3</v>
      </c>
      <c r="J675">
        <v>3</v>
      </c>
      <c r="K675">
        <v>3</v>
      </c>
      <c r="L675">
        <v>4</v>
      </c>
      <c r="M675">
        <v>1</v>
      </c>
      <c r="N675">
        <v>3</v>
      </c>
      <c r="O675">
        <v>2</v>
      </c>
      <c r="P675">
        <v>6</v>
      </c>
      <c r="Q675">
        <v>6</v>
      </c>
      <c r="R675">
        <v>6</v>
      </c>
      <c r="S675">
        <v>6</v>
      </c>
      <c r="T675">
        <v>6</v>
      </c>
      <c r="U675">
        <v>6</v>
      </c>
      <c r="V675">
        <v>6</v>
      </c>
      <c r="W675">
        <v>8</v>
      </c>
      <c r="X675">
        <v>9</v>
      </c>
      <c r="Y675">
        <v>12</v>
      </c>
      <c r="Z675">
        <v>12</v>
      </c>
      <c r="AA675">
        <v>11</v>
      </c>
      <c r="AB675">
        <v>11</v>
      </c>
      <c r="AC675" s="28">
        <v>7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</row>
    <row r="676" spans="1:57" ht="12" customHeight="1" x14ac:dyDescent="0.2">
      <c r="A676" t="s">
        <v>139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s="28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ht="12" customHeight="1" x14ac:dyDescent="0.2">
      <c r="A677" t="s">
        <v>140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0</v>
      </c>
      <c r="AA677">
        <v>0</v>
      </c>
      <c r="AB677">
        <v>0</v>
      </c>
      <c r="AC677" s="28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</row>
    <row r="678" spans="1:57" ht="12" customHeight="1" x14ac:dyDescent="0.2">
      <c r="A678" t="s">
        <v>141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</v>
      </c>
      <c r="S678">
        <v>2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0</v>
      </c>
      <c r="AA678">
        <v>0</v>
      </c>
      <c r="AB678">
        <v>0</v>
      </c>
      <c r="AC678" s="2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ht="12" customHeight="1" x14ac:dyDescent="0.2">
      <c r="A679" t="s">
        <v>142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s="28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</row>
    <row r="680" spans="1:57" ht="12" customHeight="1" x14ac:dyDescent="0.2">
      <c r="A680" t="s">
        <v>143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s="28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ht="12" customHeight="1" x14ac:dyDescent="0.2">
      <c r="A681" t="s">
        <v>144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</v>
      </c>
      <c r="Q681">
        <v>6</v>
      </c>
      <c r="R681">
        <v>5</v>
      </c>
      <c r="S681">
        <v>7</v>
      </c>
      <c r="T681">
        <v>4</v>
      </c>
      <c r="U681">
        <v>6</v>
      </c>
      <c r="V681">
        <v>5</v>
      </c>
      <c r="W681">
        <v>5</v>
      </c>
      <c r="X681">
        <v>7</v>
      </c>
      <c r="Y681">
        <v>9</v>
      </c>
      <c r="Z681">
        <v>19</v>
      </c>
      <c r="AA681">
        <v>16</v>
      </c>
      <c r="AB681">
        <v>16</v>
      </c>
      <c r="AC681" s="28">
        <v>13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 ht="12" customHeight="1" x14ac:dyDescent="0.2">
      <c r="A682" t="s">
        <v>145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2</v>
      </c>
      <c r="V682">
        <v>2</v>
      </c>
      <c r="W682">
        <v>1</v>
      </c>
      <c r="X682">
        <v>2</v>
      </c>
      <c r="Y682">
        <v>1</v>
      </c>
      <c r="Z682">
        <v>1</v>
      </c>
      <c r="AA682">
        <v>1</v>
      </c>
      <c r="AB682">
        <v>1</v>
      </c>
      <c r="AC682" s="28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ht="12" customHeight="1" x14ac:dyDescent="0.2">
      <c r="A683" t="s">
        <v>146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1</v>
      </c>
      <c r="P683">
        <v>6</v>
      </c>
      <c r="Q683">
        <v>5</v>
      </c>
      <c r="R683">
        <v>7</v>
      </c>
      <c r="S683">
        <v>7</v>
      </c>
      <c r="T683">
        <v>9</v>
      </c>
      <c r="U683">
        <v>11</v>
      </c>
      <c r="V683">
        <v>11</v>
      </c>
      <c r="W683">
        <v>12</v>
      </c>
      <c r="X683">
        <v>15</v>
      </c>
      <c r="Y683">
        <v>18</v>
      </c>
      <c r="Z683">
        <v>13</v>
      </c>
      <c r="AA683">
        <v>8</v>
      </c>
      <c r="AB683">
        <v>8</v>
      </c>
      <c r="AC683" s="28">
        <v>5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</row>
    <row r="684" spans="1:57" ht="12" customHeight="1" x14ac:dyDescent="0.2">
      <c r="A684" t="s">
        <v>147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0</v>
      </c>
      <c r="AB684">
        <v>0</v>
      </c>
      <c r="AC684" s="28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ht="12" customHeight="1" x14ac:dyDescent="0.2">
      <c r="A685" t="s">
        <v>148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</v>
      </c>
      <c r="Q685">
        <v>5</v>
      </c>
      <c r="R685">
        <v>6</v>
      </c>
      <c r="S685">
        <v>6</v>
      </c>
      <c r="T685">
        <v>6</v>
      </c>
      <c r="U685">
        <v>6</v>
      </c>
      <c r="V685">
        <v>5</v>
      </c>
      <c r="W685">
        <v>5</v>
      </c>
      <c r="X685">
        <v>5</v>
      </c>
      <c r="Y685">
        <v>5</v>
      </c>
      <c r="Z685">
        <v>8</v>
      </c>
      <c r="AA685">
        <v>10</v>
      </c>
      <c r="AB685">
        <v>9</v>
      </c>
      <c r="AC685" s="28">
        <v>9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</row>
    <row r="686" spans="1:57" ht="12" customHeight="1" x14ac:dyDescent="0.2">
      <c r="A686" s="1" t="s">
        <v>153</v>
      </c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6"/>
      <c r="AA686" s="36"/>
      <c r="AB686" s="36"/>
      <c r="AC686" s="37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</row>
    <row r="687" spans="1:57" ht="12" customHeight="1" x14ac:dyDescent="0.2">
      <c r="A687" s="1" t="s">
        <v>154</v>
      </c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6"/>
      <c r="AA687" s="36"/>
      <c r="AB687" s="36"/>
      <c r="AC687" s="37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</row>
    <row r="688" spans="1:57" ht="12" customHeight="1" x14ac:dyDescent="0.2">
      <c r="AC688" s="28"/>
    </row>
    <row r="689" spans="1:57" ht="12" customHeight="1" x14ac:dyDescent="0.2">
      <c r="A689" t="s">
        <v>157</v>
      </c>
      <c r="AC689" s="28"/>
    </row>
    <row r="690" spans="1:57" ht="12" customHeight="1" x14ac:dyDescent="0.2">
      <c r="A690" s="19" t="s">
        <v>160</v>
      </c>
      <c r="B690">
        <v>1995</v>
      </c>
      <c r="C690">
        <v>1996</v>
      </c>
      <c r="D690">
        <v>1997</v>
      </c>
      <c r="E690">
        <v>1998</v>
      </c>
      <c r="F690">
        <v>1999</v>
      </c>
      <c r="G690">
        <v>2000</v>
      </c>
      <c r="H690">
        <v>2001</v>
      </c>
      <c r="I690">
        <v>2002</v>
      </c>
      <c r="J690">
        <v>2003</v>
      </c>
      <c r="K690">
        <v>2004</v>
      </c>
      <c r="L690">
        <v>2005</v>
      </c>
      <c r="M690">
        <v>2006</v>
      </c>
      <c r="N690">
        <v>2007</v>
      </c>
      <c r="O690">
        <v>2008</v>
      </c>
      <c r="P690">
        <v>2009</v>
      </c>
      <c r="Q690">
        <v>2010</v>
      </c>
      <c r="R690">
        <v>2011</v>
      </c>
      <c r="S690">
        <v>2012</v>
      </c>
      <c r="T690">
        <v>2013</v>
      </c>
      <c r="U690">
        <v>2014</v>
      </c>
      <c r="V690">
        <v>2015</v>
      </c>
      <c r="W690">
        <v>2016</v>
      </c>
      <c r="X690">
        <v>2017</v>
      </c>
      <c r="Y690">
        <v>2018</v>
      </c>
      <c r="Z690">
        <v>2019</v>
      </c>
      <c r="AA690">
        <v>2020</v>
      </c>
      <c r="AB690">
        <v>2021</v>
      </c>
      <c r="AC690" s="28">
        <v>2022</v>
      </c>
      <c r="AD690">
        <v>2023</v>
      </c>
      <c r="AE690">
        <v>2024</v>
      </c>
      <c r="AF690">
        <v>2025</v>
      </c>
      <c r="AG690">
        <v>2026</v>
      </c>
      <c r="AH690">
        <v>2027</v>
      </c>
      <c r="AI690">
        <v>2028</v>
      </c>
      <c r="AJ690">
        <v>2029</v>
      </c>
      <c r="AK690">
        <v>2030</v>
      </c>
      <c r="AL690">
        <v>2031</v>
      </c>
      <c r="AM690">
        <v>2032</v>
      </c>
      <c r="AN690">
        <v>2033</v>
      </c>
      <c r="AO690">
        <v>2034</v>
      </c>
      <c r="AP690">
        <v>2035</v>
      </c>
      <c r="AQ690">
        <v>2036</v>
      </c>
      <c r="AR690">
        <v>2037</v>
      </c>
      <c r="AS690">
        <v>2038</v>
      </c>
      <c r="AT690">
        <v>2039</v>
      </c>
      <c r="AU690">
        <v>2040</v>
      </c>
      <c r="AV690">
        <v>2041</v>
      </c>
      <c r="AW690">
        <v>2042</v>
      </c>
      <c r="AX690">
        <v>2043</v>
      </c>
      <c r="AY690">
        <v>2044</v>
      </c>
      <c r="AZ690">
        <v>2045</v>
      </c>
      <c r="BA690">
        <v>2046</v>
      </c>
      <c r="BB690">
        <v>2047</v>
      </c>
      <c r="BC690">
        <v>2048</v>
      </c>
      <c r="BD690">
        <v>2049</v>
      </c>
      <c r="BE690">
        <v>2050</v>
      </c>
    </row>
    <row r="691" spans="1:57" ht="12" customHeight="1" x14ac:dyDescent="0.2">
      <c r="A691" t="s">
        <v>101</v>
      </c>
      <c r="B691">
        <v>64</v>
      </c>
      <c r="C691">
        <v>67</v>
      </c>
      <c r="D691">
        <v>68</v>
      </c>
      <c r="E691">
        <v>69</v>
      </c>
      <c r="F691">
        <v>69</v>
      </c>
      <c r="G691">
        <v>69</v>
      </c>
      <c r="H691">
        <v>180</v>
      </c>
      <c r="I691">
        <v>166</v>
      </c>
      <c r="J691">
        <v>147</v>
      </c>
      <c r="K691">
        <v>136</v>
      </c>
      <c r="L691">
        <v>160</v>
      </c>
      <c r="M691">
        <v>117</v>
      </c>
      <c r="N691">
        <v>113</v>
      </c>
      <c r="O691">
        <v>108</v>
      </c>
      <c r="P691">
        <v>128</v>
      </c>
      <c r="Q691">
        <v>133</v>
      </c>
      <c r="R691">
        <v>119</v>
      </c>
      <c r="S691">
        <v>126</v>
      </c>
      <c r="T691">
        <v>82</v>
      </c>
      <c r="U691">
        <v>69</v>
      </c>
      <c r="V691">
        <v>52</v>
      </c>
      <c r="W691">
        <v>50</v>
      </c>
      <c r="X691">
        <v>22</v>
      </c>
      <c r="Y691">
        <v>20</v>
      </c>
      <c r="Z691">
        <v>19</v>
      </c>
      <c r="AA691">
        <v>17</v>
      </c>
      <c r="AB691">
        <v>17</v>
      </c>
      <c r="AC691" s="28">
        <v>7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 ht="12" customHeight="1" x14ac:dyDescent="0.2">
      <c r="A692" t="s">
        <v>102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3</v>
      </c>
      <c r="I692">
        <v>1</v>
      </c>
      <c r="J692">
        <v>1</v>
      </c>
      <c r="K692">
        <v>0</v>
      </c>
      <c r="L692">
        <v>4</v>
      </c>
      <c r="M692">
        <v>1</v>
      </c>
      <c r="N692">
        <v>1</v>
      </c>
      <c r="O692">
        <v>1</v>
      </c>
      <c r="P692">
        <v>2</v>
      </c>
      <c r="Q692">
        <v>2</v>
      </c>
      <c r="R692">
        <v>5</v>
      </c>
      <c r="S692">
        <v>4</v>
      </c>
      <c r="T692">
        <v>3</v>
      </c>
      <c r="U692">
        <v>1</v>
      </c>
      <c r="V692">
        <v>9</v>
      </c>
      <c r="W692">
        <v>0</v>
      </c>
      <c r="X692">
        <v>0</v>
      </c>
      <c r="Y692">
        <v>0</v>
      </c>
      <c r="Z692">
        <v>1</v>
      </c>
      <c r="AA692">
        <v>3</v>
      </c>
      <c r="AB692">
        <v>0</v>
      </c>
      <c r="AC692" s="28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ht="12" customHeight="1" x14ac:dyDescent="0.2">
      <c r="A693" t="s">
        <v>103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2</v>
      </c>
      <c r="J693">
        <v>3</v>
      </c>
      <c r="K693">
        <v>1</v>
      </c>
      <c r="L693">
        <v>0</v>
      </c>
      <c r="M693">
        <v>1</v>
      </c>
      <c r="N693">
        <v>1</v>
      </c>
      <c r="O693">
        <v>3</v>
      </c>
      <c r="P693">
        <v>3</v>
      </c>
      <c r="Q693">
        <v>2</v>
      </c>
      <c r="R693">
        <v>4</v>
      </c>
      <c r="S693">
        <v>4</v>
      </c>
      <c r="T693">
        <v>3</v>
      </c>
      <c r="U693">
        <v>3</v>
      </c>
      <c r="V693">
        <v>2</v>
      </c>
      <c r="W693">
        <v>4</v>
      </c>
      <c r="X693">
        <v>2</v>
      </c>
      <c r="Y693">
        <v>1</v>
      </c>
      <c r="Z693">
        <v>3</v>
      </c>
      <c r="AA693">
        <v>3</v>
      </c>
      <c r="AB693">
        <v>2</v>
      </c>
      <c r="AC693" s="28">
        <v>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</row>
    <row r="694" spans="1:57" ht="12" customHeight="1" x14ac:dyDescent="0.2">
      <c r="A694" t="s">
        <v>104</v>
      </c>
      <c r="B694">
        <v>17</v>
      </c>
      <c r="C694">
        <v>17</v>
      </c>
      <c r="D694">
        <v>18</v>
      </c>
      <c r="E694">
        <v>18</v>
      </c>
      <c r="F694">
        <v>18</v>
      </c>
      <c r="G694">
        <v>18</v>
      </c>
      <c r="H694">
        <v>13</v>
      </c>
      <c r="I694">
        <v>16</v>
      </c>
      <c r="J694">
        <v>10</v>
      </c>
      <c r="K694">
        <v>10</v>
      </c>
      <c r="L694">
        <v>7</v>
      </c>
      <c r="M694">
        <v>8</v>
      </c>
      <c r="N694">
        <v>7</v>
      </c>
      <c r="O694">
        <v>8</v>
      </c>
      <c r="P694">
        <v>5</v>
      </c>
      <c r="Q694">
        <v>5</v>
      </c>
      <c r="R694">
        <v>10</v>
      </c>
      <c r="S694">
        <v>11</v>
      </c>
      <c r="T694">
        <v>11</v>
      </c>
      <c r="U694">
        <v>7</v>
      </c>
      <c r="V694">
        <v>6</v>
      </c>
      <c r="W694">
        <v>13</v>
      </c>
      <c r="X694">
        <v>7</v>
      </c>
      <c r="Y694">
        <v>5</v>
      </c>
      <c r="Z694">
        <v>11</v>
      </c>
      <c r="AA694">
        <v>4</v>
      </c>
      <c r="AB694">
        <v>6</v>
      </c>
      <c r="AC694" s="28">
        <v>6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ht="12" customHeight="1" x14ac:dyDescent="0.2">
      <c r="A695" t="s">
        <v>105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s="28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</row>
    <row r="696" spans="1:57" ht="12" customHeight="1" x14ac:dyDescent="0.2">
      <c r="A696" t="s">
        <v>106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2</v>
      </c>
      <c r="I696">
        <v>1</v>
      </c>
      <c r="J696">
        <v>2</v>
      </c>
      <c r="K696">
        <v>2</v>
      </c>
      <c r="L696">
        <v>1</v>
      </c>
      <c r="M696">
        <v>2</v>
      </c>
      <c r="N696">
        <v>1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3</v>
      </c>
      <c r="AC696" s="28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ht="12" customHeight="1" x14ac:dyDescent="0.2">
      <c r="A697" t="s">
        <v>107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 s="28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</row>
    <row r="698" spans="1:57" ht="12" customHeight="1" x14ac:dyDescent="0.2">
      <c r="A698" t="s">
        <v>108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6</v>
      </c>
      <c r="R698">
        <v>4</v>
      </c>
      <c r="S698">
        <v>4</v>
      </c>
      <c r="T698">
        <v>2</v>
      </c>
      <c r="U698">
        <v>3</v>
      </c>
      <c r="V698">
        <v>5</v>
      </c>
      <c r="W698">
        <v>5</v>
      </c>
      <c r="X698">
        <v>5</v>
      </c>
      <c r="Y698">
        <v>6</v>
      </c>
      <c r="Z698">
        <v>2</v>
      </c>
      <c r="AA698">
        <v>1</v>
      </c>
      <c r="AB698">
        <v>0</v>
      </c>
      <c r="AC698" s="2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ht="12" customHeight="1" x14ac:dyDescent="0.2">
      <c r="A699" t="s">
        <v>109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 s="28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</row>
    <row r="700" spans="1:57" ht="12" customHeight="1" x14ac:dyDescent="0.2">
      <c r="A700" t="s">
        <v>110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5</v>
      </c>
      <c r="X700">
        <v>5</v>
      </c>
      <c r="Y700">
        <v>4</v>
      </c>
      <c r="Z700">
        <v>3</v>
      </c>
      <c r="AA700">
        <v>77</v>
      </c>
      <c r="AB700">
        <v>35</v>
      </c>
      <c r="AC700" s="28">
        <v>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ht="12" customHeight="1" x14ac:dyDescent="0.2">
      <c r="A701" t="s">
        <v>111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2</v>
      </c>
      <c r="Z701">
        <v>2</v>
      </c>
      <c r="AA701">
        <v>0</v>
      </c>
      <c r="AB701">
        <v>0</v>
      </c>
      <c r="AC701" s="28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 ht="12" customHeight="1" x14ac:dyDescent="0.2">
      <c r="A702" t="s">
        <v>112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2</v>
      </c>
      <c r="K702">
        <v>0</v>
      </c>
      <c r="L702">
        <v>1</v>
      </c>
      <c r="M702">
        <v>0</v>
      </c>
      <c r="N702">
        <v>3</v>
      </c>
      <c r="O702">
        <v>2</v>
      </c>
      <c r="P702">
        <v>1</v>
      </c>
      <c r="Q702">
        <v>4</v>
      </c>
      <c r="R702">
        <v>6</v>
      </c>
      <c r="S702">
        <v>6</v>
      </c>
      <c r="T702">
        <v>1</v>
      </c>
      <c r="U702">
        <v>4</v>
      </c>
      <c r="V702">
        <v>7</v>
      </c>
      <c r="W702">
        <v>9</v>
      </c>
      <c r="X702">
        <v>6</v>
      </c>
      <c r="Y702">
        <v>5</v>
      </c>
      <c r="Z702">
        <v>2</v>
      </c>
      <c r="AA702">
        <v>4</v>
      </c>
      <c r="AB702">
        <v>4</v>
      </c>
      <c r="AC702" s="28">
        <v>7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ht="12" customHeight="1" x14ac:dyDescent="0.2">
      <c r="A703" t="s">
        <v>113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6</v>
      </c>
      <c r="J703">
        <v>6</v>
      </c>
      <c r="K703">
        <v>7</v>
      </c>
      <c r="L703">
        <v>5</v>
      </c>
      <c r="M703">
        <v>4</v>
      </c>
      <c r="N703">
        <v>4</v>
      </c>
      <c r="O703">
        <v>4</v>
      </c>
      <c r="P703">
        <v>3</v>
      </c>
      <c r="Q703">
        <v>2</v>
      </c>
      <c r="R703">
        <v>2</v>
      </c>
      <c r="S703">
        <v>4</v>
      </c>
      <c r="T703">
        <v>2</v>
      </c>
      <c r="U703">
        <v>2</v>
      </c>
      <c r="V703">
        <v>2</v>
      </c>
      <c r="W703">
        <v>3</v>
      </c>
      <c r="X703">
        <v>1</v>
      </c>
      <c r="Y703">
        <v>0</v>
      </c>
      <c r="Z703">
        <v>2</v>
      </c>
      <c r="AA703">
        <v>0</v>
      </c>
      <c r="AB703">
        <v>0</v>
      </c>
      <c r="AC703" s="28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</row>
    <row r="704" spans="1:57" ht="12" customHeight="1" x14ac:dyDescent="0.2">
      <c r="A704" t="s">
        <v>114</v>
      </c>
      <c r="B704">
        <v>5</v>
      </c>
      <c r="C704">
        <v>5</v>
      </c>
      <c r="D704">
        <v>5</v>
      </c>
      <c r="E704">
        <v>5</v>
      </c>
      <c r="F704">
        <v>5</v>
      </c>
      <c r="G704">
        <v>5</v>
      </c>
      <c r="H704">
        <v>5</v>
      </c>
      <c r="I704">
        <v>6</v>
      </c>
      <c r="J704">
        <v>8</v>
      </c>
      <c r="K704">
        <v>7</v>
      </c>
      <c r="L704">
        <v>6</v>
      </c>
      <c r="M704">
        <v>11</v>
      </c>
      <c r="N704">
        <v>20</v>
      </c>
      <c r="O704">
        <v>16</v>
      </c>
      <c r="P704">
        <v>21</v>
      </c>
      <c r="Q704">
        <v>19</v>
      </c>
      <c r="R704">
        <v>18</v>
      </c>
      <c r="S704">
        <v>17</v>
      </c>
      <c r="T704">
        <v>16</v>
      </c>
      <c r="U704">
        <v>16</v>
      </c>
      <c r="V704">
        <v>12</v>
      </c>
      <c r="W704">
        <v>11</v>
      </c>
      <c r="X704">
        <v>4</v>
      </c>
      <c r="Y704">
        <v>9</v>
      </c>
      <c r="Z704">
        <v>14</v>
      </c>
      <c r="AA704">
        <v>11</v>
      </c>
      <c r="AB704">
        <v>7</v>
      </c>
      <c r="AC704" s="28">
        <v>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ht="12" customHeight="1" x14ac:dyDescent="0.2">
      <c r="A705" t="s">
        <v>115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</v>
      </c>
      <c r="I705">
        <v>2</v>
      </c>
      <c r="J705">
        <v>1</v>
      </c>
      <c r="K705">
        <v>1</v>
      </c>
      <c r="L705">
        <v>11</v>
      </c>
      <c r="M705">
        <v>11</v>
      </c>
      <c r="N705">
        <v>11</v>
      </c>
      <c r="O705">
        <v>4</v>
      </c>
      <c r="P705">
        <v>5</v>
      </c>
      <c r="Q705">
        <v>8</v>
      </c>
      <c r="R705">
        <v>13</v>
      </c>
      <c r="S705">
        <v>11</v>
      </c>
      <c r="T705">
        <v>10</v>
      </c>
      <c r="U705">
        <v>7</v>
      </c>
      <c r="V705">
        <v>7</v>
      </c>
      <c r="W705">
        <v>7</v>
      </c>
      <c r="X705">
        <v>1</v>
      </c>
      <c r="Y705">
        <v>2</v>
      </c>
      <c r="Z705">
        <v>2</v>
      </c>
      <c r="AA705">
        <v>10</v>
      </c>
      <c r="AB705">
        <v>7</v>
      </c>
      <c r="AC705" s="28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</row>
    <row r="706" spans="1:57" ht="12" customHeight="1" x14ac:dyDescent="0.2">
      <c r="A706" t="s">
        <v>116</v>
      </c>
      <c r="B706">
        <v>5</v>
      </c>
      <c r="C706">
        <v>5</v>
      </c>
      <c r="D706">
        <v>5</v>
      </c>
      <c r="E706">
        <v>5</v>
      </c>
      <c r="F706">
        <v>5</v>
      </c>
      <c r="G706">
        <v>5</v>
      </c>
      <c r="H706">
        <v>3</v>
      </c>
      <c r="I706">
        <v>2</v>
      </c>
      <c r="J706">
        <v>4</v>
      </c>
      <c r="K706">
        <v>4</v>
      </c>
      <c r="L706">
        <v>5</v>
      </c>
      <c r="M706">
        <v>5</v>
      </c>
      <c r="N706">
        <v>2</v>
      </c>
      <c r="O706">
        <v>6</v>
      </c>
      <c r="P706">
        <v>4</v>
      </c>
      <c r="Q706">
        <v>3</v>
      </c>
      <c r="R706">
        <v>3</v>
      </c>
      <c r="S706">
        <v>5</v>
      </c>
      <c r="T706">
        <v>4</v>
      </c>
      <c r="U706">
        <v>7</v>
      </c>
      <c r="V706">
        <v>3</v>
      </c>
      <c r="W706">
        <v>5</v>
      </c>
      <c r="X706">
        <v>3</v>
      </c>
      <c r="Y706">
        <v>4</v>
      </c>
      <c r="Z706">
        <v>2</v>
      </c>
      <c r="AA706">
        <v>3</v>
      </c>
      <c r="AB706">
        <v>0</v>
      </c>
      <c r="AC706" s="28">
        <v>2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ht="12" customHeight="1" x14ac:dyDescent="0.2">
      <c r="A707" t="s">
        <v>117</v>
      </c>
      <c r="B707">
        <v>13</v>
      </c>
      <c r="C707">
        <v>15</v>
      </c>
      <c r="D707">
        <v>18</v>
      </c>
      <c r="E707">
        <v>22</v>
      </c>
      <c r="F707">
        <v>27</v>
      </c>
      <c r="G707">
        <v>30</v>
      </c>
      <c r="H707">
        <v>54</v>
      </c>
      <c r="I707">
        <v>57</v>
      </c>
      <c r="J707">
        <v>56</v>
      </c>
      <c r="K707">
        <v>52</v>
      </c>
      <c r="L707">
        <v>49</v>
      </c>
      <c r="M707">
        <v>39</v>
      </c>
      <c r="N707">
        <v>34</v>
      </c>
      <c r="O707">
        <v>43</v>
      </c>
      <c r="P707">
        <v>93</v>
      </c>
      <c r="Q707">
        <v>73</v>
      </c>
      <c r="R707">
        <v>59</v>
      </c>
      <c r="S707">
        <v>67</v>
      </c>
      <c r="T707">
        <v>61</v>
      </c>
      <c r="U707">
        <v>64</v>
      </c>
      <c r="V707">
        <v>50</v>
      </c>
      <c r="W707">
        <v>40</v>
      </c>
      <c r="X707">
        <v>27</v>
      </c>
      <c r="Y707">
        <v>21</v>
      </c>
      <c r="Z707">
        <v>20</v>
      </c>
      <c r="AA707">
        <v>15</v>
      </c>
      <c r="AB707">
        <v>20</v>
      </c>
      <c r="AC707" s="28">
        <v>13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</row>
    <row r="708" spans="1:57" ht="12" customHeight="1" x14ac:dyDescent="0.2">
      <c r="A708" t="s">
        <v>118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2</v>
      </c>
      <c r="AA708">
        <v>0</v>
      </c>
      <c r="AB708">
        <v>0</v>
      </c>
      <c r="AC708" s="28">
        <v>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ht="12" customHeight="1" x14ac:dyDescent="0.2">
      <c r="A709" t="s">
        <v>119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0</v>
      </c>
      <c r="AB709">
        <v>0</v>
      </c>
      <c r="AC709" s="28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</row>
    <row r="710" spans="1:57" ht="12" customHeight="1" x14ac:dyDescent="0.2">
      <c r="A710" t="s">
        <v>120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9</v>
      </c>
      <c r="I710">
        <v>6</v>
      </c>
      <c r="J710">
        <v>3</v>
      </c>
      <c r="K710">
        <v>7</v>
      </c>
      <c r="L710">
        <v>3</v>
      </c>
      <c r="M710">
        <v>1</v>
      </c>
      <c r="N710">
        <v>2</v>
      </c>
      <c r="O710">
        <v>13</v>
      </c>
      <c r="P710">
        <v>15</v>
      </c>
      <c r="Q710">
        <v>11</v>
      </c>
      <c r="R710">
        <v>13</v>
      </c>
      <c r="S710">
        <v>15</v>
      </c>
      <c r="T710">
        <v>17</v>
      </c>
      <c r="U710">
        <v>13</v>
      </c>
      <c r="V710">
        <v>9</v>
      </c>
      <c r="W710">
        <v>11</v>
      </c>
      <c r="X710">
        <v>2</v>
      </c>
      <c r="Y710">
        <v>2</v>
      </c>
      <c r="Z710">
        <v>5</v>
      </c>
      <c r="AA710">
        <v>8</v>
      </c>
      <c r="AB710">
        <v>3</v>
      </c>
      <c r="AC710" s="28">
        <v>4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ht="12" customHeight="1" x14ac:dyDescent="0.2">
      <c r="A711" t="s">
        <v>121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0</v>
      </c>
      <c r="AB711">
        <v>0</v>
      </c>
      <c r="AC711" s="28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 ht="12" customHeight="1" x14ac:dyDescent="0.2">
      <c r="A712" t="s">
        <v>122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2</v>
      </c>
      <c r="AB712">
        <v>0</v>
      </c>
      <c r="AC712" s="28">
        <v>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ht="12" customHeight="1" x14ac:dyDescent="0.2">
      <c r="A713" t="s">
        <v>123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2</v>
      </c>
      <c r="Y713">
        <v>2</v>
      </c>
      <c r="Z713">
        <v>1</v>
      </c>
      <c r="AA713">
        <v>2</v>
      </c>
      <c r="AB713">
        <v>0</v>
      </c>
      <c r="AC713" s="28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</row>
    <row r="714" spans="1:57" ht="12" customHeight="1" x14ac:dyDescent="0.2">
      <c r="A714" t="s">
        <v>124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3</v>
      </c>
      <c r="V714">
        <v>2</v>
      </c>
      <c r="W714">
        <v>2</v>
      </c>
      <c r="X714">
        <v>2</v>
      </c>
      <c r="Y714">
        <v>2</v>
      </c>
      <c r="Z714">
        <v>1</v>
      </c>
      <c r="AA714">
        <v>0</v>
      </c>
      <c r="AB714">
        <v>0</v>
      </c>
      <c r="AC714" s="28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</row>
    <row r="715" spans="1:57" ht="12" customHeight="1" x14ac:dyDescent="0.2">
      <c r="A715" t="s">
        <v>125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</v>
      </c>
      <c r="S715">
        <v>3</v>
      </c>
      <c r="T715">
        <v>2</v>
      </c>
      <c r="U715">
        <v>1</v>
      </c>
      <c r="V715">
        <v>2</v>
      </c>
      <c r="W715">
        <v>4</v>
      </c>
      <c r="X715">
        <v>2</v>
      </c>
      <c r="Y715">
        <v>2</v>
      </c>
      <c r="Z715">
        <v>9</v>
      </c>
      <c r="AA715">
        <v>4</v>
      </c>
      <c r="AB715">
        <v>1</v>
      </c>
      <c r="AC715" s="28">
        <v>5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</row>
    <row r="716" spans="1:57" ht="12" customHeight="1" x14ac:dyDescent="0.2">
      <c r="A716" t="s">
        <v>126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2</v>
      </c>
      <c r="P716">
        <v>9</v>
      </c>
      <c r="Q716">
        <v>5</v>
      </c>
      <c r="R716">
        <v>11</v>
      </c>
      <c r="S716">
        <v>8</v>
      </c>
      <c r="T716">
        <v>11</v>
      </c>
      <c r="U716">
        <v>11</v>
      </c>
      <c r="V716">
        <v>6</v>
      </c>
      <c r="W716">
        <v>5</v>
      </c>
      <c r="X716">
        <v>4</v>
      </c>
      <c r="Y716">
        <v>4</v>
      </c>
      <c r="Z716">
        <v>14</v>
      </c>
      <c r="AA716">
        <v>3</v>
      </c>
      <c r="AB716">
        <v>1</v>
      </c>
      <c r="AC716" s="28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 ht="12" customHeight="1" x14ac:dyDescent="0.2">
      <c r="A717" t="s">
        <v>127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0</v>
      </c>
      <c r="AB717">
        <v>0</v>
      </c>
      <c r="AC717" s="28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</row>
    <row r="718" spans="1:57" ht="12" customHeight="1" x14ac:dyDescent="0.2">
      <c r="A718" t="s">
        <v>128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8</v>
      </c>
      <c r="Q718">
        <v>5</v>
      </c>
      <c r="R718">
        <v>1</v>
      </c>
      <c r="S718">
        <v>6</v>
      </c>
      <c r="T718">
        <v>8</v>
      </c>
      <c r="U718">
        <v>8</v>
      </c>
      <c r="V718">
        <v>7</v>
      </c>
      <c r="W718">
        <v>9</v>
      </c>
      <c r="X718">
        <v>4</v>
      </c>
      <c r="Y718">
        <v>5</v>
      </c>
      <c r="Z718">
        <v>2</v>
      </c>
      <c r="AA718">
        <v>1</v>
      </c>
      <c r="AB718">
        <v>0</v>
      </c>
      <c r="AC718" s="28">
        <v>4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ht="12" customHeight="1" x14ac:dyDescent="0.2">
      <c r="A719" t="s">
        <v>129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2</v>
      </c>
      <c r="J719">
        <v>2</v>
      </c>
      <c r="K719">
        <v>2</v>
      </c>
      <c r="L719">
        <v>2</v>
      </c>
      <c r="M719">
        <v>0</v>
      </c>
      <c r="N719">
        <v>1</v>
      </c>
      <c r="O719">
        <v>2</v>
      </c>
      <c r="P719">
        <v>2</v>
      </c>
      <c r="Q719">
        <v>2</v>
      </c>
      <c r="R719">
        <v>6</v>
      </c>
      <c r="S719">
        <v>5</v>
      </c>
      <c r="T719">
        <v>4</v>
      </c>
      <c r="U719">
        <v>8</v>
      </c>
      <c r="V719">
        <v>9</v>
      </c>
      <c r="W719">
        <v>3</v>
      </c>
      <c r="X719">
        <v>4</v>
      </c>
      <c r="Y719">
        <v>10</v>
      </c>
      <c r="Z719">
        <v>8</v>
      </c>
      <c r="AA719">
        <v>6</v>
      </c>
      <c r="AB719">
        <v>4</v>
      </c>
      <c r="AC719" s="28">
        <v>4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</row>
    <row r="720" spans="1:57" ht="12" customHeight="1" x14ac:dyDescent="0.2">
      <c r="A720" t="s">
        <v>130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2</v>
      </c>
      <c r="M720">
        <v>1</v>
      </c>
      <c r="N720">
        <v>2</v>
      </c>
      <c r="O720">
        <v>7</v>
      </c>
      <c r="P720">
        <v>2</v>
      </c>
      <c r="Q720">
        <v>1</v>
      </c>
      <c r="R720">
        <v>1</v>
      </c>
      <c r="S720">
        <v>1</v>
      </c>
      <c r="T720">
        <v>0</v>
      </c>
      <c r="U720">
        <v>1</v>
      </c>
      <c r="V720">
        <v>2</v>
      </c>
      <c r="W720">
        <v>3</v>
      </c>
      <c r="X720">
        <v>2</v>
      </c>
      <c r="Y720">
        <v>1</v>
      </c>
      <c r="Z720">
        <v>7</v>
      </c>
      <c r="AA720">
        <v>0</v>
      </c>
      <c r="AB720">
        <v>0</v>
      </c>
      <c r="AC720" s="28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ht="12" customHeight="1" x14ac:dyDescent="0.2">
      <c r="A721" t="s">
        <v>131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2</v>
      </c>
      <c r="Y721">
        <v>0</v>
      </c>
      <c r="Z721">
        <v>0</v>
      </c>
      <c r="AA721">
        <v>0</v>
      </c>
      <c r="AB721">
        <v>0</v>
      </c>
      <c r="AC721" s="28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 ht="12" customHeight="1" x14ac:dyDescent="0.2">
      <c r="A722" t="s">
        <v>132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</v>
      </c>
      <c r="S722">
        <v>2</v>
      </c>
      <c r="T722">
        <v>2</v>
      </c>
      <c r="U722">
        <v>3</v>
      </c>
      <c r="V722">
        <v>0</v>
      </c>
      <c r="W722">
        <v>0</v>
      </c>
      <c r="X722">
        <v>0</v>
      </c>
      <c r="Y722">
        <v>3</v>
      </c>
      <c r="Z722">
        <v>1</v>
      </c>
      <c r="AA722">
        <v>1</v>
      </c>
      <c r="AB722">
        <v>1</v>
      </c>
      <c r="AC722" s="28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ht="12" customHeight="1" x14ac:dyDescent="0.2">
      <c r="A723" t="s">
        <v>133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1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2</v>
      </c>
      <c r="T723">
        <v>2</v>
      </c>
      <c r="U723">
        <v>3</v>
      </c>
      <c r="V723">
        <v>1</v>
      </c>
      <c r="W723">
        <v>6</v>
      </c>
      <c r="X723">
        <v>8</v>
      </c>
      <c r="Y723">
        <v>7</v>
      </c>
      <c r="Z723">
        <v>5</v>
      </c>
      <c r="AA723">
        <v>7</v>
      </c>
      <c r="AB723">
        <v>8</v>
      </c>
      <c r="AC723" s="28">
        <v>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</row>
    <row r="724" spans="1:57" ht="12" customHeight="1" x14ac:dyDescent="0.2">
      <c r="A724" t="s">
        <v>134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3</v>
      </c>
      <c r="AA724">
        <v>2</v>
      </c>
      <c r="AB724">
        <v>2</v>
      </c>
      <c r="AC724" s="28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ht="12" customHeight="1" x14ac:dyDescent="0.2">
      <c r="A725" t="s">
        <v>135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3</v>
      </c>
      <c r="AB725">
        <v>4</v>
      </c>
      <c r="AC725" s="28">
        <v>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</row>
    <row r="726" spans="1:57" ht="12" customHeight="1" x14ac:dyDescent="0.2">
      <c r="A726" t="s">
        <v>136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10</v>
      </c>
      <c r="Q726">
        <v>11</v>
      </c>
      <c r="R726">
        <v>12</v>
      </c>
      <c r="S726">
        <v>16</v>
      </c>
      <c r="T726">
        <v>11</v>
      </c>
      <c r="U726">
        <v>12</v>
      </c>
      <c r="V726">
        <v>12</v>
      </c>
      <c r="W726">
        <v>15</v>
      </c>
      <c r="X726">
        <v>17</v>
      </c>
      <c r="Y726">
        <v>17</v>
      </c>
      <c r="Z726">
        <v>14</v>
      </c>
      <c r="AA726">
        <v>14</v>
      </c>
      <c r="AB726">
        <v>18</v>
      </c>
      <c r="AC726" s="28">
        <v>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ht="12" customHeight="1" x14ac:dyDescent="0.2">
      <c r="A727" t="s">
        <v>137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s="28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</row>
    <row r="728" spans="1:57" ht="12" customHeight="1" x14ac:dyDescent="0.2">
      <c r="A728" t="s">
        <v>138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2</v>
      </c>
      <c r="I728">
        <v>2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1</v>
      </c>
      <c r="AB728">
        <v>0</v>
      </c>
      <c r="AC728" s="28">
        <v>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ht="12" customHeight="1" x14ac:dyDescent="0.2">
      <c r="A729" t="s">
        <v>139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s="28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</row>
    <row r="730" spans="1:57" ht="12" customHeight="1" x14ac:dyDescent="0.2">
      <c r="A730" t="s">
        <v>140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s="28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</row>
    <row r="731" spans="1:57" ht="12" customHeight="1" x14ac:dyDescent="0.2">
      <c r="A731" t="s">
        <v>141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 s="28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 ht="12" customHeight="1" x14ac:dyDescent="0.2">
      <c r="A732" t="s">
        <v>142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s="28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</row>
    <row r="733" spans="1:57" ht="12" customHeight="1" x14ac:dyDescent="0.2">
      <c r="A733" t="s">
        <v>143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2</v>
      </c>
      <c r="U733">
        <v>2</v>
      </c>
      <c r="V733">
        <v>2</v>
      </c>
      <c r="W733">
        <v>1</v>
      </c>
      <c r="X733">
        <v>1</v>
      </c>
      <c r="Y733">
        <v>0</v>
      </c>
      <c r="Z733">
        <v>1</v>
      </c>
      <c r="AA733">
        <v>0</v>
      </c>
      <c r="AB733">
        <v>0</v>
      </c>
      <c r="AC733" s="28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</row>
    <row r="734" spans="1:57" ht="12" customHeight="1" x14ac:dyDescent="0.2">
      <c r="A734" t="s">
        <v>144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3</v>
      </c>
      <c r="U734">
        <v>1</v>
      </c>
      <c r="V734">
        <v>1</v>
      </c>
      <c r="W734">
        <v>1</v>
      </c>
      <c r="X734">
        <v>1</v>
      </c>
      <c r="Y734">
        <v>0</v>
      </c>
      <c r="Z734">
        <v>1</v>
      </c>
      <c r="AA734">
        <v>0</v>
      </c>
      <c r="AB734">
        <v>0</v>
      </c>
      <c r="AC734" s="28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</row>
    <row r="735" spans="1:57" ht="12" customHeight="1" x14ac:dyDescent="0.2">
      <c r="A735" t="s">
        <v>145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  <c r="AC735" s="28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</row>
    <row r="736" spans="1:57" ht="12" customHeight="1" x14ac:dyDescent="0.2">
      <c r="A736" t="s">
        <v>146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2</v>
      </c>
      <c r="J736">
        <v>2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1</v>
      </c>
      <c r="U736">
        <v>1</v>
      </c>
      <c r="V736">
        <v>0</v>
      </c>
      <c r="W736">
        <v>0</v>
      </c>
      <c r="X736">
        <v>2</v>
      </c>
      <c r="Y736">
        <v>1</v>
      </c>
      <c r="Z736">
        <v>4</v>
      </c>
      <c r="AA736">
        <v>2</v>
      </c>
      <c r="AB736">
        <v>2</v>
      </c>
      <c r="AC736" s="28">
        <v>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9" ht="12" customHeight="1" x14ac:dyDescent="0.2">
      <c r="A737" t="s">
        <v>147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s="28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</row>
    <row r="738" spans="1:59" ht="12" customHeight="1" x14ac:dyDescent="0.2">
      <c r="A738" t="s">
        <v>148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</v>
      </c>
      <c r="R738">
        <v>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2</v>
      </c>
      <c r="AA738">
        <v>0</v>
      </c>
      <c r="AB738">
        <v>0</v>
      </c>
      <c r="AC738" s="2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</row>
    <row r="739" spans="1:59" ht="12" customHeight="1" x14ac:dyDescent="0.2">
      <c r="A739" s="1" t="s">
        <v>153</v>
      </c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6"/>
      <c r="AA739" s="36"/>
      <c r="AB739" s="36"/>
      <c r="AC739" s="37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</row>
    <row r="740" spans="1:59" ht="12" customHeight="1" x14ac:dyDescent="0.2">
      <c r="A740" s="1" t="s">
        <v>154</v>
      </c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6"/>
      <c r="AA740" s="36"/>
      <c r="AB740" s="36"/>
      <c r="AC740" s="37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</row>
    <row r="741" spans="1:59" ht="12" customHeight="1" x14ac:dyDescent="0.2">
      <c r="AC741" s="28"/>
    </row>
    <row r="742" spans="1:59" ht="12" customHeight="1" x14ac:dyDescent="0.2">
      <c r="A742" t="s">
        <v>161</v>
      </c>
      <c r="AC742" s="28"/>
    </row>
    <row r="743" spans="1:59" ht="12" customHeight="1" x14ac:dyDescent="0.2">
      <c r="A743" s="19" t="s">
        <v>162</v>
      </c>
      <c r="B743">
        <v>1995</v>
      </c>
      <c r="C743">
        <v>1996</v>
      </c>
      <c r="D743">
        <v>1997</v>
      </c>
      <c r="E743">
        <v>1998</v>
      </c>
      <c r="F743">
        <v>1999</v>
      </c>
      <c r="G743">
        <v>2000</v>
      </c>
      <c r="H743">
        <v>2001</v>
      </c>
      <c r="I743">
        <v>2002</v>
      </c>
      <c r="J743">
        <v>2003</v>
      </c>
      <c r="K743">
        <v>2004</v>
      </c>
      <c r="L743">
        <v>2005</v>
      </c>
      <c r="M743">
        <v>2006</v>
      </c>
      <c r="N743">
        <v>2007</v>
      </c>
      <c r="O743">
        <v>2008</v>
      </c>
      <c r="P743">
        <v>2009</v>
      </c>
      <c r="Q743">
        <v>2010</v>
      </c>
      <c r="R743">
        <v>2011</v>
      </c>
      <c r="S743">
        <v>2012</v>
      </c>
      <c r="T743">
        <v>2013</v>
      </c>
      <c r="U743">
        <v>2014</v>
      </c>
      <c r="V743">
        <v>2015</v>
      </c>
      <c r="W743">
        <v>2016</v>
      </c>
      <c r="X743">
        <v>2017</v>
      </c>
      <c r="Y743">
        <v>2018</v>
      </c>
      <c r="Z743">
        <v>2019</v>
      </c>
      <c r="AA743">
        <v>2020</v>
      </c>
      <c r="AB743">
        <v>2021</v>
      </c>
      <c r="AC743" s="28">
        <v>2022</v>
      </c>
      <c r="AD743">
        <v>2023</v>
      </c>
      <c r="AE743">
        <v>2024</v>
      </c>
      <c r="AF743">
        <v>2025</v>
      </c>
      <c r="AG743">
        <v>2026</v>
      </c>
      <c r="AH743">
        <v>2027</v>
      </c>
      <c r="AI743">
        <v>2028</v>
      </c>
      <c r="AJ743">
        <v>2029</v>
      </c>
      <c r="AK743">
        <v>2030</v>
      </c>
      <c r="AL743">
        <v>2031</v>
      </c>
      <c r="AM743">
        <v>2032</v>
      </c>
      <c r="AN743">
        <v>2033</v>
      </c>
      <c r="AO743">
        <v>2034</v>
      </c>
      <c r="AP743">
        <v>2035</v>
      </c>
      <c r="AQ743">
        <v>2036</v>
      </c>
      <c r="AR743">
        <v>2037</v>
      </c>
      <c r="AS743">
        <v>2038</v>
      </c>
      <c r="AT743">
        <v>2039</v>
      </c>
      <c r="AU743">
        <v>2040</v>
      </c>
      <c r="AV743">
        <v>2041</v>
      </c>
      <c r="AW743">
        <v>2042</v>
      </c>
      <c r="AX743">
        <v>2043</v>
      </c>
      <c r="AY743">
        <v>2044</v>
      </c>
      <c r="AZ743">
        <v>2045</v>
      </c>
      <c r="BA743">
        <v>2046</v>
      </c>
      <c r="BB743">
        <v>2047</v>
      </c>
      <c r="BC743">
        <v>2048</v>
      </c>
      <c r="BD743">
        <v>2049</v>
      </c>
      <c r="BE743">
        <v>2050</v>
      </c>
    </row>
    <row r="744" spans="1:59" ht="12" customHeight="1" x14ac:dyDescent="0.2">
      <c r="A744" t="s">
        <v>101</v>
      </c>
      <c r="B744">
        <f t="shared" ref="B744:AB744" si="147">SUM(B691,B638)</f>
        <v>728</v>
      </c>
      <c r="C744">
        <f t="shared" si="147"/>
        <v>757</v>
      </c>
      <c r="D744">
        <f t="shared" si="147"/>
        <v>773</v>
      </c>
      <c r="E744">
        <f t="shared" si="147"/>
        <v>777</v>
      </c>
      <c r="F744">
        <f t="shared" si="147"/>
        <v>781</v>
      </c>
      <c r="G744">
        <f t="shared" si="147"/>
        <v>782</v>
      </c>
      <c r="H744">
        <f t="shared" si="147"/>
        <v>757</v>
      </c>
      <c r="I744">
        <f t="shared" si="147"/>
        <v>712</v>
      </c>
      <c r="J744">
        <f t="shared" si="147"/>
        <v>660</v>
      </c>
      <c r="K744">
        <f t="shared" si="147"/>
        <v>637</v>
      </c>
      <c r="L744">
        <f t="shared" si="147"/>
        <v>628</v>
      </c>
      <c r="M744">
        <f t="shared" si="147"/>
        <v>563</v>
      </c>
      <c r="N744">
        <f t="shared" si="147"/>
        <v>499</v>
      </c>
      <c r="O744">
        <f t="shared" si="147"/>
        <v>462</v>
      </c>
      <c r="P744">
        <f t="shared" si="147"/>
        <v>422</v>
      </c>
      <c r="Q744">
        <f t="shared" si="147"/>
        <v>401</v>
      </c>
      <c r="R744">
        <f t="shared" si="147"/>
        <v>373</v>
      </c>
      <c r="S744">
        <f t="shared" si="147"/>
        <v>362</v>
      </c>
      <c r="T744">
        <f t="shared" si="147"/>
        <v>290</v>
      </c>
      <c r="U744">
        <f t="shared" si="147"/>
        <v>297</v>
      </c>
      <c r="V744">
        <f t="shared" si="147"/>
        <v>301</v>
      </c>
      <c r="W744">
        <f t="shared" si="147"/>
        <v>312</v>
      </c>
      <c r="X744">
        <f t="shared" si="147"/>
        <v>289</v>
      </c>
      <c r="Y744">
        <f t="shared" si="147"/>
        <v>285</v>
      </c>
      <c r="Z744">
        <f t="shared" si="147"/>
        <v>288</v>
      </c>
      <c r="AA744">
        <f t="shared" si="147"/>
        <v>278</v>
      </c>
      <c r="AB744">
        <f t="shared" si="147"/>
        <v>299</v>
      </c>
      <c r="AC744" s="28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f t="shared" ref="BF744:BF791" si="148">SUM(B847:AW847)</f>
        <v>224</v>
      </c>
      <c r="BG744">
        <f t="shared" ref="BG744:BG791" si="149">Y744-BF744</f>
        <v>61</v>
      </c>
    </row>
    <row r="745" spans="1:59" ht="12" customHeight="1" x14ac:dyDescent="0.2">
      <c r="A745" t="s">
        <v>102</v>
      </c>
      <c r="B745">
        <f t="shared" ref="B745:AB745" si="150">SUM(B692,B639)</f>
        <v>34</v>
      </c>
      <c r="C745">
        <f t="shared" si="150"/>
        <v>36</v>
      </c>
      <c r="D745">
        <f t="shared" si="150"/>
        <v>37</v>
      </c>
      <c r="E745">
        <f t="shared" si="150"/>
        <v>37</v>
      </c>
      <c r="F745">
        <f t="shared" si="150"/>
        <v>37</v>
      </c>
      <c r="G745">
        <f t="shared" si="150"/>
        <v>37</v>
      </c>
      <c r="H745">
        <f t="shared" si="150"/>
        <v>33</v>
      </c>
      <c r="I745">
        <f t="shared" si="150"/>
        <v>33</v>
      </c>
      <c r="J745">
        <f t="shared" si="150"/>
        <v>33</v>
      </c>
      <c r="K745">
        <f t="shared" si="150"/>
        <v>37</v>
      </c>
      <c r="L745">
        <f t="shared" si="150"/>
        <v>38</v>
      </c>
      <c r="M745">
        <f t="shared" si="150"/>
        <v>34</v>
      </c>
      <c r="N745">
        <f t="shared" si="150"/>
        <v>34</v>
      </c>
      <c r="O745">
        <f t="shared" si="150"/>
        <v>36</v>
      </c>
      <c r="P745">
        <f t="shared" si="150"/>
        <v>35</v>
      </c>
      <c r="Q745">
        <f t="shared" si="150"/>
        <v>33</v>
      </c>
      <c r="R745">
        <f t="shared" si="150"/>
        <v>33</v>
      </c>
      <c r="S745">
        <f t="shared" si="150"/>
        <v>33</v>
      </c>
      <c r="T745">
        <f t="shared" si="150"/>
        <v>33</v>
      </c>
      <c r="U745">
        <f t="shared" si="150"/>
        <v>34</v>
      </c>
      <c r="V745">
        <f t="shared" si="150"/>
        <v>30</v>
      </c>
      <c r="W745">
        <f t="shared" si="150"/>
        <v>23</v>
      </c>
      <c r="X745">
        <f t="shared" si="150"/>
        <v>25</v>
      </c>
      <c r="Y745">
        <f t="shared" si="150"/>
        <v>23</v>
      </c>
      <c r="Z745">
        <f t="shared" si="150"/>
        <v>21</v>
      </c>
      <c r="AA745">
        <f t="shared" si="150"/>
        <v>24</v>
      </c>
      <c r="AB745">
        <f t="shared" si="150"/>
        <v>28</v>
      </c>
      <c r="AC745" s="28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f t="shared" si="148"/>
        <v>24</v>
      </c>
      <c r="BG745">
        <f t="shared" si="149"/>
        <v>-1</v>
      </c>
    </row>
    <row r="746" spans="1:59" ht="12" customHeight="1" x14ac:dyDescent="0.2">
      <c r="A746" t="s">
        <v>103</v>
      </c>
      <c r="B746">
        <f t="shared" ref="B746:AB746" si="151">SUM(B693,B640)</f>
        <v>10</v>
      </c>
      <c r="C746">
        <f t="shared" si="151"/>
        <v>11</v>
      </c>
      <c r="D746">
        <f t="shared" si="151"/>
        <v>11</v>
      </c>
      <c r="E746">
        <f t="shared" si="151"/>
        <v>11</v>
      </c>
      <c r="F746">
        <f t="shared" si="151"/>
        <v>11</v>
      </c>
      <c r="G746">
        <f t="shared" si="151"/>
        <v>11</v>
      </c>
      <c r="H746">
        <f t="shared" si="151"/>
        <v>8</v>
      </c>
      <c r="I746">
        <f t="shared" si="151"/>
        <v>8</v>
      </c>
      <c r="J746">
        <f t="shared" si="151"/>
        <v>6</v>
      </c>
      <c r="K746">
        <f t="shared" si="151"/>
        <v>4</v>
      </c>
      <c r="L746">
        <f t="shared" si="151"/>
        <v>5</v>
      </c>
      <c r="M746">
        <f t="shared" si="151"/>
        <v>6</v>
      </c>
      <c r="N746">
        <f t="shared" si="151"/>
        <v>6</v>
      </c>
      <c r="O746">
        <f t="shared" si="151"/>
        <v>8</v>
      </c>
      <c r="P746">
        <f t="shared" si="151"/>
        <v>8</v>
      </c>
      <c r="Q746">
        <f t="shared" si="151"/>
        <v>7</v>
      </c>
      <c r="R746">
        <f t="shared" si="151"/>
        <v>10</v>
      </c>
      <c r="S746">
        <f t="shared" si="151"/>
        <v>11</v>
      </c>
      <c r="T746">
        <f t="shared" si="151"/>
        <v>11</v>
      </c>
      <c r="U746">
        <f t="shared" si="151"/>
        <v>11</v>
      </c>
      <c r="V746">
        <f t="shared" si="151"/>
        <v>12</v>
      </c>
      <c r="W746">
        <f t="shared" si="151"/>
        <v>14</v>
      </c>
      <c r="X746">
        <f t="shared" si="151"/>
        <v>18</v>
      </c>
      <c r="Y746">
        <f t="shared" si="151"/>
        <v>22</v>
      </c>
      <c r="Z746">
        <f t="shared" si="151"/>
        <v>21</v>
      </c>
      <c r="AA746">
        <f t="shared" si="151"/>
        <v>26</v>
      </c>
      <c r="AB746">
        <f t="shared" si="151"/>
        <v>27</v>
      </c>
      <c r="AC746" s="28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f t="shared" si="148"/>
        <v>15</v>
      </c>
      <c r="BG746">
        <f t="shared" si="149"/>
        <v>7</v>
      </c>
    </row>
    <row r="747" spans="1:59" ht="12" customHeight="1" x14ac:dyDescent="0.2">
      <c r="A747" t="s">
        <v>104</v>
      </c>
      <c r="B747">
        <f t="shared" ref="B747:AB747" si="152">SUM(B694,B641)</f>
        <v>78</v>
      </c>
      <c r="C747">
        <f t="shared" si="152"/>
        <v>81</v>
      </c>
      <c r="D747">
        <f t="shared" si="152"/>
        <v>83</v>
      </c>
      <c r="E747">
        <f t="shared" si="152"/>
        <v>84</v>
      </c>
      <c r="F747">
        <f t="shared" si="152"/>
        <v>84</v>
      </c>
      <c r="G747">
        <f t="shared" si="152"/>
        <v>84</v>
      </c>
      <c r="H747">
        <f t="shared" si="152"/>
        <v>92</v>
      </c>
      <c r="I747">
        <f t="shared" si="152"/>
        <v>105</v>
      </c>
      <c r="J747">
        <f t="shared" si="152"/>
        <v>105</v>
      </c>
      <c r="K747">
        <f t="shared" si="152"/>
        <v>101</v>
      </c>
      <c r="L747">
        <f t="shared" si="152"/>
        <v>93</v>
      </c>
      <c r="M747">
        <f t="shared" si="152"/>
        <v>94</v>
      </c>
      <c r="N747">
        <f t="shared" si="152"/>
        <v>103</v>
      </c>
      <c r="O747">
        <f t="shared" si="152"/>
        <v>105</v>
      </c>
      <c r="P747">
        <f t="shared" si="152"/>
        <v>96</v>
      </c>
      <c r="Q747">
        <f t="shared" si="152"/>
        <v>102</v>
      </c>
      <c r="R747">
        <f t="shared" si="152"/>
        <v>111</v>
      </c>
      <c r="S747">
        <f t="shared" si="152"/>
        <v>113</v>
      </c>
      <c r="T747">
        <f t="shared" si="152"/>
        <v>111</v>
      </c>
      <c r="U747">
        <f t="shared" si="152"/>
        <v>114</v>
      </c>
      <c r="V747">
        <f t="shared" si="152"/>
        <v>121</v>
      </c>
      <c r="W747">
        <f t="shared" si="152"/>
        <v>128</v>
      </c>
      <c r="X747">
        <f t="shared" si="152"/>
        <v>135</v>
      </c>
      <c r="Y747">
        <f t="shared" si="152"/>
        <v>149</v>
      </c>
      <c r="Z747">
        <f t="shared" si="152"/>
        <v>147</v>
      </c>
      <c r="AA747">
        <f t="shared" si="152"/>
        <v>138</v>
      </c>
      <c r="AB747">
        <f t="shared" si="152"/>
        <v>134</v>
      </c>
      <c r="AC747" s="28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f t="shared" si="148"/>
        <v>117</v>
      </c>
      <c r="BG747">
        <f t="shared" si="149"/>
        <v>32</v>
      </c>
    </row>
    <row r="748" spans="1:59" ht="12" customHeight="1" x14ac:dyDescent="0.2">
      <c r="A748" t="s">
        <v>105</v>
      </c>
      <c r="B748">
        <f t="shared" ref="B748:AB748" si="153">SUM(B695,B642)</f>
        <v>0</v>
      </c>
      <c r="C748">
        <f t="shared" si="153"/>
        <v>0</v>
      </c>
      <c r="D748">
        <f t="shared" si="153"/>
        <v>0</v>
      </c>
      <c r="E748">
        <f t="shared" si="153"/>
        <v>0</v>
      </c>
      <c r="F748">
        <f t="shared" si="153"/>
        <v>0</v>
      </c>
      <c r="G748">
        <f t="shared" si="153"/>
        <v>0</v>
      </c>
      <c r="H748">
        <f t="shared" si="153"/>
        <v>1</v>
      </c>
      <c r="I748">
        <f t="shared" si="153"/>
        <v>0</v>
      </c>
      <c r="J748">
        <f t="shared" si="153"/>
        <v>0</v>
      </c>
      <c r="K748">
        <f t="shared" si="153"/>
        <v>0</v>
      </c>
      <c r="L748">
        <f t="shared" si="153"/>
        <v>0</v>
      </c>
      <c r="M748">
        <f t="shared" si="153"/>
        <v>0</v>
      </c>
      <c r="N748">
        <f t="shared" si="153"/>
        <v>0</v>
      </c>
      <c r="O748">
        <f t="shared" si="153"/>
        <v>0</v>
      </c>
      <c r="P748">
        <f t="shared" si="153"/>
        <v>0</v>
      </c>
      <c r="Q748">
        <f t="shared" si="153"/>
        <v>0</v>
      </c>
      <c r="R748">
        <f t="shared" si="153"/>
        <v>0</v>
      </c>
      <c r="S748">
        <f t="shared" si="153"/>
        <v>0</v>
      </c>
      <c r="T748">
        <f t="shared" si="153"/>
        <v>0</v>
      </c>
      <c r="U748">
        <f t="shared" si="153"/>
        <v>0</v>
      </c>
      <c r="V748">
        <f t="shared" si="153"/>
        <v>0</v>
      </c>
      <c r="W748">
        <f t="shared" si="153"/>
        <v>0</v>
      </c>
      <c r="X748">
        <f t="shared" si="153"/>
        <v>0</v>
      </c>
      <c r="Y748">
        <f t="shared" si="153"/>
        <v>0</v>
      </c>
      <c r="Z748">
        <f t="shared" si="153"/>
        <v>0</v>
      </c>
      <c r="AA748">
        <f t="shared" si="153"/>
        <v>0</v>
      </c>
      <c r="AB748">
        <f t="shared" si="153"/>
        <v>0</v>
      </c>
      <c r="AC748" s="2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f t="shared" si="148"/>
        <v>0</v>
      </c>
      <c r="BG748">
        <f t="shared" si="149"/>
        <v>0</v>
      </c>
    </row>
    <row r="749" spans="1:59" ht="12" customHeight="1" x14ac:dyDescent="0.2">
      <c r="A749" t="s">
        <v>106</v>
      </c>
      <c r="B749">
        <f t="shared" ref="B749:AB749" si="154">SUM(B696,B643)</f>
        <v>5</v>
      </c>
      <c r="C749">
        <f t="shared" si="154"/>
        <v>5</v>
      </c>
      <c r="D749">
        <f t="shared" si="154"/>
        <v>5</v>
      </c>
      <c r="E749">
        <f t="shared" si="154"/>
        <v>5</v>
      </c>
      <c r="F749">
        <f t="shared" si="154"/>
        <v>5</v>
      </c>
      <c r="G749">
        <f t="shared" si="154"/>
        <v>5</v>
      </c>
      <c r="H749">
        <f t="shared" si="154"/>
        <v>7</v>
      </c>
      <c r="I749">
        <f t="shared" si="154"/>
        <v>9</v>
      </c>
      <c r="J749">
        <f t="shared" si="154"/>
        <v>10</v>
      </c>
      <c r="K749">
        <f t="shared" si="154"/>
        <v>9</v>
      </c>
      <c r="L749">
        <f t="shared" si="154"/>
        <v>10</v>
      </c>
      <c r="M749">
        <f t="shared" si="154"/>
        <v>12</v>
      </c>
      <c r="N749">
        <f t="shared" si="154"/>
        <v>16</v>
      </c>
      <c r="O749">
        <f t="shared" si="154"/>
        <v>14</v>
      </c>
      <c r="P749">
        <f t="shared" si="154"/>
        <v>12</v>
      </c>
      <c r="Q749">
        <f t="shared" si="154"/>
        <v>12</v>
      </c>
      <c r="R749">
        <f t="shared" si="154"/>
        <v>12</v>
      </c>
      <c r="S749">
        <f t="shared" si="154"/>
        <v>12</v>
      </c>
      <c r="T749">
        <f t="shared" si="154"/>
        <v>14</v>
      </c>
      <c r="U749">
        <f t="shared" si="154"/>
        <v>13</v>
      </c>
      <c r="V749">
        <f t="shared" si="154"/>
        <v>13</v>
      </c>
      <c r="W749">
        <f t="shared" si="154"/>
        <v>14</v>
      </c>
      <c r="X749">
        <f t="shared" si="154"/>
        <v>14</v>
      </c>
      <c r="Y749">
        <f t="shared" si="154"/>
        <v>16</v>
      </c>
      <c r="Z749">
        <f t="shared" si="154"/>
        <v>19</v>
      </c>
      <c r="AA749">
        <f t="shared" si="154"/>
        <v>18</v>
      </c>
      <c r="AB749">
        <f t="shared" si="154"/>
        <v>17</v>
      </c>
      <c r="AC749" s="28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f t="shared" si="148"/>
        <v>16</v>
      </c>
      <c r="BG749">
        <f t="shared" si="149"/>
        <v>0</v>
      </c>
    </row>
    <row r="750" spans="1:59" ht="12" customHeight="1" x14ac:dyDescent="0.2">
      <c r="A750" t="s">
        <v>107</v>
      </c>
      <c r="B750">
        <f t="shared" ref="B750:AB750" si="155">SUM(B697,B644)</f>
        <v>0</v>
      </c>
      <c r="C750">
        <f t="shared" si="155"/>
        <v>0</v>
      </c>
      <c r="D750">
        <f t="shared" si="155"/>
        <v>0</v>
      </c>
      <c r="E750">
        <f t="shared" si="155"/>
        <v>0</v>
      </c>
      <c r="F750">
        <f t="shared" si="155"/>
        <v>0</v>
      </c>
      <c r="G750">
        <f t="shared" si="155"/>
        <v>0</v>
      </c>
      <c r="H750">
        <f t="shared" si="155"/>
        <v>0</v>
      </c>
      <c r="I750">
        <f t="shared" si="155"/>
        <v>0</v>
      </c>
      <c r="J750">
        <f t="shared" si="155"/>
        <v>0</v>
      </c>
      <c r="K750">
        <f t="shared" si="155"/>
        <v>0</v>
      </c>
      <c r="L750">
        <f t="shared" si="155"/>
        <v>0</v>
      </c>
      <c r="M750">
        <f t="shared" si="155"/>
        <v>0</v>
      </c>
      <c r="N750">
        <f t="shared" si="155"/>
        <v>0</v>
      </c>
      <c r="O750">
        <f t="shared" si="155"/>
        <v>0</v>
      </c>
      <c r="P750">
        <f t="shared" si="155"/>
        <v>0</v>
      </c>
      <c r="Q750">
        <f t="shared" si="155"/>
        <v>0</v>
      </c>
      <c r="R750">
        <f t="shared" si="155"/>
        <v>0</v>
      </c>
      <c r="S750">
        <f t="shared" si="155"/>
        <v>0</v>
      </c>
      <c r="T750">
        <f t="shared" si="155"/>
        <v>1</v>
      </c>
      <c r="U750">
        <f t="shared" si="155"/>
        <v>1</v>
      </c>
      <c r="V750">
        <f t="shared" si="155"/>
        <v>2</v>
      </c>
      <c r="W750">
        <f t="shared" si="155"/>
        <v>2</v>
      </c>
      <c r="X750">
        <f t="shared" si="155"/>
        <v>2</v>
      </c>
      <c r="Y750">
        <f t="shared" si="155"/>
        <v>2</v>
      </c>
      <c r="Z750">
        <f t="shared" si="155"/>
        <v>1</v>
      </c>
      <c r="AA750">
        <f t="shared" si="155"/>
        <v>1</v>
      </c>
      <c r="AB750">
        <f t="shared" si="155"/>
        <v>0</v>
      </c>
      <c r="AC750" s="28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f t="shared" si="148"/>
        <v>0</v>
      </c>
      <c r="BG750">
        <f t="shared" si="149"/>
        <v>2</v>
      </c>
    </row>
    <row r="751" spans="1:59" ht="12" customHeight="1" x14ac:dyDescent="0.2">
      <c r="A751" t="s">
        <v>108</v>
      </c>
      <c r="B751">
        <f t="shared" ref="B751:AB751" si="156">SUM(B698,B645)</f>
        <v>7</v>
      </c>
      <c r="C751">
        <f t="shared" si="156"/>
        <v>8</v>
      </c>
      <c r="D751">
        <f t="shared" si="156"/>
        <v>8</v>
      </c>
      <c r="E751">
        <f t="shared" si="156"/>
        <v>8</v>
      </c>
      <c r="F751">
        <f t="shared" si="156"/>
        <v>8</v>
      </c>
      <c r="G751">
        <f t="shared" si="156"/>
        <v>8</v>
      </c>
      <c r="H751">
        <f t="shared" si="156"/>
        <v>7</v>
      </c>
      <c r="I751">
        <f t="shared" si="156"/>
        <v>6</v>
      </c>
      <c r="J751">
        <f t="shared" si="156"/>
        <v>6</v>
      </c>
      <c r="K751">
        <f t="shared" si="156"/>
        <v>7</v>
      </c>
      <c r="L751">
        <f t="shared" si="156"/>
        <v>7</v>
      </c>
      <c r="M751">
        <f t="shared" si="156"/>
        <v>7</v>
      </c>
      <c r="N751">
        <f t="shared" si="156"/>
        <v>8</v>
      </c>
      <c r="O751">
        <f t="shared" si="156"/>
        <v>9</v>
      </c>
      <c r="P751">
        <f t="shared" si="156"/>
        <v>12</v>
      </c>
      <c r="Q751">
        <f t="shared" si="156"/>
        <v>14</v>
      </c>
      <c r="R751">
        <f t="shared" si="156"/>
        <v>15</v>
      </c>
      <c r="S751">
        <f t="shared" si="156"/>
        <v>20</v>
      </c>
      <c r="T751">
        <f t="shared" si="156"/>
        <v>21</v>
      </c>
      <c r="U751">
        <f t="shared" si="156"/>
        <v>24</v>
      </c>
      <c r="V751">
        <f t="shared" si="156"/>
        <v>23</v>
      </c>
      <c r="W751">
        <f t="shared" si="156"/>
        <v>24</v>
      </c>
      <c r="X751">
        <f t="shared" si="156"/>
        <v>25</v>
      </c>
      <c r="Y751">
        <f t="shared" si="156"/>
        <v>27</v>
      </c>
      <c r="Z751">
        <f t="shared" si="156"/>
        <v>11</v>
      </c>
      <c r="AA751">
        <f t="shared" si="156"/>
        <v>7</v>
      </c>
      <c r="AB751">
        <f t="shared" si="156"/>
        <v>8</v>
      </c>
      <c r="AC751" s="28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f t="shared" si="148"/>
        <v>2</v>
      </c>
      <c r="BG751">
        <f t="shared" si="149"/>
        <v>25</v>
      </c>
    </row>
    <row r="752" spans="1:59" ht="12" customHeight="1" x14ac:dyDescent="0.2">
      <c r="A752" t="s">
        <v>109</v>
      </c>
      <c r="B752">
        <f t="shared" ref="B752:AB752" si="157">SUM(B699,B646)</f>
        <v>0</v>
      </c>
      <c r="C752">
        <f t="shared" si="157"/>
        <v>0</v>
      </c>
      <c r="D752">
        <f t="shared" si="157"/>
        <v>0</v>
      </c>
      <c r="E752">
        <f t="shared" si="157"/>
        <v>0</v>
      </c>
      <c r="F752">
        <f t="shared" si="157"/>
        <v>0</v>
      </c>
      <c r="G752">
        <f t="shared" si="157"/>
        <v>0</v>
      </c>
      <c r="H752">
        <f t="shared" si="157"/>
        <v>0</v>
      </c>
      <c r="I752">
        <f t="shared" si="157"/>
        <v>1</v>
      </c>
      <c r="J752">
        <f t="shared" si="157"/>
        <v>0</v>
      </c>
      <c r="K752">
        <f t="shared" si="157"/>
        <v>1</v>
      </c>
      <c r="L752">
        <f t="shared" si="157"/>
        <v>1</v>
      </c>
      <c r="M752">
        <f t="shared" si="157"/>
        <v>2</v>
      </c>
      <c r="N752">
        <f t="shared" si="157"/>
        <v>2</v>
      </c>
      <c r="O752">
        <f t="shared" si="157"/>
        <v>3</v>
      </c>
      <c r="P752">
        <f t="shared" si="157"/>
        <v>3</v>
      </c>
      <c r="Q752">
        <f t="shared" si="157"/>
        <v>3</v>
      </c>
      <c r="R752">
        <f t="shared" si="157"/>
        <v>3</v>
      </c>
      <c r="S752">
        <f t="shared" si="157"/>
        <v>2</v>
      </c>
      <c r="T752">
        <f t="shared" si="157"/>
        <v>1</v>
      </c>
      <c r="U752">
        <f t="shared" si="157"/>
        <v>1</v>
      </c>
      <c r="V752">
        <f t="shared" si="157"/>
        <v>2</v>
      </c>
      <c r="W752">
        <f t="shared" si="157"/>
        <v>3</v>
      </c>
      <c r="X752">
        <f t="shared" si="157"/>
        <v>3</v>
      </c>
      <c r="Y752">
        <f t="shared" si="157"/>
        <v>2</v>
      </c>
      <c r="Z752">
        <f t="shared" si="157"/>
        <v>3</v>
      </c>
      <c r="AA752">
        <f t="shared" si="157"/>
        <v>1</v>
      </c>
      <c r="AB752">
        <f t="shared" si="157"/>
        <v>1</v>
      </c>
      <c r="AC752" s="28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f t="shared" si="148"/>
        <v>0</v>
      </c>
      <c r="BG752">
        <f t="shared" si="149"/>
        <v>2</v>
      </c>
    </row>
    <row r="753" spans="1:59" ht="12" customHeight="1" x14ac:dyDescent="0.2">
      <c r="A753" t="s">
        <v>110</v>
      </c>
      <c r="B753">
        <f t="shared" ref="B753:AB753" si="158">SUM(B700,B647)</f>
        <v>0</v>
      </c>
      <c r="C753">
        <f t="shared" si="158"/>
        <v>0</v>
      </c>
      <c r="D753">
        <f t="shared" si="158"/>
        <v>0</v>
      </c>
      <c r="E753">
        <f t="shared" si="158"/>
        <v>0</v>
      </c>
      <c r="F753">
        <f t="shared" si="158"/>
        <v>0</v>
      </c>
      <c r="G753">
        <f t="shared" si="158"/>
        <v>0</v>
      </c>
      <c r="H753">
        <f t="shared" si="158"/>
        <v>0</v>
      </c>
      <c r="I753">
        <f t="shared" si="158"/>
        <v>0</v>
      </c>
      <c r="J753">
        <f t="shared" si="158"/>
        <v>5</v>
      </c>
      <c r="K753">
        <f t="shared" si="158"/>
        <v>9</v>
      </c>
      <c r="L753">
        <f t="shared" si="158"/>
        <v>11</v>
      </c>
      <c r="M753">
        <f t="shared" si="158"/>
        <v>20</v>
      </c>
      <c r="N753">
        <f t="shared" si="158"/>
        <v>20</v>
      </c>
      <c r="O753">
        <f t="shared" si="158"/>
        <v>25</v>
      </c>
      <c r="P753">
        <f t="shared" si="158"/>
        <v>30</v>
      </c>
      <c r="Q753">
        <f t="shared" si="158"/>
        <v>37</v>
      </c>
      <c r="R753">
        <f t="shared" si="158"/>
        <v>42</v>
      </c>
      <c r="S753">
        <f t="shared" si="158"/>
        <v>52</v>
      </c>
      <c r="T753">
        <f t="shared" si="158"/>
        <v>61</v>
      </c>
      <c r="U753">
        <f t="shared" si="158"/>
        <v>76</v>
      </c>
      <c r="V753">
        <f t="shared" si="158"/>
        <v>80</v>
      </c>
      <c r="W753">
        <f t="shared" si="158"/>
        <v>90</v>
      </c>
      <c r="X753">
        <f t="shared" si="158"/>
        <v>94</v>
      </c>
      <c r="Y753">
        <f t="shared" si="158"/>
        <v>108</v>
      </c>
      <c r="Z753">
        <f t="shared" si="158"/>
        <v>104</v>
      </c>
      <c r="AA753">
        <f t="shared" si="158"/>
        <v>101</v>
      </c>
      <c r="AB753">
        <f t="shared" si="158"/>
        <v>99</v>
      </c>
      <c r="AC753" s="28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f t="shared" si="148"/>
        <v>76</v>
      </c>
      <c r="BG753">
        <f t="shared" si="149"/>
        <v>32</v>
      </c>
    </row>
    <row r="754" spans="1:59" ht="12" customHeight="1" x14ac:dyDescent="0.2">
      <c r="A754" t="s">
        <v>111</v>
      </c>
      <c r="B754">
        <f t="shared" ref="B754:AB754" si="159">SUM(B701,B648)</f>
        <v>2</v>
      </c>
      <c r="C754">
        <f t="shared" si="159"/>
        <v>2</v>
      </c>
      <c r="D754">
        <f t="shared" si="159"/>
        <v>2</v>
      </c>
      <c r="E754">
        <f t="shared" si="159"/>
        <v>2</v>
      </c>
      <c r="F754">
        <f t="shared" si="159"/>
        <v>2</v>
      </c>
      <c r="G754">
        <f t="shared" si="159"/>
        <v>2</v>
      </c>
      <c r="H754">
        <f t="shared" si="159"/>
        <v>3</v>
      </c>
      <c r="I754">
        <f t="shared" si="159"/>
        <v>3</v>
      </c>
      <c r="J754">
        <f t="shared" si="159"/>
        <v>4</v>
      </c>
      <c r="K754">
        <f t="shared" si="159"/>
        <v>5</v>
      </c>
      <c r="L754">
        <f t="shared" si="159"/>
        <v>5</v>
      </c>
      <c r="M754">
        <f t="shared" si="159"/>
        <v>7</v>
      </c>
      <c r="N754">
        <f t="shared" si="159"/>
        <v>10</v>
      </c>
      <c r="O754">
        <f t="shared" si="159"/>
        <v>13</v>
      </c>
      <c r="P754">
        <f t="shared" si="159"/>
        <v>13</v>
      </c>
      <c r="Q754">
        <f t="shared" si="159"/>
        <v>12</v>
      </c>
      <c r="R754">
        <f t="shared" si="159"/>
        <v>12</v>
      </c>
      <c r="S754">
        <f t="shared" si="159"/>
        <v>13</v>
      </c>
      <c r="T754">
        <f t="shared" si="159"/>
        <v>9</v>
      </c>
      <c r="U754">
        <f t="shared" si="159"/>
        <v>9</v>
      </c>
      <c r="V754">
        <f t="shared" si="159"/>
        <v>8</v>
      </c>
      <c r="W754">
        <f t="shared" si="159"/>
        <v>10</v>
      </c>
      <c r="X754">
        <f t="shared" si="159"/>
        <v>8</v>
      </c>
      <c r="Y754">
        <f t="shared" si="159"/>
        <v>9</v>
      </c>
      <c r="Z754">
        <f t="shared" si="159"/>
        <v>10</v>
      </c>
      <c r="AA754">
        <f t="shared" si="159"/>
        <v>8</v>
      </c>
      <c r="AB754">
        <f t="shared" si="159"/>
        <v>8</v>
      </c>
      <c r="AC754" s="28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f t="shared" si="148"/>
        <v>7</v>
      </c>
      <c r="BG754">
        <f t="shared" si="149"/>
        <v>2</v>
      </c>
    </row>
    <row r="755" spans="1:59" ht="12" customHeight="1" x14ac:dyDescent="0.2">
      <c r="A755" t="s">
        <v>112</v>
      </c>
      <c r="B755">
        <f t="shared" ref="B755:AB755" si="160">SUM(B702,B649)</f>
        <v>7</v>
      </c>
      <c r="C755">
        <f t="shared" si="160"/>
        <v>7</v>
      </c>
      <c r="D755">
        <f t="shared" si="160"/>
        <v>7</v>
      </c>
      <c r="E755">
        <f t="shared" si="160"/>
        <v>7</v>
      </c>
      <c r="F755">
        <f t="shared" si="160"/>
        <v>7</v>
      </c>
      <c r="G755">
        <f t="shared" si="160"/>
        <v>7</v>
      </c>
      <c r="H755">
        <f t="shared" si="160"/>
        <v>6</v>
      </c>
      <c r="I755">
        <f t="shared" si="160"/>
        <v>13</v>
      </c>
      <c r="J755">
        <f t="shared" si="160"/>
        <v>17</v>
      </c>
      <c r="K755">
        <f t="shared" si="160"/>
        <v>21</v>
      </c>
      <c r="L755">
        <f t="shared" si="160"/>
        <v>21</v>
      </c>
      <c r="M755">
        <f t="shared" si="160"/>
        <v>23</v>
      </c>
      <c r="N755">
        <f t="shared" si="160"/>
        <v>24</v>
      </c>
      <c r="O755">
        <f t="shared" si="160"/>
        <v>25</v>
      </c>
      <c r="P755">
        <f t="shared" si="160"/>
        <v>27</v>
      </c>
      <c r="Q755">
        <f t="shared" si="160"/>
        <v>31</v>
      </c>
      <c r="R755">
        <f t="shared" si="160"/>
        <v>30</v>
      </c>
      <c r="S755">
        <f t="shared" si="160"/>
        <v>34</v>
      </c>
      <c r="T755">
        <f t="shared" si="160"/>
        <v>36</v>
      </c>
      <c r="U755">
        <f t="shared" si="160"/>
        <v>39</v>
      </c>
      <c r="V755">
        <f t="shared" si="160"/>
        <v>42</v>
      </c>
      <c r="W755">
        <f t="shared" si="160"/>
        <v>46</v>
      </c>
      <c r="X755">
        <f t="shared" si="160"/>
        <v>42</v>
      </c>
      <c r="Y755">
        <f t="shared" si="160"/>
        <v>38</v>
      </c>
      <c r="Z755">
        <f t="shared" si="160"/>
        <v>35</v>
      </c>
      <c r="AA755">
        <f t="shared" si="160"/>
        <v>38</v>
      </c>
      <c r="AB755">
        <f t="shared" si="160"/>
        <v>38</v>
      </c>
      <c r="AC755" s="28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f t="shared" si="148"/>
        <v>31</v>
      </c>
      <c r="BG755">
        <f t="shared" si="149"/>
        <v>7</v>
      </c>
    </row>
    <row r="756" spans="1:59" ht="12" customHeight="1" x14ac:dyDescent="0.2">
      <c r="A756" t="s">
        <v>113</v>
      </c>
      <c r="B756">
        <f t="shared" ref="B756:AB756" si="161">SUM(B703,B650)</f>
        <v>9</v>
      </c>
      <c r="C756">
        <f t="shared" si="161"/>
        <v>9</v>
      </c>
      <c r="D756">
        <f t="shared" si="161"/>
        <v>9</v>
      </c>
      <c r="E756">
        <f t="shared" si="161"/>
        <v>9</v>
      </c>
      <c r="F756">
        <f t="shared" si="161"/>
        <v>9</v>
      </c>
      <c r="G756">
        <f t="shared" si="161"/>
        <v>9</v>
      </c>
      <c r="H756">
        <f t="shared" si="161"/>
        <v>9</v>
      </c>
      <c r="I756">
        <f t="shared" si="161"/>
        <v>10</v>
      </c>
      <c r="J756">
        <f t="shared" si="161"/>
        <v>9</v>
      </c>
      <c r="K756">
        <f t="shared" si="161"/>
        <v>9</v>
      </c>
      <c r="L756">
        <f t="shared" si="161"/>
        <v>15</v>
      </c>
      <c r="M756">
        <f t="shared" si="161"/>
        <v>16</v>
      </c>
      <c r="N756">
        <f t="shared" si="161"/>
        <v>14</v>
      </c>
      <c r="O756">
        <f t="shared" si="161"/>
        <v>16</v>
      </c>
      <c r="P756">
        <f t="shared" si="161"/>
        <v>16</v>
      </c>
      <c r="Q756">
        <f t="shared" si="161"/>
        <v>14</v>
      </c>
      <c r="R756">
        <f t="shared" si="161"/>
        <v>14</v>
      </c>
      <c r="S756">
        <f t="shared" si="161"/>
        <v>16</v>
      </c>
      <c r="T756">
        <f t="shared" si="161"/>
        <v>15</v>
      </c>
      <c r="U756">
        <f t="shared" si="161"/>
        <v>14</v>
      </c>
      <c r="V756">
        <f t="shared" si="161"/>
        <v>14</v>
      </c>
      <c r="W756">
        <f t="shared" si="161"/>
        <v>14</v>
      </c>
      <c r="X756">
        <f t="shared" si="161"/>
        <v>9</v>
      </c>
      <c r="Y756">
        <f t="shared" si="161"/>
        <v>7</v>
      </c>
      <c r="Z756">
        <f t="shared" si="161"/>
        <v>9</v>
      </c>
      <c r="AA756">
        <f t="shared" si="161"/>
        <v>5</v>
      </c>
      <c r="AB756">
        <f t="shared" si="161"/>
        <v>3</v>
      </c>
      <c r="AC756" s="28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f t="shared" si="148"/>
        <v>1</v>
      </c>
      <c r="BG756">
        <f t="shared" si="149"/>
        <v>6</v>
      </c>
    </row>
    <row r="757" spans="1:59" ht="12" customHeight="1" x14ac:dyDescent="0.2">
      <c r="A757" t="s">
        <v>114</v>
      </c>
      <c r="B757">
        <f t="shared" ref="B757:AB757" si="162">SUM(B704,B651)</f>
        <v>62</v>
      </c>
      <c r="C757">
        <f t="shared" si="162"/>
        <v>64</v>
      </c>
      <c r="D757">
        <f t="shared" si="162"/>
        <v>65</v>
      </c>
      <c r="E757">
        <f t="shared" si="162"/>
        <v>66</v>
      </c>
      <c r="F757">
        <f t="shared" si="162"/>
        <v>66</v>
      </c>
      <c r="G757">
        <f t="shared" si="162"/>
        <v>66</v>
      </c>
      <c r="H757">
        <f t="shared" si="162"/>
        <v>60</v>
      </c>
      <c r="I757">
        <f t="shared" si="162"/>
        <v>56</v>
      </c>
      <c r="J757">
        <f t="shared" si="162"/>
        <v>68</v>
      </c>
      <c r="K757">
        <f t="shared" si="162"/>
        <v>70</v>
      </c>
      <c r="L757">
        <f t="shared" si="162"/>
        <v>68</v>
      </c>
      <c r="M757">
        <f t="shared" si="162"/>
        <v>67</v>
      </c>
      <c r="N757">
        <f t="shared" si="162"/>
        <v>72</v>
      </c>
      <c r="O757">
        <f t="shared" si="162"/>
        <v>75</v>
      </c>
      <c r="P757">
        <f t="shared" si="162"/>
        <v>77</v>
      </c>
      <c r="Q757">
        <f t="shared" si="162"/>
        <v>74</v>
      </c>
      <c r="R757">
        <f t="shared" si="162"/>
        <v>69</v>
      </c>
      <c r="S757">
        <f t="shared" si="162"/>
        <v>68</v>
      </c>
      <c r="T757">
        <f t="shared" si="162"/>
        <v>68</v>
      </c>
      <c r="U757">
        <f t="shared" si="162"/>
        <v>67</v>
      </c>
      <c r="V757">
        <f t="shared" si="162"/>
        <v>58</v>
      </c>
      <c r="W757">
        <f t="shared" si="162"/>
        <v>60</v>
      </c>
      <c r="X757">
        <f t="shared" si="162"/>
        <v>62</v>
      </c>
      <c r="Y757">
        <f t="shared" si="162"/>
        <v>49</v>
      </c>
      <c r="Z757">
        <f t="shared" si="162"/>
        <v>50</v>
      </c>
      <c r="AA757">
        <f t="shared" si="162"/>
        <v>37</v>
      </c>
      <c r="AB757">
        <f t="shared" si="162"/>
        <v>40</v>
      </c>
      <c r="AC757" s="28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f t="shared" si="148"/>
        <v>24</v>
      </c>
      <c r="BG757">
        <f t="shared" si="149"/>
        <v>25</v>
      </c>
    </row>
    <row r="758" spans="1:59" ht="12" customHeight="1" x14ac:dyDescent="0.2">
      <c r="A758" t="s">
        <v>115</v>
      </c>
      <c r="B758">
        <f t="shared" ref="B758:AB758" si="163">SUM(B705,B652)</f>
        <v>25</v>
      </c>
      <c r="C758">
        <f t="shared" si="163"/>
        <v>26</v>
      </c>
      <c r="D758">
        <f t="shared" si="163"/>
        <v>27</v>
      </c>
      <c r="E758">
        <f t="shared" si="163"/>
        <v>27</v>
      </c>
      <c r="F758">
        <f t="shared" si="163"/>
        <v>27</v>
      </c>
      <c r="G758">
        <f t="shared" si="163"/>
        <v>27</v>
      </c>
      <c r="H758">
        <f t="shared" si="163"/>
        <v>27</v>
      </c>
      <c r="I758">
        <f t="shared" si="163"/>
        <v>29</v>
      </c>
      <c r="J758">
        <f t="shared" si="163"/>
        <v>33</v>
      </c>
      <c r="K758">
        <f t="shared" si="163"/>
        <v>37</v>
      </c>
      <c r="L758">
        <f t="shared" si="163"/>
        <v>37</v>
      </c>
      <c r="M758">
        <f t="shared" si="163"/>
        <v>38</v>
      </c>
      <c r="N758">
        <f t="shared" si="163"/>
        <v>42</v>
      </c>
      <c r="O758">
        <f t="shared" si="163"/>
        <v>34</v>
      </c>
      <c r="P758">
        <f t="shared" si="163"/>
        <v>33</v>
      </c>
      <c r="Q758">
        <f t="shared" si="163"/>
        <v>40</v>
      </c>
      <c r="R758">
        <f t="shared" si="163"/>
        <v>37</v>
      </c>
      <c r="S758">
        <f t="shared" si="163"/>
        <v>30</v>
      </c>
      <c r="T758">
        <f t="shared" si="163"/>
        <v>34</v>
      </c>
      <c r="U758">
        <f t="shared" si="163"/>
        <v>32</v>
      </c>
      <c r="V758">
        <f t="shared" si="163"/>
        <v>34</v>
      </c>
      <c r="W758">
        <f t="shared" si="163"/>
        <v>37</v>
      </c>
      <c r="X758">
        <f t="shared" si="163"/>
        <v>31</v>
      </c>
      <c r="Y758">
        <f t="shared" si="163"/>
        <v>29</v>
      </c>
      <c r="Z758">
        <f t="shared" si="163"/>
        <v>30</v>
      </c>
      <c r="AA758">
        <f t="shared" si="163"/>
        <v>28</v>
      </c>
      <c r="AB758">
        <f t="shared" si="163"/>
        <v>19</v>
      </c>
      <c r="AC758" s="2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f t="shared" si="148"/>
        <v>12</v>
      </c>
      <c r="BG758">
        <f t="shared" si="149"/>
        <v>17</v>
      </c>
    </row>
    <row r="759" spans="1:59" ht="12" customHeight="1" x14ac:dyDescent="0.2">
      <c r="A759" t="s">
        <v>116</v>
      </c>
      <c r="B759">
        <f t="shared" ref="B759:AB759" si="164">SUM(B706,B653)</f>
        <v>32</v>
      </c>
      <c r="C759">
        <f t="shared" si="164"/>
        <v>33</v>
      </c>
      <c r="D759">
        <f t="shared" si="164"/>
        <v>34</v>
      </c>
      <c r="E759">
        <f t="shared" si="164"/>
        <v>34</v>
      </c>
      <c r="F759">
        <f t="shared" si="164"/>
        <v>34</v>
      </c>
      <c r="G759">
        <f t="shared" si="164"/>
        <v>34</v>
      </c>
      <c r="H759">
        <f t="shared" si="164"/>
        <v>29</v>
      </c>
      <c r="I759">
        <f t="shared" si="164"/>
        <v>30</v>
      </c>
      <c r="J759">
        <f t="shared" si="164"/>
        <v>35</v>
      </c>
      <c r="K759">
        <f t="shared" si="164"/>
        <v>30</v>
      </c>
      <c r="L759">
        <f t="shared" si="164"/>
        <v>32</v>
      </c>
      <c r="M759">
        <f t="shared" si="164"/>
        <v>31</v>
      </c>
      <c r="N759">
        <f t="shared" si="164"/>
        <v>31</v>
      </c>
      <c r="O759">
        <f t="shared" si="164"/>
        <v>31</v>
      </c>
      <c r="P759">
        <f t="shared" si="164"/>
        <v>32</v>
      </c>
      <c r="Q759">
        <f t="shared" si="164"/>
        <v>32</v>
      </c>
      <c r="R759">
        <f t="shared" si="164"/>
        <v>31</v>
      </c>
      <c r="S759">
        <f t="shared" si="164"/>
        <v>31</v>
      </c>
      <c r="T759">
        <f t="shared" si="164"/>
        <v>31</v>
      </c>
      <c r="U759">
        <f t="shared" si="164"/>
        <v>32</v>
      </c>
      <c r="V759">
        <f t="shared" si="164"/>
        <v>31</v>
      </c>
      <c r="W759">
        <f t="shared" si="164"/>
        <v>32</v>
      </c>
      <c r="X759">
        <f t="shared" si="164"/>
        <v>31</v>
      </c>
      <c r="Y759">
        <f t="shared" si="164"/>
        <v>30</v>
      </c>
      <c r="Z759">
        <f t="shared" si="164"/>
        <v>30</v>
      </c>
      <c r="AA759">
        <f t="shared" si="164"/>
        <v>26</v>
      </c>
      <c r="AB759">
        <f t="shared" si="164"/>
        <v>19</v>
      </c>
      <c r="AC759" s="28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f t="shared" si="148"/>
        <v>12</v>
      </c>
      <c r="BG759">
        <f t="shared" si="149"/>
        <v>18</v>
      </c>
    </row>
    <row r="760" spans="1:59" ht="12" customHeight="1" x14ac:dyDescent="0.2">
      <c r="A760" t="s">
        <v>117</v>
      </c>
      <c r="B760">
        <f t="shared" ref="B760:AB760" si="165">SUM(B707,B654)</f>
        <v>171</v>
      </c>
      <c r="C760">
        <f t="shared" si="165"/>
        <v>205</v>
      </c>
      <c r="D760">
        <f t="shared" si="165"/>
        <v>239</v>
      </c>
      <c r="E760">
        <f t="shared" si="165"/>
        <v>297</v>
      </c>
      <c r="F760">
        <f t="shared" si="165"/>
        <v>356</v>
      </c>
      <c r="G760">
        <f t="shared" si="165"/>
        <v>400</v>
      </c>
      <c r="H760">
        <f t="shared" si="165"/>
        <v>461</v>
      </c>
      <c r="I760">
        <f t="shared" si="165"/>
        <v>491</v>
      </c>
      <c r="J760">
        <f t="shared" si="165"/>
        <v>499</v>
      </c>
      <c r="K760">
        <f t="shared" si="165"/>
        <v>506</v>
      </c>
      <c r="L760">
        <f t="shared" si="165"/>
        <v>543</v>
      </c>
      <c r="M760">
        <f t="shared" si="165"/>
        <v>588</v>
      </c>
      <c r="N760">
        <f t="shared" si="165"/>
        <v>609</v>
      </c>
      <c r="O760">
        <f t="shared" si="165"/>
        <v>629</v>
      </c>
      <c r="P760">
        <f t="shared" si="165"/>
        <v>632</v>
      </c>
      <c r="Q760">
        <f t="shared" si="165"/>
        <v>613</v>
      </c>
      <c r="R760">
        <f t="shared" si="165"/>
        <v>622</v>
      </c>
      <c r="S760">
        <f t="shared" si="165"/>
        <v>605</v>
      </c>
      <c r="T760">
        <f t="shared" si="165"/>
        <v>599</v>
      </c>
      <c r="U760">
        <f t="shared" si="165"/>
        <v>597</v>
      </c>
      <c r="V760">
        <f t="shared" si="165"/>
        <v>580</v>
      </c>
      <c r="W760">
        <f t="shared" si="165"/>
        <v>583</v>
      </c>
      <c r="X760">
        <f t="shared" si="165"/>
        <v>611</v>
      </c>
      <c r="Y760">
        <f t="shared" si="165"/>
        <v>653</v>
      </c>
      <c r="Z760">
        <f t="shared" si="165"/>
        <v>651</v>
      </c>
      <c r="AA760">
        <f t="shared" si="165"/>
        <v>655</v>
      </c>
      <c r="AB760">
        <f t="shared" si="165"/>
        <v>683</v>
      </c>
      <c r="AC760" s="28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f t="shared" si="148"/>
        <v>666</v>
      </c>
      <c r="BG760">
        <f t="shared" si="149"/>
        <v>-13</v>
      </c>
    </row>
    <row r="761" spans="1:59" ht="12" customHeight="1" x14ac:dyDescent="0.2">
      <c r="A761" t="s">
        <v>118</v>
      </c>
      <c r="B761">
        <f t="shared" ref="B761:AB761" si="166">SUM(B708,B655)</f>
        <v>2</v>
      </c>
      <c r="C761">
        <f t="shared" si="166"/>
        <v>3</v>
      </c>
      <c r="D761">
        <f t="shared" si="166"/>
        <v>3</v>
      </c>
      <c r="E761">
        <f t="shared" si="166"/>
        <v>4</v>
      </c>
      <c r="F761">
        <f t="shared" si="166"/>
        <v>4</v>
      </c>
      <c r="G761">
        <f t="shared" si="166"/>
        <v>5</v>
      </c>
      <c r="H761">
        <f t="shared" si="166"/>
        <v>3</v>
      </c>
      <c r="I761">
        <f t="shared" si="166"/>
        <v>0</v>
      </c>
      <c r="J761">
        <f t="shared" si="166"/>
        <v>0</v>
      </c>
      <c r="K761">
        <f t="shared" si="166"/>
        <v>0</v>
      </c>
      <c r="L761">
        <f t="shared" si="166"/>
        <v>0</v>
      </c>
      <c r="M761">
        <f t="shared" si="166"/>
        <v>0</v>
      </c>
      <c r="N761">
        <f t="shared" si="166"/>
        <v>0</v>
      </c>
      <c r="O761">
        <f t="shared" si="166"/>
        <v>4</v>
      </c>
      <c r="P761">
        <f t="shared" si="166"/>
        <v>5</v>
      </c>
      <c r="Q761">
        <f t="shared" si="166"/>
        <v>7</v>
      </c>
      <c r="R761">
        <f t="shared" si="166"/>
        <v>7</v>
      </c>
      <c r="S761">
        <f t="shared" si="166"/>
        <v>7</v>
      </c>
      <c r="T761">
        <f t="shared" si="166"/>
        <v>7</v>
      </c>
      <c r="U761">
        <f t="shared" si="166"/>
        <v>12</v>
      </c>
      <c r="V761">
        <f t="shared" si="166"/>
        <v>14</v>
      </c>
      <c r="W761">
        <f t="shared" si="166"/>
        <v>11</v>
      </c>
      <c r="X761">
        <f t="shared" si="166"/>
        <v>12</v>
      </c>
      <c r="Y761">
        <f t="shared" si="166"/>
        <v>14</v>
      </c>
      <c r="Z761">
        <f t="shared" si="166"/>
        <v>14</v>
      </c>
      <c r="AA761">
        <f t="shared" si="166"/>
        <v>15</v>
      </c>
      <c r="AB761">
        <f t="shared" si="166"/>
        <v>15</v>
      </c>
      <c r="AC761" s="28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f t="shared" si="148"/>
        <v>15</v>
      </c>
      <c r="BG761">
        <f t="shared" si="149"/>
        <v>-1</v>
      </c>
    </row>
    <row r="762" spans="1:59" ht="12" customHeight="1" x14ac:dyDescent="0.2">
      <c r="A762" t="s">
        <v>119</v>
      </c>
      <c r="B762">
        <f t="shared" ref="B762:AB762" si="167">SUM(B709,B656)</f>
        <v>0</v>
      </c>
      <c r="C762">
        <f t="shared" si="167"/>
        <v>0</v>
      </c>
      <c r="D762">
        <f t="shared" si="167"/>
        <v>0</v>
      </c>
      <c r="E762">
        <f t="shared" si="167"/>
        <v>0</v>
      </c>
      <c r="F762">
        <f t="shared" si="167"/>
        <v>0</v>
      </c>
      <c r="G762">
        <f t="shared" si="167"/>
        <v>0</v>
      </c>
      <c r="H762">
        <f t="shared" si="167"/>
        <v>3</v>
      </c>
      <c r="I762">
        <f t="shared" si="167"/>
        <v>2</v>
      </c>
      <c r="J762">
        <f t="shared" si="167"/>
        <v>3</v>
      </c>
      <c r="K762">
        <f t="shared" si="167"/>
        <v>4</v>
      </c>
      <c r="L762">
        <f t="shared" si="167"/>
        <v>4</v>
      </c>
      <c r="M762">
        <f t="shared" si="167"/>
        <v>5</v>
      </c>
      <c r="N762">
        <f t="shared" si="167"/>
        <v>6</v>
      </c>
      <c r="O762">
        <f t="shared" si="167"/>
        <v>7</v>
      </c>
      <c r="P762">
        <f t="shared" si="167"/>
        <v>6</v>
      </c>
      <c r="Q762">
        <f t="shared" si="167"/>
        <v>9</v>
      </c>
      <c r="R762">
        <f t="shared" si="167"/>
        <v>9</v>
      </c>
      <c r="S762">
        <f t="shared" si="167"/>
        <v>8</v>
      </c>
      <c r="T762">
        <f t="shared" si="167"/>
        <v>8</v>
      </c>
      <c r="U762">
        <f t="shared" si="167"/>
        <v>9</v>
      </c>
      <c r="V762">
        <f t="shared" si="167"/>
        <v>9</v>
      </c>
      <c r="W762">
        <f t="shared" si="167"/>
        <v>8</v>
      </c>
      <c r="X762">
        <f t="shared" si="167"/>
        <v>10</v>
      </c>
      <c r="Y762">
        <f t="shared" si="167"/>
        <v>9</v>
      </c>
      <c r="Z762">
        <f t="shared" si="167"/>
        <v>9</v>
      </c>
      <c r="AA762">
        <f t="shared" si="167"/>
        <v>8</v>
      </c>
      <c r="AB762">
        <f t="shared" si="167"/>
        <v>8</v>
      </c>
      <c r="AC762" s="28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f t="shared" si="148"/>
        <v>7</v>
      </c>
      <c r="BG762">
        <f t="shared" si="149"/>
        <v>2</v>
      </c>
    </row>
    <row r="763" spans="1:59" ht="12" customHeight="1" x14ac:dyDescent="0.2">
      <c r="A763" t="s">
        <v>120</v>
      </c>
      <c r="B763">
        <f t="shared" ref="B763:AB763" si="168">SUM(B710,B657)</f>
        <v>36</v>
      </c>
      <c r="C763">
        <f t="shared" si="168"/>
        <v>43</v>
      </c>
      <c r="D763">
        <f t="shared" si="168"/>
        <v>50</v>
      </c>
      <c r="E763">
        <f t="shared" si="168"/>
        <v>62</v>
      </c>
      <c r="F763">
        <f t="shared" si="168"/>
        <v>75</v>
      </c>
      <c r="G763">
        <f t="shared" si="168"/>
        <v>84</v>
      </c>
      <c r="H763">
        <f t="shared" si="168"/>
        <v>85</v>
      </c>
      <c r="I763">
        <f t="shared" si="168"/>
        <v>99</v>
      </c>
      <c r="J763">
        <f t="shared" si="168"/>
        <v>100</v>
      </c>
      <c r="K763">
        <f t="shared" si="168"/>
        <v>111</v>
      </c>
      <c r="L763">
        <f t="shared" si="168"/>
        <v>120</v>
      </c>
      <c r="M763">
        <f t="shared" si="168"/>
        <v>125</v>
      </c>
      <c r="N763">
        <f t="shared" si="168"/>
        <v>137</v>
      </c>
      <c r="O763">
        <f t="shared" si="168"/>
        <v>148</v>
      </c>
      <c r="P763">
        <f t="shared" si="168"/>
        <v>152</v>
      </c>
      <c r="Q763">
        <f t="shared" si="168"/>
        <v>151</v>
      </c>
      <c r="R763">
        <f t="shared" si="168"/>
        <v>152</v>
      </c>
      <c r="S763">
        <f t="shared" si="168"/>
        <v>164</v>
      </c>
      <c r="T763">
        <f t="shared" si="168"/>
        <v>171</v>
      </c>
      <c r="U763">
        <f t="shared" si="168"/>
        <v>164</v>
      </c>
      <c r="V763">
        <f t="shared" si="168"/>
        <v>163</v>
      </c>
      <c r="W763">
        <f t="shared" si="168"/>
        <v>168</v>
      </c>
      <c r="X763">
        <f t="shared" si="168"/>
        <v>165</v>
      </c>
      <c r="Y763">
        <f t="shared" si="168"/>
        <v>163</v>
      </c>
      <c r="Z763">
        <f t="shared" si="168"/>
        <v>191</v>
      </c>
      <c r="AA763">
        <f t="shared" si="168"/>
        <v>188</v>
      </c>
      <c r="AB763">
        <f t="shared" si="168"/>
        <v>194</v>
      </c>
      <c r="AC763" s="28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f t="shared" si="148"/>
        <v>201</v>
      </c>
      <c r="BG763">
        <f t="shared" si="149"/>
        <v>-38</v>
      </c>
    </row>
    <row r="764" spans="1:59" ht="12" customHeight="1" x14ac:dyDescent="0.2">
      <c r="A764" t="s">
        <v>121</v>
      </c>
      <c r="B764">
        <f t="shared" ref="B764:AB764" si="169">SUM(B711,B658)</f>
        <v>8</v>
      </c>
      <c r="C764">
        <f t="shared" si="169"/>
        <v>10</v>
      </c>
      <c r="D764">
        <f t="shared" si="169"/>
        <v>11</v>
      </c>
      <c r="E764">
        <f t="shared" si="169"/>
        <v>14</v>
      </c>
      <c r="F764">
        <f t="shared" si="169"/>
        <v>17</v>
      </c>
      <c r="G764">
        <f t="shared" si="169"/>
        <v>19</v>
      </c>
      <c r="H764">
        <f t="shared" si="169"/>
        <v>20</v>
      </c>
      <c r="I764">
        <f t="shared" si="169"/>
        <v>22</v>
      </c>
      <c r="J764">
        <f t="shared" si="169"/>
        <v>22</v>
      </c>
      <c r="K764">
        <f t="shared" si="169"/>
        <v>24</v>
      </c>
      <c r="L764">
        <f t="shared" si="169"/>
        <v>27</v>
      </c>
      <c r="M764">
        <f t="shared" si="169"/>
        <v>30</v>
      </c>
      <c r="N764">
        <f t="shared" si="169"/>
        <v>31</v>
      </c>
      <c r="O764">
        <f t="shared" si="169"/>
        <v>27</v>
      </c>
      <c r="P764">
        <f t="shared" si="169"/>
        <v>27</v>
      </c>
      <c r="Q764">
        <f t="shared" si="169"/>
        <v>20</v>
      </c>
      <c r="R764">
        <f t="shared" si="169"/>
        <v>17</v>
      </c>
      <c r="S764">
        <f t="shared" si="169"/>
        <v>19</v>
      </c>
      <c r="T764">
        <f t="shared" si="169"/>
        <v>21</v>
      </c>
      <c r="U764">
        <f t="shared" si="169"/>
        <v>23</v>
      </c>
      <c r="V764">
        <f t="shared" si="169"/>
        <v>25</v>
      </c>
      <c r="W764">
        <f t="shared" si="169"/>
        <v>24</v>
      </c>
      <c r="X764">
        <f t="shared" si="169"/>
        <v>23</v>
      </c>
      <c r="Y764">
        <f t="shared" si="169"/>
        <v>24</v>
      </c>
      <c r="Z764">
        <f t="shared" si="169"/>
        <v>22</v>
      </c>
      <c r="AA764">
        <f t="shared" si="169"/>
        <v>19</v>
      </c>
      <c r="AB764">
        <f t="shared" si="169"/>
        <v>19</v>
      </c>
      <c r="AC764" s="28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f t="shared" si="148"/>
        <v>19</v>
      </c>
      <c r="BG764">
        <f t="shared" si="149"/>
        <v>5</v>
      </c>
    </row>
    <row r="765" spans="1:59" ht="12" customHeight="1" x14ac:dyDescent="0.2">
      <c r="A765" t="s">
        <v>122</v>
      </c>
      <c r="B765">
        <f t="shared" ref="B765:AB765" si="170">SUM(B712,B659)</f>
        <v>0</v>
      </c>
      <c r="C765">
        <f t="shared" si="170"/>
        <v>0</v>
      </c>
      <c r="D765">
        <f t="shared" si="170"/>
        <v>0</v>
      </c>
      <c r="E765">
        <f t="shared" si="170"/>
        <v>0</v>
      </c>
      <c r="F765">
        <f t="shared" si="170"/>
        <v>0</v>
      </c>
      <c r="G765">
        <f t="shared" si="170"/>
        <v>0</v>
      </c>
      <c r="H765">
        <f t="shared" si="170"/>
        <v>1</v>
      </c>
      <c r="I765">
        <f t="shared" si="170"/>
        <v>0</v>
      </c>
      <c r="J765">
        <f t="shared" si="170"/>
        <v>0</v>
      </c>
      <c r="K765">
        <f t="shared" si="170"/>
        <v>0</v>
      </c>
      <c r="L765">
        <f t="shared" si="170"/>
        <v>0</v>
      </c>
      <c r="M765">
        <f t="shared" si="170"/>
        <v>0</v>
      </c>
      <c r="N765">
        <f t="shared" si="170"/>
        <v>0</v>
      </c>
      <c r="O765">
        <f t="shared" si="170"/>
        <v>0</v>
      </c>
      <c r="P765">
        <f t="shared" si="170"/>
        <v>0</v>
      </c>
      <c r="Q765">
        <f t="shared" si="170"/>
        <v>0</v>
      </c>
      <c r="R765">
        <f t="shared" si="170"/>
        <v>1</v>
      </c>
      <c r="S765">
        <f t="shared" si="170"/>
        <v>1</v>
      </c>
      <c r="T765">
        <f t="shared" si="170"/>
        <v>1</v>
      </c>
      <c r="U765">
        <f t="shared" si="170"/>
        <v>1</v>
      </c>
      <c r="V765">
        <f t="shared" si="170"/>
        <v>1</v>
      </c>
      <c r="W765">
        <f t="shared" si="170"/>
        <v>1</v>
      </c>
      <c r="X765">
        <f t="shared" si="170"/>
        <v>1</v>
      </c>
      <c r="Y765">
        <f t="shared" si="170"/>
        <v>2</v>
      </c>
      <c r="Z765">
        <f t="shared" si="170"/>
        <v>7</v>
      </c>
      <c r="AA765">
        <f t="shared" si="170"/>
        <v>8</v>
      </c>
      <c r="AB765">
        <f t="shared" si="170"/>
        <v>8</v>
      </c>
      <c r="AC765" s="28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f t="shared" si="148"/>
        <v>7</v>
      </c>
      <c r="BG765">
        <f t="shared" si="149"/>
        <v>-5</v>
      </c>
    </row>
    <row r="766" spans="1:59" ht="12" customHeight="1" x14ac:dyDescent="0.2">
      <c r="A766" t="s">
        <v>123</v>
      </c>
      <c r="B766">
        <f t="shared" ref="B766:AB766" si="171">SUM(B713,B660)</f>
        <v>9</v>
      </c>
      <c r="C766">
        <f t="shared" si="171"/>
        <v>11</v>
      </c>
      <c r="D766">
        <f t="shared" si="171"/>
        <v>13</v>
      </c>
      <c r="E766">
        <f t="shared" si="171"/>
        <v>16</v>
      </c>
      <c r="F766">
        <f t="shared" si="171"/>
        <v>20</v>
      </c>
      <c r="G766">
        <f t="shared" si="171"/>
        <v>22</v>
      </c>
      <c r="H766">
        <f t="shared" si="171"/>
        <v>24</v>
      </c>
      <c r="I766">
        <f t="shared" si="171"/>
        <v>24</v>
      </c>
      <c r="J766">
        <f t="shared" si="171"/>
        <v>27</v>
      </c>
      <c r="K766">
        <f t="shared" si="171"/>
        <v>27</v>
      </c>
      <c r="L766">
        <f t="shared" si="171"/>
        <v>25</v>
      </c>
      <c r="M766">
        <f t="shared" si="171"/>
        <v>27</v>
      </c>
      <c r="N766">
        <f t="shared" si="171"/>
        <v>32</v>
      </c>
      <c r="O766">
        <f t="shared" si="171"/>
        <v>32</v>
      </c>
      <c r="P766">
        <f t="shared" si="171"/>
        <v>31</v>
      </c>
      <c r="Q766">
        <f t="shared" si="171"/>
        <v>33</v>
      </c>
      <c r="R766">
        <f t="shared" si="171"/>
        <v>33</v>
      </c>
      <c r="S766">
        <f t="shared" si="171"/>
        <v>38</v>
      </c>
      <c r="T766">
        <f t="shared" si="171"/>
        <v>37</v>
      </c>
      <c r="U766">
        <f t="shared" si="171"/>
        <v>37</v>
      </c>
      <c r="V766">
        <f t="shared" si="171"/>
        <v>39</v>
      </c>
      <c r="W766">
        <f t="shared" si="171"/>
        <v>42</v>
      </c>
      <c r="X766">
        <f t="shared" si="171"/>
        <v>41</v>
      </c>
      <c r="Y766">
        <f t="shared" si="171"/>
        <v>42</v>
      </c>
      <c r="Z766">
        <f t="shared" si="171"/>
        <v>36</v>
      </c>
      <c r="AA766">
        <f t="shared" si="171"/>
        <v>38</v>
      </c>
      <c r="AB766">
        <f t="shared" si="171"/>
        <v>38</v>
      </c>
      <c r="AC766" s="28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f t="shared" si="148"/>
        <v>37</v>
      </c>
      <c r="BG766">
        <f t="shared" si="149"/>
        <v>5</v>
      </c>
    </row>
    <row r="767" spans="1:59" ht="12" customHeight="1" x14ac:dyDescent="0.2">
      <c r="A767" t="s">
        <v>124</v>
      </c>
      <c r="B767">
        <f t="shared" ref="B767:AB767" si="172">SUM(B714,B661)</f>
        <v>0</v>
      </c>
      <c r="C767">
        <f t="shared" si="172"/>
        <v>1</v>
      </c>
      <c r="D767">
        <f t="shared" si="172"/>
        <v>1</v>
      </c>
      <c r="E767">
        <f t="shared" si="172"/>
        <v>1</v>
      </c>
      <c r="F767">
        <f t="shared" si="172"/>
        <v>1</v>
      </c>
      <c r="G767">
        <f t="shared" si="172"/>
        <v>1</v>
      </c>
      <c r="H767">
        <f t="shared" si="172"/>
        <v>0</v>
      </c>
      <c r="I767">
        <f t="shared" si="172"/>
        <v>2</v>
      </c>
      <c r="J767">
        <f t="shared" si="172"/>
        <v>4</v>
      </c>
      <c r="K767">
        <f t="shared" si="172"/>
        <v>6</v>
      </c>
      <c r="L767">
        <f t="shared" si="172"/>
        <v>7</v>
      </c>
      <c r="M767">
        <f t="shared" si="172"/>
        <v>9</v>
      </c>
      <c r="N767">
        <f t="shared" si="172"/>
        <v>13</v>
      </c>
      <c r="O767">
        <f t="shared" si="172"/>
        <v>9</v>
      </c>
      <c r="P767">
        <f t="shared" si="172"/>
        <v>8</v>
      </c>
      <c r="Q767">
        <f t="shared" si="172"/>
        <v>11</v>
      </c>
      <c r="R767">
        <f t="shared" si="172"/>
        <v>11</v>
      </c>
      <c r="S767">
        <f t="shared" si="172"/>
        <v>12</v>
      </c>
      <c r="T767">
        <f t="shared" si="172"/>
        <v>11</v>
      </c>
      <c r="U767">
        <f t="shared" si="172"/>
        <v>12</v>
      </c>
      <c r="V767">
        <f t="shared" si="172"/>
        <v>13</v>
      </c>
      <c r="W767">
        <f t="shared" si="172"/>
        <v>13</v>
      </c>
      <c r="X767">
        <f t="shared" si="172"/>
        <v>16</v>
      </c>
      <c r="Y767">
        <f t="shared" si="172"/>
        <v>18</v>
      </c>
      <c r="Z767">
        <f t="shared" si="172"/>
        <v>21</v>
      </c>
      <c r="AA767">
        <f t="shared" si="172"/>
        <v>20</v>
      </c>
      <c r="AB767">
        <f t="shared" si="172"/>
        <v>20</v>
      </c>
      <c r="AC767" s="28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f t="shared" si="148"/>
        <v>0</v>
      </c>
      <c r="BG767">
        <f t="shared" si="149"/>
        <v>18</v>
      </c>
    </row>
    <row r="768" spans="1:59" ht="12" customHeight="1" x14ac:dyDescent="0.2">
      <c r="A768" t="s">
        <v>125</v>
      </c>
      <c r="B768">
        <f t="shared" ref="B768:AB768" si="173">SUM(B715,B662)</f>
        <v>0</v>
      </c>
      <c r="C768">
        <f t="shared" si="173"/>
        <v>0</v>
      </c>
      <c r="D768">
        <f t="shared" si="173"/>
        <v>0</v>
      </c>
      <c r="E768">
        <f t="shared" si="173"/>
        <v>0</v>
      </c>
      <c r="F768">
        <f t="shared" si="173"/>
        <v>0</v>
      </c>
      <c r="G768">
        <f t="shared" si="173"/>
        <v>0</v>
      </c>
      <c r="H768">
        <f t="shared" si="173"/>
        <v>0</v>
      </c>
      <c r="I768">
        <f t="shared" si="173"/>
        <v>0</v>
      </c>
      <c r="J768">
        <f t="shared" si="173"/>
        <v>0</v>
      </c>
      <c r="K768">
        <f t="shared" si="173"/>
        <v>0</v>
      </c>
      <c r="L768">
        <f t="shared" si="173"/>
        <v>0</v>
      </c>
      <c r="M768">
        <f t="shared" si="173"/>
        <v>0</v>
      </c>
      <c r="N768">
        <f t="shared" si="173"/>
        <v>0</v>
      </c>
      <c r="O768">
        <f t="shared" si="173"/>
        <v>0</v>
      </c>
      <c r="P768">
        <f t="shared" si="173"/>
        <v>4</v>
      </c>
      <c r="Q768">
        <f t="shared" si="173"/>
        <v>8</v>
      </c>
      <c r="R768">
        <f t="shared" si="173"/>
        <v>13</v>
      </c>
      <c r="S768">
        <f t="shared" si="173"/>
        <v>19</v>
      </c>
      <c r="T768">
        <f t="shared" si="173"/>
        <v>17</v>
      </c>
      <c r="U768">
        <f t="shared" si="173"/>
        <v>19</v>
      </c>
      <c r="V768">
        <f t="shared" si="173"/>
        <v>19</v>
      </c>
      <c r="W768">
        <f t="shared" si="173"/>
        <v>26</v>
      </c>
      <c r="X768">
        <f t="shared" si="173"/>
        <v>27</v>
      </c>
      <c r="Y768">
        <f t="shared" si="173"/>
        <v>28</v>
      </c>
      <c r="Z768">
        <f t="shared" si="173"/>
        <v>36</v>
      </c>
      <c r="AA768">
        <f t="shared" si="173"/>
        <v>32</v>
      </c>
      <c r="AB768">
        <f t="shared" si="173"/>
        <v>33</v>
      </c>
      <c r="AC768" s="2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f t="shared" si="148"/>
        <v>26</v>
      </c>
      <c r="BG768">
        <f t="shared" si="149"/>
        <v>2</v>
      </c>
    </row>
    <row r="769" spans="1:59" ht="12" customHeight="1" x14ac:dyDescent="0.2">
      <c r="A769" t="s">
        <v>126</v>
      </c>
      <c r="B769">
        <f t="shared" ref="B769:AB769" si="174">SUM(B716,B663)</f>
        <v>7</v>
      </c>
      <c r="C769">
        <f t="shared" si="174"/>
        <v>9</v>
      </c>
      <c r="D769">
        <f t="shared" si="174"/>
        <v>10</v>
      </c>
      <c r="E769">
        <f t="shared" si="174"/>
        <v>13</v>
      </c>
      <c r="F769">
        <f t="shared" si="174"/>
        <v>15</v>
      </c>
      <c r="G769">
        <f t="shared" si="174"/>
        <v>17</v>
      </c>
      <c r="H769">
        <f t="shared" si="174"/>
        <v>22</v>
      </c>
      <c r="I769">
        <f t="shared" si="174"/>
        <v>26</v>
      </c>
      <c r="J769">
        <f t="shared" si="174"/>
        <v>29</v>
      </c>
      <c r="K769">
        <f t="shared" si="174"/>
        <v>35</v>
      </c>
      <c r="L769">
        <f t="shared" si="174"/>
        <v>40</v>
      </c>
      <c r="M769">
        <f t="shared" si="174"/>
        <v>52</v>
      </c>
      <c r="N769">
        <f t="shared" si="174"/>
        <v>65</v>
      </c>
      <c r="O769">
        <f t="shared" si="174"/>
        <v>73</v>
      </c>
      <c r="P769">
        <f t="shared" si="174"/>
        <v>81</v>
      </c>
      <c r="Q769">
        <f t="shared" si="174"/>
        <v>89</v>
      </c>
      <c r="R769">
        <f t="shared" si="174"/>
        <v>92</v>
      </c>
      <c r="S769">
        <f t="shared" si="174"/>
        <v>94</v>
      </c>
      <c r="T769">
        <f t="shared" si="174"/>
        <v>92</v>
      </c>
      <c r="U769">
        <f t="shared" si="174"/>
        <v>86</v>
      </c>
      <c r="V769">
        <f t="shared" si="174"/>
        <v>92</v>
      </c>
      <c r="W769">
        <f t="shared" si="174"/>
        <v>95</v>
      </c>
      <c r="X769">
        <f t="shared" si="174"/>
        <v>96</v>
      </c>
      <c r="Y769">
        <f t="shared" si="174"/>
        <v>97</v>
      </c>
      <c r="Z769">
        <f t="shared" si="174"/>
        <v>98</v>
      </c>
      <c r="AA769">
        <f t="shared" si="174"/>
        <v>87</v>
      </c>
      <c r="AB769">
        <f t="shared" si="174"/>
        <v>88</v>
      </c>
      <c r="AC769" s="28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f t="shared" si="148"/>
        <v>95</v>
      </c>
      <c r="BG769">
        <f t="shared" si="149"/>
        <v>2</v>
      </c>
    </row>
    <row r="770" spans="1:59" ht="12" customHeight="1" x14ac:dyDescent="0.2">
      <c r="A770" t="s">
        <v>127</v>
      </c>
      <c r="B770">
        <f t="shared" ref="B770:AB770" si="175">SUM(B717,B664)</f>
        <v>0</v>
      </c>
      <c r="C770">
        <f t="shared" si="175"/>
        <v>0</v>
      </c>
      <c r="D770">
        <f t="shared" si="175"/>
        <v>0</v>
      </c>
      <c r="E770">
        <f t="shared" si="175"/>
        <v>0</v>
      </c>
      <c r="F770">
        <f t="shared" si="175"/>
        <v>0</v>
      </c>
      <c r="G770">
        <f t="shared" si="175"/>
        <v>0</v>
      </c>
      <c r="H770">
        <f t="shared" si="175"/>
        <v>0</v>
      </c>
      <c r="I770">
        <f t="shared" si="175"/>
        <v>0</v>
      </c>
      <c r="J770">
        <f t="shared" si="175"/>
        <v>0</v>
      </c>
      <c r="K770">
        <f t="shared" si="175"/>
        <v>0</v>
      </c>
      <c r="L770">
        <f t="shared" si="175"/>
        <v>0</v>
      </c>
      <c r="M770">
        <f t="shared" si="175"/>
        <v>0</v>
      </c>
      <c r="N770">
        <f t="shared" si="175"/>
        <v>2</v>
      </c>
      <c r="O770">
        <f t="shared" si="175"/>
        <v>4</v>
      </c>
      <c r="P770">
        <f t="shared" si="175"/>
        <v>7</v>
      </c>
      <c r="Q770">
        <f t="shared" si="175"/>
        <v>7</v>
      </c>
      <c r="R770">
        <f t="shared" si="175"/>
        <v>1</v>
      </c>
      <c r="S770">
        <f t="shared" si="175"/>
        <v>1</v>
      </c>
      <c r="T770">
        <f t="shared" si="175"/>
        <v>1</v>
      </c>
      <c r="U770">
        <f t="shared" si="175"/>
        <v>1</v>
      </c>
      <c r="V770">
        <f t="shared" si="175"/>
        <v>1</v>
      </c>
      <c r="W770">
        <f t="shared" si="175"/>
        <v>1</v>
      </c>
      <c r="X770">
        <f t="shared" si="175"/>
        <v>1</v>
      </c>
      <c r="Y770">
        <f t="shared" si="175"/>
        <v>1</v>
      </c>
      <c r="Z770">
        <f t="shared" si="175"/>
        <v>1</v>
      </c>
      <c r="AA770">
        <f t="shared" si="175"/>
        <v>0</v>
      </c>
      <c r="AB770">
        <f t="shared" si="175"/>
        <v>0</v>
      </c>
      <c r="AC770" s="28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f t="shared" si="148"/>
        <v>0</v>
      </c>
      <c r="BG770">
        <f t="shared" si="149"/>
        <v>1</v>
      </c>
    </row>
    <row r="771" spans="1:59" ht="12" customHeight="1" x14ac:dyDescent="0.2">
      <c r="A771" t="s">
        <v>128</v>
      </c>
      <c r="B771">
        <f t="shared" ref="B771:AB771" si="176">SUM(B718,B665)</f>
        <v>15</v>
      </c>
      <c r="C771">
        <f t="shared" si="176"/>
        <v>18</v>
      </c>
      <c r="D771">
        <f t="shared" si="176"/>
        <v>21</v>
      </c>
      <c r="E771">
        <f t="shared" si="176"/>
        <v>26</v>
      </c>
      <c r="F771">
        <f t="shared" si="176"/>
        <v>31</v>
      </c>
      <c r="G771">
        <f t="shared" si="176"/>
        <v>35</v>
      </c>
      <c r="H771">
        <f t="shared" si="176"/>
        <v>39</v>
      </c>
      <c r="I771">
        <f t="shared" si="176"/>
        <v>40</v>
      </c>
      <c r="J771">
        <f t="shared" si="176"/>
        <v>45</v>
      </c>
      <c r="K771">
        <f t="shared" si="176"/>
        <v>55</v>
      </c>
      <c r="L771">
        <f t="shared" si="176"/>
        <v>62</v>
      </c>
      <c r="M771">
        <f t="shared" si="176"/>
        <v>65</v>
      </c>
      <c r="N771">
        <f t="shared" si="176"/>
        <v>65</v>
      </c>
      <c r="O771">
        <f t="shared" si="176"/>
        <v>66</v>
      </c>
      <c r="P771">
        <f t="shared" si="176"/>
        <v>62</v>
      </c>
      <c r="Q771">
        <f t="shared" si="176"/>
        <v>59</v>
      </c>
      <c r="R771">
        <f t="shared" si="176"/>
        <v>59</v>
      </c>
      <c r="S771">
        <f t="shared" si="176"/>
        <v>60</v>
      </c>
      <c r="T771">
        <f t="shared" si="176"/>
        <v>60</v>
      </c>
      <c r="U771">
        <f t="shared" si="176"/>
        <v>57</v>
      </c>
      <c r="V771">
        <f t="shared" si="176"/>
        <v>50</v>
      </c>
      <c r="W771">
        <f t="shared" si="176"/>
        <v>49</v>
      </c>
      <c r="X771">
        <f t="shared" si="176"/>
        <v>43</v>
      </c>
      <c r="Y771">
        <f t="shared" si="176"/>
        <v>45</v>
      </c>
      <c r="Z771">
        <f t="shared" si="176"/>
        <v>37</v>
      </c>
      <c r="AA771">
        <f t="shared" si="176"/>
        <v>41</v>
      </c>
      <c r="AB771">
        <f t="shared" si="176"/>
        <v>46</v>
      </c>
      <c r="AC771" s="28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f t="shared" si="148"/>
        <v>46</v>
      </c>
      <c r="BG771">
        <f t="shared" si="149"/>
        <v>-1</v>
      </c>
    </row>
    <row r="772" spans="1:59" ht="12" customHeight="1" x14ac:dyDescent="0.2">
      <c r="A772" t="s">
        <v>129</v>
      </c>
      <c r="B772">
        <f t="shared" ref="B772:AB772" si="177">SUM(B719,B666)</f>
        <v>6</v>
      </c>
      <c r="C772">
        <f t="shared" si="177"/>
        <v>8</v>
      </c>
      <c r="D772">
        <f t="shared" si="177"/>
        <v>9</v>
      </c>
      <c r="E772">
        <f t="shared" si="177"/>
        <v>11</v>
      </c>
      <c r="F772">
        <f t="shared" si="177"/>
        <v>13</v>
      </c>
      <c r="G772">
        <f t="shared" si="177"/>
        <v>15</v>
      </c>
      <c r="H772">
        <f t="shared" si="177"/>
        <v>17</v>
      </c>
      <c r="I772">
        <f t="shared" si="177"/>
        <v>17</v>
      </c>
      <c r="J772">
        <f t="shared" si="177"/>
        <v>21</v>
      </c>
      <c r="K772">
        <f t="shared" si="177"/>
        <v>25</v>
      </c>
      <c r="L772">
        <f t="shared" si="177"/>
        <v>29</v>
      </c>
      <c r="M772">
        <f t="shared" si="177"/>
        <v>29</v>
      </c>
      <c r="N772">
        <f t="shared" si="177"/>
        <v>37</v>
      </c>
      <c r="O772">
        <f t="shared" si="177"/>
        <v>40</v>
      </c>
      <c r="P772">
        <f t="shared" si="177"/>
        <v>46</v>
      </c>
      <c r="Q772">
        <f t="shared" si="177"/>
        <v>51</v>
      </c>
      <c r="R772">
        <f t="shared" si="177"/>
        <v>54</v>
      </c>
      <c r="S772">
        <f t="shared" si="177"/>
        <v>60</v>
      </c>
      <c r="T772">
        <f t="shared" si="177"/>
        <v>66</v>
      </c>
      <c r="U772">
        <f t="shared" si="177"/>
        <v>73</v>
      </c>
      <c r="V772">
        <f t="shared" si="177"/>
        <v>85</v>
      </c>
      <c r="W772">
        <f t="shared" si="177"/>
        <v>78</v>
      </c>
      <c r="X772">
        <f t="shared" si="177"/>
        <v>83</v>
      </c>
      <c r="Y772">
        <f t="shared" si="177"/>
        <v>86</v>
      </c>
      <c r="Z772">
        <f t="shared" si="177"/>
        <v>89</v>
      </c>
      <c r="AA772">
        <f t="shared" si="177"/>
        <v>82</v>
      </c>
      <c r="AB772">
        <f t="shared" si="177"/>
        <v>74</v>
      </c>
      <c r="AC772" s="28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f t="shared" si="148"/>
        <v>65</v>
      </c>
      <c r="BG772">
        <f t="shared" si="149"/>
        <v>21</v>
      </c>
    </row>
    <row r="773" spans="1:59" ht="12" customHeight="1" x14ac:dyDescent="0.2">
      <c r="A773" t="s">
        <v>130</v>
      </c>
      <c r="B773">
        <f t="shared" ref="B773:AB773" si="178">SUM(B720,B667)</f>
        <v>4</v>
      </c>
      <c r="C773">
        <f t="shared" si="178"/>
        <v>5</v>
      </c>
      <c r="D773">
        <f t="shared" si="178"/>
        <v>6</v>
      </c>
      <c r="E773">
        <f t="shared" si="178"/>
        <v>7</v>
      </c>
      <c r="F773">
        <f t="shared" si="178"/>
        <v>9</v>
      </c>
      <c r="G773">
        <f t="shared" si="178"/>
        <v>10</v>
      </c>
      <c r="H773">
        <f t="shared" si="178"/>
        <v>9</v>
      </c>
      <c r="I773">
        <f t="shared" si="178"/>
        <v>13</v>
      </c>
      <c r="J773">
        <f t="shared" si="178"/>
        <v>15</v>
      </c>
      <c r="K773">
        <f t="shared" si="178"/>
        <v>17</v>
      </c>
      <c r="L773">
        <f t="shared" si="178"/>
        <v>20</v>
      </c>
      <c r="M773">
        <f t="shared" si="178"/>
        <v>17</v>
      </c>
      <c r="N773">
        <f t="shared" si="178"/>
        <v>17</v>
      </c>
      <c r="O773">
        <f t="shared" si="178"/>
        <v>16</v>
      </c>
      <c r="P773">
        <f t="shared" si="178"/>
        <v>9</v>
      </c>
      <c r="Q773">
        <f t="shared" si="178"/>
        <v>9</v>
      </c>
      <c r="R773">
        <f t="shared" si="178"/>
        <v>10</v>
      </c>
      <c r="S773">
        <f t="shared" si="178"/>
        <v>12</v>
      </c>
      <c r="T773">
        <f t="shared" si="178"/>
        <v>12</v>
      </c>
      <c r="U773">
        <f t="shared" si="178"/>
        <v>17</v>
      </c>
      <c r="V773">
        <f t="shared" si="178"/>
        <v>19</v>
      </c>
      <c r="W773">
        <f t="shared" si="178"/>
        <v>18</v>
      </c>
      <c r="X773">
        <f t="shared" si="178"/>
        <v>18</v>
      </c>
      <c r="Y773">
        <f t="shared" si="178"/>
        <v>21</v>
      </c>
      <c r="Z773">
        <f t="shared" si="178"/>
        <v>22</v>
      </c>
      <c r="AA773">
        <f t="shared" si="178"/>
        <v>14</v>
      </c>
      <c r="AB773">
        <f t="shared" si="178"/>
        <v>14</v>
      </c>
      <c r="AC773" s="28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f t="shared" si="148"/>
        <v>13</v>
      </c>
      <c r="BG773">
        <f t="shared" si="149"/>
        <v>8</v>
      </c>
    </row>
    <row r="774" spans="1:59" ht="12" customHeight="1" x14ac:dyDescent="0.2">
      <c r="A774" t="s">
        <v>131</v>
      </c>
      <c r="B774">
        <f t="shared" ref="B774:AB774" si="179">SUM(B721,B668)</f>
        <v>1</v>
      </c>
      <c r="C774">
        <f t="shared" si="179"/>
        <v>1</v>
      </c>
      <c r="D774">
        <f t="shared" si="179"/>
        <v>1</v>
      </c>
      <c r="E774">
        <f t="shared" si="179"/>
        <v>1</v>
      </c>
      <c r="F774">
        <f t="shared" si="179"/>
        <v>2</v>
      </c>
      <c r="G774">
        <f t="shared" si="179"/>
        <v>2</v>
      </c>
      <c r="H774">
        <f t="shared" si="179"/>
        <v>3</v>
      </c>
      <c r="I774">
        <f t="shared" si="179"/>
        <v>4</v>
      </c>
      <c r="J774">
        <f t="shared" si="179"/>
        <v>4</v>
      </c>
      <c r="K774">
        <f t="shared" si="179"/>
        <v>3</v>
      </c>
      <c r="L774">
        <f t="shared" si="179"/>
        <v>5</v>
      </c>
      <c r="M774">
        <f t="shared" si="179"/>
        <v>7</v>
      </c>
      <c r="N774">
        <f t="shared" si="179"/>
        <v>8</v>
      </c>
      <c r="O774">
        <f t="shared" si="179"/>
        <v>7</v>
      </c>
      <c r="P774">
        <f t="shared" si="179"/>
        <v>4</v>
      </c>
      <c r="Q774">
        <f t="shared" si="179"/>
        <v>7</v>
      </c>
      <c r="R774">
        <f t="shared" si="179"/>
        <v>8</v>
      </c>
      <c r="S774">
        <f t="shared" si="179"/>
        <v>6</v>
      </c>
      <c r="T774">
        <f t="shared" si="179"/>
        <v>5</v>
      </c>
      <c r="U774">
        <f t="shared" si="179"/>
        <v>6</v>
      </c>
      <c r="V774">
        <f t="shared" si="179"/>
        <v>6</v>
      </c>
      <c r="W774">
        <f t="shared" si="179"/>
        <v>6</v>
      </c>
      <c r="X774">
        <f t="shared" si="179"/>
        <v>6</v>
      </c>
      <c r="Y774">
        <f t="shared" si="179"/>
        <v>4</v>
      </c>
      <c r="Z774">
        <f t="shared" si="179"/>
        <v>3</v>
      </c>
      <c r="AA774">
        <f t="shared" si="179"/>
        <v>3</v>
      </c>
      <c r="AB774">
        <f t="shared" si="179"/>
        <v>3</v>
      </c>
      <c r="AC774" s="28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f t="shared" si="148"/>
        <v>3</v>
      </c>
      <c r="BG774">
        <f t="shared" si="149"/>
        <v>1</v>
      </c>
    </row>
    <row r="775" spans="1:59" ht="12" customHeight="1" x14ac:dyDescent="0.2">
      <c r="A775" t="s">
        <v>132</v>
      </c>
      <c r="B775">
        <f t="shared" ref="B775:AB775" si="180">SUM(B722,B669)</f>
        <v>4</v>
      </c>
      <c r="C775">
        <f t="shared" si="180"/>
        <v>5</v>
      </c>
      <c r="D775">
        <f t="shared" si="180"/>
        <v>5</v>
      </c>
      <c r="E775">
        <f t="shared" si="180"/>
        <v>7</v>
      </c>
      <c r="F775">
        <f t="shared" si="180"/>
        <v>8</v>
      </c>
      <c r="G775">
        <f t="shared" si="180"/>
        <v>9</v>
      </c>
      <c r="H775">
        <f t="shared" si="180"/>
        <v>9</v>
      </c>
      <c r="I775">
        <f t="shared" si="180"/>
        <v>10</v>
      </c>
      <c r="J775">
        <f t="shared" si="180"/>
        <v>10</v>
      </c>
      <c r="K775">
        <f t="shared" si="180"/>
        <v>14</v>
      </c>
      <c r="L775">
        <f t="shared" si="180"/>
        <v>16</v>
      </c>
      <c r="M775">
        <f t="shared" si="180"/>
        <v>14</v>
      </c>
      <c r="N775">
        <f t="shared" si="180"/>
        <v>14</v>
      </c>
      <c r="O775">
        <f t="shared" si="180"/>
        <v>13</v>
      </c>
      <c r="P775">
        <f t="shared" si="180"/>
        <v>16</v>
      </c>
      <c r="Q775">
        <f t="shared" si="180"/>
        <v>18</v>
      </c>
      <c r="R775">
        <f t="shared" si="180"/>
        <v>17</v>
      </c>
      <c r="S775">
        <f t="shared" si="180"/>
        <v>21</v>
      </c>
      <c r="T775">
        <f t="shared" si="180"/>
        <v>23</v>
      </c>
      <c r="U775">
        <f t="shared" si="180"/>
        <v>21</v>
      </c>
      <c r="V775">
        <f t="shared" si="180"/>
        <v>17</v>
      </c>
      <c r="W775">
        <f t="shared" si="180"/>
        <v>17</v>
      </c>
      <c r="X775">
        <f t="shared" si="180"/>
        <v>17</v>
      </c>
      <c r="Y775">
        <f t="shared" si="180"/>
        <v>18</v>
      </c>
      <c r="Z775">
        <f t="shared" si="180"/>
        <v>17</v>
      </c>
      <c r="AA775">
        <f t="shared" si="180"/>
        <v>17</v>
      </c>
      <c r="AB775">
        <f t="shared" si="180"/>
        <v>16</v>
      </c>
      <c r="AC775" s="28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f t="shared" si="148"/>
        <v>14</v>
      </c>
      <c r="BG775">
        <f t="shared" si="149"/>
        <v>4</v>
      </c>
    </row>
    <row r="776" spans="1:59" ht="12" customHeight="1" x14ac:dyDescent="0.2">
      <c r="A776" t="s">
        <v>133</v>
      </c>
      <c r="B776">
        <f t="shared" ref="B776:AB776" si="181">SUM(B723,B670)</f>
        <v>1</v>
      </c>
      <c r="C776">
        <f t="shared" si="181"/>
        <v>1</v>
      </c>
      <c r="D776">
        <f t="shared" si="181"/>
        <v>1</v>
      </c>
      <c r="E776">
        <f t="shared" si="181"/>
        <v>1</v>
      </c>
      <c r="F776">
        <f t="shared" si="181"/>
        <v>1</v>
      </c>
      <c r="G776">
        <f t="shared" si="181"/>
        <v>1</v>
      </c>
      <c r="H776">
        <f t="shared" si="181"/>
        <v>1</v>
      </c>
      <c r="I776">
        <f t="shared" si="181"/>
        <v>1</v>
      </c>
      <c r="J776">
        <f t="shared" si="181"/>
        <v>1</v>
      </c>
      <c r="K776">
        <f t="shared" si="181"/>
        <v>1</v>
      </c>
      <c r="L776">
        <f t="shared" si="181"/>
        <v>1</v>
      </c>
      <c r="M776">
        <f t="shared" si="181"/>
        <v>1</v>
      </c>
      <c r="N776">
        <f t="shared" si="181"/>
        <v>0</v>
      </c>
      <c r="O776">
        <f t="shared" si="181"/>
        <v>0</v>
      </c>
      <c r="P776">
        <f t="shared" si="181"/>
        <v>28</v>
      </c>
      <c r="Q776">
        <f t="shared" si="181"/>
        <v>32</v>
      </c>
      <c r="R776">
        <f t="shared" si="181"/>
        <v>36</v>
      </c>
      <c r="S776">
        <f t="shared" si="181"/>
        <v>39</v>
      </c>
      <c r="T776">
        <f t="shared" si="181"/>
        <v>42</v>
      </c>
      <c r="U776">
        <f t="shared" si="181"/>
        <v>44</v>
      </c>
      <c r="V776">
        <f t="shared" si="181"/>
        <v>49</v>
      </c>
      <c r="W776">
        <f t="shared" si="181"/>
        <v>52</v>
      </c>
      <c r="X776">
        <f t="shared" si="181"/>
        <v>55</v>
      </c>
      <c r="Y776">
        <f t="shared" si="181"/>
        <v>58</v>
      </c>
      <c r="Z776">
        <f t="shared" si="181"/>
        <v>49</v>
      </c>
      <c r="AA776">
        <f t="shared" si="181"/>
        <v>37</v>
      </c>
      <c r="AB776">
        <f t="shared" si="181"/>
        <v>41</v>
      </c>
      <c r="AC776" s="28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f t="shared" si="148"/>
        <v>31</v>
      </c>
      <c r="BG776">
        <f t="shared" si="149"/>
        <v>27</v>
      </c>
    </row>
    <row r="777" spans="1:59" ht="12" customHeight="1" x14ac:dyDescent="0.2">
      <c r="A777" t="s">
        <v>134</v>
      </c>
      <c r="B777">
        <f t="shared" ref="B777:AB777" si="182">SUM(B724,B671)</f>
        <v>0</v>
      </c>
      <c r="C777">
        <f t="shared" si="182"/>
        <v>0</v>
      </c>
      <c r="D777">
        <f t="shared" si="182"/>
        <v>0</v>
      </c>
      <c r="E777">
        <f t="shared" si="182"/>
        <v>0</v>
      </c>
      <c r="F777">
        <f t="shared" si="182"/>
        <v>0</v>
      </c>
      <c r="G777">
        <f t="shared" si="182"/>
        <v>0</v>
      </c>
      <c r="H777">
        <f t="shared" si="182"/>
        <v>0</v>
      </c>
      <c r="I777">
        <f t="shared" si="182"/>
        <v>0</v>
      </c>
      <c r="J777">
        <f t="shared" si="182"/>
        <v>0</v>
      </c>
      <c r="K777">
        <f t="shared" si="182"/>
        <v>0</v>
      </c>
      <c r="L777">
        <f t="shared" si="182"/>
        <v>0</v>
      </c>
      <c r="M777">
        <f t="shared" si="182"/>
        <v>0</v>
      </c>
      <c r="N777">
        <f t="shared" si="182"/>
        <v>0</v>
      </c>
      <c r="O777">
        <f t="shared" si="182"/>
        <v>0</v>
      </c>
      <c r="P777">
        <f t="shared" si="182"/>
        <v>6</v>
      </c>
      <c r="Q777">
        <f t="shared" si="182"/>
        <v>7</v>
      </c>
      <c r="R777">
        <f t="shared" si="182"/>
        <v>7</v>
      </c>
      <c r="S777">
        <f t="shared" si="182"/>
        <v>10</v>
      </c>
      <c r="T777">
        <f t="shared" si="182"/>
        <v>10</v>
      </c>
      <c r="U777">
        <f t="shared" si="182"/>
        <v>10</v>
      </c>
      <c r="V777">
        <f t="shared" si="182"/>
        <v>9</v>
      </c>
      <c r="W777">
        <f t="shared" si="182"/>
        <v>13</v>
      </c>
      <c r="X777">
        <f t="shared" si="182"/>
        <v>14</v>
      </c>
      <c r="Y777">
        <f t="shared" si="182"/>
        <v>17</v>
      </c>
      <c r="Z777">
        <f t="shared" si="182"/>
        <v>18</v>
      </c>
      <c r="AA777">
        <f t="shared" si="182"/>
        <v>12</v>
      </c>
      <c r="AB777">
        <f t="shared" si="182"/>
        <v>13</v>
      </c>
      <c r="AC777" s="28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f t="shared" si="148"/>
        <v>10</v>
      </c>
      <c r="BG777">
        <f t="shared" si="149"/>
        <v>7</v>
      </c>
    </row>
    <row r="778" spans="1:59" ht="12" customHeight="1" x14ac:dyDescent="0.2">
      <c r="A778" t="s">
        <v>135</v>
      </c>
      <c r="B778">
        <f t="shared" ref="B778:AB778" si="183">SUM(B725,B672)</f>
        <v>0</v>
      </c>
      <c r="C778">
        <f t="shared" si="183"/>
        <v>0</v>
      </c>
      <c r="D778">
        <f t="shared" si="183"/>
        <v>0</v>
      </c>
      <c r="E778">
        <f t="shared" si="183"/>
        <v>0</v>
      </c>
      <c r="F778">
        <f t="shared" si="183"/>
        <v>0</v>
      </c>
      <c r="G778">
        <f t="shared" si="183"/>
        <v>0</v>
      </c>
      <c r="H778">
        <f t="shared" si="183"/>
        <v>0</v>
      </c>
      <c r="I778">
        <f t="shared" si="183"/>
        <v>0</v>
      </c>
      <c r="J778">
        <f t="shared" si="183"/>
        <v>0</v>
      </c>
      <c r="K778">
        <f t="shared" si="183"/>
        <v>0</v>
      </c>
      <c r="L778">
        <f t="shared" si="183"/>
        <v>0</v>
      </c>
      <c r="M778">
        <f t="shared" si="183"/>
        <v>0</v>
      </c>
      <c r="N778">
        <f t="shared" si="183"/>
        <v>0</v>
      </c>
      <c r="O778">
        <f t="shared" si="183"/>
        <v>2</v>
      </c>
      <c r="P778">
        <f t="shared" si="183"/>
        <v>6</v>
      </c>
      <c r="Q778">
        <f t="shared" si="183"/>
        <v>5</v>
      </c>
      <c r="R778">
        <f t="shared" si="183"/>
        <v>3</v>
      </c>
      <c r="S778">
        <f t="shared" si="183"/>
        <v>3</v>
      </c>
      <c r="T778">
        <f t="shared" si="183"/>
        <v>3</v>
      </c>
      <c r="U778">
        <f t="shared" si="183"/>
        <v>3</v>
      </c>
      <c r="V778">
        <f t="shared" si="183"/>
        <v>5</v>
      </c>
      <c r="W778">
        <f t="shared" si="183"/>
        <v>5</v>
      </c>
      <c r="X778">
        <f t="shared" si="183"/>
        <v>6</v>
      </c>
      <c r="Y778">
        <f t="shared" si="183"/>
        <v>7</v>
      </c>
      <c r="Z778">
        <f t="shared" si="183"/>
        <v>8</v>
      </c>
      <c r="AA778">
        <f t="shared" si="183"/>
        <v>8</v>
      </c>
      <c r="AB778">
        <f t="shared" si="183"/>
        <v>7</v>
      </c>
      <c r="AC778" s="2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f t="shared" si="148"/>
        <v>6</v>
      </c>
      <c r="BG778">
        <f t="shared" si="149"/>
        <v>1</v>
      </c>
    </row>
    <row r="779" spans="1:59" ht="12" customHeight="1" x14ac:dyDescent="0.2">
      <c r="A779" t="s">
        <v>136</v>
      </c>
      <c r="B779">
        <f t="shared" ref="B779:AB779" si="184">SUM(B726,B673)</f>
        <v>20</v>
      </c>
      <c r="C779">
        <f t="shared" si="184"/>
        <v>19</v>
      </c>
      <c r="D779">
        <f t="shared" si="184"/>
        <v>19</v>
      </c>
      <c r="E779">
        <f t="shared" si="184"/>
        <v>19</v>
      </c>
      <c r="F779">
        <f t="shared" si="184"/>
        <v>19</v>
      </c>
      <c r="G779">
        <f t="shared" si="184"/>
        <v>20</v>
      </c>
      <c r="H779">
        <f t="shared" si="184"/>
        <v>20</v>
      </c>
      <c r="I779">
        <f t="shared" si="184"/>
        <v>20</v>
      </c>
      <c r="J779">
        <f t="shared" si="184"/>
        <v>22</v>
      </c>
      <c r="K779">
        <f t="shared" si="184"/>
        <v>22</v>
      </c>
      <c r="L779">
        <f t="shared" si="184"/>
        <v>22</v>
      </c>
      <c r="M779">
        <f t="shared" si="184"/>
        <v>25</v>
      </c>
      <c r="N779">
        <f t="shared" si="184"/>
        <v>25</v>
      </c>
      <c r="O779">
        <f t="shared" si="184"/>
        <v>26</v>
      </c>
      <c r="P779">
        <f t="shared" si="184"/>
        <v>119</v>
      </c>
      <c r="Q779">
        <f t="shared" si="184"/>
        <v>119</v>
      </c>
      <c r="R779">
        <f t="shared" si="184"/>
        <v>114</v>
      </c>
      <c r="S779">
        <f t="shared" si="184"/>
        <v>112</v>
      </c>
      <c r="T779">
        <f t="shared" si="184"/>
        <v>111</v>
      </c>
      <c r="U779">
        <f t="shared" si="184"/>
        <v>112</v>
      </c>
      <c r="V779">
        <f t="shared" si="184"/>
        <v>111</v>
      </c>
      <c r="W779">
        <f t="shared" si="184"/>
        <v>111</v>
      </c>
      <c r="X779">
        <f t="shared" si="184"/>
        <v>111</v>
      </c>
      <c r="Y779">
        <f t="shared" si="184"/>
        <v>102</v>
      </c>
      <c r="Z779">
        <f t="shared" si="184"/>
        <v>118</v>
      </c>
      <c r="AA779">
        <f t="shared" si="184"/>
        <v>97</v>
      </c>
      <c r="AB779">
        <f t="shared" si="184"/>
        <v>89</v>
      </c>
      <c r="AC779" s="28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f t="shared" si="148"/>
        <v>35</v>
      </c>
      <c r="BG779">
        <f t="shared" si="149"/>
        <v>67</v>
      </c>
    </row>
    <row r="780" spans="1:59" ht="12" customHeight="1" x14ac:dyDescent="0.2">
      <c r="A780" t="s">
        <v>137</v>
      </c>
      <c r="B780">
        <f t="shared" ref="B780:AB780" si="185">SUM(B727,B674)</f>
        <v>0</v>
      </c>
      <c r="C780">
        <f t="shared" si="185"/>
        <v>0</v>
      </c>
      <c r="D780">
        <f t="shared" si="185"/>
        <v>0</v>
      </c>
      <c r="E780">
        <f t="shared" si="185"/>
        <v>0</v>
      </c>
      <c r="F780">
        <f t="shared" si="185"/>
        <v>0</v>
      </c>
      <c r="G780">
        <f t="shared" si="185"/>
        <v>0</v>
      </c>
      <c r="H780">
        <f t="shared" si="185"/>
        <v>0</v>
      </c>
      <c r="I780">
        <f t="shared" si="185"/>
        <v>0</v>
      </c>
      <c r="J780">
        <f t="shared" si="185"/>
        <v>0</v>
      </c>
      <c r="K780">
        <f t="shared" si="185"/>
        <v>0</v>
      </c>
      <c r="L780">
        <f t="shared" si="185"/>
        <v>0</v>
      </c>
      <c r="M780">
        <f t="shared" si="185"/>
        <v>0</v>
      </c>
      <c r="N780">
        <f t="shared" si="185"/>
        <v>0</v>
      </c>
      <c r="O780">
        <f t="shared" si="185"/>
        <v>0</v>
      </c>
      <c r="P780">
        <f t="shared" si="185"/>
        <v>0</v>
      </c>
      <c r="Q780">
        <f t="shared" si="185"/>
        <v>0</v>
      </c>
      <c r="R780">
        <f t="shared" si="185"/>
        <v>0</v>
      </c>
      <c r="S780">
        <f t="shared" si="185"/>
        <v>0</v>
      </c>
      <c r="T780">
        <f t="shared" si="185"/>
        <v>0</v>
      </c>
      <c r="U780">
        <f t="shared" si="185"/>
        <v>0</v>
      </c>
      <c r="V780">
        <f t="shared" si="185"/>
        <v>0</v>
      </c>
      <c r="W780">
        <f t="shared" si="185"/>
        <v>0</v>
      </c>
      <c r="X780">
        <f t="shared" si="185"/>
        <v>0</v>
      </c>
      <c r="Y780">
        <f t="shared" si="185"/>
        <v>0</v>
      </c>
      <c r="Z780">
        <f t="shared" si="185"/>
        <v>4</v>
      </c>
      <c r="AA780">
        <f t="shared" si="185"/>
        <v>0</v>
      </c>
      <c r="AB780">
        <f t="shared" si="185"/>
        <v>0</v>
      </c>
      <c r="AC780" s="28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f t="shared" si="148"/>
        <v>0</v>
      </c>
      <c r="BG780">
        <f t="shared" si="149"/>
        <v>0</v>
      </c>
    </row>
    <row r="781" spans="1:59" ht="12" customHeight="1" x14ac:dyDescent="0.2">
      <c r="A781" t="s">
        <v>138</v>
      </c>
      <c r="B781">
        <f t="shared" ref="B781:AB781" si="186">SUM(B728,B675)</f>
        <v>5</v>
      </c>
      <c r="C781">
        <f t="shared" si="186"/>
        <v>5</v>
      </c>
      <c r="D781">
        <f t="shared" si="186"/>
        <v>5</v>
      </c>
      <c r="E781">
        <f t="shared" si="186"/>
        <v>5</v>
      </c>
      <c r="F781">
        <f t="shared" si="186"/>
        <v>5</v>
      </c>
      <c r="G781">
        <f t="shared" si="186"/>
        <v>5</v>
      </c>
      <c r="H781">
        <f t="shared" si="186"/>
        <v>5</v>
      </c>
      <c r="I781">
        <f t="shared" si="186"/>
        <v>5</v>
      </c>
      <c r="J781">
        <f t="shared" si="186"/>
        <v>4</v>
      </c>
      <c r="K781">
        <f t="shared" si="186"/>
        <v>4</v>
      </c>
      <c r="L781">
        <f t="shared" si="186"/>
        <v>4</v>
      </c>
      <c r="M781">
        <f t="shared" si="186"/>
        <v>1</v>
      </c>
      <c r="N781">
        <f t="shared" si="186"/>
        <v>3</v>
      </c>
      <c r="O781">
        <f t="shared" si="186"/>
        <v>3</v>
      </c>
      <c r="P781">
        <f t="shared" si="186"/>
        <v>6</v>
      </c>
      <c r="Q781">
        <f t="shared" si="186"/>
        <v>6</v>
      </c>
      <c r="R781">
        <f t="shared" si="186"/>
        <v>6</v>
      </c>
      <c r="S781">
        <f t="shared" si="186"/>
        <v>6</v>
      </c>
      <c r="T781">
        <f t="shared" si="186"/>
        <v>7</v>
      </c>
      <c r="U781">
        <f t="shared" si="186"/>
        <v>7</v>
      </c>
      <c r="V781">
        <f t="shared" si="186"/>
        <v>7</v>
      </c>
      <c r="W781">
        <f t="shared" si="186"/>
        <v>9</v>
      </c>
      <c r="X781">
        <f t="shared" si="186"/>
        <v>9</v>
      </c>
      <c r="Y781">
        <f t="shared" si="186"/>
        <v>12</v>
      </c>
      <c r="Z781">
        <f t="shared" si="186"/>
        <v>12</v>
      </c>
      <c r="AA781">
        <f t="shared" si="186"/>
        <v>12</v>
      </c>
      <c r="AB781">
        <f t="shared" si="186"/>
        <v>11</v>
      </c>
      <c r="AC781" s="28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f t="shared" si="148"/>
        <v>7</v>
      </c>
      <c r="BG781">
        <f t="shared" si="149"/>
        <v>5</v>
      </c>
    </row>
    <row r="782" spans="1:59" ht="12" customHeight="1" x14ac:dyDescent="0.2">
      <c r="A782" t="s">
        <v>139</v>
      </c>
      <c r="B782">
        <f t="shared" ref="B782:AB782" si="187">SUM(B729,B676)</f>
        <v>0</v>
      </c>
      <c r="C782">
        <f t="shared" si="187"/>
        <v>0</v>
      </c>
      <c r="D782">
        <f t="shared" si="187"/>
        <v>0</v>
      </c>
      <c r="E782">
        <f t="shared" si="187"/>
        <v>0</v>
      </c>
      <c r="F782">
        <f t="shared" si="187"/>
        <v>0</v>
      </c>
      <c r="G782">
        <f t="shared" si="187"/>
        <v>0</v>
      </c>
      <c r="H782">
        <f t="shared" si="187"/>
        <v>0</v>
      </c>
      <c r="I782">
        <f t="shared" si="187"/>
        <v>0</v>
      </c>
      <c r="J782">
        <f t="shared" si="187"/>
        <v>0</v>
      </c>
      <c r="K782">
        <f t="shared" si="187"/>
        <v>0</v>
      </c>
      <c r="L782">
        <f t="shared" si="187"/>
        <v>0</v>
      </c>
      <c r="M782">
        <f t="shared" si="187"/>
        <v>0</v>
      </c>
      <c r="N782">
        <f t="shared" si="187"/>
        <v>0</v>
      </c>
      <c r="O782">
        <f t="shared" si="187"/>
        <v>0</v>
      </c>
      <c r="P782">
        <f t="shared" si="187"/>
        <v>0</v>
      </c>
      <c r="Q782">
        <f t="shared" si="187"/>
        <v>0</v>
      </c>
      <c r="R782">
        <f t="shared" si="187"/>
        <v>0</v>
      </c>
      <c r="S782">
        <f t="shared" si="187"/>
        <v>0</v>
      </c>
      <c r="T782">
        <f t="shared" si="187"/>
        <v>0</v>
      </c>
      <c r="U782">
        <f t="shared" si="187"/>
        <v>0</v>
      </c>
      <c r="V782">
        <f t="shared" si="187"/>
        <v>0</v>
      </c>
      <c r="W782">
        <f t="shared" si="187"/>
        <v>0</v>
      </c>
      <c r="X782">
        <f t="shared" si="187"/>
        <v>0</v>
      </c>
      <c r="Y782">
        <f t="shared" si="187"/>
        <v>0</v>
      </c>
      <c r="Z782">
        <f t="shared" si="187"/>
        <v>0</v>
      </c>
      <c r="AA782">
        <f t="shared" si="187"/>
        <v>0</v>
      </c>
      <c r="AB782">
        <f t="shared" si="187"/>
        <v>0</v>
      </c>
      <c r="AC782" s="28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f t="shared" si="148"/>
        <v>0</v>
      </c>
      <c r="BG782">
        <f t="shared" si="149"/>
        <v>0</v>
      </c>
    </row>
    <row r="783" spans="1:59" ht="12" customHeight="1" x14ac:dyDescent="0.2">
      <c r="A783" t="s">
        <v>140</v>
      </c>
      <c r="B783">
        <f t="shared" ref="B783:AB783" si="188">SUM(B730,B677)</f>
        <v>0</v>
      </c>
      <c r="C783">
        <f t="shared" si="188"/>
        <v>0</v>
      </c>
      <c r="D783">
        <f t="shared" si="188"/>
        <v>0</v>
      </c>
      <c r="E783">
        <f t="shared" si="188"/>
        <v>0</v>
      </c>
      <c r="F783">
        <f t="shared" si="188"/>
        <v>0</v>
      </c>
      <c r="G783">
        <f t="shared" si="188"/>
        <v>0</v>
      </c>
      <c r="H783">
        <f t="shared" si="188"/>
        <v>0</v>
      </c>
      <c r="I783">
        <f t="shared" si="188"/>
        <v>0</v>
      </c>
      <c r="J783">
        <f t="shared" si="188"/>
        <v>0</v>
      </c>
      <c r="K783">
        <f t="shared" si="188"/>
        <v>0</v>
      </c>
      <c r="L783">
        <f t="shared" si="188"/>
        <v>0</v>
      </c>
      <c r="M783">
        <f t="shared" si="188"/>
        <v>0</v>
      </c>
      <c r="N783">
        <f t="shared" si="188"/>
        <v>0</v>
      </c>
      <c r="O783">
        <f t="shared" si="188"/>
        <v>0</v>
      </c>
      <c r="P783">
        <f t="shared" si="188"/>
        <v>0</v>
      </c>
      <c r="Q783">
        <f t="shared" si="188"/>
        <v>1</v>
      </c>
      <c r="R783">
        <f t="shared" si="188"/>
        <v>1</v>
      </c>
      <c r="S783">
        <f t="shared" si="188"/>
        <v>1</v>
      </c>
      <c r="T783">
        <f t="shared" si="188"/>
        <v>1</v>
      </c>
      <c r="U783">
        <f t="shared" si="188"/>
        <v>1</v>
      </c>
      <c r="V783">
        <f t="shared" si="188"/>
        <v>1</v>
      </c>
      <c r="W783">
        <f t="shared" si="188"/>
        <v>1</v>
      </c>
      <c r="X783">
        <f t="shared" si="188"/>
        <v>1</v>
      </c>
      <c r="Y783">
        <f t="shared" si="188"/>
        <v>1</v>
      </c>
      <c r="Z783">
        <f t="shared" si="188"/>
        <v>0</v>
      </c>
      <c r="AA783">
        <f t="shared" si="188"/>
        <v>0</v>
      </c>
      <c r="AB783">
        <f t="shared" si="188"/>
        <v>0</v>
      </c>
      <c r="AC783" s="28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f t="shared" si="148"/>
        <v>0</v>
      </c>
      <c r="BG783">
        <f t="shared" si="149"/>
        <v>1</v>
      </c>
    </row>
    <row r="784" spans="1:59" ht="12" customHeight="1" x14ac:dyDescent="0.2">
      <c r="A784" t="s">
        <v>141</v>
      </c>
      <c r="B784">
        <f t="shared" ref="B784:AB784" si="189">SUM(B731,B678)</f>
        <v>0</v>
      </c>
      <c r="C784">
        <f t="shared" si="189"/>
        <v>0</v>
      </c>
      <c r="D784">
        <f t="shared" si="189"/>
        <v>0</v>
      </c>
      <c r="E784">
        <f t="shared" si="189"/>
        <v>0</v>
      </c>
      <c r="F784">
        <f t="shared" si="189"/>
        <v>0</v>
      </c>
      <c r="G784">
        <f t="shared" si="189"/>
        <v>0</v>
      </c>
      <c r="H784">
        <f t="shared" si="189"/>
        <v>0</v>
      </c>
      <c r="I784">
        <f t="shared" si="189"/>
        <v>0</v>
      </c>
      <c r="J784">
        <f t="shared" si="189"/>
        <v>0</v>
      </c>
      <c r="K784">
        <f t="shared" si="189"/>
        <v>0</v>
      </c>
      <c r="L784">
        <f t="shared" si="189"/>
        <v>0</v>
      </c>
      <c r="M784">
        <f t="shared" si="189"/>
        <v>0</v>
      </c>
      <c r="N784">
        <f t="shared" si="189"/>
        <v>0</v>
      </c>
      <c r="O784">
        <f t="shared" si="189"/>
        <v>0</v>
      </c>
      <c r="P784">
        <f t="shared" si="189"/>
        <v>0</v>
      </c>
      <c r="Q784">
        <f t="shared" si="189"/>
        <v>0</v>
      </c>
      <c r="R784">
        <f t="shared" si="189"/>
        <v>3</v>
      </c>
      <c r="S784">
        <f t="shared" si="189"/>
        <v>2</v>
      </c>
      <c r="T784">
        <f t="shared" si="189"/>
        <v>1</v>
      </c>
      <c r="U784">
        <f t="shared" si="189"/>
        <v>1</v>
      </c>
      <c r="V784">
        <f t="shared" si="189"/>
        <v>1</v>
      </c>
      <c r="W784">
        <f t="shared" si="189"/>
        <v>1</v>
      </c>
      <c r="X784">
        <f t="shared" si="189"/>
        <v>1</v>
      </c>
      <c r="Y784">
        <f t="shared" si="189"/>
        <v>1</v>
      </c>
      <c r="Z784">
        <f t="shared" si="189"/>
        <v>1</v>
      </c>
      <c r="AA784">
        <f t="shared" si="189"/>
        <v>0</v>
      </c>
      <c r="AB784">
        <f t="shared" si="189"/>
        <v>0</v>
      </c>
      <c r="AC784" s="28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f t="shared" si="148"/>
        <v>0</v>
      </c>
      <c r="BG784">
        <f t="shared" si="149"/>
        <v>1</v>
      </c>
    </row>
    <row r="785" spans="1:59" ht="12" customHeight="1" x14ac:dyDescent="0.2">
      <c r="A785" t="s">
        <v>142</v>
      </c>
      <c r="B785">
        <f t="shared" ref="B785:AB785" si="190">SUM(B732,B679)</f>
        <v>0</v>
      </c>
      <c r="C785">
        <f t="shared" si="190"/>
        <v>0</v>
      </c>
      <c r="D785">
        <f t="shared" si="190"/>
        <v>0</v>
      </c>
      <c r="E785">
        <f t="shared" si="190"/>
        <v>0</v>
      </c>
      <c r="F785">
        <f t="shared" si="190"/>
        <v>0</v>
      </c>
      <c r="G785">
        <f t="shared" si="190"/>
        <v>0</v>
      </c>
      <c r="H785">
        <f t="shared" si="190"/>
        <v>0</v>
      </c>
      <c r="I785">
        <f t="shared" si="190"/>
        <v>0</v>
      </c>
      <c r="J785">
        <f t="shared" si="190"/>
        <v>0</v>
      </c>
      <c r="K785">
        <f t="shared" si="190"/>
        <v>0</v>
      </c>
      <c r="L785">
        <f t="shared" si="190"/>
        <v>0</v>
      </c>
      <c r="M785">
        <f t="shared" si="190"/>
        <v>0</v>
      </c>
      <c r="N785">
        <f t="shared" si="190"/>
        <v>0</v>
      </c>
      <c r="O785">
        <f t="shared" si="190"/>
        <v>0</v>
      </c>
      <c r="P785">
        <f t="shared" si="190"/>
        <v>0</v>
      </c>
      <c r="Q785">
        <f t="shared" si="190"/>
        <v>0</v>
      </c>
      <c r="R785">
        <f t="shared" si="190"/>
        <v>0</v>
      </c>
      <c r="S785">
        <f t="shared" si="190"/>
        <v>0</v>
      </c>
      <c r="T785">
        <f t="shared" si="190"/>
        <v>0</v>
      </c>
      <c r="U785">
        <f t="shared" si="190"/>
        <v>0</v>
      </c>
      <c r="V785">
        <f t="shared" si="190"/>
        <v>0</v>
      </c>
      <c r="W785">
        <f t="shared" si="190"/>
        <v>0</v>
      </c>
      <c r="X785">
        <f t="shared" si="190"/>
        <v>0</v>
      </c>
      <c r="Y785">
        <f t="shared" si="190"/>
        <v>0</v>
      </c>
      <c r="Z785">
        <f t="shared" si="190"/>
        <v>0</v>
      </c>
      <c r="AA785">
        <f t="shared" si="190"/>
        <v>0</v>
      </c>
      <c r="AB785">
        <f t="shared" si="190"/>
        <v>0</v>
      </c>
      <c r="AC785" s="28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f t="shared" si="148"/>
        <v>0</v>
      </c>
      <c r="BG785">
        <f t="shared" si="149"/>
        <v>0</v>
      </c>
    </row>
    <row r="786" spans="1:59" ht="12" customHeight="1" x14ac:dyDescent="0.2">
      <c r="A786" t="s">
        <v>143</v>
      </c>
      <c r="B786">
        <f t="shared" ref="B786:AB786" si="191">SUM(B733,B680)</f>
        <v>0</v>
      </c>
      <c r="C786">
        <f t="shared" si="191"/>
        <v>0</v>
      </c>
      <c r="D786">
        <f t="shared" si="191"/>
        <v>0</v>
      </c>
      <c r="E786">
        <f t="shared" si="191"/>
        <v>0</v>
      </c>
      <c r="F786">
        <f t="shared" si="191"/>
        <v>0</v>
      </c>
      <c r="G786">
        <f t="shared" si="191"/>
        <v>0</v>
      </c>
      <c r="H786">
        <f t="shared" si="191"/>
        <v>0</v>
      </c>
      <c r="I786">
        <f t="shared" si="191"/>
        <v>0</v>
      </c>
      <c r="J786">
        <f t="shared" si="191"/>
        <v>0</v>
      </c>
      <c r="K786">
        <f t="shared" si="191"/>
        <v>0</v>
      </c>
      <c r="L786">
        <f t="shared" si="191"/>
        <v>0</v>
      </c>
      <c r="M786">
        <f t="shared" si="191"/>
        <v>0</v>
      </c>
      <c r="N786">
        <f t="shared" si="191"/>
        <v>0</v>
      </c>
      <c r="O786">
        <f t="shared" si="191"/>
        <v>0</v>
      </c>
      <c r="P786">
        <f t="shared" si="191"/>
        <v>0</v>
      </c>
      <c r="Q786">
        <f t="shared" si="191"/>
        <v>0</v>
      </c>
      <c r="R786">
        <f t="shared" si="191"/>
        <v>2</v>
      </c>
      <c r="S786">
        <f t="shared" si="191"/>
        <v>2</v>
      </c>
      <c r="T786">
        <f t="shared" si="191"/>
        <v>2</v>
      </c>
      <c r="U786">
        <f t="shared" si="191"/>
        <v>2</v>
      </c>
      <c r="V786">
        <f t="shared" si="191"/>
        <v>2</v>
      </c>
      <c r="W786">
        <f t="shared" si="191"/>
        <v>1</v>
      </c>
      <c r="X786">
        <f t="shared" si="191"/>
        <v>1</v>
      </c>
      <c r="Y786">
        <f t="shared" si="191"/>
        <v>0</v>
      </c>
      <c r="Z786">
        <f t="shared" si="191"/>
        <v>1</v>
      </c>
      <c r="AA786">
        <f t="shared" si="191"/>
        <v>0</v>
      </c>
      <c r="AB786">
        <f t="shared" si="191"/>
        <v>0</v>
      </c>
      <c r="AC786" s="28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f t="shared" si="148"/>
        <v>0</v>
      </c>
      <c r="BG786">
        <f t="shared" si="149"/>
        <v>0</v>
      </c>
    </row>
    <row r="787" spans="1:59" ht="12" customHeight="1" x14ac:dyDescent="0.2">
      <c r="A787" t="s">
        <v>144</v>
      </c>
      <c r="B787">
        <f t="shared" ref="B787:AB787" si="192">SUM(B734,B681)</f>
        <v>0</v>
      </c>
      <c r="C787">
        <f t="shared" si="192"/>
        <v>0</v>
      </c>
      <c r="D787">
        <f t="shared" si="192"/>
        <v>0</v>
      </c>
      <c r="E787">
        <f t="shared" si="192"/>
        <v>0</v>
      </c>
      <c r="F787">
        <f t="shared" si="192"/>
        <v>0</v>
      </c>
      <c r="G787">
        <f t="shared" si="192"/>
        <v>0</v>
      </c>
      <c r="H787">
        <f t="shared" si="192"/>
        <v>0</v>
      </c>
      <c r="I787">
        <f t="shared" si="192"/>
        <v>0</v>
      </c>
      <c r="J787">
        <f t="shared" si="192"/>
        <v>0</v>
      </c>
      <c r="K787">
        <f t="shared" si="192"/>
        <v>0</v>
      </c>
      <c r="L787">
        <f t="shared" si="192"/>
        <v>0</v>
      </c>
      <c r="M787">
        <f t="shared" si="192"/>
        <v>0</v>
      </c>
      <c r="N787">
        <f t="shared" si="192"/>
        <v>0</v>
      </c>
      <c r="O787">
        <f t="shared" si="192"/>
        <v>0</v>
      </c>
      <c r="P787">
        <f t="shared" si="192"/>
        <v>7</v>
      </c>
      <c r="Q787">
        <f t="shared" si="192"/>
        <v>6</v>
      </c>
      <c r="R787">
        <f t="shared" si="192"/>
        <v>6</v>
      </c>
      <c r="S787">
        <f t="shared" si="192"/>
        <v>8</v>
      </c>
      <c r="T787">
        <f t="shared" si="192"/>
        <v>7</v>
      </c>
      <c r="U787">
        <f t="shared" si="192"/>
        <v>7</v>
      </c>
      <c r="V787">
        <f t="shared" si="192"/>
        <v>6</v>
      </c>
      <c r="W787">
        <f t="shared" si="192"/>
        <v>6</v>
      </c>
      <c r="X787">
        <f t="shared" si="192"/>
        <v>8</v>
      </c>
      <c r="Y787">
        <f t="shared" si="192"/>
        <v>9</v>
      </c>
      <c r="Z787">
        <f t="shared" si="192"/>
        <v>20</v>
      </c>
      <c r="AA787">
        <f t="shared" si="192"/>
        <v>16</v>
      </c>
      <c r="AB787">
        <f t="shared" si="192"/>
        <v>16</v>
      </c>
      <c r="AC787" s="28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f t="shared" si="148"/>
        <v>13</v>
      </c>
      <c r="BG787">
        <f t="shared" si="149"/>
        <v>-4</v>
      </c>
    </row>
    <row r="788" spans="1:59" ht="12" customHeight="1" x14ac:dyDescent="0.2">
      <c r="A788" t="s">
        <v>145</v>
      </c>
      <c r="B788">
        <f t="shared" ref="B788:AB788" si="193">SUM(B735,B682)</f>
        <v>0</v>
      </c>
      <c r="C788">
        <f t="shared" si="193"/>
        <v>0</v>
      </c>
      <c r="D788">
        <f t="shared" si="193"/>
        <v>0</v>
      </c>
      <c r="E788">
        <f t="shared" si="193"/>
        <v>0</v>
      </c>
      <c r="F788">
        <f t="shared" si="193"/>
        <v>0</v>
      </c>
      <c r="G788">
        <f t="shared" si="193"/>
        <v>0</v>
      </c>
      <c r="H788">
        <f t="shared" si="193"/>
        <v>0</v>
      </c>
      <c r="I788">
        <f t="shared" si="193"/>
        <v>0</v>
      </c>
      <c r="J788">
        <f t="shared" si="193"/>
        <v>0</v>
      </c>
      <c r="K788">
        <f t="shared" si="193"/>
        <v>0</v>
      </c>
      <c r="L788">
        <f t="shared" si="193"/>
        <v>0</v>
      </c>
      <c r="M788">
        <f t="shared" si="193"/>
        <v>0</v>
      </c>
      <c r="N788">
        <f t="shared" si="193"/>
        <v>0</v>
      </c>
      <c r="O788">
        <f t="shared" si="193"/>
        <v>0</v>
      </c>
      <c r="P788">
        <f t="shared" si="193"/>
        <v>0</v>
      </c>
      <c r="Q788">
        <f t="shared" si="193"/>
        <v>0</v>
      </c>
      <c r="R788">
        <f t="shared" si="193"/>
        <v>0</v>
      </c>
      <c r="S788">
        <f t="shared" si="193"/>
        <v>1</v>
      </c>
      <c r="T788">
        <f t="shared" si="193"/>
        <v>2</v>
      </c>
      <c r="U788">
        <f t="shared" si="193"/>
        <v>3</v>
      </c>
      <c r="V788">
        <f t="shared" si="193"/>
        <v>3</v>
      </c>
      <c r="W788">
        <f t="shared" si="193"/>
        <v>2</v>
      </c>
      <c r="X788">
        <f t="shared" si="193"/>
        <v>2</v>
      </c>
      <c r="Y788">
        <f t="shared" si="193"/>
        <v>1</v>
      </c>
      <c r="Z788">
        <f t="shared" si="193"/>
        <v>1</v>
      </c>
      <c r="AA788">
        <f t="shared" si="193"/>
        <v>2</v>
      </c>
      <c r="AB788">
        <f t="shared" si="193"/>
        <v>1</v>
      </c>
      <c r="AC788" s="2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f t="shared" si="148"/>
        <v>1</v>
      </c>
      <c r="BG788">
        <f t="shared" si="149"/>
        <v>0</v>
      </c>
    </row>
    <row r="789" spans="1:59" ht="12" customHeight="1" x14ac:dyDescent="0.2">
      <c r="A789" t="s">
        <v>146</v>
      </c>
      <c r="B789">
        <f t="shared" ref="B789:AB789" si="194">SUM(B736,B683)</f>
        <v>2</v>
      </c>
      <c r="C789">
        <f t="shared" si="194"/>
        <v>2</v>
      </c>
      <c r="D789">
        <f t="shared" si="194"/>
        <v>2</v>
      </c>
      <c r="E789">
        <f t="shared" si="194"/>
        <v>2</v>
      </c>
      <c r="F789">
        <f t="shared" si="194"/>
        <v>2</v>
      </c>
      <c r="G789">
        <f t="shared" si="194"/>
        <v>2</v>
      </c>
      <c r="H789">
        <f t="shared" si="194"/>
        <v>2</v>
      </c>
      <c r="I789">
        <f t="shared" si="194"/>
        <v>2</v>
      </c>
      <c r="J789">
        <f t="shared" si="194"/>
        <v>2</v>
      </c>
      <c r="K789">
        <f t="shared" si="194"/>
        <v>1</v>
      </c>
      <c r="L789">
        <f t="shared" si="194"/>
        <v>1</v>
      </c>
      <c r="M789">
        <f t="shared" si="194"/>
        <v>0</v>
      </c>
      <c r="N789">
        <f t="shared" si="194"/>
        <v>1</v>
      </c>
      <c r="O789">
        <f t="shared" si="194"/>
        <v>1</v>
      </c>
      <c r="P789">
        <f t="shared" si="194"/>
        <v>6</v>
      </c>
      <c r="Q789">
        <f t="shared" si="194"/>
        <v>6</v>
      </c>
      <c r="R789">
        <f t="shared" si="194"/>
        <v>8</v>
      </c>
      <c r="S789">
        <f t="shared" si="194"/>
        <v>7</v>
      </c>
      <c r="T789">
        <f t="shared" si="194"/>
        <v>10</v>
      </c>
      <c r="U789">
        <f t="shared" si="194"/>
        <v>12</v>
      </c>
      <c r="V789">
        <f t="shared" si="194"/>
        <v>11</v>
      </c>
      <c r="W789">
        <f t="shared" si="194"/>
        <v>12</v>
      </c>
      <c r="X789">
        <f t="shared" si="194"/>
        <v>17</v>
      </c>
      <c r="Y789">
        <f t="shared" si="194"/>
        <v>19</v>
      </c>
      <c r="Z789">
        <f t="shared" si="194"/>
        <v>17</v>
      </c>
      <c r="AA789">
        <f t="shared" si="194"/>
        <v>10</v>
      </c>
      <c r="AB789">
        <f t="shared" si="194"/>
        <v>10</v>
      </c>
      <c r="AC789" s="28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f t="shared" si="148"/>
        <v>5</v>
      </c>
      <c r="BG789">
        <f t="shared" si="149"/>
        <v>14</v>
      </c>
    </row>
    <row r="790" spans="1:59" ht="12" customHeight="1" x14ac:dyDescent="0.2">
      <c r="A790" t="s">
        <v>147</v>
      </c>
      <c r="B790">
        <f t="shared" ref="B790:AB790" si="195">SUM(B737,B684)</f>
        <v>0</v>
      </c>
      <c r="C790">
        <f t="shared" si="195"/>
        <v>0</v>
      </c>
      <c r="D790">
        <f t="shared" si="195"/>
        <v>0</v>
      </c>
      <c r="E790">
        <f t="shared" si="195"/>
        <v>0</v>
      </c>
      <c r="F790">
        <f t="shared" si="195"/>
        <v>0</v>
      </c>
      <c r="G790">
        <f t="shared" si="195"/>
        <v>0</v>
      </c>
      <c r="H790">
        <f t="shared" si="195"/>
        <v>0</v>
      </c>
      <c r="I790">
        <f t="shared" si="195"/>
        <v>0</v>
      </c>
      <c r="J790">
        <f t="shared" si="195"/>
        <v>0</v>
      </c>
      <c r="K790">
        <f t="shared" si="195"/>
        <v>0</v>
      </c>
      <c r="L790">
        <f t="shared" si="195"/>
        <v>0</v>
      </c>
      <c r="M790">
        <f t="shared" si="195"/>
        <v>0</v>
      </c>
      <c r="N790">
        <f t="shared" si="195"/>
        <v>0</v>
      </c>
      <c r="O790">
        <f t="shared" si="195"/>
        <v>0</v>
      </c>
      <c r="P790">
        <f t="shared" si="195"/>
        <v>0</v>
      </c>
      <c r="Q790">
        <f t="shared" si="195"/>
        <v>0</v>
      </c>
      <c r="R790">
        <f t="shared" si="195"/>
        <v>0</v>
      </c>
      <c r="S790">
        <f t="shared" si="195"/>
        <v>0</v>
      </c>
      <c r="T790">
        <f t="shared" si="195"/>
        <v>0</v>
      </c>
      <c r="U790">
        <f t="shared" si="195"/>
        <v>0</v>
      </c>
      <c r="V790">
        <f t="shared" si="195"/>
        <v>0</v>
      </c>
      <c r="W790">
        <f t="shared" si="195"/>
        <v>0</v>
      </c>
      <c r="X790">
        <f t="shared" si="195"/>
        <v>0</v>
      </c>
      <c r="Y790">
        <f t="shared" si="195"/>
        <v>0</v>
      </c>
      <c r="Z790">
        <f t="shared" si="195"/>
        <v>2</v>
      </c>
      <c r="AA790">
        <f t="shared" si="195"/>
        <v>0</v>
      </c>
      <c r="AB790">
        <f t="shared" si="195"/>
        <v>0</v>
      </c>
      <c r="AC790" s="28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f t="shared" si="148"/>
        <v>0</v>
      </c>
      <c r="BG790">
        <f t="shared" si="149"/>
        <v>0</v>
      </c>
    </row>
    <row r="791" spans="1:59" ht="12" customHeight="1" x14ac:dyDescent="0.2">
      <c r="A791" t="s">
        <v>148</v>
      </c>
      <c r="B791">
        <f t="shared" ref="B791:AB791" si="196">SUM(B738,B685)</f>
        <v>0</v>
      </c>
      <c r="C791">
        <f t="shared" si="196"/>
        <v>0</v>
      </c>
      <c r="D791">
        <f t="shared" si="196"/>
        <v>0</v>
      </c>
      <c r="E791">
        <f t="shared" si="196"/>
        <v>0</v>
      </c>
      <c r="F791">
        <f t="shared" si="196"/>
        <v>0</v>
      </c>
      <c r="G791">
        <f t="shared" si="196"/>
        <v>0</v>
      </c>
      <c r="H791">
        <f t="shared" si="196"/>
        <v>0</v>
      </c>
      <c r="I791">
        <f t="shared" si="196"/>
        <v>0</v>
      </c>
      <c r="J791">
        <f t="shared" si="196"/>
        <v>0</v>
      </c>
      <c r="K791">
        <f t="shared" si="196"/>
        <v>0</v>
      </c>
      <c r="L791">
        <f t="shared" si="196"/>
        <v>0</v>
      </c>
      <c r="M791">
        <f t="shared" si="196"/>
        <v>0</v>
      </c>
      <c r="N791">
        <f t="shared" si="196"/>
        <v>0</v>
      </c>
      <c r="O791">
        <f t="shared" si="196"/>
        <v>0</v>
      </c>
      <c r="P791">
        <f t="shared" si="196"/>
        <v>7</v>
      </c>
      <c r="Q791">
        <f t="shared" si="196"/>
        <v>7</v>
      </c>
      <c r="R791">
        <f t="shared" si="196"/>
        <v>8</v>
      </c>
      <c r="S791">
        <f t="shared" si="196"/>
        <v>6</v>
      </c>
      <c r="T791">
        <f t="shared" si="196"/>
        <v>6</v>
      </c>
      <c r="U791">
        <f t="shared" si="196"/>
        <v>6</v>
      </c>
      <c r="V791">
        <f t="shared" si="196"/>
        <v>5</v>
      </c>
      <c r="W791">
        <f t="shared" si="196"/>
        <v>5</v>
      </c>
      <c r="X791">
        <f t="shared" si="196"/>
        <v>5</v>
      </c>
      <c r="Y791">
        <f t="shared" si="196"/>
        <v>6</v>
      </c>
      <c r="Z791">
        <f t="shared" si="196"/>
        <v>10</v>
      </c>
      <c r="AA791">
        <f t="shared" si="196"/>
        <v>10</v>
      </c>
      <c r="AB791">
        <f t="shared" si="196"/>
        <v>9</v>
      </c>
      <c r="AC791" s="28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f t="shared" si="148"/>
        <v>9</v>
      </c>
      <c r="BG791">
        <f t="shared" si="149"/>
        <v>-3</v>
      </c>
    </row>
    <row r="792" spans="1:59" ht="12" customHeight="1" x14ac:dyDescent="0.2">
      <c r="AC792" s="28"/>
    </row>
    <row r="793" spans="1:59" ht="12" customHeight="1" x14ac:dyDescent="0.2">
      <c r="A793" s="1" t="s">
        <v>163</v>
      </c>
      <c r="H793" s="2" t="s">
        <v>164</v>
      </c>
    </row>
    <row r="794" spans="1:59" ht="12" customHeight="1" x14ac:dyDescent="0.2">
      <c r="A794" s="1" t="s">
        <v>165</v>
      </c>
    </row>
    <row r="795" spans="1:59" ht="12" customHeight="1" x14ac:dyDescent="0.2">
      <c r="A795" s="19" t="s">
        <v>166</v>
      </c>
      <c r="B795">
        <v>1</v>
      </c>
      <c r="C795">
        <v>2</v>
      </c>
      <c r="D795">
        <v>3</v>
      </c>
      <c r="E795">
        <v>4</v>
      </c>
      <c r="F795">
        <v>5</v>
      </c>
      <c r="G795">
        <v>6</v>
      </c>
      <c r="H795">
        <v>7</v>
      </c>
      <c r="I795">
        <v>8</v>
      </c>
      <c r="J795">
        <v>9</v>
      </c>
      <c r="K795">
        <v>10</v>
      </c>
      <c r="L795">
        <v>11</v>
      </c>
      <c r="M795">
        <v>12</v>
      </c>
      <c r="N795">
        <v>13</v>
      </c>
      <c r="O795">
        <v>14</v>
      </c>
      <c r="P795">
        <v>15</v>
      </c>
      <c r="Q795">
        <v>16</v>
      </c>
      <c r="R795">
        <v>17</v>
      </c>
      <c r="S795">
        <v>18</v>
      </c>
      <c r="T795">
        <v>19</v>
      </c>
      <c r="U795">
        <v>20</v>
      </c>
      <c r="V795">
        <v>21</v>
      </c>
      <c r="W795">
        <v>22</v>
      </c>
      <c r="X795">
        <v>23</v>
      </c>
      <c r="Y795">
        <v>24</v>
      </c>
      <c r="Z795">
        <v>25</v>
      </c>
      <c r="AA795">
        <v>26</v>
      </c>
      <c r="AB795">
        <v>27</v>
      </c>
      <c r="AC795">
        <v>28</v>
      </c>
      <c r="AD795">
        <v>29</v>
      </c>
      <c r="AE795">
        <v>30</v>
      </c>
      <c r="AF795">
        <v>31</v>
      </c>
      <c r="AG795">
        <v>32</v>
      </c>
      <c r="AH795">
        <v>33</v>
      </c>
      <c r="AI795">
        <v>34</v>
      </c>
      <c r="AJ795">
        <v>35</v>
      </c>
      <c r="AK795">
        <v>36</v>
      </c>
      <c r="AL795">
        <v>37</v>
      </c>
      <c r="AM795">
        <v>38</v>
      </c>
      <c r="AN795">
        <v>39</v>
      </c>
      <c r="AO795">
        <v>40</v>
      </c>
      <c r="AP795">
        <v>41</v>
      </c>
      <c r="AQ795">
        <v>42</v>
      </c>
      <c r="AR795">
        <v>43</v>
      </c>
      <c r="AS795">
        <v>44</v>
      </c>
      <c r="AT795">
        <v>45</v>
      </c>
      <c r="AU795">
        <v>46</v>
      </c>
      <c r="AV795">
        <v>47</v>
      </c>
      <c r="AW795">
        <v>48</v>
      </c>
    </row>
    <row r="796" spans="1:59" ht="12" customHeight="1" x14ac:dyDescent="0.2">
      <c r="A796" t="s">
        <v>101</v>
      </c>
      <c r="B796">
        <v>191</v>
      </c>
      <c r="C796">
        <v>120</v>
      </c>
      <c r="D796">
        <v>86</v>
      </c>
      <c r="E796">
        <v>217</v>
      </c>
      <c r="F796">
        <v>201</v>
      </c>
      <c r="G796">
        <v>228</v>
      </c>
      <c r="H796">
        <v>202</v>
      </c>
      <c r="I796">
        <v>169</v>
      </c>
      <c r="J796">
        <v>191</v>
      </c>
      <c r="K796">
        <v>157</v>
      </c>
      <c r="L796">
        <v>130</v>
      </c>
      <c r="M796">
        <v>77</v>
      </c>
      <c r="N796">
        <v>91</v>
      </c>
      <c r="O796">
        <v>101</v>
      </c>
      <c r="P796">
        <v>89</v>
      </c>
      <c r="Q796">
        <v>97</v>
      </c>
      <c r="R796">
        <v>149</v>
      </c>
      <c r="S796">
        <v>125</v>
      </c>
      <c r="T796">
        <v>113</v>
      </c>
      <c r="U796">
        <v>98</v>
      </c>
      <c r="V796">
        <v>137</v>
      </c>
      <c r="W796">
        <v>286</v>
      </c>
      <c r="X796">
        <v>246</v>
      </c>
      <c r="Y796">
        <v>188</v>
      </c>
      <c r="Z796">
        <v>112</v>
      </c>
      <c r="AA796">
        <v>25</v>
      </c>
      <c r="AB796">
        <v>27</v>
      </c>
      <c r="AC796">
        <v>17</v>
      </c>
      <c r="AD796">
        <v>31</v>
      </c>
      <c r="AE796">
        <v>22</v>
      </c>
      <c r="AF796">
        <v>28</v>
      </c>
      <c r="AG796">
        <v>25</v>
      </c>
      <c r="AH796">
        <v>17</v>
      </c>
      <c r="AI796">
        <v>10</v>
      </c>
      <c r="AJ796">
        <v>3</v>
      </c>
      <c r="AK796">
        <v>2</v>
      </c>
      <c r="AL796">
        <v>1</v>
      </c>
      <c r="AM796">
        <v>0</v>
      </c>
      <c r="AN796">
        <v>0</v>
      </c>
      <c r="AO796">
        <v>1</v>
      </c>
      <c r="AP796">
        <v>1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3725</v>
      </c>
    </row>
    <row r="797" spans="1:59" ht="12" customHeight="1" x14ac:dyDescent="0.2">
      <c r="A797" t="s">
        <v>102</v>
      </c>
      <c r="B797">
        <v>16</v>
      </c>
      <c r="C797">
        <v>19</v>
      </c>
      <c r="D797">
        <v>22</v>
      </c>
      <c r="E797">
        <v>52</v>
      </c>
      <c r="F797">
        <v>29</v>
      </c>
      <c r="G797">
        <v>10</v>
      </c>
      <c r="H797">
        <v>8</v>
      </c>
      <c r="I797">
        <v>21</v>
      </c>
      <c r="J797">
        <v>18</v>
      </c>
      <c r="K797">
        <v>10</v>
      </c>
      <c r="L797">
        <v>8</v>
      </c>
      <c r="M797">
        <v>8</v>
      </c>
      <c r="N797">
        <v>13</v>
      </c>
      <c r="O797">
        <v>12</v>
      </c>
      <c r="P797">
        <v>5</v>
      </c>
      <c r="Q797">
        <v>11</v>
      </c>
      <c r="R797">
        <v>5</v>
      </c>
      <c r="S797">
        <v>11</v>
      </c>
      <c r="T797">
        <v>12</v>
      </c>
      <c r="U797">
        <v>11</v>
      </c>
      <c r="V797">
        <v>12</v>
      </c>
      <c r="W797">
        <v>10</v>
      </c>
      <c r="X797">
        <v>3</v>
      </c>
      <c r="Y797">
        <v>4</v>
      </c>
      <c r="Z797">
        <v>13</v>
      </c>
      <c r="AA797">
        <v>10</v>
      </c>
      <c r="AB797">
        <v>0</v>
      </c>
      <c r="AC797">
        <v>1</v>
      </c>
      <c r="AD797">
        <v>0</v>
      </c>
      <c r="AE797">
        <v>4</v>
      </c>
      <c r="AF797">
        <v>6</v>
      </c>
      <c r="AG797">
        <v>4</v>
      </c>
      <c r="AH797">
        <v>2</v>
      </c>
      <c r="AI797">
        <v>1</v>
      </c>
      <c r="AJ797">
        <v>0</v>
      </c>
      <c r="AK797">
        <v>1</v>
      </c>
      <c r="AL797">
        <v>0</v>
      </c>
      <c r="AM797">
        <v>0</v>
      </c>
      <c r="AN797">
        <v>1</v>
      </c>
      <c r="AO797">
        <v>2</v>
      </c>
      <c r="AP797">
        <v>2</v>
      </c>
      <c r="AQ797">
        <v>2</v>
      </c>
      <c r="AR797">
        <v>1</v>
      </c>
      <c r="AS797">
        <v>3</v>
      </c>
      <c r="AT797">
        <v>1</v>
      </c>
      <c r="AU797">
        <v>0</v>
      </c>
      <c r="AV797">
        <v>1</v>
      </c>
      <c r="AW797">
        <v>1</v>
      </c>
      <c r="AX797">
        <v>316</v>
      </c>
    </row>
    <row r="798" spans="1:59" ht="12" customHeight="1" x14ac:dyDescent="0.2">
      <c r="A798" t="s">
        <v>103</v>
      </c>
      <c r="B798">
        <v>40</v>
      </c>
      <c r="C798">
        <v>21</v>
      </c>
      <c r="D798">
        <v>16</v>
      </c>
      <c r="E798">
        <v>37</v>
      </c>
      <c r="F798">
        <v>23</v>
      </c>
      <c r="G798">
        <v>10</v>
      </c>
      <c r="H798">
        <v>26</v>
      </c>
      <c r="I798">
        <v>25</v>
      </c>
      <c r="J798">
        <v>20</v>
      </c>
      <c r="K798">
        <v>12</v>
      </c>
      <c r="L798">
        <v>12</v>
      </c>
      <c r="M798">
        <v>7</v>
      </c>
      <c r="N798">
        <v>6</v>
      </c>
      <c r="O798">
        <v>1</v>
      </c>
      <c r="P798">
        <v>3</v>
      </c>
      <c r="Q798">
        <v>2</v>
      </c>
      <c r="R798">
        <v>6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4</v>
      </c>
      <c r="AC798">
        <v>2</v>
      </c>
      <c r="AD798">
        <v>0</v>
      </c>
      <c r="AE798">
        <v>2</v>
      </c>
      <c r="AF798">
        <v>3</v>
      </c>
      <c r="AG798">
        <v>1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231</v>
      </c>
    </row>
    <row r="799" spans="1:59" ht="12" customHeight="1" x14ac:dyDescent="0.2">
      <c r="A799" t="s">
        <v>104</v>
      </c>
      <c r="B799">
        <v>201</v>
      </c>
      <c r="C799">
        <v>146</v>
      </c>
      <c r="D799">
        <v>109</v>
      </c>
      <c r="E799">
        <v>219</v>
      </c>
      <c r="F799">
        <v>251</v>
      </c>
      <c r="G799">
        <v>201</v>
      </c>
      <c r="H799">
        <v>235</v>
      </c>
      <c r="I799">
        <v>174</v>
      </c>
      <c r="J799">
        <v>122</v>
      </c>
      <c r="K799">
        <v>133</v>
      </c>
      <c r="L799">
        <v>143</v>
      </c>
      <c r="M799">
        <v>188</v>
      </c>
      <c r="N799">
        <v>165</v>
      </c>
      <c r="O799">
        <v>203</v>
      </c>
      <c r="P799">
        <v>203</v>
      </c>
      <c r="Q799">
        <v>184</v>
      </c>
      <c r="R799">
        <v>131</v>
      </c>
      <c r="S799">
        <v>96</v>
      </c>
      <c r="T799">
        <v>88</v>
      </c>
      <c r="U799">
        <v>73</v>
      </c>
      <c r="V799">
        <v>79</v>
      </c>
      <c r="W799">
        <v>91</v>
      </c>
      <c r="X799">
        <v>96</v>
      </c>
      <c r="Y799">
        <v>53</v>
      </c>
      <c r="Z799">
        <v>47</v>
      </c>
      <c r="AA799">
        <v>25</v>
      </c>
      <c r="AB799">
        <v>13</v>
      </c>
      <c r="AC799">
        <v>11</v>
      </c>
      <c r="AD799">
        <v>9</v>
      </c>
      <c r="AE799">
        <v>6</v>
      </c>
      <c r="AF799">
        <v>13</v>
      </c>
      <c r="AG799">
        <v>8</v>
      </c>
      <c r="AH799">
        <v>6</v>
      </c>
      <c r="AI799">
        <v>3</v>
      </c>
      <c r="AJ799">
        <v>3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3362</v>
      </c>
    </row>
    <row r="800" spans="1:59" ht="12" customHeight="1" x14ac:dyDescent="0.2">
      <c r="A800" t="s">
        <v>105</v>
      </c>
      <c r="B800">
        <v>4</v>
      </c>
      <c r="C800">
        <v>13</v>
      </c>
      <c r="D800">
        <v>9</v>
      </c>
      <c r="E800">
        <v>14</v>
      </c>
      <c r="F800">
        <v>30</v>
      </c>
      <c r="G800">
        <v>16</v>
      </c>
      <c r="H800">
        <v>13</v>
      </c>
      <c r="I800">
        <v>9</v>
      </c>
      <c r="J800">
        <v>12</v>
      </c>
      <c r="K800">
        <v>30</v>
      </c>
      <c r="L800">
        <v>25</v>
      </c>
      <c r="M800">
        <v>16</v>
      </c>
      <c r="N800">
        <v>18</v>
      </c>
      <c r="O800">
        <v>18</v>
      </c>
      <c r="P800">
        <v>12</v>
      </c>
      <c r="Q800">
        <v>11</v>
      </c>
      <c r="R800">
        <v>4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256</v>
      </c>
    </row>
    <row r="801" spans="1:50" ht="12" customHeight="1" x14ac:dyDescent="0.2">
      <c r="A801" t="s">
        <v>106</v>
      </c>
      <c r="B801">
        <v>3</v>
      </c>
      <c r="C801">
        <v>2</v>
      </c>
      <c r="D801">
        <v>0</v>
      </c>
      <c r="E801">
        <v>10</v>
      </c>
      <c r="F801">
        <v>4</v>
      </c>
      <c r="G801">
        <v>14</v>
      </c>
      <c r="H801">
        <v>10</v>
      </c>
      <c r="I801">
        <v>12</v>
      </c>
      <c r="J801">
        <v>14</v>
      </c>
      <c r="K801">
        <v>17</v>
      </c>
      <c r="L801">
        <v>21</v>
      </c>
      <c r="M801">
        <v>36</v>
      </c>
      <c r="N801">
        <v>8</v>
      </c>
      <c r="O801">
        <v>9</v>
      </c>
      <c r="P801">
        <v>9</v>
      </c>
      <c r="Q801">
        <v>5</v>
      </c>
      <c r="R801">
        <v>14</v>
      </c>
      <c r="S801">
        <v>18</v>
      </c>
      <c r="T801">
        <v>11</v>
      </c>
      <c r="U801">
        <v>17</v>
      </c>
      <c r="V801">
        <v>13</v>
      </c>
      <c r="W801">
        <v>9</v>
      </c>
      <c r="X801">
        <v>7</v>
      </c>
      <c r="Y801">
        <v>3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310</v>
      </c>
    </row>
    <row r="802" spans="1:50" ht="12" customHeight="1" x14ac:dyDescent="0.2">
      <c r="A802" t="s">
        <v>107</v>
      </c>
      <c r="B802">
        <v>8</v>
      </c>
      <c r="C802">
        <v>5</v>
      </c>
      <c r="D802">
        <v>3</v>
      </c>
      <c r="E802">
        <v>7</v>
      </c>
      <c r="F802">
        <v>10</v>
      </c>
      <c r="G802">
        <v>7</v>
      </c>
      <c r="H802">
        <v>6</v>
      </c>
      <c r="I802">
        <v>7</v>
      </c>
      <c r="J802">
        <v>2</v>
      </c>
      <c r="K802">
        <v>8</v>
      </c>
      <c r="L802">
        <v>17</v>
      </c>
      <c r="M802">
        <v>18</v>
      </c>
      <c r="N802">
        <v>11</v>
      </c>
      <c r="O802">
        <v>20</v>
      </c>
      <c r="P802">
        <v>6</v>
      </c>
      <c r="Q802">
        <v>8</v>
      </c>
      <c r="R802">
        <v>10</v>
      </c>
      <c r="S802">
        <v>3</v>
      </c>
      <c r="T802">
        <v>8</v>
      </c>
      <c r="U802">
        <v>8</v>
      </c>
      <c r="V802">
        <v>7</v>
      </c>
      <c r="W802">
        <v>0</v>
      </c>
      <c r="X802">
        <v>5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172</v>
      </c>
    </row>
    <row r="803" spans="1:50" ht="12" customHeight="1" x14ac:dyDescent="0.2">
      <c r="A803" t="s">
        <v>108</v>
      </c>
      <c r="B803">
        <v>4</v>
      </c>
      <c r="C803">
        <v>17</v>
      </c>
      <c r="D803">
        <v>14</v>
      </c>
      <c r="E803">
        <v>16</v>
      </c>
      <c r="F803">
        <v>40</v>
      </c>
      <c r="G803">
        <v>41</v>
      </c>
      <c r="H803">
        <v>20</v>
      </c>
      <c r="I803">
        <v>17</v>
      </c>
      <c r="J803">
        <v>36</v>
      </c>
      <c r="K803">
        <v>20</v>
      </c>
      <c r="L803">
        <v>9</v>
      </c>
      <c r="M803">
        <v>18</v>
      </c>
      <c r="N803">
        <v>6</v>
      </c>
      <c r="O803">
        <v>21</v>
      </c>
      <c r="P803">
        <v>15</v>
      </c>
      <c r="Q803">
        <v>15</v>
      </c>
      <c r="R803">
        <v>12</v>
      </c>
      <c r="S803">
        <v>14</v>
      </c>
      <c r="T803">
        <v>17</v>
      </c>
      <c r="U803">
        <v>14</v>
      </c>
      <c r="V803">
        <v>16</v>
      </c>
      <c r="W803">
        <v>8</v>
      </c>
      <c r="X803">
        <v>5</v>
      </c>
      <c r="Y803">
        <v>4</v>
      </c>
      <c r="Z803">
        <v>7</v>
      </c>
      <c r="AA803">
        <v>9</v>
      </c>
      <c r="AB803">
        <v>3</v>
      </c>
      <c r="AC803">
        <v>3</v>
      </c>
      <c r="AD803">
        <v>4</v>
      </c>
      <c r="AE803">
        <v>1</v>
      </c>
      <c r="AF803">
        <v>0</v>
      </c>
      <c r="AG803">
        <v>1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555</v>
      </c>
    </row>
    <row r="804" spans="1:50" ht="12" customHeight="1" x14ac:dyDescent="0.2">
      <c r="A804" t="s">
        <v>109</v>
      </c>
      <c r="B804">
        <v>18</v>
      </c>
      <c r="C804">
        <v>4</v>
      </c>
      <c r="D804">
        <v>6</v>
      </c>
      <c r="E804">
        <v>9</v>
      </c>
      <c r="F804">
        <v>4</v>
      </c>
      <c r="G804">
        <v>3</v>
      </c>
      <c r="H804">
        <v>4</v>
      </c>
      <c r="I804">
        <v>2</v>
      </c>
      <c r="J804">
        <v>7</v>
      </c>
      <c r="K804">
        <v>10</v>
      </c>
      <c r="L804">
        <v>5</v>
      </c>
      <c r="M804">
        <v>11</v>
      </c>
      <c r="N804">
        <v>8</v>
      </c>
      <c r="O804">
        <v>4</v>
      </c>
      <c r="P804">
        <v>9</v>
      </c>
      <c r="Q804">
        <v>5</v>
      </c>
      <c r="R804">
        <v>9</v>
      </c>
      <c r="S804">
        <v>5</v>
      </c>
      <c r="T804">
        <v>1</v>
      </c>
      <c r="U804">
        <v>3</v>
      </c>
      <c r="V804">
        <v>5</v>
      </c>
      <c r="W804">
        <v>1</v>
      </c>
      <c r="X804">
        <v>3</v>
      </c>
      <c r="Y804">
        <v>4</v>
      </c>
      <c r="Z804">
        <v>6</v>
      </c>
      <c r="AA804">
        <v>1</v>
      </c>
      <c r="AB804">
        <v>2</v>
      </c>
      <c r="AC804">
        <v>4</v>
      </c>
      <c r="AD804">
        <v>2</v>
      </c>
      <c r="AE804">
        <v>3</v>
      </c>
      <c r="AF804">
        <v>4</v>
      </c>
      <c r="AG804">
        <v>2</v>
      </c>
      <c r="AH804">
        <v>1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186</v>
      </c>
    </row>
    <row r="805" spans="1:50" ht="12" customHeight="1" x14ac:dyDescent="0.2">
      <c r="A805" t="s">
        <v>110</v>
      </c>
      <c r="B805">
        <v>69</v>
      </c>
      <c r="C805">
        <v>122</v>
      </c>
      <c r="D805">
        <v>109</v>
      </c>
      <c r="E805">
        <v>164</v>
      </c>
      <c r="F805">
        <v>254</v>
      </c>
      <c r="G805">
        <v>297</v>
      </c>
      <c r="H805">
        <v>290</v>
      </c>
      <c r="I805">
        <v>300</v>
      </c>
      <c r="J805">
        <v>263</v>
      </c>
      <c r="K805">
        <v>249</v>
      </c>
      <c r="L805">
        <v>192</v>
      </c>
      <c r="M805">
        <v>163</v>
      </c>
      <c r="N805">
        <v>150</v>
      </c>
      <c r="O805">
        <v>146</v>
      </c>
      <c r="P805">
        <v>91</v>
      </c>
      <c r="Q805">
        <v>84</v>
      </c>
      <c r="R805">
        <v>67</v>
      </c>
      <c r="S805">
        <v>64</v>
      </c>
      <c r="T805">
        <v>31</v>
      </c>
      <c r="U805">
        <v>30</v>
      </c>
      <c r="V805">
        <v>19</v>
      </c>
      <c r="W805">
        <v>11</v>
      </c>
      <c r="X805">
        <v>10</v>
      </c>
      <c r="Y805">
        <v>5</v>
      </c>
      <c r="Z805">
        <v>3</v>
      </c>
      <c r="AA805">
        <v>2</v>
      </c>
      <c r="AB805">
        <v>0</v>
      </c>
      <c r="AC805">
        <v>4</v>
      </c>
      <c r="AD805">
        <v>2</v>
      </c>
      <c r="AE805">
        <v>0</v>
      </c>
      <c r="AF805">
        <v>1</v>
      </c>
      <c r="AG805">
        <v>1</v>
      </c>
      <c r="AH805">
        <v>1</v>
      </c>
      <c r="AI805">
        <v>0</v>
      </c>
      <c r="AJ805">
        <v>2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3113</v>
      </c>
    </row>
    <row r="806" spans="1:50" ht="12" customHeight="1" x14ac:dyDescent="0.2">
      <c r="A806" t="s">
        <v>111</v>
      </c>
      <c r="B806">
        <v>65</v>
      </c>
      <c r="C806">
        <v>62</v>
      </c>
      <c r="D806">
        <v>50</v>
      </c>
      <c r="E806">
        <v>57</v>
      </c>
      <c r="F806">
        <v>66</v>
      </c>
      <c r="G806">
        <v>40</v>
      </c>
      <c r="H806">
        <v>21</v>
      </c>
      <c r="I806">
        <v>7</v>
      </c>
      <c r="J806">
        <v>18</v>
      </c>
      <c r="K806">
        <v>21</v>
      </c>
      <c r="L806">
        <v>3</v>
      </c>
      <c r="M806">
        <v>3</v>
      </c>
      <c r="N806">
        <v>10</v>
      </c>
      <c r="O806">
        <v>21</v>
      </c>
      <c r="P806">
        <v>13</v>
      </c>
      <c r="Q806">
        <v>23</v>
      </c>
      <c r="R806">
        <v>13</v>
      </c>
      <c r="S806">
        <v>4</v>
      </c>
      <c r="T806">
        <v>0</v>
      </c>
      <c r="U806">
        <v>1</v>
      </c>
      <c r="V806">
        <v>1</v>
      </c>
      <c r="W806">
        <v>0</v>
      </c>
      <c r="X806">
        <v>1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2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</v>
      </c>
      <c r="AX806">
        <v>490</v>
      </c>
    </row>
    <row r="807" spans="1:50" ht="12" customHeight="1" x14ac:dyDescent="0.2">
      <c r="A807" t="s">
        <v>112</v>
      </c>
      <c r="B807">
        <v>31</v>
      </c>
      <c r="C807">
        <v>23</v>
      </c>
      <c r="D807">
        <v>19</v>
      </c>
      <c r="E807">
        <v>76</v>
      </c>
      <c r="F807">
        <v>68</v>
      </c>
      <c r="G807">
        <v>78</v>
      </c>
      <c r="H807">
        <v>72</v>
      </c>
      <c r="I807">
        <v>87</v>
      </c>
      <c r="J807">
        <v>103</v>
      </c>
      <c r="K807">
        <v>112</v>
      </c>
      <c r="L807">
        <v>105</v>
      </c>
      <c r="M807">
        <v>63</v>
      </c>
      <c r="N807">
        <v>63</v>
      </c>
      <c r="O807">
        <v>30</v>
      </c>
      <c r="P807">
        <v>39</v>
      </c>
      <c r="Q807">
        <v>32</v>
      </c>
      <c r="R807">
        <v>30</v>
      </c>
      <c r="S807">
        <v>17</v>
      </c>
      <c r="T807">
        <v>10</v>
      </c>
      <c r="U807">
        <v>3</v>
      </c>
      <c r="V807">
        <v>4</v>
      </c>
      <c r="W807">
        <v>4</v>
      </c>
      <c r="X807">
        <v>3</v>
      </c>
      <c r="Y807">
        <v>3</v>
      </c>
      <c r="Z807">
        <v>3</v>
      </c>
      <c r="AA807">
        <v>4</v>
      </c>
      <c r="AB807">
        <v>1</v>
      </c>
      <c r="AC807">
        <v>2</v>
      </c>
      <c r="AD807">
        <v>4</v>
      </c>
      <c r="AE807">
        <v>2</v>
      </c>
      <c r="AF807">
        <v>3</v>
      </c>
      <c r="AG807">
        <v>1</v>
      </c>
      <c r="AH807">
        <v>4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</v>
      </c>
      <c r="AT807">
        <v>0</v>
      </c>
      <c r="AU807">
        <v>0</v>
      </c>
      <c r="AV807">
        <v>0</v>
      </c>
      <c r="AW807">
        <v>0</v>
      </c>
      <c r="AX807">
        <v>809</v>
      </c>
    </row>
    <row r="808" spans="1:50" ht="12" customHeight="1" x14ac:dyDescent="0.2">
      <c r="A808" t="s">
        <v>113</v>
      </c>
      <c r="B808">
        <v>45</v>
      </c>
      <c r="C808">
        <v>36</v>
      </c>
      <c r="D808">
        <v>29</v>
      </c>
      <c r="E808">
        <v>30</v>
      </c>
      <c r="F808">
        <v>42</v>
      </c>
      <c r="G808">
        <v>33</v>
      </c>
      <c r="H808">
        <v>31</v>
      </c>
      <c r="I808">
        <v>43</v>
      </c>
      <c r="J808">
        <v>29</v>
      </c>
      <c r="K808">
        <v>26</v>
      </c>
      <c r="L808">
        <v>35</v>
      </c>
      <c r="M808">
        <v>29</v>
      </c>
      <c r="N808">
        <v>26</v>
      </c>
      <c r="O808">
        <v>29</v>
      </c>
      <c r="P808">
        <v>9</v>
      </c>
      <c r="Q808">
        <v>7</v>
      </c>
      <c r="R808">
        <v>9</v>
      </c>
      <c r="S808">
        <v>4</v>
      </c>
      <c r="T808">
        <v>6</v>
      </c>
      <c r="U808">
        <v>9</v>
      </c>
      <c r="V808">
        <v>3</v>
      </c>
      <c r="W808">
        <v>8</v>
      </c>
      <c r="X808">
        <v>6</v>
      </c>
      <c r="Y808">
        <v>14</v>
      </c>
      <c r="Z808">
        <v>10</v>
      </c>
      <c r="AA808">
        <v>7</v>
      </c>
      <c r="AB808">
        <v>5</v>
      </c>
      <c r="AC808">
        <v>1</v>
      </c>
      <c r="AD808">
        <v>3</v>
      </c>
      <c r="AE808">
        <v>4</v>
      </c>
      <c r="AF808">
        <v>13</v>
      </c>
      <c r="AG808">
        <v>4</v>
      </c>
      <c r="AH808">
        <v>5</v>
      </c>
      <c r="AI808">
        <v>3</v>
      </c>
      <c r="AJ808">
        <v>2</v>
      </c>
      <c r="AK808">
        <v>2</v>
      </c>
      <c r="AL808">
        <v>2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563</v>
      </c>
    </row>
    <row r="809" spans="1:50" ht="12" customHeight="1" x14ac:dyDescent="0.2">
      <c r="A809" t="s">
        <v>114</v>
      </c>
      <c r="B809">
        <v>13</v>
      </c>
      <c r="C809">
        <v>7</v>
      </c>
      <c r="D809">
        <v>14</v>
      </c>
      <c r="E809">
        <v>8</v>
      </c>
      <c r="F809">
        <v>9</v>
      </c>
      <c r="G809">
        <v>12</v>
      </c>
      <c r="H809">
        <v>11</v>
      </c>
      <c r="I809">
        <v>13</v>
      </c>
      <c r="J809">
        <v>11</v>
      </c>
      <c r="K809">
        <v>9</v>
      </c>
      <c r="L809">
        <v>19</v>
      </c>
      <c r="M809">
        <v>26</v>
      </c>
      <c r="N809">
        <v>22</v>
      </c>
      <c r="O809">
        <v>23</v>
      </c>
      <c r="P809">
        <v>17</v>
      </c>
      <c r="Q809">
        <v>30</v>
      </c>
      <c r="R809">
        <v>19</v>
      </c>
      <c r="S809">
        <v>11</v>
      </c>
      <c r="T809">
        <v>11</v>
      </c>
      <c r="U809">
        <v>10</v>
      </c>
      <c r="V809">
        <v>14</v>
      </c>
      <c r="W809">
        <v>10</v>
      </c>
      <c r="X809">
        <v>6</v>
      </c>
      <c r="Y809">
        <v>4</v>
      </c>
      <c r="Z809">
        <v>9</v>
      </c>
      <c r="AA809">
        <v>7</v>
      </c>
      <c r="AB809">
        <v>3</v>
      </c>
      <c r="AC809">
        <v>0</v>
      </c>
      <c r="AD809">
        <v>3</v>
      </c>
      <c r="AE809">
        <v>3</v>
      </c>
      <c r="AF809">
        <v>6</v>
      </c>
      <c r="AG809">
        <v>6</v>
      </c>
      <c r="AH809">
        <v>4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2</v>
      </c>
      <c r="AO809">
        <v>0</v>
      </c>
      <c r="AP809">
        <v>1</v>
      </c>
      <c r="AQ809">
        <v>1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1</v>
      </c>
      <c r="AX809">
        <v>390</v>
      </c>
    </row>
    <row r="810" spans="1:50" ht="12" customHeight="1" x14ac:dyDescent="0.2">
      <c r="A810" t="s">
        <v>115</v>
      </c>
      <c r="B810">
        <v>8</v>
      </c>
      <c r="C810">
        <v>9</v>
      </c>
      <c r="D810">
        <v>4</v>
      </c>
      <c r="E810">
        <v>32</v>
      </c>
      <c r="F810">
        <v>26</v>
      </c>
      <c r="G810">
        <v>13</v>
      </c>
      <c r="H810">
        <v>12</v>
      </c>
      <c r="I810">
        <v>23</v>
      </c>
      <c r="J810">
        <v>18</v>
      </c>
      <c r="K810">
        <v>22</v>
      </c>
      <c r="L810">
        <v>18</v>
      </c>
      <c r="M810">
        <v>20</v>
      </c>
      <c r="N810">
        <v>19</v>
      </c>
      <c r="O810">
        <v>10</v>
      </c>
      <c r="P810">
        <v>14</v>
      </c>
      <c r="Q810">
        <v>24</v>
      </c>
      <c r="R810">
        <v>12</v>
      </c>
      <c r="S810">
        <v>1</v>
      </c>
      <c r="T810">
        <v>2</v>
      </c>
      <c r="U810">
        <v>1</v>
      </c>
      <c r="V810">
        <v>4</v>
      </c>
      <c r="W810">
        <v>6</v>
      </c>
      <c r="X810">
        <v>2</v>
      </c>
      <c r="Y810">
        <v>1</v>
      </c>
      <c r="Z810">
        <v>0</v>
      </c>
      <c r="AA810">
        <v>2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283</v>
      </c>
    </row>
    <row r="811" spans="1:50" ht="12" customHeight="1" x14ac:dyDescent="0.2">
      <c r="A811" t="s">
        <v>116</v>
      </c>
      <c r="B811">
        <v>28</v>
      </c>
      <c r="C811">
        <v>25</v>
      </c>
      <c r="D811">
        <v>9</v>
      </c>
      <c r="E811">
        <v>45</v>
      </c>
      <c r="F811">
        <v>32</v>
      </c>
      <c r="G811">
        <v>17</v>
      </c>
      <c r="H811">
        <v>23</v>
      </c>
      <c r="I811">
        <v>27</v>
      </c>
      <c r="J811">
        <v>37</v>
      </c>
      <c r="K811">
        <v>29</v>
      </c>
      <c r="L811">
        <v>36</v>
      </c>
      <c r="M811">
        <v>38</v>
      </c>
      <c r="N811">
        <v>33</v>
      </c>
      <c r="O811">
        <v>25</v>
      </c>
      <c r="P811">
        <v>18</v>
      </c>
      <c r="Q811">
        <v>12</v>
      </c>
      <c r="R811">
        <v>22</v>
      </c>
      <c r="S811">
        <v>5</v>
      </c>
      <c r="T811">
        <v>8</v>
      </c>
      <c r="U811">
        <v>7</v>
      </c>
      <c r="V811">
        <v>11</v>
      </c>
      <c r="W811">
        <v>10</v>
      </c>
      <c r="X811">
        <v>5</v>
      </c>
      <c r="Y811">
        <v>3</v>
      </c>
      <c r="Z811">
        <v>1</v>
      </c>
      <c r="AA811">
        <v>3</v>
      </c>
      <c r="AB811">
        <v>3</v>
      </c>
      <c r="AC811">
        <v>1</v>
      </c>
      <c r="AD811">
        <v>8</v>
      </c>
      <c r="AE811">
        <v>0</v>
      </c>
      <c r="AF811">
        <v>1</v>
      </c>
      <c r="AG811">
        <v>2</v>
      </c>
      <c r="AH811">
        <v>6</v>
      </c>
      <c r="AI811">
        <v>4</v>
      </c>
      <c r="AJ811">
        <v>4</v>
      </c>
      <c r="AK811">
        <v>3</v>
      </c>
      <c r="AL811">
        <v>1</v>
      </c>
      <c r="AM811">
        <v>0</v>
      </c>
      <c r="AN811">
        <v>3</v>
      </c>
      <c r="AO811">
        <v>4</v>
      </c>
      <c r="AP811">
        <v>1</v>
      </c>
      <c r="AQ811">
        <v>2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506</v>
      </c>
    </row>
    <row r="812" spans="1:50" ht="12" customHeight="1" x14ac:dyDescent="0.2">
      <c r="A812" t="s">
        <v>117</v>
      </c>
      <c r="B812">
        <v>19</v>
      </c>
      <c r="C812">
        <v>8</v>
      </c>
      <c r="D812">
        <v>44</v>
      </c>
      <c r="E812">
        <v>39</v>
      </c>
      <c r="F812">
        <v>25</v>
      </c>
      <c r="G812">
        <v>35</v>
      </c>
      <c r="H812">
        <v>25</v>
      </c>
      <c r="I812">
        <v>33</v>
      </c>
      <c r="J812">
        <v>16</v>
      </c>
      <c r="K812">
        <v>15</v>
      </c>
      <c r="L812">
        <v>13</v>
      </c>
      <c r="M812">
        <v>2</v>
      </c>
      <c r="N812">
        <v>5</v>
      </c>
      <c r="O812">
        <v>1</v>
      </c>
      <c r="P812">
        <v>0</v>
      </c>
      <c r="Q812">
        <v>11</v>
      </c>
      <c r="R812">
        <v>9</v>
      </c>
      <c r="S812">
        <v>3</v>
      </c>
      <c r="T812">
        <v>13</v>
      </c>
      <c r="U812">
        <v>9</v>
      </c>
      <c r="V812">
        <v>28</v>
      </c>
      <c r="W812">
        <v>38</v>
      </c>
      <c r="X812">
        <v>48</v>
      </c>
      <c r="Y812">
        <v>45</v>
      </c>
      <c r="Z812">
        <v>30</v>
      </c>
      <c r="AA812">
        <v>21</v>
      </c>
      <c r="AB812">
        <v>16</v>
      </c>
      <c r="AC812">
        <v>12</v>
      </c>
      <c r="AD812">
        <v>10</v>
      </c>
      <c r="AE812">
        <v>15</v>
      </c>
      <c r="AF812">
        <v>17</v>
      </c>
      <c r="AG812">
        <v>12</v>
      </c>
      <c r="AH812">
        <v>8</v>
      </c>
      <c r="AI812">
        <v>2</v>
      </c>
      <c r="AJ812">
        <v>1</v>
      </c>
      <c r="AK812">
        <v>1</v>
      </c>
      <c r="AL812">
        <v>0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2</v>
      </c>
      <c r="AX812">
        <v>536</v>
      </c>
    </row>
    <row r="813" spans="1:50" ht="12" customHeight="1" x14ac:dyDescent="0.2">
      <c r="A813" t="s">
        <v>118</v>
      </c>
      <c r="B813">
        <v>1</v>
      </c>
      <c r="C813">
        <v>0</v>
      </c>
      <c r="D813">
        <v>3</v>
      </c>
      <c r="E813">
        <v>5</v>
      </c>
      <c r="F813">
        <v>4</v>
      </c>
      <c r="G813">
        <v>9</v>
      </c>
      <c r="H813">
        <v>12</v>
      </c>
      <c r="I813">
        <v>5</v>
      </c>
      <c r="J813">
        <v>9</v>
      </c>
      <c r="K813">
        <v>4</v>
      </c>
      <c r="L813">
        <v>0</v>
      </c>
      <c r="M813">
        <v>0</v>
      </c>
      <c r="N813">
        <v>2</v>
      </c>
      <c r="O813">
        <v>7</v>
      </c>
      <c r="P813">
        <v>10</v>
      </c>
      <c r="Q813">
        <v>7</v>
      </c>
      <c r="R813">
        <v>3</v>
      </c>
      <c r="S813">
        <v>0</v>
      </c>
      <c r="T813">
        <v>0</v>
      </c>
      <c r="U813">
        <v>3</v>
      </c>
      <c r="V813">
        <v>1</v>
      </c>
      <c r="W813">
        <v>6</v>
      </c>
      <c r="X813">
        <v>1</v>
      </c>
      <c r="Y813">
        <v>5</v>
      </c>
      <c r="Z813">
        <v>1</v>
      </c>
      <c r="AA813">
        <v>1</v>
      </c>
      <c r="AB813">
        <v>0</v>
      </c>
      <c r="AC813">
        <v>1</v>
      </c>
      <c r="AD813">
        <v>0</v>
      </c>
      <c r="AE813">
        <v>1</v>
      </c>
      <c r="AF813">
        <v>0</v>
      </c>
      <c r="AG813">
        <v>1</v>
      </c>
      <c r="AH813">
        <v>0</v>
      </c>
      <c r="AI813">
        <v>2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90</v>
      </c>
    </row>
    <row r="814" spans="1:50" ht="12" customHeight="1" x14ac:dyDescent="0.2">
      <c r="A814" t="s">
        <v>119</v>
      </c>
      <c r="B814">
        <v>1</v>
      </c>
      <c r="C814">
        <v>0</v>
      </c>
      <c r="D814">
        <v>0</v>
      </c>
      <c r="E814">
        <v>2</v>
      </c>
      <c r="F814">
        <v>2</v>
      </c>
      <c r="G814">
        <v>2</v>
      </c>
      <c r="H814">
        <v>4</v>
      </c>
      <c r="I814">
        <v>3</v>
      </c>
      <c r="J814">
        <v>3</v>
      </c>
      <c r="K814">
        <v>2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18</v>
      </c>
    </row>
    <row r="815" spans="1:50" ht="12" customHeight="1" x14ac:dyDescent="0.2">
      <c r="A815" t="s">
        <v>120</v>
      </c>
      <c r="B815">
        <v>33</v>
      </c>
      <c r="C815">
        <v>30</v>
      </c>
      <c r="D815">
        <v>51</v>
      </c>
      <c r="E815">
        <v>84</v>
      </c>
      <c r="F815">
        <v>50</v>
      </c>
      <c r="G815">
        <v>42</v>
      </c>
      <c r="H815">
        <v>66</v>
      </c>
      <c r="I815">
        <v>58</v>
      </c>
      <c r="J815">
        <v>54</v>
      </c>
      <c r="K815">
        <v>43</v>
      </c>
      <c r="L815">
        <v>36</v>
      </c>
      <c r="M815">
        <v>29</v>
      </c>
      <c r="N815">
        <v>27</v>
      </c>
      <c r="O815">
        <v>30</v>
      </c>
      <c r="P815">
        <v>29</v>
      </c>
      <c r="Q815">
        <v>24</v>
      </c>
      <c r="R815">
        <v>26</v>
      </c>
      <c r="S815">
        <v>19</v>
      </c>
      <c r="T815">
        <v>31</v>
      </c>
      <c r="U815">
        <v>16</v>
      </c>
      <c r="V815">
        <v>21</v>
      </c>
      <c r="W815">
        <v>18</v>
      </c>
      <c r="X815">
        <v>34</v>
      </c>
      <c r="Y815">
        <v>27</v>
      </c>
      <c r="Z815">
        <v>16</v>
      </c>
      <c r="AA815">
        <v>15</v>
      </c>
      <c r="AB815">
        <v>4</v>
      </c>
      <c r="AC815">
        <v>1</v>
      </c>
      <c r="AD815">
        <v>4</v>
      </c>
      <c r="AE815">
        <v>1</v>
      </c>
      <c r="AF815">
        <v>4</v>
      </c>
      <c r="AG815">
        <v>0</v>
      </c>
      <c r="AH815">
        <v>3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840</v>
      </c>
    </row>
    <row r="816" spans="1:50" ht="12" customHeight="1" x14ac:dyDescent="0.2">
      <c r="A816" t="s">
        <v>121</v>
      </c>
      <c r="B816">
        <v>2</v>
      </c>
      <c r="C816">
        <v>9</v>
      </c>
      <c r="D816">
        <v>13</v>
      </c>
      <c r="E816">
        <v>21</v>
      </c>
      <c r="F816">
        <v>10</v>
      </c>
      <c r="G816">
        <v>11</v>
      </c>
      <c r="H816">
        <v>19</v>
      </c>
      <c r="I816">
        <v>19</v>
      </c>
      <c r="J816">
        <v>15</v>
      </c>
      <c r="K816">
        <v>16</v>
      </c>
      <c r="L816">
        <v>21</v>
      </c>
      <c r="M816">
        <v>18</v>
      </c>
      <c r="N816">
        <v>5</v>
      </c>
      <c r="O816">
        <v>9</v>
      </c>
      <c r="P816">
        <v>6</v>
      </c>
      <c r="Q816">
        <v>5</v>
      </c>
      <c r="R816">
        <v>6</v>
      </c>
      <c r="S816">
        <v>8</v>
      </c>
      <c r="T816">
        <v>5</v>
      </c>
      <c r="U816">
        <v>6</v>
      </c>
      <c r="V816">
        <v>10</v>
      </c>
      <c r="W816">
        <v>0</v>
      </c>
      <c r="X816">
        <v>0</v>
      </c>
      <c r="Y816">
        <v>0</v>
      </c>
      <c r="Z816">
        <v>4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230</v>
      </c>
    </row>
    <row r="817" spans="1:50" ht="12" customHeight="1" x14ac:dyDescent="0.2">
      <c r="A817" t="s">
        <v>122</v>
      </c>
      <c r="B817">
        <v>0</v>
      </c>
      <c r="C817">
        <v>0</v>
      </c>
      <c r="D817">
        <v>0</v>
      </c>
      <c r="E817">
        <v>4</v>
      </c>
      <c r="F817">
        <v>8</v>
      </c>
      <c r="G817">
        <v>4</v>
      </c>
      <c r="H817">
        <v>3</v>
      </c>
      <c r="I817">
        <v>1</v>
      </c>
      <c r="J817">
        <v>5</v>
      </c>
      <c r="K817">
        <v>2</v>
      </c>
      <c r="L817">
        <v>1</v>
      </c>
      <c r="M817">
        <v>9</v>
      </c>
      <c r="N817">
        <v>4</v>
      </c>
      <c r="O817">
        <v>3</v>
      </c>
      <c r="P817">
        <v>6</v>
      </c>
      <c r="Q817">
        <v>2</v>
      </c>
      <c r="R817">
        <v>0</v>
      </c>
      <c r="S817">
        <v>3</v>
      </c>
      <c r="T817">
        <v>4</v>
      </c>
      <c r="U817">
        <v>4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59</v>
      </c>
    </row>
    <row r="818" spans="1:50" ht="12" customHeight="1" x14ac:dyDescent="0.2">
      <c r="A818" t="s">
        <v>123</v>
      </c>
      <c r="B818">
        <v>0</v>
      </c>
      <c r="C818">
        <v>1</v>
      </c>
      <c r="D818">
        <v>4</v>
      </c>
      <c r="E818">
        <v>7</v>
      </c>
      <c r="F818">
        <v>11</v>
      </c>
      <c r="G818">
        <v>11</v>
      </c>
      <c r="H818">
        <v>6</v>
      </c>
      <c r="I818">
        <v>11</v>
      </c>
      <c r="J818">
        <v>7</v>
      </c>
      <c r="K818">
        <v>9</v>
      </c>
      <c r="L818">
        <v>4</v>
      </c>
      <c r="M818">
        <v>8</v>
      </c>
      <c r="N818">
        <v>7</v>
      </c>
      <c r="O818">
        <v>7</v>
      </c>
      <c r="P818">
        <v>1</v>
      </c>
      <c r="Q818">
        <v>7</v>
      </c>
      <c r="R818">
        <v>3</v>
      </c>
      <c r="S818">
        <v>5</v>
      </c>
      <c r="T818">
        <v>2</v>
      </c>
      <c r="U818">
        <v>1</v>
      </c>
      <c r="V818">
        <v>3</v>
      </c>
      <c r="W818">
        <v>2</v>
      </c>
      <c r="X818">
        <v>5</v>
      </c>
      <c r="Y818">
        <v>4</v>
      </c>
      <c r="Z818">
        <v>5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100</v>
      </c>
    </row>
    <row r="819" spans="1:50" ht="12" customHeight="1" x14ac:dyDescent="0.2">
      <c r="A819" t="s">
        <v>124</v>
      </c>
      <c r="B819">
        <v>0</v>
      </c>
      <c r="C819">
        <v>2</v>
      </c>
      <c r="D819">
        <v>7</v>
      </c>
      <c r="E819">
        <v>2</v>
      </c>
      <c r="F819">
        <v>1</v>
      </c>
      <c r="G819">
        <v>1</v>
      </c>
      <c r="H819">
        <v>1</v>
      </c>
      <c r="I819">
        <v>3</v>
      </c>
      <c r="J819">
        <v>5</v>
      </c>
      <c r="K819">
        <v>3</v>
      </c>
      <c r="L819">
        <v>6</v>
      </c>
      <c r="M819">
        <v>4</v>
      </c>
      <c r="N819">
        <v>0</v>
      </c>
      <c r="O819">
        <v>1</v>
      </c>
      <c r="P819">
        <v>2</v>
      </c>
      <c r="Q819">
        <v>0</v>
      </c>
      <c r="R819">
        <v>5</v>
      </c>
      <c r="S819">
        <v>2</v>
      </c>
      <c r="T819">
        <v>2</v>
      </c>
      <c r="U819">
        <v>0</v>
      </c>
      <c r="V819">
        <v>1</v>
      </c>
      <c r="W819">
        <v>2</v>
      </c>
      <c r="X819">
        <v>0</v>
      </c>
      <c r="Y819">
        <v>2</v>
      </c>
      <c r="Z819">
        <v>3</v>
      </c>
      <c r="AA819">
        <v>3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111</v>
      </c>
    </row>
    <row r="820" spans="1:50" ht="12" customHeight="1" x14ac:dyDescent="0.2">
      <c r="A820" t="s">
        <v>125</v>
      </c>
      <c r="B820">
        <v>0</v>
      </c>
      <c r="C820">
        <v>1</v>
      </c>
      <c r="D820">
        <v>1</v>
      </c>
      <c r="E820">
        <v>3</v>
      </c>
      <c r="F820">
        <v>1</v>
      </c>
      <c r="G820">
        <v>0</v>
      </c>
      <c r="H820">
        <v>2</v>
      </c>
      <c r="I820">
        <v>0</v>
      </c>
      <c r="J820">
        <v>5</v>
      </c>
      <c r="K820">
        <v>4</v>
      </c>
      <c r="L820">
        <v>3</v>
      </c>
      <c r="M820">
        <v>2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27</v>
      </c>
    </row>
    <row r="821" spans="1:50" ht="12" customHeight="1" x14ac:dyDescent="0.2">
      <c r="A821" t="s">
        <v>126</v>
      </c>
      <c r="B821">
        <v>12</v>
      </c>
      <c r="C821">
        <v>18</v>
      </c>
      <c r="D821">
        <v>12</v>
      </c>
      <c r="E821">
        <v>44</v>
      </c>
      <c r="F821">
        <v>74</v>
      </c>
      <c r="G821">
        <v>70</v>
      </c>
      <c r="H821">
        <v>52</v>
      </c>
      <c r="I821">
        <v>40</v>
      </c>
      <c r="J821">
        <v>49</v>
      </c>
      <c r="K821">
        <v>48</v>
      </c>
      <c r="L821">
        <v>30</v>
      </c>
      <c r="M821">
        <v>22</v>
      </c>
      <c r="N821">
        <v>13</v>
      </c>
      <c r="O821">
        <v>1</v>
      </c>
      <c r="P821">
        <v>14</v>
      </c>
      <c r="Q821">
        <v>16</v>
      </c>
      <c r="R821">
        <v>7</v>
      </c>
      <c r="S821">
        <v>6</v>
      </c>
      <c r="T821">
        <v>0</v>
      </c>
      <c r="U821">
        <v>3</v>
      </c>
      <c r="V821">
        <v>2</v>
      </c>
      <c r="W821">
        <v>7</v>
      </c>
      <c r="X821">
        <v>2</v>
      </c>
      <c r="Y821">
        <v>3</v>
      </c>
      <c r="Z821">
        <v>0</v>
      </c>
      <c r="AA821">
        <v>0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526</v>
      </c>
    </row>
    <row r="822" spans="1:50" ht="12" customHeight="1" x14ac:dyDescent="0.2">
      <c r="A822" t="s">
        <v>127</v>
      </c>
      <c r="B822">
        <v>0</v>
      </c>
      <c r="C822">
        <v>0</v>
      </c>
      <c r="D822">
        <v>2</v>
      </c>
      <c r="E822">
        <v>0</v>
      </c>
      <c r="F822">
        <v>3</v>
      </c>
      <c r="G822">
        <v>5</v>
      </c>
      <c r="H822">
        <v>1</v>
      </c>
      <c r="I822">
        <v>2</v>
      </c>
      <c r="J822">
        <v>7</v>
      </c>
      <c r="K822">
        <v>5</v>
      </c>
      <c r="L822">
        <v>4</v>
      </c>
      <c r="M822">
        <v>1</v>
      </c>
      <c r="N822">
        <v>3</v>
      </c>
      <c r="O822">
        <v>8</v>
      </c>
      <c r="P822">
        <v>3</v>
      </c>
      <c r="Q822">
        <v>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39</v>
      </c>
    </row>
    <row r="823" spans="1:50" ht="12" customHeight="1" x14ac:dyDescent="0.2">
      <c r="A823" t="s">
        <v>128</v>
      </c>
      <c r="B823">
        <v>10</v>
      </c>
      <c r="C823">
        <v>11</v>
      </c>
      <c r="D823">
        <v>10</v>
      </c>
      <c r="E823">
        <v>47</v>
      </c>
      <c r="F823">
        <v>46</v>
      </c>
      <c r="G823">
        <v>52</v>
      </c>
      <c r="H823">
        <v>37</v>
      </c>
      <c r="I823">
        <v>55</v>
      </c>
      <c r="J823">
        <v>41</v>
      </c>
      <c r="K823">
        <v>34</v>
      </c>
      <c r="L823">
        <v>12</v>
      </c>
      <c r="M823">
        <v>15</v>
      </c>
      <c r="N823">
        <v>6</v>
      </c>
      <c r="O823">
        <v>11</v>
      </c>
      <c r="P823">
        <v>15</v>
      </c>
      <c r="Q823">
        <v>15</v>
      </c>
      <c r="R823">
        <v>12</v>
      </c>
      <c r="S823">
        <v>15</v>
      </c>
      <c r="T823">
        <v>4</v>
      </c>
      <c r="U823">
        <v>0</v>
      </c>
      <c r="V823">
        <v>0</v>
      </c>
      <c r="W823">
        <v>1</v>
      </c>
      <c r="X823">
        <v>1</v>
      </c>
      <c r="Y823">
        <v>6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418</v>
      </c>
    </row>
    <row r="824" spans="1:50" ht="12" customHeight="1" x14ac:dyDescent="0.2">
      <c r="A824" t="s">
        <v>129</v>
      </c>
      <c r="B824">
        <v>1</v>
      </c>
      <c r="C824">
        <v>3</v>
      </c>
      <c r="D824">
        <v>20</v>
      </c>
      <c r="E824">
        <v>49</v>
      </c>
      <c r="F824">
        <v>46</v>
      </c>
      <c r="G824">
        <v>79</v>
      </c>
      <c r="H824">
        <v>81</v>
      </c>
      <c r="I824">
        <v>53</v>
      </c>
      <c r="J824">
        <v>54</v>
      </c>
      <c r="K824">
        <v>47</v>
      </c>
      <c r="L824">
        <v>40</v>
      </c>
      <c r="M824">
        <v>26</v>
      </c>
      <c r="N824">
        <v>23</v>
      </c>
      <c r="O824">
        <v>31</v>
      </c>
      <c r="P824">
        <v>19</v>
      </c>
      <c r="Q824">
        <v>15</v>
      </c>
      <c r="R824">
        <v>12</v>
      </c>
      <c r="S824">
        <v>2</v>
      </c>
      <c r="T824">
        <v>1</v>
      </c>
      <c r="U824">
        <v>7</v>
      </c>
      <c r="V824">
        <v>3</v>
      </c>
      <c r="W824">
        <v>3</v>
      </c>
      <c r="X824">
        <v>0</v>
      </c>
      <c r="Y824">
        <v>5</v>
      </c>
      <c r="Z824">
        <v>4</v>
      </c>
      <c r="AA824">
        <v>2</v>
      </c>
      <c r="AB824">
        <v>1</v>
      </c>
      <c r="AC824">
        <v>2</v>
      </c>
      <c r="AD824">
        <v>1</v>
      </c>
      <c r="AE824">
        <v>4</v>
      </c>
      <c r="AF824">
        <v>5</v>
      </c>
      <c r="AG824">
        <v>7</v>
      </c>
      <c r="AH824">
        <v>4</v>
      </c>
      <c r="AI824">
        <v>5</v>
      </c>
      <c r="AJ824">
        <v>2</v>
      </c>
      <c r="AK824">
        <v>4</v>
      </c>
      <c r="AL824">
        <v>1</v>
      </c>
      <c r="AM824">
        <v>0</v>
      </c>
      <c r="AN824">
        <v>1</v>
      </c>
      <c r="AO824">
        <v>1</v>
      </c>
      <c r="AP824">
        <v>1</v>
      </c>
      <c r="AQ824">
        <v>0</v>
      </c>
      <c r="AR824">
        <v>0</v>
      </c>
      <c r="AS824">
        <v>1</v>
      </c>
      <c r="AT824">
        <v>1</v>
      </c>
      <c r="AU824">
        <v>0</v>
      </c>
      <c r="AV824">
        <v>0</v>
      </c>
      <c r="AW824">
        <v>0</v>
      </c>
      <c r="AX824">
        <v>633</v>
      </c>
    </row>
    <row r="825" spans="1:50" ht="12" customHeight="1" x14ac:dyDescent="0.2">
      <c r="A825" t="s">
        <v>130</v>
      </c>
      <c r="B825">
        <v>1</v>
      </c>
      <c r="C825">
        <v>2</v>
      </c>
      <c r="D825">
        <v>6</v>
      </c>
      <c r="E825">
        <v>22</v>
      </c>
      <c r="F825">
        <v>8</v>
      </c>
      <c r="G825">
        <v>12</v>
      </c>
      <c r="H825">
        <v>15</v>
      </c>
      <c r="I825">
        <v>14</v>
      </c>
      <c r="J825">
        <v>16</v>
      </c>
      <c r="K825">
        <v>4</v>
      </c>
      <c r="L825">
        <v>4</v>
      </c>
      <c r="M825">
        <v>9</v>
      </c>
      <c r="N825">
        <v>8</v>
      </c>
      <c r="O825">
        <v>0</v>
      </c>
      <c r="P825">
        <v>0</v>
      </c>
      <c r="Q825">
        <v>0</v>
      </c>
      <c r="R825">
        <v>2</v>
      </c>
      <c r="S825">
        <v>9</v>
      </c>
      <c r="T825">
        <v>3</v>
      </c>
      <c r="U825">
        <v>0</v>
      </c>
      <c r="V825">
        <v>2</v>
      </c>
      <c r="W825">
        <v>1</v>
      </c>
      <c r="X825">
        <v>1</v>
      </c>
      <c r="Y825">
        <v>0</v>
      </c>
      <c r="Z825">
        <v>1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130</v>
      </c>
    </row>
    <row r="826" spans="1:50" ht="12" customHeight="1" x14ac:dyDescent="0.2">
      <c r="A826" t="s">
        <v>131</v>
      </c>
      <c r="B826">
        <v>0</v>
      </c>
      <c r="C826">
        <v>0</v>
      </c>
      <c r="D826">
        <v>1</v>
      </c>
      <c r="E826">
        <v>5</v>
      </c>
      <c r="F826">
        <v>0</v>
      </c>
      <c r="G826">
        <v>2</v>
      </c>
      <c r="H826">
        <v>0</v>
      </c>
      <c r="I826">
        <v>0</v>
      </c>
      <c r="J826">
        <v>2</v>
      </c>
      <c r="K826">
        <v>2</v>
      </c>
      <c r="L826">
        <v>7</v>
      </c>
      <c r="M826">
        <v>0</v>
      </c>
      <c r="N826">
        <v>0</v>
      </c>
      <c r="O826">
        <v>0</v>
      </c>
      <c r="P826">
        <v>4</v>
      </c>
      <c r="Q826">
        <v>0</v>
      </c>
      <c r="R826">
        <v>0</v>
      </c>
      <c r="S826">
        <v>0</v>
      </c>
      <c r="T826">
        <v>0</v>
      </c>
      <c r="U826">
        <v>3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27</v>
      </c>
    </row>
    <row r="827" spans="1:50" ht="12" customHeight="1" x14ac:dyDescent="0.2">
      <c r="A827" t="s">
        <v>132</v>
      </c>
      <c r="B827">
        <v>1</v>
      </c>
      <c r="C827">
        <v>2</v>
      </c>
      <c r="D827">
        <v>0</v>
      </c>
      <c r="E827">
        <v>2</v>
      </c>
      <c r="F827">
        <v>1</v>
      </c>
      <c r="G827">
        <v>7</v>
      </c>
      <c r="H827">
        <v>10</v>
      </c>
      <c r="I827">
        <v>13</v>
      </c>
      <c r="J827">
        <v>9</v>
      </c>
      <c r="K827">
        <v>3</v>
      </c>
      <c r="L827">
        <v>5</v>
      </c>
      <c r="M827">
        <v>2</v>
      </c>
      <c r="N827">
        <v>2</v>
      </c>
      <c r="O827">
        <v>2</v>
      </c>
      <c r="P827">
        <v>6</v>
      </c>
      <c r="Q827">
        <v>4</v>
      </c>
      <c r="R827">
        <v>4</v>
      </c>
      <c r="S827">
        <v>0</v>
      </c>
      <c r="T827">
        <v>2</v>
      </c>
      <c r="U827">
        <v>1</v>
      </c>
      <c r="V827">
        <v>2</v>
      </c>
      <c r="W827">
        <v>2</v>
      </c>
      <c r="X827">
        <v>0</v>
      </c>
      <c r="Y827">
        <v>0</v>
      </c>
      <c r="Z827">
        <v>1</v>
      </c>
      <c r="AA827">
        <v>2</v>
      </c>
      <c r="AB827">
        <v>0</v>
      </c>
      <c r="AC827">
        <v>1</v>
      </c>
      <c r="AD827">
        <v>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71</v>
      </c>
    </row>
    <row r="828" spans="1:50" ht="12" customHeight="1" x14ac:dyDescent="0.2">
      <c r="A828" t="s">
        <v>133</v>
      </c>
      <c r="B828">
        <v>34</v>
      </c>
      <c r="C828">
        <v>26</v>
      </c>
      <c r="D828">
        <v>28</v>
      </c>
      <c r="E828">
        <v>85</v>
      </c>
      <c r="F828">
        <v>64</v>
      </c>
      <c r="G828">
        <v>76</v>
      </c>
      <c r="H828">
        <v>98</v>
      </c>
      <c r="I828">
        <v>115</v>
      </c>
      <c r="J828">
        <v>105</v>
      </c>
      <c r="K828">
        <v>42</v>
      </c>
      <c r="L828">
        <v>6</v>
      </c>
      <c r="M828">
        <v>19</v>
      </c>
      <c r="N828">
        <v>30</v>
      </c>
      <c r="O828">
        <v>50</v>
      </c>
      <c r="P828">
        <v>117</v>
      </c>
      <c r="Q828">
        <v>101</v>
      </c>
      <c r="R828">
        <v>72</v>
      </c>
      <c r="S828">
        <v>131</v>
      </c>
      <c r="T828">
        <v>141</v>
      </c>
      <c r="U828">
        <v>135</v>
      </c>
      <c r="V828">
        <v>87</v>
      </c>
      <c r="W828">
        <v>58</v>
      </c>
      <c r="X828">
        <v>35</v>
      </c>
      <c r="Y828">
        <v>36</v>
      </c>
      <c r="Z828">
        <v>22</v>
      </c>
      <c r="AA828">
        <v>4</v>
      </c>
      <c r="AB828">
        <v>11</v>
      </c>
      <c r="AC828">
        <v>3</v>
      </c>
      <c r="AD828">
        <v>8</v>
      </c>
      <c r="AE828">
        <v>7</v>
      </c>
      <c r="AF828">
        <v>10</v>
      </c>
      <c r="AG828">
        <v>11</v>
      </c>
      <c r="AH828">
        <v>11</v>
      </c>
      <c r="AI828">
        <v>6</v>
      </c>
      <c r="AJ828">
        <v>5</v>
      </c>
      <c r="AK828">
        <v>0</v>
      </c>
      <c r="AL828">
        <v>2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1989</v>
      </c>
    </row>
    <row r="829" spans="1:50" ht="12" customHeight="1" x14ac:dyDescent="0.2">
      <c r="A829" t="s">
        <v>134</v>
      </c>
      <c r="B829">
        <v>8</v>
      </c>
      <c r="C829">
        <v>1</v>
      </c>
      <c r="D829">
        <v>8</v>
      </c>
      <c r="E829">
        <v>0</v>
      </c>
      <c r="F829">
        <v>2</v>
      </c>
      <c r="G829">
        <v>12</v>
      </c>
      <c r="H829">
        <v>24</v>
      </c>
      <c r="I829">
        <v>14</v>
      </c>
      <c r="J829">
        <v>8</v>
      </c>
      <c r="K829">
        <v>14</v>
      </c>
      <c r="L829">
        <v>5</v>
      </c>
      <c r="M829">
        <v>18</v>
      </c>
      <c r="N829">
        <v>4</v>
      </c>
      <c r="O829">
        <v>16</v>
      </c>
      <c r="P829">
        <v>9</v>
      </c>
      <c r="Q829">
        <v>7</v>
      </c>
      <c r="R829">
        <v>13</v>
      </c>
      <c r="S829">
        <v>39</v>
      </c>
      <c r="T829">
        <v>10</v>
      </c>
      <c r="U829">
        <v>3</v>
      </c>
      <c r="V829">
        <v>0</v>
      </c>
      <c r="W829">
        <v>9</v>
      </c>
      <c r="X829">
        <v>7</v>
      </c>
      <c r="Y829">
        <v>6</v>
      </c>
      <c r="Z829">
        <v>8</v>
      </c>
      <c r="AA829">
        <v>10</v>
      </c>
      <c r="AB829">
        <v>9</v>
      </c>
      <c r="AC829">
        <v>6</v>
      </c>
      <c r="AD829">
        <v>5</v>
      </c>
      <c r="AE829">
        <v>4</v>
      </c>
      <c r="AF829">
        <v>11</v>
      </c>
      <c r="AG829">
        <v>17</v>
      </c>
      <c r="AH829">
        <v>9</v>
      </c>
      <c r="AI829">
        <v>13</v>
      </c>
      <c r="AJ829">
        <v>9</v>
      </c>
      <c r="AK829">
        <v>2</v>
      </c>
      <c r="AL829">
        <v>1</v>
      </c>
      <c r="AM829">
        <v>3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283</v>
      </c>
    </row>
    <row r="830" spans="1:50" ht="12" customHeight="1" x14ac:dyDescent="0.2">
      <c r="A830" t="s">
        <v>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3</v>
      </c>
      <c r="K830">
        <v>0</v>
      </c>
      <c r="L830">
        <v>8</v>
      </c>
      <c r="M830">
        <v>5</v>
      </c>
      <c r="N830">
        <v>0</v>
      </c>
      <c r="O830">
        <v>4</v>
      </c>
      <c r="P830">
        <v>13</v>
      </c>
      <c r="Q830">
        <v>9</v>
      </c>
      <c r="R830">
        <v>7</v>
      </c>
      <c r="S830">
        <v>1</v>
      </c>
      <c r="T830">
        <v>0</v>
      </c>
      <c r="U830">
        <v>3</v>
      </c>
      <c r="V830">
        <v>5</v>
      </c>
      <c r="W830">
        <v>2</v>
      </c>
      <c r="X830">
        <v>1</v>
      </c>
      <c r="Y830">
        <v>4</v>
      </c>
      <c r="Z830">
        <v>7</v>
      </c>
      <c r="AA830">
        <v>0</v>
      </c>
      <c r="AB830">
        <v>2</v>
      </c>
      <c r="AC830">
        <v>0</v>
      </c>
      <c r="AD830">
        <v>0</v>
      </c>
      <c r="AE830">
        <v>1</v>
      </c>
      <c r="AF830">
        <v>1</v>
      </c>
      <c r="AG830">
        <v>1</v>
      </c>
      <c r="AH830">
        <v>1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81</v>
      </c>
    </row>
    <row r="831" spans="1:50" ht="12" customHeight="1" x14ac:dyDescent="0.2">
      <c r="A831" t="s">
        <v>136</v>
      </c>
      <c r="B831">
        <v>11</v>
      </c>
      <c r="C831">
        <v>20</v>
      </c>
      <c r="D831">
        <v>15</v>
      </c>
      <c r="E831">
        <v>25</v>
      </c>
      <c r="F831">
        <v>34</v>
      </c>
      <c r="G831">
        <v>37</v>
      </c>
      <c r="H831">
        <v>43</v>
      </c>
      <c r="I831">
        <v>24</v>
      </c>
      <c r="J831">
        <v>28</v>
      </c>
      <c r="K831">
        <v>34</v>
      </c>
      <c r="L831">
        <v>63</v>
      </c>
      <c r="M831">
        <v>55</v>
      </c>
      <c r="N831">
        <v>59</v>
      </c>
      <c r="O831">
        <v>95</v>
      </c>
      <c r="P831">
        <v>49</v>
      </c>
      <c r="Q831">
        <v>40</v>
      </c>
      <c r="R831">
        <v>23</v>
      </c>
      <c r="S831">
        <v>16</v>
      </c>
      <c r="T831">
        <v>9</v>
      </c>
      <c r="U831">
        <v>4</v>
      </c>
      <c r="V831">
        <v>10</v>
      </c>
      <c r="W831">
        <v>10</v>
      </c>
      <c r="X831">
        <v>17</v>
      </c>
      <c r="Y831">
        <v>22</v>
      </c>
      <c r="Z831">
        <v>6</v>
      </c>
      <c r="AA831">
        <v>18</v>
      </c>
      <c r="AB831">
        <v>16</v>
      </c>
      <c r="AC831">
        <v>8</v>
      </c>
      <c r="AD831">
        <v>11</v>
      </c>
      <c r="AE831">
        <v>6</v>
      </c>
      <c r="AF831">
        <v>12</v>
      </c>
      <c r="AG831">
        <v>7</v>
      </c>
      <c r="AH831">
        <v>9</v>
      </c>
      <c r="AI831">
        <v>7</v>
      </c>
      <c r="AJ831">
        <v>6</v>
      </c>
      <c r="AK831">
        <v>4</v>
      </c>
      <c r="AL831">
        <v>5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889</v>
      </c>
    </row>
    <row r="832" spans="1:50" ht="12" customHeight="1" x14ac:dyDescent="0.2">
      <c r="A832" t="s">
        <v>137</v>
      </c>
      <c r="B832">
        <v>2</v>
      </c>
      <c r="C832">
        <v>2</v>
      </c>
      <c r="D832">
        <v>1</v>
      </c>
      <c r="E832">
        <v>8</v>
      </c>
      <c r="F832">
        <v>10</v>
      </c>
      <c r="G832">
        <v>13</v>
      </c>
      <c r="H832">
        <v>11</v>
      </c>
      <c r="I832">
        <v>6</v>
      </c>
      <c r="J832">
        <v>3</v>
      </c>
      <c r="K832">
        <v>7</v>
      </c>
      <c r="L832">
        <v>4</v>
      </c>
      <c r="M832">
        <v>5</v>
      </c>
      <c r="N832">
        <v>9</v>
      </c>
      <c r="O832">
        <v>13</v>
      </c>
      <c r="P832">
        <v>1</v>
      </c>
      <c r="Q832">
        <v>1</v>
      </c>
      <c r="R832">
        <v>3</v>
      </c>
      <c r="S832">
        <v>4</v>
      </c>
      <c r="T832">
        <v>3</v>
      </c>
      <c r="U832">
        <v>3</v>
      </c>
      <c r="V832">
        <v>1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83</v>
      </c>
    </row>
    <row r="833" spans="1:50" ht="12" customHeight="1" x14ac:dyDescent="0.2">
      <c r="A833" t="s">
        <v>138</v>
      </c>
      <c r="B833">
        <v>0</v>
      </c>
      <c r="C833">
        <v>1</v>
      </c>
      <c r="D833">
        <v>1</v>
      </c>
      <c r="E833">
        <v>7</v>
      </c>
      <c r="F833">
        <v>4</v>
      </c>
      <c r="G833">
        <v>2</v>
      </c>
      <c r="H833">
        <v>10</v>
      </c>
      <c r="I833">
        <v>6</v>
      </c>
      <c r="J833">
        <v>2</v>
      </c>
      <c r="K833">
        <v>7</v>
      </c>
      <c r="L833">
        <v>4</v>
      </c>
      <c r="M833">
        <v>10</v>
      </c>
      <c r="N833">
        <v>5</v>
      </c>
      <c r="O833">
        <v>11</v>
      </c>
      <c r="P833">
        <v>17</v>
      </c>
      <c r="Q833">
        <v>23</v>
      </c>
      <c r="R833">
        <v>20</v>
      </c>
      <c r="S833">
        <v>7</v>
      </c>
      <c r="T833">
        <v>7</v>
      </c>
      <c r="U833">
        <v>3</v>
      </c>
      <c r="V833">
        <v>5</v>
      </c>
      <c r="W833">
        <v>2</v>
      </c>
      <c r="X833">
        <v>7</v>
      </c>
      <c r="Y833">
        <v>2</v>
      </c>
      <c r="Z833">
        <v>1</v>
      </c>
      <c r="AA833">
        <v>0</v>
      </c>
      <c r="AB833">
        <v>10</v>
      </c>
      <c r="AC833">
        <v>7</v>
      </c>
      <c r="AD833">
        <v>11</v>
      </c>
      <c r="AE833">
        <v>19</v>
      </c>
      <c r="AF833">
        <v>9</v>
      </c>
      <c r="AG833">
        <v>15</v>
      </c>
      <c r="AH833">
        <v>8</v>
      </c>
      <c r="AI833">
        <v>8</v>
      </c>
      <c r="AJ833">
        <v>3</v>
      </c>
      <c r="AK833">
        <v>1</v>
      </c>
      <c r="AL833">
        <v>3</v>
      </c>
      <c r="AM833">
        <v>1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294</v>
      </c>
    </row>
    <row r="834" spans="1:50" ht="12" customHeight="1" x14ac:dyDescent="0.2">
      <c r="A834" t="s">
        <v>139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2</v>
      </c>
    </row>
    <row r="835" spans="1:50" ht="12" customHeight="1" x14ac:dyDescent="0.2">
      <c r="A835" t="s">
        <v>140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3</v>
      </c>
      <c r="L835">
        <v>2</v>
      </c>
      <c r="M835">
        <v>20</v>
      </c>
      <c r="N835">
        <v>2</v>
      </c>
      <c r="O835">
        <v>7</v>
      </c>
      <c r="P835">
        <v>3</v>
      </c>
      <c r="Q835">
        <v>1</v>
      </c>
      <c r="R835">
        <v>0</v>
      </c>
      <c r="S835">
        <v>7</v>
      </c>
      <c r="T835">
        <v>15</v>
      </c>
      <c r="U835">
        <v>2</v>
      </c>
      <c r="V835">
        <v>5</v>
      </c>
      <c r="W835">
        <v>4</v>
      </c>
      <c r="X835">
        <v>4</v>
      </c>
      <c r="Y835">
        <v>2</v>
      </c>
      <c r="Z835">
        <v>0</v>
      </c>
      <c r="AA835">
        <v>1</v>
      </c>
      <c r="AB835">
        <v>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252</v>
      </c>
    </row>
    <row r="836" spans="1:50" ht="12" customHeight="1" x14ac:dyDescent="0.2">
      <c r="A836" t="s">
        <v>141</v>
      </c>
      <c r="B836">
        <v>0</v>
      </c>
      <c r="C836">
        <v>0</v>
      </c>
      <c r="D836">
        <v>0</v>
      </c>
      <c r="E836">
        <v>6</v>
      </c>
      <c r="F836">
        <v>4</v>
      </c>
      <c r="G836">
        <v>2</v>
      </c>
      <c r="H836">
        <v>0</v>
      </c>
      <c r="I836">
        <v>3</v>
      </c>
      <c r="J836">
        <v>2</v>
      </c>
      <c r="K836">
        <v>4</v>
      </c>
      <c r="L836">
        <v>2</v>
      </c>
      <c r="M836">
        <v>1</v>
      </c>
      <c r="N836">
        <v>2</v>
      </c>
      <c r="O836">
        <v>0</v>
      </c>
      <c r="P836">
        <v>1</v>
      </c>
      <c r="Q836">
        <v>2</v>
      </c>
      <c r="R836">
        <v>1</v>
      </c>
      <c r="S836">
        <v>0</v>
      </c>
      <c r="T836">
        <v>2</v>
      </c>
      <c r="U836">
        <v>0</v>
      </c>
      <c r="V836">
        <v>2</v>
      </c>
      <c r="W836">
        <v>0</v>
      </c>
      <c r="X836">
        <v>2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2</v>
      </c>
      <c r="AG836">
        <v>2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74</v>
      </c>
    </row>
    <row r="837" spans="1:50" ht="12" customHeight="1" x14ac:dyDescent="0.2">
      <c r="A837" t="s">
        <v>142</v>
      </c>
      <c r="B837">
        <v>28</v>
      </c>
      <c r="C837">
        <v>22</v>
      </c>
      <c r="D837">
        <v>19</v>
      </c>
      <c r="E837">
        <v>8</v>
      </c>
      <c r="F837">
        <v>9</v>
      </c>
      <c r="G837">
        <v>17</v>
      </c>
      <c r="H837">
        <v>16</v>
      </c>
      <c r="I837">
        <v>14</v>
      </c>
      <c r="J837">
        <v>7</v>
      </c>
      <c r="K837">
        <v>7</v>
      </c>
      <c r="L837">
        <v>13</v>
      </c>
      <c r="M837">
        <v>7</v>
      </c>
      <c r="N837">
        <v>11</v>
      </c>
      <c r="O837">
        <v>10</v>
      </c>
      <c r="P837">
        <v>7</v>
      </c>
      <c r="Q837">
        <v>0</v>
      </c>
      <c r="R837">
        <v>0</v>
      </c>
      <c r="S837">
        <v>2</v>
      </c>
      <c r="T837">
        <v>1</v>
      </c>
      <c r="U837">
        <v>0</v>
      </c>
      <c r="V837">
        <v>3</v>
      </c>
      <c r="W837">
        <v>2</v>
      </c>
      <c r="X837">
        <v>3</v>
      </c>
      <c r="Y837">
        <v>0</v>
      </c>
      <c r="Z837">
        <v>2</v>
      </c>
      <c r="AA837">
        <v>1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197</v>
      </c>
    </row>
    <row r="838" spans="1:50" ht="12" customHeight="1" x14ac:dyDescent="0.2">
      <c r="A838" t="s">
        <v>143</v>
      </c>
      <c r="B838">
        <v>6</v>
      </c>
      <c r="C838">
        <v>4</v>
      </c>
      <c r="D838">
        <v>4</v>
      </c>
      <c r="E838">
        <v>13</v>
      </c>
      <c r="F838">
        <v>19</v>
      </c>
      <c r="G838">
        <v>13</v>
      </c>
      <c r="H838">
        <v>4</v>
      </c>
      <c r="I838">
        <v>7</v>
      </c>
      <c r="J838">
        <v>1</v>
      </c>
      <c r="K838">
        <v>2</v>
      </c>
      <c r="L838">
        <v>8</v>
      </c>
      <c r="M838">
        <v>5</v>
      </c>
      <c r="N838">
        <v>2</v>
      </c>
      <c r="O838">
        <v>1</v>
      </c>
      <c r="P838">
        <v>1</v>
      </c>
      <c r="Q838">
        <v>0</v>
      </c>
      <c r="R838">
        <v>0</v>
      </c>
      <c r="S838">
        <v>3</v>
      </c>
      <c r="T838">
        <v>2</v>
      </c>
      <c r="U838">
        <v>3</v>
      </c>
      <c r="V838">
        <v>1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99</v>
      </c>
    </row>
    <row r="839" spans="1:50" ht="12" customHeight="1" x14ac:dyDescent="0.2">
      <c r="A839" t="s">
        <v>144</v>
      </c>
      <c r="B839">
        <v>1</v>
      </c>
      <c r="C839">
        <v>5</v>
      </c>
      <c r="D839">
        <v>5</v>
      </c>
      <c r="E839">
        <v>10</v>
      </c>
      <c r="F839">
        <v>22</v>
      </c>
      <c r="G839">
        <v>23</v>
      </c>
      <c r="H839">
        <v>25</v>
      </c>
      <c r="I839">
        <v>17</v>
      </c>
      <c r="J839">
        <v>23</v>
      </c>
      <c r="K839">
        <v>22</v>
      </c>
      <c r="L839">
        <v>15</v>
      </c>
      <c r="M839">
        <v>13</v>
      </c>
      <c r="N839">
        <v>15</v>
      </c>
      <c r="O839">
        <v>23</v>
      </c>
      <c r="P839">
        <v>19</v>
      </c>
      <c r="Q839">
        <v>12</v>
      </c>
      <c r="R839">
        <v>3</v>
      </c>
      <c r="S839">
        <v>1</v>
      </c>
      <c r="T839">
        <v>3</v>
      </c>
      <c r="U839">
        <v>6</v>
      </c>
      <c r="V839">
        <v>7</v>
      </c>
      <c r="W839">
        <v>5</v>
      </c>
      <c r="X839">
        <v>2</v>
      </c>
      <c r="Y839">
        <v>3</v>
      </c>
      <c r="Z839">
        <v>6</v>
      </c>
      <c r="AA839">
        <v>4</v>
      </c>
      <c r="AB839">
        <v>6</v>
      </c>
      <c r="AC839">
        <v>7</v>
      </c>
      <c r="AD839">
        <v>3</v>
      </c>
      <c r="AE839">
        <v>3</v>
      </c>
      <c r="AF839">
        <v>3</v>
      </c>
      <c r="AG839">
        <v>5</v>
      </c>
      <c r="AH839">
        <v>9</v>
      </c>
      <c r="AI839">
        <v>3</v>
      </c>
      <c r="AJ839">
        <v>0</v>
      </c>
      <c r="AK839">
        <v>1</v>
      </c>
      <c r="AL839">
        <v>3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372</v>
      </c>
    </row>
    <row r="840" spans="1:50" ht="12" customHeight="1" x14ac:dyDescent="0.2">
      <c r="A840" t="s">
        <v>145</v>
      </c>
      <c r="B840">
        <v>0</v>
      </c>
      <c r="C840">
        <v>0</v>
      </c>
      <c r="D840">
        <v>0</v>
      </c>
      <c r="E840">
        <v>0</v>
      </c>
      <c r="F840">
        <v>2</v>
      </c>
      <c r="G840">
        <v>2</v>
      </c>
      <c r="H840">
        <v>2</v>
      </c>
      <c r="I840">
        <v>1</v>
      </c>
      <c r="J840">
        <v>1</v>
      </c>
      <c r="K840">
        <v>0</v>
      </c>
      <c r="L840">
        <v>2</v>
      </c>
      <c r="M840">
        <v>4</v>
      </c>
      <c r="N840">
        <v>1</v>
      </c>
      <c r="O840">
        <v>4</v>
      </c>
      <c r="P840">
        <v>6</v>
      </c>
      <c r="Q840">
        <v>4</v>
      </c>
      <c r="R840">
        <v>5</v>
      </c>
      <c r="S840">
        <v>0</v>
      </c>
      <c r="T840">
        <v>4</v>
      </c>
      <c r="U840">
        <v>0</v>
      </c>
      <c r="V840">
        <v>3</v>
      </c>
      <c r="W840">
        <v>5</v>
      </c>
      <c r="X840">
        <v>3</v>
      </c>
      <c r="Y840">
        <v>4</v>
      </c>
      <c r="Z840">
        <v>2</v>
      </c>
      <c r="AA840">
        <v>6</v>
      </c>
      <c r="AB840">
        <v>1</v>
      </c>
      <c r="AC840">
        <v>5</v>
      </c>
      <c r="AD840">
        <v>3</v>
      </c>
      <c r="AE840">
        <v>6</v>
      </c>
      <c r="AF840">
        <v>8</v>
      </c>
      <c r="AG840">
        <v>4</v>
      </c>
      <c r="AH840">
        <v>4</v>
      </c>
      <c r="AI840">
        <v>2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113</v>
      </c>
    </row>
    <row r="841" spans="1:50" ht="12" customHeight="1" x14ac:dyDescent="0.2">
      <c r="A841" t="s">
        <v>146</v>
      </c>
      <c r="B841">
        <v>5</v>
      </c>
      <c r="C841">
        <v>7</v>
      </c>
      <c r="D841">
        <v>8</v>
      </c>
      <c r="E841">
        <v>17</v>
      </c>
      <c r="F841">
        <v>7</v>
      </c>
      <c r="G841">
        <v>10</v>
      </c>
      <c r="H841">
        <v>7</v>
      </c>
      <c r="I841">
        <v>9</v>
      </c>
      <c r="J841">
        <v>17</v>
      </c>
      <c r="K841">
        <v>10</v>
      </c>
      <c r="L841">
        <v>16</v>
      </c>
      <c r="M841">
        <v>7</v>
      </c>
      <c r="N841">
        <v>23</v>
      </c>
      <c r="O841">
        <v>18</v>
      </c>
      <c r="P841">
        <v>28</v>
      </c>
      <c r="Q841">
        <v>22</v>
      </c>
      <c r="R841">
        <v>8</v>
      </c>
      <c r="S841">
        <v>8</v>
      </c>
      <c r="T841">
        <v>9</v>
      </c>
      <c r="U841">
        <v>11</v>
      </c>
      <c r="V841">
        <v>25</v>
      </c>
      <c r="W841">
        <v>22</v>
      </c>
      <c r="X841">
        <v>34</v>
      </c>
      <c r="Y841">
        <v>11</v>
      </c>
      <c r="Z841">
        <v>14</v>
      </c>
      <c r="AA841">
        <v>5</v>
      </c>
      <c r="AB841">
        <v>7</v>
      </c>
      <c r="AC841">
        <v>5</v>
      </c>
      <c r="AD841">
        <v>4</v>
      </c>
      <c r="AE841">
        <v>9</v>
      </c>
      <c r="AF841">
        <v>12</v>
      </c>
      <c r="AG841">
        <v>20</v>
      </c>
      <c r="AH841">
        <v>21</v>
      </c>
      <c r="AI841">
        <v>8</v>
      </c>
      <c r="AJ841">
        <v>13</v>
      </c>
      <c r="AK841">
        <v>4</v>
      </c>
      <c r="AL841">
        <v>3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421</v>
      </c>
    </row>
    <row r="842" spans="1:50" ht="12" customHeight="1" x14ac:dyDescent="0.2">
      <c r="A842" t="s">
        <v>147</v>
      </c>
      <c r="B842">
        <v>8</v>
      </c>
      <c r="C842">
        <v>3</v>
      </c>
      <c r="D842">
        <v>5</v>
      </c>
      <c r="E842">
        <v>5</v>
      </c>
      <c r="F842">
        <v>2</v>
      </c>
      <c r="G842">
        <v>0</v>
      </c>
      <c r="H842">
        <v>1</v>
      </c>
      <c r="I842">
        <v>18</v>
      </c>
      <c r="J842">
        <v>10</v>
      </c>
      <c r="K842">
        <v>24</v>
      </c>
      <c r="L842">
        <v>21</v>
      </c>
      <c r="M842">
        <v>11</v>
      </c>
      <c r="N842">
        <v>10</v>
      </c>
      <c r="O842">
        <v>7</v>
      </c>
      <c r="P842">
        <v>6</v>
      </c>
      <c r="Q842">
        <v>4</v>
      </c>
      <c r="R842">
        <v>0</v>
      </c>
      <c r="S842">
        <v>1</v>
      </c>
      <c r="T842">
        <v>0</v>
      </c>
      <c r="U842">
        <v>2</v>
      </c>
      <c r="V842">
        <v>5</v>
      </c>
      <c r="W842">
        <v>5</v>
      </c>
      <c r="X842">
        <v>3</v>
      </c>
      <c r="Y842">
        <v>6</v>
      </c>
      <c r="Z842">
        <v>3</v>
      </c>
      <c r="AA842">
        <v>7</v>
      </c>
      <c r="AB842">
        <v>1</v>
      </c>
      <c r="AC842">
        <v>2</v>
      </c>
      <c r="AD842">
        <v>0</v>
      </c>
      <c r="AE842">
        <v>0</v>
      </c>
      <c r="AF842">
        <v>2</v>
      </c>
      <c r="AG842">
        <v>0</v>
      </c>
      <c r="AH842">
        <v>0</v>
      </c>
      <c r="AI842">
        <v>0</v>
      </c>
      <c r="AJ842">
        <v>2</v>
      </c>
      <c r="AK842">
        <v>2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159</v>
      </c>
    </row>
    <row r="843" spans="1:50" ht="12" customHeight="1" x14ac:dyDescent="0.2">
      <c r="A843" t="s">
        <v>148</v>
      </c>
      <c r="B843">
        <v>1</v>
      </c>
      <c r="C843">
        <v>0</v>
      </c>
      <c r="D843">
        <v>1</v>
      </c>
      <c r="E843">
        <v>10</v>
      </c>
      <c r="F843">
        <v>6</v>
      </c>
      <c r="G843">
        <v>3</v>
      </c>
      <c r="H843">
        <v>11</v>
      </c>
      <c r="I843">
        <v>7</v>
      </c>
      <c r="J843">
        <v>4</v>
      </c>
      <c r="K843">
        <v>9</v>
      </c>
      <c r="L843">
        <v>5</v>
      </c>
      <c r="M843">
        <v>14</v>
      </c>
      <c r="N843">
        <v>13</v>
      </c>
      <c r="O843">
        <v>3</v>
      </c>
      <c r="P843">
        <v>5</v>
      </c>
      <c r="Q843">
        <v>2</v>
      </c>
      <c r="R843">
        <v>4</v>
      </c>
      <c r="S843">
        <v>1</v>
      </c>
      <c r="T843">
        <v>4</v>
      </c>
      <c r="U843">
        <v>4</v>
      </c>
      <c r="V843">
        <v>3</v>
      </c>
      <c r="W843">
        <v>9</v>
      </c>
      <c r="X843">
        <v>5</v>
      </c>
      <c r="Y843">
        <v>4</v>
      </c>
      <c r="Z843">
        <v>2</v>
      </c>
      <c r="AA843">
        <v>6</v>
      </c>
      <c r="AB843">
        <v>9</v>
      </c>
      <c r="AC843">
        <v>4</v>
      </c>
      <c r="AD843">
        <v>1</v>
      </c>
      <c r="AE843">
        <v>5</v>
      </c>
      <c r="AF843">
        <v>5</v>
      </c>
      <c r="AG843">
        <v>6</v>
      </c>
      <c r="AH843">
        <v>3</v>
      </c>
      <c r="AI843">
        <v>6</v>
      </c>
      <c r="AJ843">
        <v>4</v>
      </c>
      <c r="AK843">
        <v>1</v>
      </c>
      <c r="AL843">
        <v>1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185</v>
      </c>
    </row>
    <row r="845" spans="1:50" ht="12" customHeight="1" x14ac:dyDescent="0.2">
      <c r="A845" t="s">
        <v>167</v>
      </c>
      <c r="J845" s="2" t="s">
        <v>168</v>
      </c>
    </row>
    <row r="846" spans="1:50" ht="12" customHeight="1" x14ac:dyDescent="0.2">
      <c r="A846" s="19" t="s">
        <v>169</v>
      </c>
      <c r="B846">
        <v>1</v>
      </c>
      <c r="C846">
        <v>2</v>
      </c>
      <c r="D846">
        <v>3</v>
      </c>
      <c r="E846">
        <v>4</v>
      </c>
      <c r="F846">
        <v>5</v>
      </c>
      <c r="G846">
        <v>6</v>
      </c>
      <c r="H846">
        <v>7</v>
      </c>
      <c r="I846">
        <v>8</v>
      </c>
      <c r="J846">
        <v>9</v>
      </c>
      <c r="K846">
        <v>10</v>
      </c>
      <c r="L846">
        <v>11</v>
      </c>
      <c r="M846">
        <v>12</v>
      </c>
      <c r="N846">
        <v>13</v>
      </c>
      <c r="O846">
        <v>14</v>
      </c>
      <c r="P846">
        <v>15</v>
      </c>
      <c r="Q846">
        <v>16</v>
      </c>
      <c r="R846">
        <v>17</v>
      </c>
      <c r="S846">
        <v>18</v>
      </c>
      <c r="T846">
        <v>19</v>
      </c>
      <c r="U846">
        <v>20</v>
      </c>
      <c r="V846">
        <v>21</v>
      </c>
      <c r="W846">
        <v>22</v>
      </c>
      <c r="X846">
        <v>23</v>
      </c>
      <c r="Y846">
        <v>24</v>
      </c>
      <c r="Z846">
        <v>25</v>
      </c>
      <c r="AA846">
        <v>26</v>
      </c>
      <c r="AB846">
        <v>27</v>
      </c>
      <c r="AC846">
        <v>28</v>
      </c>
      <c r="AD846">
        <v>29</v>
      </c>
      <c r="AE846">
        <v>30</v>
      </c>
      <c r="AF846">
        <v>31</v>
      </c>
      <c r="AG846">
        <v>32</v>
      </c>
      <c r="AH846">
        <v>33</v>
      </c>
      <c r="AI846">
        <v>34</v>
      </c>
      <c r="AJ846">
        <v>35</v>
      </c>
      <c r="AK846">
        <v>36</v>
      </c>
      <c r="AL846">
        <v>37</v>
      </c>
      <c r="AM846">
        <v>38</v>
      </c>
      <c r="AN846">
        <v>39</v>
      </c>
      <c r="AO846">
        <v>40</v>
      </c>
      <c r="AP846">
        <v>41</v>
      </c>
      <c r="AQ846">
        <v>42</v>
      </c>
      <c r="AR846">
        <v>43</v>
      </c>
      <c r="AS846">
        <v>44</v>
      </c>
      <c r="AT846">
        <v>45</v>
      </c>
      <c r="AU846">
        <v>46</v>
      </c>
      <c r="AV846">
        <v>47</v>
      </c>
      <c r="AW846">
        <v>48</v>
      </c>
    </row>
    <row r="847" spans="1:50" ht="12" customHeight="1" x14ac:dyDescent="0.2">
      <c r="A847" t="s">
        <v>101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</v>
      </c>
      <c r="S847">
        <v>3</v>
      </c>
      <c r="T847">
        <v>0</v>
      </c>
      <c r="U847">
        <v>0</v>
      </c>
      <c r="V847">
        <v>3</v>
      </c>
      <c r="W847">
        <v>8</v>
      </c>
      <c r="X847">
        <v>1</v>
      </c>
      <c r="Y847">
        <v>4</v>
      </c>
      <c r="Z847">
        <v>7</v>
      </c>
      <c r="AA847">
        <v>20</v>
      </c>
      <c r="AB847">
        <v>9</v>
      </c>
      <c r="AC847">
        <v>12</v>
      </c>
      <c r="AD847">
        <v>17</v>
      </c>
      <c r="AE847">
        <v>25</v>
      </c>
      <c r="AF847">
        <v>26</v>
      </c>
      <c r="AG847">
        <v>14</v>
      </c>
      <c r="AH847">
        <v>18</v>
      </c>
      <c r="AI847">
        <v>16</v>
      </c>
      <c r="AJ847">
        <v>19</v>
      </c>
      <c r="AK847">
        <v>11</v>
      </c>
      <c r="AL847">
        <v>5</v>
      </c>
      <c r="AM847">
        <v>2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50" ht="12" customHeight="1" x14ac:dyDescent="0.2">
      <c r="A848" t="s">
        <v>102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</v>
      </c>
      <c r="AE848">
        <v>10</v>
      </c>
      <c r="AF848">
        <v>1</v>
      </c>
      <c r="AG848">
        <v>5</v>
      </c>
      <c r="AH848">
        <v>2</v>
      </c>
      <c r="AI848">
        <v>1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ht="12" customHeight="1" x14ac:dyDescent="0.2">
      <c r="A849" t="s">
        <v>103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</v>
      </c>
      <c r="AA849">
        <v>1</v>
      </c>
      <c r="AB849">
        <v>2</v>
      </c>
      <c r="AC849">
        <v>0</v>
      </c>
      <c r="AD849">
        <v>0</v>
      </c>
      <c r="AE849">
        <v>0</v>
      </c>
      <c r="AF849">
        <v>4</v>
      </c>
      <c r="AG849">
        <v>1</v>
      </c>
      <c r="AH849">
        <v>0</v>
      </c>
      <c r="AI849">
        <v>1</v>
      </c>
      <c r="AJ849">
        <v>2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ht="12" customHeight="1" x14ac:dyDescent="0.2">
      <c r="A850" t="s">
        <v>104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7</v>
      </c>
      <c r="W850">
        <v>3</v>
      </c>
      <c r="X850">
        <v>2</v>
      </c>
      <c r="Y850">
        <v>10</v>
      </c>
      <c r="Z850">
        <v>14</v>
      </c>
      <c r="AA850">
        <v>6</v>
      </c>
      <c r="AB850">
        <v>5</v>
      </c>
      <c r="AC850">
        <v>2</v>
      </c>
      <c r="AD850">
        <v>8</v>
      </c>
      <c r="AE850">
        <v>10</v>
      </c>
      <c r="AF850">
        <v>14</v>
      </c>
      <c r="AG850">
        <v>12</v>
      </c>
      <c r="AH850">
        <v>9</v>
      </c>
      <c r="AI850">
        <v>4</v>
      </c>
      <c r="AJ850">
        <v>4</v>
      </c>
      <c r="AK850">
        <v>4</v>
      </c>
      <c r="AL850">
        <v>2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ht="12" customHeight="1" x14ac:dyDescent="0.2">
      <c r="A851" t="s">
        <v>105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ht="12" customHeight="1" x14ac:dyDescent="0.2">
      <c r="A852" t="s">
        <v>106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</v>
      </c>
      <c r="AF852">
        <v>4</v>
      </c>
      <c r="AG852">
        <v>3</v>
      </c>
      <c r="AH852">
        <v>5</v>
      </c>
      <c r="AI852">
        <v>0</v>
      </c>
      <c r="AJ852">
        <v>0</v>
      </c>
      <c r="AK852">
        <v>1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ht="12" customHeight="1" x14ac:dyDescent="0.2">
      <c r="A853" t="s">
        <v>107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ht="12" customHeight="1" x14ac:dyDescent="0.2">
      <c r="A854" t="s">
        <v>108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ht="12" customHeight="1" x14ac:dyDescent="0.2">
      <c r="A855" t="s">
        <v>109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ht="12" customHeight="1" x14ac:dyDescent="0.2">
      <c r="A856" t="s">
        <v>110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2</v>
      </c>
      <c r="Y856">
        <v>5</v>
      </c>
      <c r="Z856">
        <v>13</v>
      </c>
      <c r="AA856">
        <v>8</v>
      </c>
      <c r="AB856">
        <v>9</v>
      </c>
      <c r="AC856">
        <v>8</v>
      </c>
      <c r="AD856">
        <v>11</v>
      </c>
      <c r="AE856">
        <v>7</v>
      </c>
      <c r="AF856">
        <v>9</v>
      </c>
      <c r="AG856">
        <v>2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ht="12" customHeight="1" x14ac:dyDescent="0.2">
      <c r="A857" t="s">
        <v>111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1</v>
      </c>
      <c r="AB857">
        <v>2</v>
      </c>
      <c r="AC857">
        <v>1</v>
      </c>
      <c r="AD857">
        <v>0</v>
      </c>
      <c r="AE857">
        <v>0</v>
      </c>
      <c r="AF857">
        <v>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ht="12" customHeight="1" x14ac:dyDescent="0.2">
      <c r="A858" t="s">
        <v>112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5</v>
      </c>
      <c r="AA858">
        <v>5</v>
      </c>
      <c r="AB858">
        <v>1</v>
      </c>
      <c r="AC858">
        <v>1</v>
      </c>
      <c r="AD858">
        <v>0</v>
      </c>
      <c r="AE858">
        <v>5</v>
      </c>
      <c r="AF858">
        <v>2</v>
      </c>
      <c r="AG858">
        <v>1</v>
      </c>
      <c r="AH858">
        <v>1</v>
      </c>
      <c r="AI858">
        <v>1</v>
      </c>
      <c r="AJ858">
        <v>3</v>
      </c>
      <c r="AK858">
        <v>1</v>
      </c>
      <c r="AL858">
        <v>2</v>
      </c>
      <c r="AM858">
        <v>2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ht="12" customHeight="1" x14ac:dyDescent="0.2">
      <c r="A859" t="s">
        <v>113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ht="12" customHeight="1" x14ac:dyDescent="0.2">
      <c r="A860" t="s">
        <v>114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1</v>
      </c>
      <c r="Y860">
        <v>2</v>
      </c>
      <c r="Z860">
        <v>1</v>
      </c>
      <c r="AA860">
        <v>0</v>
      </c>
      <c r="AB860">
        <v>0</v>
      </c>
      <c r="AC860">
        <v>0</v>
      </c>
      <c r="AD860">
        <v>2</v>
      </c>
      <c r="AE860">
        <v>2</v>
      </c>
      <c r="AF860">
        <v>1</v>
      </c>
      <c r="AG860">
        <v>1</v>
      </c>
      <c r="AH860">
        <v>2</v>
      </c>
      <c r="AI860">
        <v>1</v>
      </c>
      <c r="AJ860">
        <v>6</v>
      </c>
      <c r="AK860">
        <v>2</v>
      </c>
      <c r="AL860">
        <v>1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ht="12" customHeight="1" x14ac:dyDescent="0.2">
      <c r="A861" t="s">
        <v>115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0</v>
      </c>
      <c r="AF861">
        <v>1</v>
      </c>
      <c r="AG861">
        <v>2</v>
      </c>
      <c r="AH861">
        <v>1</v>
      </c>
      <c r="AI861">
        <v>2</v>
      </c>
      <c r="AJ861">
        <v>2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ht="12" customHeight="1" x14ac:dyDescent="0.2">
      <c r="A862" t="s">
        <v>116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1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3</v>
      </c>
      <c r="AH862">
        <v>1</v>
      </c>
      <c r="AI862">
        <v>1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ht="12" customHeight="1" x14ac:dyDescent="0.2">
      <c r="A863" t="s">
        <v>117</v>
      </c>
      <c r="B863">
        <v>22</v>
      </c>
      <c r="C863">
        <v>29</v>
      </c>
      <c r="D863">
        <v>19</v>
      </c>
      <c r="E863">
        <v>16</v>
      </c>
      <c r="F863">
        <v>26</v>
      </c>
      <c r="G863">
        <v>16</v>
      </c>
      <c r="H863">
        <v>13</v>
      </c>
      <c r="I863">
        <v>19</v>
      </c>
      <c r="J863">
        <v>5</v>
      </c>
      <c r="K863">
        <v>16</v>
      </c>
      <c r="L863">
        <v>23</v>
      </c>
      <c r="M863">
        <v>18</v>
      </c>
      <c r="N863">
        <v>14</v>
      </c>
      <c r="O863">
        <v>10</v>
      </c>
      <c r="P863">
        <v>7</v>
      </c>
      <c r="Q863">
        <v>8</v>
      </c>
      <c r="R863">
        <v>6</v>
      </c>
      <c r="S863">
        <v>11</v>
      </c>
      <c r="T863">
        <v>8</v>
      </c>
      <c r="U863">
        <v>10</v>
      </c>
      <c r="V863">
        <v>15</v>
      </c>
      <c r="W863">
        <v>20</v>
      </c>
      <c r="X863">
        <v>23</v>
      </c>
      <c r="Y863">
        <v>19</v>
      </c>
      <c r="Z863">
        <v>19</v>
      </c>
      <c r="AA863">
        <v>24</v>
      </c>
      <c r="AB863">
        <v>29</v>
      </c>
      <c r="AC863">
        <v>25</v>
      </c>
      <c r="AD863">
        <v>23</v>
      </c>
      <c r="AE863">
        <v>36</v>
      </c>
      <c r="AF863">
        <v>50</v>
      </c>
      <c r="AG863">
        <v>23</v>
      </c>
      <c r="AH863">
        <v>18</v>
      </c>
      <c r="AI863">
        <v>9</v>
      </c>
      <c r="AJ863">
        <v>8</v>
      </c>
      <c r="AK863">
        <v>2</v>
      </c>
      <c r="AL863">
        <v>0</v>
      </c>
      <c r="AM863">
        <v>4</v>
      </c>
      <c r="AN863">
        <v>8</v>
      </c>
      <c r="AO863">
        <v>11</v>
      </c>
      <c r="AP863">
        <v>3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</row>
    <row r="864" spans="1:49" ht="12" customHeight="1" x14ac:dyDescent="0.2">
      <c r="A864" t="s">
        <v>118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</v>
      </c>
      <c r="Y864">
        <v>0</v>
      </c>
      <c r="Z864">
        <v>0</v>
      </c>
      <c r="AA864">
        <v>0</v>
      </c>
      <c r="AB864">
        <v>1</v>
      </c>
      <c r="AC864">
        <v>1</v>
      </c>
      <c r="AD864">
        <v>1</v>
      </c>
      <c r="AE864">
        <v>3</v>
      </c>
      <c r="AF864">
        <v>5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ht="12" customHeight="1" x14ac:dyDescent="0.2">
      <c r="A865" t="s">
        <v>119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1</v>
      </c>
      <c r="AH865">
        <v>1</v>
      </c>
      <c r="AI865">
        <v>0</v>
      </c>
      <c r="AJ865">
        <v>0</v>
      </c>
      <c r="AK865">
        <v>2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ht="12" customHeight="1" x14ac:dyDescent="0.2">
      <c r="A866" t="s">
        <v>120</v>
      </c>
      <c r="B866">
        <v>4</v>
      </c>
      <c r="C866">
        <v>5</v>
      </c>
      <c r="D866">
        <v>8</v>
      </c>
      <c r="E866">
        <v>8</v>
      </c>
      <c r="F866">
        <v>3</v>
      </c>
      <c r="G866">
        <v>5</v>
      </c>
      <c r="H866">
        <v>4</v>
      </c>
      <c r="I866">
        <v>8</v>
      </c>
      <c r="J866">
        <v>9</v>
      </c>
      <c r="K866">
        <v>11</v>
      </c>
      <c r="L866">
        <v>11</v>
      </c>
      <c r="M866">
        <v>6</v>
      </c>
      <c r="N866">
        <v>8</v>
      </c>
      <c r="O866">
        <v>14</v>
      </c>
      <c r="P866">
        <v>4</v>
      </c>
      <c r="Q866">
        <v>5</v>
      </c>
      <c r="R866">
        <v>4</v>
      </c>
      <c r="S866">
        <v>2</v>
      </c>
      <c r="T866">
        <v>3</v>
      </c>
      <c r="U866">
        <v>3</v>
      </c>
      <c r="V866">
        <v>5</v>
      </c>
      <c r="W866">
        <v>3</v>
      </c>
      <c r="X866">
        <v>0</v>
      </c>
      <c r="Y866">
        <v>4</v>
      </c>
      <c r="Z866">
        <v>3</v>
      </c>
      <c r="AA866">
        <v>0</v>
      </c>
      <c r="AB866">
        <v>2</v>
      </c>
      <c r="AC866">
        <v>5</v>
      </c>
      <c r="AD866">
        <v>13</v>
      </c>
      <c r="AE866">
        <v>8</v>
      </c>
      <c r="AF866">
        <v>9</v>
      </c>
      <c r="AG866">
        <v>7</v>
      </c>
      <c r="AH866">
        <v>4</v>
      </c>
      <c r="AI866">
        <v>3</v>
      </c>
      <c r="AJ866">
        <v>1</v>
      </c>
      <c r="AK866">
        <v>0</v>
      </c>
      <c r="AL866">
        <v>2</v>
      </c>
      <c r="AM866">
        <v>3</v>
      </c>
      <c r="AN866">
        <v>1</v>
      </c>
      <c r="AO866">
        <v>2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ht="12" customHeight="1" x14ac:dyDescent="0.2">
      <c r="A867" t="s">
        <v>121</v>
      </c>
      <c r="B867">
        <v>0</v>
      </c>
      <c r="C867">
        <v>0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3</v>
      </c>
      <c r="K867">
        <v>2</v>
      </c>
      <c r="L867">
        <v>0</v>
      </c>
      <c r="M867">
        <v>1</v>
      </c>
      <c r="N867">
        <v>2</v>
      </c>
      <c r="O867">
        <v>0</v>
      </c>
      <c r="P867">
        <v>0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2</v>
      </c>
      <c r="W867">
        <v>1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1</v>
      </c>
      <c r="AE867">
        <v>0</v>
      </c>
      <c r="AF867">
        <v>2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ht="12" customHeight="1" x14ac:dyDescent="0.2">
      <c r="A868" t="s">
        <v>122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1</v>
      </c>
      <c r="P868">
        <v>1</v>
      </c>
      <c r="Q868">
        <v>1</v>
      </c>
      <c r="R868">
        <v>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ht="12" customHeight="1" x14ac:dyDescent="0.2">
      <c r="A869" t="s">
        <v>123</v>
      </c>
      <c r="B869">
        <v>0</v>
      </c>
      <c r="C869">
        <v>0</v>
      </c>
      <c r="D869">
        <v>0</v>
      </c>
      <c r="E869">
        <v>0</v>
      </c>
      <c r="F869">
        <v>2</v>
      </c>
      <c r="G869">
        <v>2</v>
      </c>
      <c r="H869">
        <v>7</v>
      </c>
      <c r="I869">
        <v>2</v>
      </c>
      <c r="J869">
        <v>2</v>
      </c>
      <c r="K869">
        <v>3</v>
      </c>
      <c r="L869">
        <v>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</v>
      </c>
      <c r="S869">
        <v>1</v>
      </c>
      <c r="T869">
        <v>2</v>
      </c>
      <c r="U869">
        <v>0</v>
      </c>
      <c r="V869">
        <v>1</v>
      </c>
      <c r="W869">
        <v>0</v>
      </c>
      <c r="X869">
        <v>0</v>
      </c>
      <c r="Y869">
        <v>1</v>
      </c>
      <c r="Z869">
        <v>0</v>
      </c>
      <c r="AA869">
        <v>1</v>
      </c>
      <c r="AB869">
        <v>1</v>
      </c>
      <c r="AC869">
        <v>2</v>
      </c>
      <c r="AD869">
        <v>1</v>
      </c>
      <c r="AE869">
        <v>1</v>
      </c>
      <c r="AF869">
        <v>1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ht="12" customHeight="1" x14ac:dyDescent="0.2">
      <c r="A870" t="s">
        <v>124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ht="12" customHeight="1" x14ac:dyDescent="0.2">
      <c r="A871" t="s">
        <v>125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1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2</v>
      </c>
      <c r="Z871">
        <v>2</v>
      </c>
      <c r="AA871">
        <v>1</v>
      </c>
      <c r="AB871">
        <v>2</v>
      </c>
      <c r="AC871">
        <v>1</v>
      </c>
      <c r="AD871">
        <v>0</v>
      </c>
      <c r="AE871">
        <v>0</v>
      </c>
      <c r="AF871">
        <v>1</v>
      </c>
      <c r="AG871">
        <v>3</v>
      </c>
      <c r="AH871">
        <v>0</v>
      </c>
      <c r="AI871">
        <v>0</v>
      </c>
      <c r="AJ871">
        <v>0</v>
      </c>
      <c r="AK871">
        <v>2</v>
      </c>
      <c r="AL871">
        <v>0</v>
      </c>
      <c r="AM871">
        <v>0</v>
      </c>
      <c r="AN871">
        <v>1</v>
      </c>
      <c r="AO871">
        <v>0</v>
      </c>
      <c r="AP871">
        <v>2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ht="12" customHeight="1" x14ac:dyDescent="0.2">
      <c r="A872" t="s">
        <v>126</v>
      </c>
      <c r="B872">
        <v>8</v>
      </c>
      <c r="C872">
        <v>1</v>
      </c>
      <c r="D872">
        <v>4</v>
      </c>
      <c r="E872">
        <v>0</v>
      </c>
      <c r="F872">
        <v>1</v>
      </c>
      <c r="G872">
        <v>0</v>
      </c>
      <c r="H872">
        <v>1</v>
      </c>
      <c r="I872">
        <v>6</v>
      </c>
      <c r="J872">
        <v>5</v>
      </c>
      <c r="K872">
        <v>11</v>
      </c>
      <c r="L872">
        <v>7</v>
      </c>
      <c r="M872">
        <v>8</v>
      </c>
      <c r="N872">
        <v>8</v>
      </c>
      <c r="O872">
        <v>7</v>
      </c>
      <c r="P872">
        <v>3</v>
      </c>
      <c r="Q872">
        <v>3</v>
      </c>
      <c r="R872">
        <v>5</v>
      </c>
      <c r="S872">
        <v>1</v>
      </c>
      <c r="T872">
        <v>6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4</v>
      </c>
      <c r="AA872">
        <v>1</v>
      </c>
      <c r="AB872">
        <v>2</v>
      </c>
      <c r="AC872">
        <v>1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ht="12" customHeight="1" x14ac:dyDescent="0.2">
      <c r="A873" t="s">
        <v>127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ht="12" customHeight="1" x14ac:dyDescent="0.2">
      <c r="A874" t="s">
        <v>128</v>
      </c>
      <c r="B874">
        <v>4</v>
      </c>
      <c r="C874">
        <v>4</v>
      </c>
      <c r="D874">
        <v>2</v>
      </c>
      <c r="E874">
        <v>1</v>
      </c>
      <c r="F874">
        <v>4</v>
      </c>
      <c r="G874">
        <v>3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3</v>
      </c>
      <c r="S874">
        <v>3</v>
      </c>
      <c r="T874">
        <v>4</v>
      </c>
      <c r="U874">
        <v>3</v>
      </c>
      <c r="V874">
        <v>3</v>
      </c>
      <c r="W874">
        <v>3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2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ht="12" customHeight="1" x14ac:dyDescent="0.2">
      <c r="A875" t="s">
        <v>129</v>
      </c>
      <c r="B875">
        <v>3</v>
      </c>
      <c r="C875">
        <v>2</v>
      </c>
      <c r="D875">
        <v>3</v>
      </c>
      <c r="E875">
        <v>6</v>
      </c>
      <c r="F875">
        <v>3</v>
      </c>
      <c r="G875">
        <v>3</v>
      </c>
      <c r="H875">
        <v>5</v>
      </c>
      <c r="I875">
        <v>6</v>
      </c>
      <c r="J875">
        <v>5</v>
      </c>
      <c r="K875">
        <v>8</v>
      </c>
      <c r="L875">
        <v>4</v>
      </c>
      <c r="M875">
        <v>2</v>
      </c>
      <c r="N875">
        <v>2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6</v>
      </c>
    </row>
    <row r="876" spans="1:49" ht="12" customHeight="1" x14ac:dyDescent="0.2">
      <c r="A876" t="s">
        <v>130</v>
      </c>
      <c r="B876">
        <v>0</v>
      </c>
      <c r="C876">
        <v>0</v>
      </c>
      <c r="D876">
        <v>0</v>
      </c>
      <c r="E876">
        <v>1</v>
      </c>
      <c r="F876">
        <v>3</v>
      </c>
      <c r="G876">
        <v>0</v>
      </c>
      <c r="H876">
        <v>0</v>
      </c>
      <c r="I876">
        <v>2</v>
      </c>
      <c r="J876">
        <v>1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ht="12" customHeight="1" x14ac:dyDescent="0.2">
      <c r="A877" t="s">
        <v>131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ht="12" customHeight="1" x14ac:dyDescent="0.2">
      <c r="A878" t="s">
        <v>132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3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</v>
      </c>
      <c r="S878">
        <v>1</v>
      </c>
      <c r="T878">
        <v>0</v>
      </c>
      <c r="U878">
        <v>0</v>
      </c>
      <c r="V878">
        <v>0</v>
      </c>
      <c r="W878">
        <v>2</v>
      </c>
      <c r="X878">
        <v>1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ht="12" customHeight="1" x14ac:dyDescent="0.2">
      <c r="A879" t="s">
        <v>133</v>
      </c>
      <c r="B879">
        <v>2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6</v>
      </c>
      <c r="AF879">
        <v>6</v>
      </c>
      <c r="AG879">
        <v>7</v>
      </c>
      <c r="AH879">
        <v>2</v>
      </c>
      <c r="AI879">
        <v>1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ht="12" customHeight="1" x14ac:dyDescent="0.2">
      <c r="A880" t="s">
        <v>134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2</v>
      </c>
      <c r="AF880">
        <v>0</v>
      </c>
      <c r="AG880">
        <v>2</v>
      </c>
      <c r="AH880">
        <v>0</v>
      </c>
      <c r="AI880">
        <v>4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ht="12" customHeight="1" x14ac:dyDescent="0.2">
      <c r="A881" t="s">
        <v>135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4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</row>
    <row r="882" spans="1:49" ht="12" customHeight="1" x14ac:dyDescent="0.2">
      <c r="A882" t="s">
        <v>136</v>
      </c>
      <c r="B882">
        <v>3</v>
      </c>
      <c r="C882">
        <v>2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1</v>
      </c>
      <c r="AB882">
        <v>2</v>
      </c>
      <c r="AC882">
        <v>1</v>
      </c>
      <c r="AD882">
        <v>3</v>
      </c>
      <c r="AE882">
        <v>3</v>
      </c>
      <c r="AF882">
        <v>1</v>
      </c>
      <c r="AG882">
        <v>7</v>
      </c>
      <c r="AH882">
        <v>2</v>
      </c>
      <c r="AI882">
        <v>2</v>
      </c>
      <c r="AJ882">
        <v>2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ht="12" customHeight="1" x14ac:dyDescent="0.2">
      <c r="A883" t="s">
        <v>137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ht="12" customHeight="1" x14ac:dyDescent="0.2">
      <c r="A884" t="s">
        <v>138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</v>
      </c>
      <c r="AH884">
        <v>1</v>
      </c>
      <c r="AI884">
        <v>2</v>
      </c>
      <c r="AJ884">
        <v>0</v>
      </c>
      <c r="AK884">
        <v>1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ht="12" customHeight="1" x14ac:dyDescent="0.2">
      <c r="A885" t="s">
        <v>139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ht="12" customHeight="1" x14ac:dyDescent="0.2">
      <c r="A886" t="s">
        <v>140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ht="12" customHeight="1" x14ac:dyDescent="0.2">
      <c r="A887" t="s">
        <v>141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ht="12" customHeight="1" x14ac:dyDescent="0.2">
      <c r="A888" t="s">
        <v>142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ht="12" customHeight="1" x14ac:dyDescent="0.2">
      <c r="A889" t="s">
        <v>143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ht="12" customHeight="1" x14ac:dyDescent="0.2">
      <c r="A890" t="s">
        <v>144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2</v>
      </c>
      <c r="AD890">
        <v>2</v>
      </c>
      <c r="AE890">
        <v>3</v>
      </c>
      <c r="AF890">
        <v>3</v>
      </c>
      <c r="AG890">
        <v>0</v>
      </c>
      <c r="AH890">
        <v>1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ht="12" customHeight="1" x14ac:dyDescent="0.2">
      <c r="A891" t="s">
        <v>145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</row>
    <row r="892" spans="1:49" ht="12" customHeight="1" x14ac:dyDescent="0.2">
      <c r="A892" t="s">
        <v>146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ht="12" customHeight="1" x14ac:dyDescent="0.2">
      <c r="A893" t="s">
        <v>147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ht="12" customHeight="1" x14ac:dyDescent="0.2">
      <c r="A894" t="s">
        <v>148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2</v>
      </c>
      <c r="AK894">
        <v>2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ht="12" customHeight="1" x14ac:dyDescent="0.2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1:49" ht="12" customHeight="1" x14ac:dyDescent="0.2">
      <c r="A896" t="s">
        <v>170</v>
      </c>
      <c r="J896" s="2" t="s">
        <v>171</v>
      </c>
    </row>
    <row r="897" spans="1:49" ht="12" customHeight="1" x14ac:dyDescent="0.2">
      <c r="A897" s="19" t="s">
        <v>172</v>
      </c>
      <c r="B897">
        <v>1</v>
      </c>
      <c r="C897">
        <v>2</v>
      </c>
      <c r="D897">
        <v>3</v>
      </c>
      <c r="E897">
        <v>4</v>
      </c>
      <c r="F897">
        <v>5</v>
      </c>
      <c r="G897">
        <v>6</v>
      </c>
      <c r="H897">
        <v>7</v>
      </c>
      <c r="I897">
        <v>8</v>
      </c>
      <c r="J897">
        <v>9</v>
      </c>
      <c r="K897">
        <v>10</v>
      </c>
      <c r="L897">
        <v>11</v>
      </c>
      <c r="M897">
        <v>12</v>
      </c>
      <c r="N897">
        <v>13</v>
      </c>
      <c r="O897">
        <v>14</v>
      </c>
      <c r="P897">
        <v>15</v>
      </c>
      <c r="Q897">
        <v>16</v>
      </c>
      <c r="R897">
        <v>17</v>
      </c>
      <c r="S897">
        <v>18</v>
      </c>
      <c r="T897">
        <v>19</v>
      </c>
      <c r="U897">
        <v>20</v>
      </c>
      <c r="V897">
        <v>21</v>
      </c>
      <c r="W897">
        <v>22</v>
      </c>
      <c r="X897">
        <v>23</v>
      </c>
      <c r="Y897">
        <v>24</v>
      </c>
      <c r="Z897">
        <v>25</v>
      </c>
      <c r="AA897">
        <v>26</v>
      </c>
      <c r="AB897">
        <v>27</v>
      </c>
      <c r="AC897">
        <v>28</v>
      </c>
      <c r="AD897">
        <v>29</v>
      </c>
      <c r="AE897">
        <v>30</v>
      </c>
      <c r="AF897">
        <v>31</v>
      </c>
      <c r="AG897">
        <v>32</v>
      </c>
      <c r="AH897">
        <v>33</v>
      </c>
      <c r="AI897">
        <v>34</v>
      </c>
      <c r="AJ897">
        <v>35</v>
      </c>
      <c r="AK897">
        <v>36</v>
      </c>
      <c r="AL897">
        <v>37</v>
      </c>
      <c r="AM897">
        <v>38</v>
      </c>
      <c r="AN897">
        <v>39</v>
      </c>
      <c r="AO897">
        <v>40</v>
      </c>
      <c r="AP897">
        <v>41</v>
      </c>
      <c r="AQ897">
        <v>42</v>
      </c>
      <c r="AR897">
        <v>43</v>
      </c>
      <c r="AS897">
        <v>44</v>
      </c>
      <c r="AT897">
        <v>45</v>
      </c>
      <c r="AU897">
        <v>46</v>
      </c>
      <c r="AV897">
        <v>47</v>
      </c>
      <c r="AW897">
        <v>48</v>
      </c>
    </row>
    <row r="898" spans="1:49" ht="12" customHeight="1" x14ac:dyDescent="0.2">
      <c r="A898" t="s">
        <v>101</v>
      </c>
      <c r="B898">
        <v>0</v>
      </c>
      <c r="C898">
        <v>0</v>
      </c>
      <c r="D898">
        <v>1</v>
      </c>
      <c r="E898">
        <v>8</v>
      </c>
      <c r="F898">
        <v>0</v>
      </c>
      <c r="G898">
        <v>1</v>
      </c>
      <c r="H898">
        <v>3</v>
      </c>
      <c r="I898">
        <v>0</v>
      </c>
      <c r="J898">
        <v>4</v>
      </c>
      <c r="K898">
        <v>8</v>
      </c>
      <c r="L898">
        <v>5</v>
      </c>
      <c r="M898">
        <v>2</v>
      </c>
      <c r="N898">
        <v>1</v>
      </c>
      <c r="O898">
        <v>0</v>
      </c>
      <c r="P898">
        <v>0</v>
      </c>
      <c r="Q898">
        <v>0</v>
      </c>
      <c r="R898">
        <v>8</v>
      </c>
      <c r="S898">
        <v>0</v>
      </c>
      <c r="T898">
        <v>0</v>
      </c>
      <c r="U898">
        <v>3</v>
      </c>
      <c r="V898">
        <v>2</v>
      </c>
      <c r="W898">
        <v>4</v>
      </c>
      <c r="X898">
        <v>5</v>
      </c>
      <c r="Y898">
        <v>11</v>
      </c>
      <c r="Z898">
        <v>3</v>
      </c>
      <c r="AA898">
        <v>2</v>
      </c>
      <c r="AB898">
        <v>2</v>
      </c>
      <c r="AC898">
        <v>5</v>
      </c>
      <c r="AD898">
        <v>2</v>
      </c>
      <c r="AE898">
        <v>1</v>
      </c>
      <c r="AF898">
        <v>0</v>
      </c>
      <c r="AG898">
        <v>2</v>
      </c>
      <c r="AH898">
        <v>2</v>
      </c>
      <c r="AI898">
        <v>1</v>
      </c>
      <c r="AJ898">
        <v>2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ht="12" customHeight="1" x14ac:dyDescent="0.2">
      <c r="A899" t="s">
        <v>102</v>
      </c>
      <c r="B899">
        <v>1</v>
      </c>
      <c r="C899">
        <v>1</v>
      </c>
      <c r="D899">
        <v>2</v>
      </c>
      <c r="E899">
        <v>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1</v>
      </c>
      <c r="AT899">
        <v>0</v>
      </c>
      <c r="AU899">
        <v>0</v>
      </c>
      <c r="AV899">
        <v>0</v>
      </c>
      <c r="AW899">
        <v>0</v>
      </c>
    </row>
    <row r="900" spans="1:49" ht="12" customHeight="1" x14ac:dyDescent="0.2">
      <c r="A900" t="s">
        <v>103</v>
      </c>
      <c r="B900">
        <v>0</v>
      </c>
      <c r="C900">
        <v>0</v>
      </c>
      <c r="D900">
        <v>0</v>
      </c>
      <c r="E900">
        <v>2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1</v>
      </c>
      <c r="AE900">
        <v>2</v>
      </c>
      <c r="AF900">
        <v>2</v>
      </c>
      <c r="AG900">
        <v>2</v>
      </c>
      <c r="AH900">
        <v>1</v>
      </c>
      <c r="AI900">
        <v>3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ht="12" customHeight="1" x14ac:dyDescent="0.2">
      <c r="A901" t="s">
        <v>104</v>
      </c>
      <c r="B901">
        <v>2</v>
      </c>
      <c r="C901">
        <v>4</v>
      </c>
      <c r="D901">
        <v>1</v>
      </c>
      <c r="E901">
        <v>3</v>
      </c>
      <c r="F901">
        <v>7</v>
      </c>
      <c r="G901">
        <v>1</v>
      </c>
      <c r="H901">
        <v>3</v>
      </c>
      <c r="I901">
        <v>5</v>
      </c>
      <c r="J901">
        <v>5</v>
      </c>
      <c r="K901">
        <v>7</v>
      </c>
      <c r="L901">
        <v>5</v>
      </c>
      <c r="M901">
        <v>10</v>
      </c>
      <c r="N901">
        <v>14</v>
      </c>
      <c r="O901">
        <v>11</v>
      </c>
      <c r="P901">
        <v>10</v>
      </c>
      <c r="Q901">
        <v>7</v>
      </c>
      <c r="R901">
        <v>11</v>
      </c>
      <c r="S901">
        <v>6</v>
      </c>
      <c r="T901">
        <v>9</v>
      </c>
      <c r="U901">
        <v>6</v>
      </c>
      <c r="V901">
        <v>5</v>
      </c>
      <c r="W901">
        <v>3</v>
      </c>
      <c r="X901">
        <v>11</v>
      </c>
      <c r="Y901">
        <v>5</v>
      </c>
      <c r="Z901">
        <v>5</v>
      </c>
      <c r="AA901">
        <v>2</v>
      </c>
      <c r="AB901">
        <v>2</v>
      </c>
      <c r="AC901">
        <v>1</v>
      </c>
      <c r="AD901">
        <v>3</v>
      </c>
      <c r="AE901">
        <v>2</v>
      </c>
      <c r="AF901">
        <v>5</v>
      </c>
      <c r="AG901">
        <v>2</v>
      </c>
      <c r="AH901">
        <v>2</v>
      </c>
      <c r="AI901">
        <v>2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ht="12" customHeight="1" x14ac:dyDescent="0.2">
      <c r="A902" t="s">
        <v>105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ht="12" customHeight="1" x14ac:dyDescent="0.2">
      <c r="A903" t="s">
        <v>106</v>
      </c>
      <c r="B903">
        <v>0</v>
      </c>
      <c r="C903">
        <v>0</v>
      </c>
      <c r="D903">
        <v>0</v>
      </c>
      <c r="E903">
        <v>6</v>
      </c>
      <c r="F903">
        <v>1</v>
      </c>
      <c r="G903">
        <v>1</v>
      </c>
      <c r="H903">
        <v>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0</v>
      </c>
      <c r="V903">
        <v>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ht="12" customHeight="1" x14ac:dyDescent="0.2">
      <c r="A904" t="s">
        <v>107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ht="12" customHeight="1" x14ac:dyDescent="0.2">
      <c r="A905" t="s">
        <v>108</v>
      </c>
      <c r="B905">
        <v>0</v>
      </c>
      <c r="C905">
        <v>0</v>
      </c>
      <c r="D905">
        <v>0</v>
      </c>
      <c r="E905">
        <v>2</v>
      </c>
      <c r="F905">
        <v>2</v>
      </c>
      <c r="G905">
        <v>6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2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2</v>
      </c>
      <c r="U905">
        <v>0</v>
      </c>
      <c r="V905">
        <v>1</v>
      </c>
      <c r="W905">
        <v>0</v>
      </c>
      <c r="X905">
        <v>1</v>
      </c>
      <c r="Y905">
        <v>2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ht="12" customHeight="1" x14ac:dyDescent="0.2">
      <c r="A906" t="s">
        <v>109</v>
      </c>
      <c r="B906">
        <v>0</v>
      </c>
      <c r="C906">
        <v>0</v>
      </c>
      <c r="D906">
        <v>0</v>
      </c>
      <c r="E906">
        <v>5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2</v>
      </c>
      <c r="L906">
        <v>1</v>
      </c>
      <c r="M906">
        <v>0</v>
      </c>
      <c r="N906">
        <v>0</v>
      </c>
      <c r="O906">
        <v>2</v>
      </c>
      <c r="P906">
        <v>2</v>
      </c>
      <c r="Q906">
        <v>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1</v>
      </c>
      <c r="AB906">
        <v>3</v>
      </c>
      <c r="AC906">
        <v>0</v>
      </c>
      <c r="AD906">
        <v>1</v>
      </c>
      <c r="AE906">
        <v>1</v>
      </c>
      <c r="AF906">
        <v>0</v>
      </c>
      <c r="AG906">
        <v>2</v>
      </c>
      <c r="AH906">
        <v>0</v>
      </c>
      <c r="AI906">
        <v>0</v>
      </c>
      <c r="AJ906">
        <v>0</v>
      </c>
      <c r="AK906">
        <v>0</v>
      </c>
      <c r="AL906">
        <v>2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ht="12" customHeight="1" x14ac:dyDescent="0.2">
      <c r="A907" t="s">
        <v>110</v>
      </c>
      <c r="B907">
        <v>0</v>
      </c>
      <c r="C907">
        <v>0</v>
      </c>
      <c r="D907">
        <v>2</v>
      </c>
      <c r="E907">
        <v>83</v>
      </c>
      <c r="F907">
        <v>0</v>
      </c>
      <c r="G907">
        <v>2</v>
      </c>
      <c r="H907">
        <v>3</v>
      </c>
      <c r="I907">
        <v>0</v>
      </c>
      <c r="J907">
        <v>1</v>
      </c>
      <c r="K907">
        <v>1</v>
      </c>
      <c r="L907">
        <v>0</v>
      </c>
      <c r="M907">
        <v>3</v>
      </c>
      <c r="N907">
        <v>4</v>
      </c>
      <c r="O907">
        <v>2</v>
      </c>
      <c r="P907">
        <v>3</v>
      </c>
      <c r="Q907">
        <v>11</v>
      </c>
      <c r="R907">
        <v>6</v>
      </c>
      <c r="S907">
        <v>2</v>
      </c>
      <c r="T907">
        <v>1</v>
      </c>
      <c r="U907">
        <v>1</v>
      </c>
      <c r="V907">
        <v>1</v>
      </c>
      <c r="W907">
        <v>1</v>
      </c>
      <c r="X907">
        <v>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ht="12" customHeight="1" x14ac:dyDescent="0.2">
      <c r="A908" t="s">
        <v>111</v>
      </c>
      <c r="B908">
        <v>0</v>
      </c>
      <c r="C908">
        <v>0</v>
      </c>
      <c r="D908">
        <v>4</v>
      </c>
      <c r="E908">
        <v>13</v>
      </c>
      <c r="F908">
        <v>8</v>
      </c>
      <c r="G908">
        <v>3</v>
      </c>
      <c r="H908">
        <v>1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ht="12" customHeight="1" x14ac:dyDescent="0.2">
      <c r="A909" t="s">
        <v>112</v>
      </c>
      <c r="B909">
        <v>0</v>
      </c>
      <c r="C909">
        <v>0</v>
      </c>
      <c r="D909">
        <v>0</v>
      </c>
      <c r="E909">
        <v>1</v>
      </c>
      <c r="F909">
        <v>1</v>
      </c>
      <c r="G909">
        <v>1</v>
      </c>
      <c r="H909">
        <v>3</v>
      </c>
      <c r="I909">
        <v>1</v>
      </c>
      <c r="J909">
        <v>1</v>
      </c>
      <c r="K909">
        <v>2</v>
      </c>
      <c r="L909">
        <v>2</v>
      </c>
      <c r="M909">
        <v>2</v>
      </c>
      <c r="N909">
        <v>2</v>
      </c>
      <c r="O909">
        <v>0</v>
      </c>
      <c r="P909">
        <v>3</v>
      </c>
      <c r="Q909">
        <v>2</v>
      </c>
      <c r="R909">
        <v>1</v>
      </c>
      <c r="S909">
        <v>3</v>
      </c>
      <c r="T909">
        <v>2</v>
      </c>
      <c r="U909">
        <v>2</v>
      </c>
      <c r="V909">
        <v>2</v>
      </c>
      <c r="W909">
        <v>0</v>
      </c>
      <c r="X909">
        <v>1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ht="12" customHeight="1" x14ac:dyDescent="0.2">
      <c r="A910" t="s">
        <v>113</v>
      </c>
      <c r="B910">
        <v>0</v>
      </c>
      <c r="C910">
        <v>1</v>
      </c>
      <c r="D910">
        <v>1</v>
      </c>
      <c r="E910">
        <v>2</v>
      </c>
      <c r="F910">
        <v>1</v>
      </c>
      <c r="G910">
        <v>1</v>
      </c>
      <c r="H910">
        <v>0</v>
      </c>
      <c r="I910">
        <v>3</v>
      </c>
      <c r="J910">
        <v>5</v>
      </c>
      <c r="K910">
        <v>1</v>
      </c>
      <c r="L910">
        <v>0</v>
      </c>
      <c r="M910">
        <v>3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1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4</v>
      </c>
      <c r="AG910">
        <v>1</v>
      </c>
      <c r="AH910">
        <v>1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ht="12" customHeight="1" x14ac:dyDescent="0.2">
      <c r="A911" t="s">
        <v>114</v>
      </c>
      <c r="B911">
        <v>0</v>
      </c>
      <c r="C911">
        <v>1</v>
      </c>
      <c r="D911">
        <v>0</v>
      </c>
      <c r="E911">
        <v>3</v>
      </c>
      <c r="F911">
        <v>1</v>
      </c>
      <c r="G911">
        <v>0</v>
      </c>
      <c r="H911">
        <v>3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7</v>
      </c>
      <c r="O911">
        <v>1</v>
      </c>
      <c r="P911">
        <v>2</v>
      </c>
      <c r="Q911">
        <v>2</v>
      </c>
      <c r="R911">
        <v>1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5</v>
      </c>
      <c r="Z911">
        <v>2</v>
      </c>
      <c r="AA911">
        <v>5</v>
      </c>
      <c r="AB911">
        <v>0</v>
      </c>
      <c r="AC911">
        <v>1</v>
      </c>
      <c r="AD911">
        <v>0</v>
      </c>
      <c r="AE911">
        <v>1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ht="12" customHeight="1" x14ac:dyDescent="0.2">
      <c r="A912" t="s">
        <v>115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1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ht="12" customHeight="1" x14ac:dyDescent="0.2">
      <c r="A913" t="s">
        <v>116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3</v>
      </c>
      <c r="N913">
        <v>2</v>
      </c>
      <c r="O913">
        <v>0</v>
      </c>
      <c r="P913">
        <v>0</v>
      </c>
      <c r="Q913">
        <v>3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ht="12" customHeight="1" x14ac:dyDescent="0.2">
      <c r="A914" t="s">
        <v>117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4</v>
      </c>
      <c r="T914">
        <v>1</v>
      </c>
      <c r="U914">
        <v>0</v>
      </c>
      <c r="V914">
        <v>2</v>
      </c>
      <c r="W914">
        <v>5</v>
      </c>
      <c r="X914">
        <v>4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1</v>
      </c>
      <c r="AT914">
        <v>0</v>
      </c>
      <c r="AU914">
        <v>0</v>
      </c>
      <c r="AV914">
        <v>0</v>
      </c>
      <c r="AW914">
        <v>0</v>
      </c>
    </row>
    <row r="915" spans="1:49" ht="12" customHeight="1" x14ac:dyDescent="0.2">
      <c r="A915" t="s">
        <v>118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3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ht="12" customHeight="1" x14ac:dyDescent="0.2">
      <c r="A916" t="s">
        <v>119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ht="12" customHeight="1" x14ac:dyDescent="0.2">
      <c r="A917" t="s">
        <v>120</v>
      </c>
      <c r="B917">
        <v>0</v>
      </c>
      <c r="C917">
        <v>1</v>
      </c>
      <c r="D917">
        <v>0</v>
      </c>
      <c r="E917">
        <v>4</v>
      </c>
      <c r="F917">
        <v>3</v>
      </c>
      <c r="G917">
        <v>0</v>
      </c>
      <c r="H917">
        <v>2</v>
      </c>
      <c r="I917">
        <v>0</v>
      </c>
      <c r="J917">
        <v>3</v>
      </c>
      <c r="K917">
        <v>2</v>
      </c>
      <c r="L917">
        <v>1</v>
      </c>
      <c r="M917">
        <v>1</v>
      </c>
      <c r="N917">
        <v>2</v>
      </c>
      <c r="O917">
        <v>6</v>
      </c>
      <c r="P917">
        <v>3</v>
      </c>
      <c r="Q917">
        <v>3</v>
      </c>
      <c r="R917">
        <v>3</v>
      </c>
      <c r="S917">
        <v>3</v>
      </c>
      <c r="T917">
        <v>1</v>
      </c>
      <c r="U917">
        <v>3</v>
      </c>
      <c r="V917">
        <v>0</v>
      </c>
      <c r="W917">
        <v>0</v>
      </c>
      <c r="X917">
        <v>2</v>
      </c>
      <c r="Y917">
        <v>2</v>
      </c>
      <c r="Z917">
        <v>2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ht="12" customHeight="1" x14ac:dyDescent="0.2">
      <c r="A918" t="s">
        <v>121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ht="12" customHeight="1" x14ac:dyDescent="0.2">
      <c r="A919" t="s">
        <v>122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ht="12" customHeight="1" x14ac:dyDescent="0.2">
      <c r="A920" t="s">
        <v>123</v>
      </c>
      <c r="B920">
        <v>0</v>
      </c>
      <c r="C920">
        <v>0</v>
      </c>
      <c r="D920">
        <v>0</v>
      </c>
      <c r="E920">
        <v>0</v>
      </c>
      <c r="F920">
        <v>2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ht="12" customHeight="1" x14ac:dyDescent="0.2">
      <c r="A921" t="s">
        <v>124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4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ht="12" customHeight="1" x14ac:dyDescent="0.2">
      <c r="A922" t="s">
        <v>125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ht="12" customHeight="1" x14ac:dyDescent="0.2">
      <c r="A923" t="s">
        <v>126</v>
      </c>
      <c r="B923">
        <v>1</v>
      </c>
      <c r="C923">
        <v>0</v>
      </c>
      <c r="D923">
        <v>1</v>
      </c>
      <c r="E923">
        <v>1</v>
      </c>
      <c r="F923">
        <v>1</v>
      </c>
      <c r="G923">
        <v>3</v>
      </c>
      <c r="H923">
        <v>0</v>
      </c>
      <c r="I923">
        <v>3</v>
      </c>
      <c r="J923">
        <v>3</v>
      </c>
      <c r="K923">
        <v>5</v>
      </c>
      <c r="L923">
        <v>2</v>
      </c>
      <c r="M923">
        <v>3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2</v>
      </c>
      <c r="W923">
        <v>3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ht="12" customHeight="1" x14ac:dyDescent="0.2">
      <c r="A924" t="s">
        <v>127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ht="12" customHeight="1" x14ac:dyDescent="0.2">
      <c r="A925" t="s">
        <v>128</v>
      </c>
      <c r="B925">
        <v>0</v>
      </c>
      <c r="C925">
        <v>0</v>
      </c>
      <c r="D925">
        <v>1</v>
      </c>
      <c r="E925">
        <v>3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4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ht="12" customHeight="1" x14ac:dyDescent="0.2">
      <c r="A926" t="s">
        <v>129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2</v>
      </c>
      <c r="J926">
        <v>0</v>
      </c>
      <c r="K926">
        <v>0</v>
      </c>
      <c r="L926">
        <v>2</v>
      </c>
      <c r="M926">
        <v>2</v>
      </c>
      <c r="N926">
        <v>2</v>
      </c>
      <c r="O926">
        <v>1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2</v>
      </c>
      <c r="AG926">
        <v>1</v>
      </c>
      <c r="AH926">
        <v>1</v>
      </c>
      <c r="AI926">
        <v>1</v>
      </c>
      <c r="AJ926">
        <v>0</v>
      </c>
      <c r="AK926">
        <v>1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ht="12" customHeight="1" x14ac:dyDescent="0.2">
      <c r="A927" t="s">
        <v>130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ht="12" customHeight="1" x14ac:dyDescent="0.2">
      <c r="A928" t="s">
        <v>131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ht="12" customHeight="1" x14ac:dyDescent="0.2">
      <c r="A929" t="s">
        <v>132</v>
      </c>
      <c r="B929">
        <v>0</v>
      </c>
      <c r="C929">
        <v>0</v>
      </c>
      <c r="D929">
        <v>0</v>
      </c>
      <c r="E929">
        <v>0</v>
      </c>
      <c r="F929">
        <v>3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ht="12" customHeight="1" x14ac:dyDescent="0.2">
      <c r="A930" t="s">
        <v>133</v>
      </c>
      <c r="B930">
        <v>1</v>
      </c>
      <c r="C930">
        <v>0</v>
      </c>
      <c r="D930">
        <v>0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6</v>
      </c>
      <c r="K930">
        <v>3</v>
      </c>
      <c r="L930">
        <v>1</v>
      </c>
      <c r="M930">
        <v>4</v>
      </c>
      <c r="N930">
        <v>2</v>
      </c>
      <c r="O930">
        <v>1</v>
      </c>
      <c r="P930">
        <v>6</v>
      </c>
      <c r="Q930">
        <v>5</v>
      </c>
      <c r="R930">
        <v>4</v>
      </c>
      <c r="S930">
        <v>6</v>
      </c>
      <c r="T930">
        <v>13</v>
      </c>
      <c r="U930">
        <v>23</v>
      </c>
      <c r="V930">
        <v>16</v>
      </c>
      <c r="W930">
        <v>19</v>
      </c>
      <c r="X930">
        <v>2</v>
      </c>
      <c r="Y930">
        <v>5</v>
      </c>
      <c r="Z930">
        <v>1</v>
      </c>
      <c r="AA930">
        <v>3</v>
      </c>
      <c r="AB930">
        <v>2</v>
      </c>
      <c r="AC930">
        <v>2</v>
      </c>
      <c r="AD930">
        <v>0</v>
      </c>
      <c r="AE930">
        <v>1</v>
      </c>
      <c r="AF930">
        <v>1</v>
      </c>
      <c r="AG930">
        <v>1</v>
      </c>
      <c r="AH930">
        <v>1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ht="12" customHeight="1" x14ac:dyDescent="0.2">
      <c r="A931" t="s">
        <v>134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</v>
      </c>
      <c r="O931">
        <v>4</v>
      </c>
      <c r="P931">
        <v>3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3</v>
      </c>
      <c r="Y931">
        <v>1</v>
      </c>
      <c r="Z931">
        <v>1</v>
      </c>
      <c r="AA931">
        <v>1</v>
      </c>
      <c r="AB931">
        <v>1</v>
      </c>
      <c r="AC931">
        <v>0</v>
      </c>
      <c r="AD931">
        <v>4</v>
      </c>
      <c r="AE931">
        <v>1</v>
      </c>
      <c r="AF931">
        <v>3</v>
      </c>
      <c r="AG931">
        <v>0</v>
      </c>
      <c r="AH931">
        <v>0</v>
      </c>
      <c r="AI931">
        <v>1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ht="12" customHeight="1" x14ac:dyDescent="0.2">
      <c r="A932" t="s">
        <v>135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4</v>
      </c>
      <c r="W932">
        <v>2</v>
      </c>
      <c r="X932">
        <v>1</v>
      </c>
      <c r="Y932">
        <v>2</v>
      </c>
      <c r="Z932">
        <v>2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ht="12" customHeight="1" x14ac:dyDescent="0.2">
      <c r="A933" t="s">
        <v>136</v>
      </c>
      <c r="B933">
        <v>3</v>
      </c>
      <c r="C933">
        <v>1</v>
      </c>
      <c r="D933">
        <v>0</v>
      </c>
      <c r="E933">
        <v>2</v>
      </c>
      <c r="F933">
        <v>1</v>
      </c>
      <c r="G933">
        <v>0</v>
      </c>
      <c r="H933">
        <v>1</v>
      </c>
      <c r="I933">
        <v>1</v>
      </c>
      <c r="J933">
        <v>1</v>
      </c>
      <c r="K933">
        <v>0</v>
      </c>
      <c r="L933">
        <v>5</v>
      </c>
      <c r="M933">
        <v>3</v>
      </c>
      <c r="N933">
        <v>5</v>
      </c>
      <c r="O933">
        <v>4</v>
      </c>
      <c r="P933">
        <v>2</v>
      </c>
      <c r="Q933">
        <v>0</v>
      </c>
      <c r="R933">
        <v>1</v>
      </c>
      <c r="S933">
        <v>1</v>
      </c>
      <c r="T933">
        <v>2</v>
      </c>
      <c r="U933">
        <v>0</v>
      </c>
      <c r="V933">
        <v>0</v>
      </c>
      <c r="W933">
        <v>3</v>
      </c>
      <c r="X933">
        <v>3</v>
      </c>
      <c r="Y933">
        <v>1</v>
      </c>
      <c r="Z933">
        <v>0</v>
      </c>
      <c r="AA933">
        <v>0</v>
      </c>
      <c r="AB933">
        <v>1</v>
      </c>
      <c r="AC933">
        <v>1</v>
      </c>
      <c r="AD933">
        <v>2</v>
      </c>
      <c r="AE933">
        <v>0</v>
      </c>
      <c r="AF933">
        <v>1</v>
      </c>
      <c r="AG933">
        <v>0</v>
      </c>
      <c r="AH933">
        <v>1</v>
      </c>
      <c r="AI933">
        <v>0</v>
      </c>
      <c r="AJ933">
        <v>1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ht="12" customHeight="1" x14ac:dyDescent="0.2">
      <c r="A934" t="s">
        <v>137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ht="12" customHeight="1" x14ac:dyDescent="0.2">
      <c r="A935" t="s">
        <v>138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</v>
      </c>
      <c r="R935">
        <v>2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1</v>
      </c>
      <c r="AE935">
        <v>2</v>
      </c>
      <c r="AF935">
        <v>1</v>
      </c>
      <c r="AG935">
        <v>1</v>
      </c>
      <c r="AH935">
        <v>1</v>
      </c>
      <c r="AI935">
        <v>2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ht="12" customHeight="1" x14ac:dyDescent="0.2">
      <c r="A936" t="s">
        <v>139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ht="12" customHeight="1" x14ac:dyDescent="0.2">
      <c r="A937" t="s">
        <v>140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2</v>
      </c>
      <c r="W937">
        <v>1</v>
      </c>
      <c r="X937">
        <v>1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ht="12" customHeight="1" x14ac:dyDescent="0.2">
      <c r="A938" t="s">
        <v>141</v>
      </c>
      <c r="B938">
        <v>0</v>
      </c>
      <c r="C938">
        <v>0</v>
      </c>
      <c r="D938">
        <v>0</v>
      </c>
      <c r="E938">
        <v>0</v>
      </c>
      <c r="F938">
        <v>2</v>
      </c>
      <c r="G938">
        <v>0</v>
      </c>
      <c r="H938">
        <v>1</v>
      </c>
      <c r="I938">
        <v>1</v>
      </c>
      <c r="J938">
        <v>0</v>
      </c>
      <c r="K938">
        <v>1</v>
      </c>
      <c r="L938">
        <v>2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ht="12" customHeight="1" x14ac:dyDescent="0.2">
      <c r="A939" t="s">
        <v>142</v>
      </c>
      <c r="B939">
        <v>0</v>
      </c>
      <c r="C939">
        <v>1</v>
      </c>
      <c r="D939">
        <v>2</v>
      </c>
      <c r="E939">
        <v>4</v>
      </c>
      <c r="F939">
        <v>4</v>
      </c>
      <c r="G939">
        <v>0</v>
      </c>
      <c r="H939">
        <v>2</v>
      </c>
      <c r="I939">
        <v>2</v>
      </c>
      <c r="J939">
        <v>4</v>
      </c>
      <c r="K939">
        <v>2</v>
      </c>
      <c r="L939">
        <v>0</v>
      </c>
      <c r="M939">
        <v>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ht="12" customHeight="1" x14ac:dyDescent="0.2">
      <c r="A940" t="s">
        <v>143</v>
      </c>
      <c r="B940">
        <v>0</v>
      </c>
      <c r="C940">
        <v>0</v>
      </c>
      <c r="D940">
        <v>0</v>
      </c>
      <c r="E940">
        <v>3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1</v>
      </c>
      <c r="M940">
        <v>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ht="12" customHeight="1" x14ac:dyDescent="0.2">
      <c r="A941" t="s">
        <v>144</v>
      </c>
      <c r="B941">
        <v>0</v>
      </c>
      <c r="C941">
        <v>0</v>
      </c>
      <c r="D941">
        <v>0</v>
      </c>
      <c r="E941">
        <v>2</v>
      </c>
      <c r="F941">
        <v>2</v>
      </c>
      <c r="G941">
        <v>1</v>
      </c>
      <c r="H941">
        <v>5</v>
      </c>
      <c r="I941">
        <v>4</v>
      </c>
      <c r="J941">
        <v>3</v>
      </c>
      <c r="K941">
        <v>0</v>
      </c>
      <c r="L941">
        <v>1</v>
      </c>
      <c r="M941">
        <v>3</v>
      </c>
      <c r="N941">
        <v>2</v>
      </c>
      <c r="O941">
        <v>1</v>
      </c>
      <c r="P941">
        <v>2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2</v>
      </c>
      <c r="Y941">
        <v>1</v>
      </c>
      <c r="Z941">
        <v>1</v>
      </c>
      <c r="AA941">
        <v>1</v>
      </c>
      <c r="AB941">
        <v>0</v>
      </c>
      <c r="AC941">
        <v>0</v>
      </c>
      <c r="AD941">
        <v>1</v>
      </c>
      <c r="AE941">
        <v>2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ht="12" customHeight="1" x14ac:dyDescent="0.2">
      <c r="A942" t="s">
        <v>145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1</v>
      </c>
      <c r="X942">
        <v>2</v>
      </c>
      <c r="Y942">
        <v>2</v>
      </c>
      <c r="Z942">
        <v>0</v>
      </c>
      <c r="AA942">
        <v>1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ht="12" customHeight="1" x14ac:dyDescent="0.2">
      <c r="A943" t="s">
        <v>146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1</v>
      </c>
      <c r="H943">
        <v>0</v>
      </c>
      <c r="I943">
        <v>2</v>
      </c>
      <c r="J943">
        <v>3</v>
      </c>
      <c r="K943">
        <v>0</v>
      </c>
      <c r="L943">
        <v>1</v>
      </c>
      <c r="M943">
        <v>1</v>
      </c>
      <c r="N943">
        <v>2</v>
      </c>
      <c r="O943">
        <v>1</v>
      </c>
      <c r="P943">
        <v>0</v>
      </c>
      <c r="Q943">
        <v>3</v>
      </c>
      <c r="R943">
        <v>0</v>
      </c>
      <c r="S943">
        <v>1</v>
      </c>
      <c r="T943">
        <v>2</v>
      </c>
      <c r="U943">
        <v>1</v>
      </c>
      <c r="V943">
        <v>10</v>
      </c>
      <c r="W943">
        <v>6</v>
      </c>
      <c r="X943">
        <v>7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</v>
      </c>
      <c r="AG943">
        <v>2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ht="12" customHeight="1" x14ac:dyDescent="0.2">
      <c r="A944" t="s">
        <v>147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2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ht="12" customHeight="1" x14ac:dyDescent="0.2">
      <c r="A945" t="s">
        <v>148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2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3</v>
      </c>
      <c r="W945">
        <v>2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2</v>
      </c>
      <c r="AD945">
        <v>0</v>
      </c>
      <c r="AE945">
        <v>0</v>
      </c>
      <c r="AF945">
        <v>1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7" spans="1:49" ht="12" customHeight="1" x14ac:dyDescent="0.2">
      <c r="A947" t="s">
        <v>173</v>
      </c>
      <c r="I947" s="2" t="s">
        <v>174</v>
      </c>
    </row>
    <row r="948" spans="1:49" ht="12" customHeight="1" x14ac:dyDescent="0.2">
      <c r="A948" s="19" t="s">
        <v>175</v>
      </c>
      <c r="B948">
        <v>1</v>
      </c>
      <c r="C948">
        <v>2</v>
      </c>
      <c r="D948">
        <v>3</v>
      </c>
      <c r="E948">
        <v>4</v>
      </c>
      <c r="F948">
        <v>5</v>
      </c>
      <c r="G948">
        <v>6</v>
      </c>
      <c r="H948">
        <v>7</v>
      </c>
      <c r="I948">
        <v>8</v>
      </c>
      <c r="J948">
        <v>9</v>
      </c>
      <c r="K948">
        <v>10</v>
      </c>
      <c r="L948">
        <v>11</v>
      </c>
      <c r="M948">
        <v>12</v>
      </c>
      <c r="N948">
        <v>13</v>
      </c>
      <c r="O948">
        <v>14</v>
      </c>
      <c r="P948">
        <v>15</v>
      </c>
      <c r="Q948">
        <v>16</v>
      </c>
      <c r="R948">
        <v>17</v>
      </c>
      <c r="S948">
        <v>18</v>
      </c>
      <c r="T948">
        <v>19</v>
      </c>
      <c r="U948">
        <v>20</v>
      </c>
      <c r="V948">
        <v>21</v>
      </c>
      <c r="W948">
        <v>22</v>
      </c>
      <c r="X948">
        <v>23</v>
      </c>
      <c r="Y948">
        <v>24</v>
      </c>
      <c r="Z948">
        <v>25</v>
      </c>
      <c r="AA948">
        <v>26</v>
      </c>
      <c r="AB948">
        <v>27</v>
      </c>
      <c r="AC948">
        <v>28</v>
      </c>
      <c r="AD948">
        <v>29</v>
      </c>
      <c r="AE948">
        <v>30</v>
      </c>
      <c r="AF948">
        <v>31</v>
      </c>
      <c r="AG948">
        <v>32</v>
      </c>
      <c r="AH948">
        <v>33</v>
      </c>
      <c r="AI948">
        <v>34</v>
      </c>
      <c r="AJ948">
        <v>35</v>
      </c>
      <c r="AK948">
        <v>36</v>
      </c>
      <c r="AL948">
        <v>37</v>
      </c>
      <c r="AM948">
        <v>38</v>
      </c>
      <c r="AN948">
        <v>39</v>
      </c>
      <c r="AO948">
        <v>40</v>
      </c>
      <c r="AP948">
        <v>41</v>
      </c>
      <c r="AQ948">
        <v>42</v>
      </c>
      <c r="AR948">
        <v>43</v>
      </c>
      <c r="AS948">
        <v>44</v>
      </c>
      <c r="AT948">
        <v>45</v>
      </c>
      <c r="AU948">
        <v>46</v>
      </c>
      <c r="AV948">
        <v>47</v>
      </c>
      <c r="AW948">
        <v>48</v>
      </c>
    </row>
    <row r="949" spans="1:49" ht="12" customHeight="1" x14ac:dyDescent="0.2">
      <c r="A949" t="s">
        <v>101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2</v>
      </c>
      <c r="AH949">
        <v>0</v>
      </c>
      <c r="AI949">
        <v>0</v>
      </c>
      <c r="AJ949">
        <v>0</v>
      </c>
      <c r="AK949">
        <v>3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ht="12" customHeight="1" x14ac:dyDescent="0.2">
      <c r="A950" t="s">
        <v>102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ht="12" customHeight="1" x14ac:dyDescent="0.2">
      <c r="A951" t="s">
        <v>103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ht="12" customHeight="1" x14ac:dyDescent="0.2">
      <c r="A952" t="s">
        <v>104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2</v>
      </c>
      <c r="AH952">
        <v>0</v>
      </c>
      <c r="AI952">
        <v>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ht="12" customHeight="1" x14ac:dyDescent="0.2">
      <c r="A953" t="s">
        <v>105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ht="12" customHeight="1" x14ac:dyDescent="0.2">
      <c r="A954" t="s">
        <v>106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ht="12" customHeight="1" x14ac:dyDescent="0.2">
      <c r="A955" t="s">
        <v>107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ht="12" customHeight="1" x14ac:dyDescent="0.2">
      <c r="A956" t="s">
        <v>108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ht="12" customHeight="1" x14ac:dyDescent="0.2">
      <c r="A957" t="s">
        <v>109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ht="12" customHeight="1" x14ac:dyDescent="0.2">
      <c r="A958" t="s">
        <v>110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</v>
      </c>
      <c r="AA958">
        <v>0</v>
      </c>
      <c r="AB958">
        <v>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ht="12" customHeight="1" x14ac:dyDescent="0.2">
      <c r="A959" t="s">
        <v>111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ht="12" customHeight="1" x14ac:dyDescent="0.2">
      <c r="A960" t="s">
        <v>112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2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ht="12" customHeight="1" x14ac:dyDescent="0.2">
      <c r="A961" t="s">
        <v>113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ht="12" customHeight="1" x14ac:dyDescent="0.2">
      <c r="A962" t="s">
        <v>114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ht="12" customHeight="1" x14ac:dyDescent="0.2">
      <c r="A963" t="s">
        <v>115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ht="12" customHeight="1" x14ac:dyDescent="0.2">
      <c r="A964" t="s">
        <v>116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ht="12" customHeight="1" x14ac:dyDescent="0.2">
      <c r="A965" t="s">
        <v>117</v>
      </c>
      <c r="B965">
        <v>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2</v>
      </c>
      <c r="Z965">
        <v>1</v>
      </c>
      <c r="AA965">
        <v>0</v>
      </c>
      <c r="AB965">
        <v>0</v>
      </c>
      <c r="AC965">
        <v>0</v>
      </c>
      <c r="AD965">
        <v>1</v>
      </c>
      <c r="AE965">
        <v>1</v>
      </c>
      <c r="AF965">
        <v>0</v>
      </c>
      <c r="AG965">
        <v>1</v>
      </c>
      <c r="AH965">
        <v>1</v>
      </c>
      <c r="AI965">
        <v>0</v>
      </c>
      <c r="AJ965">
        <v>1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ht="12" customHeight="1" x14ac:dyDescent="0.2">
      <c r="A966" t="s">
        <v>118</v>
      </c>
      <c r="B966">
        <v>1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ht="12" customHeight="1" x14ac:dyDescent="0.2">
      <c r="A967" t="s">
        <v>119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</row>
    <row r="968" spans="1:49" ht="12" customHeight="1" x14ac:dyDescent="0.2">
      <c r="A968" t="s">
        <v>120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</row>
    <row r="969" spans="1:49" ht="12" customHeight="1" x14ac:dyDescent="0.2">
      <c r="A969" t="s">
        <v>121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</row>
    <row r="970" spans="1:49" ht="12" customHeight="1" x14ac:dyDescent="0.2">
      <c r="A970" t="s">
        <v>122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</row>
    <row r="971" spans="1:49" ht="12" customHeight="1" x14ac:dyDescent="0.2">
      <c r="A971" t="s">
        <v>123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ht="12" customHeight="1" x14ac:dyDescent="0.2">
      <c r="A972" t="s">
        <v>124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ht="12" customHeight="1" x14ac:dyDescent="0.2">
      <c r="A973" t="s">
        <v>125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1</v>
      </c>
      <c r="AI973">
        <v>1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ht="12" customHeight="1" x14ac:dyDescent="0.2">
      <c r="A974" t="s">
        <v>126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ht="12" customHeight="1" x14ac:dyDescent="0.2">
      <c r="A975" t="s">
        <v>127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ht="12" customHeight="1" x14ac:dyDescent="0.2">
      <c r="A976" t="s">
        <v>128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ht="12" customHeight="1" x14ac:dyDescent="0.2">
      <c r="A977" t="s">
        <v>129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ht="12" customHeight="1" x14ac:dyDescent="0.2">
      <c r="A978" t="s">
        <v>130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</row>
    <row r="979" spans="1:49" ht="12" customHeight="1" x14ac:dyDescent="0.2">
      <c r="A979" t="s">
        <v>131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ht="12" customHeight="1" x14ac:dyDescent="0.2">
      <c r="A980" t="s">
        <v>132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ht="12" customHeight="1" x14ac:dyDescent="0.2">
      <c r="A981" t="s">
        <v>133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3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ht="12" customHeight="1" x14ac:dyDescent="0.2">
      <c r="A982" t="s">
        <v>134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ht="12" customHeight="1" x14ac:dyDescent="0.2">
      <c r="A983" t="s">
        <v>135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ht="12" customHeight="1" x14ac:dyDescent="0.2">
      <c r="A984" t="s">
        <v>136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0</v>
      </c>
      <c r="AJ984">
        <v>1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ht="12" customHeight="1" x14ac:dyDescent="0.2">
      <c r="A985" t="s">
        <v>137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ht="12" customHeight="1" x14ac:dyDescent="0.2">
      <c r="A986" t="s">
        <v>138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ht="12" customHeight="1" x14ac:dyDescent="0.2">
      <c r="A987" t="s">
        <v>139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ht="12" customHeight="1" x14ac:dyDescent="0.2">
      <c r="A988" t="s">
        <v>140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ht="12" customHeight="1" x14ac:dyDescent="0.2">
      <c r="A989" t="s">
        <v>141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ht="12" customHeight="1" x14ac:dyDescent="0.2">
      <c r="A990" t="s">
        <v>142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ht="12" customHeight="1" x14ac:dyDescent="0.2">
      <c r="A991" t="s">
        <v>143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</row>
    <row r="992" spans="1:49" ht="12" customHeight="1" x14ac:dyDescent="0.2">
      <c r="A992" t="s">
        <v>144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ht="12" customHeight="1" x14ac:dyDescent="0.2">
      <c r="A993" t="s">
        <v>145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ht="12" customHeight="1" x14ac:dyDescent="0.2">
      <c r="A994" t="s">
        <v>146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ht="12" customHeight="1" x14ac:dyDescent="0.2">
      <c r="A995" t="s">
        <v>147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ht="12" customHeight="1" x14ac:dyDescent="0.2">
      <c r="A996" t="s">
        <v>148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8" spans="1:49" ht="12" customHeight="1" x14ac:dyDescent="0.2">
      <c r="A998" t="s">
        <v>176</v>
      </c>
    </row>
    <row r="999" spans="1:49" ht="12" customHeight="1" x14ac:dyDescent="0.2">
      <c r="B999" s="28">
        <v>20</v>
      </c>
      <c r="C999" t="s">
        <v>177</v>
      </c>
      <c r="T999" t="s">
        <v>178</v>
      </c>
    </row>
    <row r="1000" spans="1:49" ht="12" customHeight="1" x14ac:dyDescent="0.2">
      <c r="B1000" s="28">
        <v>25</v>
      </c>
      <c r="C1000" t="s">
        <v>179</v>
      </c>
      <c r="T1000" t="s">
        <v>180</v>
      </c>
    </row>
    <row r="1001" spans="1:49" ht="12" customHeight="1" x14ac:dyDescent="0.2">
      <c r="B1001" s="28">
        <v>35</v>
      </c>
      <c r="C1001" t="s">
        <v>181</v>
      </c>
      <c r="T1001" t="s">
        <v>182</v>
      </c>
    </row>
    <row r="1002" spans="1:49" ht="12" customHeight="1" x14ac:dyDescent="0.2">
      <c r="B1002" s="28">
        <v>10</v>
      </c>
      <c r="C1002" t="s">
        <v>183</v>
      </c>
      <c r="T1002" t="s">
        <v>184</v>
      </c>
    </row>
    <row r="1003" spans="1:49" ht="12" customHeight="1" x14ac:dyDescent="0.2">
      <c r="B1003" s="28">
        <v>35</v>
      </c>
      <c r="C1003" t="s">
        <v>185</v>
      </c>
      <c r="T1003" t="s">
        <v>186</v>
      </c>
    </row>
    <row r="1004" spans="1:49" ht="12" customHeight="1" x14ac:dyDescent="0.2">
      <c r="B1004" s="28">
        <v>0.1</v>
      </c>
      <c r="C1004" t="s">
        <v>187</v>
      </c>
      <c r="T1004" t="s">
        <v>188</v>
      </c>
    </row>
    <row r="1006" spans="1:49" ht="12" customHeight="1" x14ac:dyDescent="0.2">
      <c r="A1006" t="s">
        <v>189</v>
      </c>
    </row>
    <row r="1007" spans="1:49" ht="12" customHeight="1" x14ac:dyDescent="0.2">
      <c r="A1007" t="s">
        <v>190</v>
      </c>
      <c r="B1007" t="s">
        <v>46</v>
      </c>
      <c r="C1007" t="s">
        <v>62</v>
      </c>
      <c r="D1007" t="s">
        <v>63</v>
      </c>
    </row>
    <row r="1008" spans="1:49" ht="12" customHeight="1" x14ac:dyDescent="0.2">
      <c r="A1008" t="s">
        <v>44</v>
      </c>
      <c r="B1008" s="38">
        <v>0.10161825650840896</v>
      </c>
      <c r="C1008" s="38">
        <v>0.12671159788354913</v>
      </c>
      <c r="D1008" s="38">
        <v>0.17023360793472259</v>
      </c>
    </row>
    <row r="1009" spans="1:4" ht="12" customHeight="1" x14ac:dyDescent="0.2">
      <c r="A1009" t="s">
        <v>47</v>
      </c>
      <c r="B1009" s="38">
        <v>2.2314907224507078E-2</v>
      </c>
      <c r="C1009" s="38">
        <v>1.2734310990728885E-2</v>
      </c>
      <c r="D1009" s="38">
        <v>0.14376310189763844</v>
      </c>
    </row>
    <row r="1010" spans="1:4" ht="12" customHeight="1" x14ac:dyDescent="0.2">
      <c r="A1010" t="s">
        <v>48</v>
      </c>
      <c r="B1010" s="38">
        <v>9.8068213190150813E-2</v>
      </c>
      <c r="C1010" s="38">
        <v>3.1545874788578447E-2</v>
      </c>
      <c r="D1010" s="38">
        <v>8.2537236197723102E-2</v>
      </c>
    </row>
    <row r="1011" spans="1:4" ht="12" customHeight="1" x14ac:dyDescent="0.2">
      <c r="A1011" t="s">
        <v>49</v>
      </c>
      <c r="B1011" s="38">
        <v>4.0077009037289155E-2</v>
      </c>
      <c r="C1011" s="38">
        <v>6.6040109610523923E-2</v>
      </c>
      <c r="D1011" s="38">
        <v>0.13259695083672376</v>
      </c>
    </row>
    <row r="1012" spans="1:4" ht="12" customHeight="1" x14ac:dyDescent="0.2">
      <c r="A1012" t="s">
        <v>50</v>
      </c>
      <c r="B1012" s="38">
        <v>1.6450244457719226E-2</v>
      </c>
      <c r="C1012" s="38">
        <v>9.1003366700062021E-3</v>
      </c>
      <c r="D1012" s="38">
        <v>2.1869092071936866E-2</v>
      </c>
    </row>
    <row r="1013" spans="1:4" ht="12" customHeight="1" x14ac:dyDescent="0.2">
      <c r="A1013" t="s">
        <v>51</v>
      </c>
      <c r="B1013" s="38">
        <v>1.6485682295445406E-2</v>
      </c>
      <c r="C1013" s="38">
        <v>5.3827943256525318E-2</v>
      </c>
      <c r="D1013" s="38">
        <v>6.1216929587941046E-2</v>
      </c>
    </row>
    <row r="1014" spans="1:4" ht="12" customHeight="1" x14ac:dyDescent="0.2">
      <c r="A1014" t="s">
        <v>52</v>
      </c>
      <c r="B1014" s="38">
        <v>9.98481373509294E-3</v>
      </c>
      <c r="C1014" s="38">
        <v>9.7584367322165327E-3</v>
      </c>
      <c r="D1014" s="38">
        <v>6.25E-2</v>
      </c>
    </row>
    <row r="1015" spans="1:4" ht="12" customHeight="1" x14ac:dyDescent="0.2">
      <c r="A1015" t="s">
        <v>53</v>
      </c>
      <c r="B1015" s="38">
        <v>0.27571171083740986</v>
      </c>
      <c r="C1015" s="38">
        <v>0.25149120680635034</v>
      </c>
      <c r="D1015" s="38">
        <v>0.21919363472146525</v>
      </c>
    </row>
    <row r="1016" spans="1:4" ht="12" customHeight="1" x14ac:dyDescent="0.2">
      <c r="A1016" t="s">
        <v>54</v>
      </c>
      <c r="B1016" s="38">
        <v>0.21483577044504754</v>
      </c>
      <c r="C1016" s="38">
        <v>0.12774697610111427</v>
      </c>
      <c r="D1016" s="38">
        <v>0.19092620137725458</v>
      </c>
    </row>
    <row r="1017" spans="1:4" ht="12" customHeight="1" x14ac:dyDescent="0.2">
      <c r="A1017" t="s">
        <v>55</v>
      </c>
      <c r="B1017" s="38">
        <v>1.0480968196690078E-2</v>
      </c>
      <c r="C1017" s="38">
        <v>3.1744822717262977E-2</v>
      </c>
      <c r="D1017" s="38">
        <v>0.19639485201864368</v>
      </c>
    </row>
    <row r="1018" spans="1:4" ht="12" customHeight="1" x14ac:dyDescent="0.2">
      <c r="A1018" t="s">
        <v>56</v>
      </c>
      <c r="B1018" s="38">
        <v>2.7988046715188553E-2</v>
      </c>
      <c r="C1018" s="38">
        <v>4.8610676689200549E-2</v>
      </c>
      <c r="D1018" s="38">
        <v>0.13712869270877862</v>
      </c>
    </row>
    <row r="1019" spans="1:4" ht="12" customHeight="1" x14ac:dyDescent="0.2">
      <c r="A1019" t="s">
        <v>57</v>
      </c>
      <c r="B1019" s="38">
        <v>8.7793135890084598E-2</v>
      </c>
      <c r="C1019" s="38">
        <v>8.9746725062087779E-2</v>
      </c>
      <c r="D1019" s="38">
        <v>0.10974086145313275</v>
      </c>
    </row>
    <row r="1020" spans="1:4" ht="12" customHeight="1" x14ac:dyDescent="0.2">
      <c r="A1020" t="s">
        <v>58</v>
      </c>
      <c r="B1020" s="38">
        <v>0.10723897310049617</v>
      </c>
      <c r="C1020" s="38">
        <v>6.1731325007184125E-2</v>
      </c>
      <c r="D1020" s="38">
        <v>0.12697268985693247</v>
      </c>
    </row>
    <row r="1021" spans="1:4" ht="12" customHeight="1" x14ac:dyDescent="0.2">
      <c r="A1021" t="s">
        <v>59</v>
      </c>
      <c r="B1021" s="38">
        <v>0.18722556985087735</v>
      </c>
      <c r="C1021" s="38">
        <v>0.12086468672039037</v>
      </c>
      <c r="D1021" s="38">
        <v>0.13797399006635286</v>
      </c>
    </row>
    <row r="1022" spans="1:4" ht="12" customHeight="1" x14ac:dyDescent="0.2">
      <c r="A1022" t="s">
        <v>60</v>
      </c>
      <c r="B1022" s="38">
        <v>5.88168179791611E-2</v>
      </c>
      <c r="C1022" s="38">
        <v>7.4061310986741555E-2</v>
      </c>
      <c r="D1022" s="38">
        <v>0.12560196927773501</v>
      </c>
    </row>
    <row r="1023" spans="1:4" ht="12" customHeight="1" x14ac:dyDescent="0.2">
      <c r="A1023" t="s">
        <v>61</v>
      </c>
      <c r="B1023" s="38">
        <v>0.15797454624100449</v>
      </c>
      <c r="C1023" s="38">
        <v>0.16686994403470143</v>
      </c>
      <c r="D1023" s="38">
        <v>0.20312119276522647</v>
      </c>
    </row>
    <row r="1024" spans="1:4" ht="12" customHeight="1" x14ac:dyDescent="0.2">
      <c r="A1024" t="s">
        <v>191</v>
      </c>
      <c r="B1024" s="38"/>
    </row>
    <row r="1025" spans="1:59" ht="12" customHeight="1" x14ac:dyDescent="0.2">
      <c r="B1025" s="38"/>
    </row>
    <row r="1026" spans="1:59" ht="12" customHeight="1" x14ac:dyDescent="0.2">
      <c r="A1026" t="s">
        <v>192</v>
      </c>
    </row>
    <row r="1027" spans="1:59" ht="12" customHeight="1" x14ac:dyDescent="0.2">
      <c r="A1027" t="s">
        <v>193</v>
      </c>
      <c r="C1027">
        <v>1</v>
      </c>
      <c r="D1027">
        <v>2</v>
      </c>
      <c r="E1027">
        <v>3</v>
      </c>
      <c r="F1027">
        <v>4</v>
      </c>
      <c r="G1027">
        <v>5</v>
      </c>
      <c r="H1027">
        <v>6</v>
      </c>
      <c r="I1027">
        <v>7</v>
      </c>
      <c r="J1027">
        <v>8</v>
      </c>
      <c r="K1027">
        <v>9</v>
      </c>
      <c r="L1027">
        <v>10</v>
      </c>
      <c r="M1027">
        <v>11</v>
      </c>
      <c r="N1027">
        <v>12</v>
      </c>
      <c r="O1027">
        <v>13</v>
      </c>
      <c r="P1027">
        <v>14</v>
      </c>
      <c r="Q1027">
        <v>15</v>
      </c>
      <c r="R1027">
        <v>16</v>
      </c>
      <c r="S1027">
        <v>17</v>
      </c>
      <c r="T1027">
        <v>18</v>
      </c>
      <c r="U1027">
        <v>19</v>
      </c>
      <c r="V1027">
        <v>20</v>
      </c>
      <c r="W1027">
        <v>21</v>
      </c>
      <c r="X1027">
        <v>22</v>
      </c>
      <c r="Y1027">
        <v>23</v>
      </c>
      <c r="Z1027">
        <v>24</v>
      </c>
      <c r="AA1027">
        <v>25</v>
      </c>
      <c r="AB1027">
        <v>26</v>
      </c>
      <c r="AC1027">
        <v>27</v>
      </c>
      <c r="AD1027">
        <v>28</v>
      </c>
      <c r="AE1027">
        <v>29</v>
      </c>
      <c r="AF1027">
        <v>30</v>
      </c>
      <c r="AG1027">
        <v>31</v>
      </c>
      <c r="AH1027">
        <v>32</v>
      </c>
      <c r="AI1027">
        <v>33</v>
      </c>
      <c r="AJ1027">
        <v>34</v>
      </c>
      <c r="AK1027">
        <v>35</v>
      </c>
      <c r="AL1027">
        <v>36</v>
      </c>
      <c r="AM1027">
        <v>37</v>
      </c>
      <c r="AN1027">
        <v>38</v>
      </c>
      <c r="AO1027">
        <v>39</v>
      </c>
      <c r="AP1027">
        <v>40</v>
      </c>
      <c r="AQ1027">
        <v>41</v>
      </c>
      <c r="AR1027">
        <v>42</v>
      </c>
      <c r="AS1027">
        <v>43</v>
      </c>
      <c r="AT1027">
        <v>44</v>
      </c>
      <c r="AU1027">
        <v>45</v>
      </c>
      <c r="AV1027">
        <v>46</v>
      </c>
      <c r="AW1027">
        <v>47</v>
      </c>
      <c r="AX1027">
        <v>48</v>
      </c>
    </row>
    <row r="1028" spans="1:59" ht="12" customHeight="1" x14ac:dyDescent="0.2">
      <c r="A1028" t="s">
        <v>194</v>
      </c>
      <c r="B1028" t="s">
        <v>195</v>
      </c>
      <c r="C1028">
        <v>1</v>
      </c>
      <c r="D1028">
        <v>0.98279767940155083</v>
      </c>
      <c r="E1028">
        <v>0.98854715249632152</v>
      </c>
      <c r="F1028">
        <v>0.98825672941614029</v>
      </c>
      <c r="G1028">
        <v>0.98790898702252328</v>
      </c>
      <c r="H1028">
        <v>0.98749293430048957</v>
      </c>
      <c r="I1028">
        <v>0.98699561263176594</v>
      </c>
      <c r="J1028">
        <v>0.98640180433973157</v>
      </c>
      <c r="K1028">
        <v>0.98569372503196118</v>
      </c>
      <c r="L1028">
        <v>0.98485071237752309</v>
      </c>
      <c r="M1028">
        <v>0.98384893156082631</v>
      </c>
      <c r="N1028">
        <v>0.98266112778535264</v>
      </c>
      <c r="O1028">
        <v>0.98125646910839792</v>
      </c>
      <c r="P1028">
        <v>0.97960053843865447</v>
      </c>
      <c r="Q1028">
        <v>0.97765555086539302</v>
      </c>
      <c r="R1028">
        <v>0.97538088956375602</v>
      </c>
      <c r="S1028">
        <v>0.97273406654679917</v>
      </c>
      <c r="T1028">
        <v>0.9696722174936222</v>
      </c>
      <c r="U1028">
        <v>0.96615422440653909</v>
      </c>
      <c r="V1028">
        <v>0.96214351596814263</v>
      </c>
      <c r="W1028">
        <v>0.95761151385357568</v>
      </c>
      <c r="X1028">
        <v>0.95254156945978763</v>
      </c>
      <c r="Y1028">
        <v>0.94693307602594845</v>
      </c>
      <c r="Z1028">
        <v>0.9408052695807505</v>
      </c>
      <c r="AA1028">
        <v>0.93420009225057166</v>
      </c>
      <c r="AB1028">
        <v>0.92718344166594213</v>
      </c>
      <c r="AC1028">
        <v>0.91984422684906475</v>
      </c>
      <c r="AD1028">
        <v>0.91229092161552217</v>
      </c>
      <c r="AE1028">
        <v>0.90464572395058807</v>
      </c>
      <c r="AF1028">
        <v>0.89703690310501027</v>
      </c>
      <c r="AG1028">
        <v>0.88959031198034322</v>
      </c>
      <c r="AH1028">
        <v>0.88242123409454443</v>
      </c>
      <c r="AI1028">
        <v>0.87562765689841737</v>
      </c>
      <c r="AJ1028">
        <v>0.86928574305822881</v>
      </c>
      <c r="AK1028">
        <v>0.86344781438658735</v>
      </c>
      <c r="AL1028">
        <v>0.85814270686621386</v>
      </c>
      <c r="AM1028">
        <v>0.85337801356037146</v>
      </c>
      <c r="AN1028">
        <v>0.84914356056193308</v>
      </c>
      <c r="AO1028">
        <v>0.84541545316648081</v>
      </c>
      <c r="AP1028">
        <v>0.8421601377648259</v>
      </c>
      <c r="AQ1028">
        <v>0.83933808921309816</v>
      </c>
      <c r="AR1028">
        <v>0.83690690224985553</v>
      </c>
      <c r="AS1028">
        <v>0.83482370652021665</v>
      </c>
      <c r="AT1028">
        <v>0.83304692466369801</v>
      </c>
      <c r="AU1028">
        <v>0.83153745223009268</v>
      </c>
      <c r="AV1028">
        <v>0.83025936475455953</v>
      </c>
      <c r="AW1028">
        <v>0.82918026122644639</v>
      </c>
      <c r="AX1028">
        <v>0.82827134365579957</v>
      </c>
    </row>
    <row r="1029" spans="1:59" ht="12" customHeight="1" x14ac:dyDescent="0.2">
      <c r="A1029" t="s">
        <v>194</v>
      </c>
      <c r="B1029" t="s">
        <v>196</v>
      </c>
      <c r="C1029">
        <v>1</v>
      </c>
      <c r="D1029">
        <v>0.98837410038765039</v>
      </c>
      <c r="E1029">
        <v>0.98957972083863843</v>
      </c>
      <c r="F1029">
        <v>0.98947131912092545</v>
      </c>
      <c r="G1029">
        <v>0.98933504916640269</v>
      </c>
      <c r="H1029">
        <v>0.98916379976507551</v>
      </c>
      <c r="I1029">
        <v>0.98894867600948344</v>
      </c>
      <c r="J1029">
        <v>0.98867856978850965</v>
      </c>
      <c r="K1029">
        <v>0.98833963725174157</v>
      </c>
      <c r="L1029">
        <v>0.98791466923020355</v>
      </c>
      <c r="M1029">
        <v>0.98738234236659916</v>
      </c>
      <c r="N1029">
        <v>0.98671634363365435</v>
      </c>
      <c r="O1029">
        <v>0.98588437098640691</v>
      </c>
      <c r="P1029">
        <v>0.98484703092183146</v>
      </c>
      <c r="Q1029">
        <v>0.98355668347398684</v>
      </c>
      <c r="R1029">
        <v>0.98195633125154058</v>
      </c>
      <c r="S1029">
        <v>0.97997871629875744</v>
      </c>
      <c r="T1029">
        <v>0.97754588008392063</v>
      </c>
      <c r="U1029">
        <v>0.97456955610007767</v>
      </c>
      <c r="V1029">
        <v>0.97095288892484943</v>
      </c>
      <c r="W1029">
        <v>0.96659407656393781</v>
      </c>
      <c r="X1029">
        <v>0.96139255504517707</v>
      </c>
      <c r="Y1029">
        <v>0.95525819492415442</v>
      </c>
      <c r="Z1029">
        <v>0.94812355079121258</v>
      </c>
      <c r="AA1029">
        <v>0.93995841834698224</v>
      </c>
      <c r="AB1029">
        <v>0.93078484535647177</v>
      </c>
      <c r="AC1029">
        <v>0.92068956493538578</v>
      </c>
      <c r="AD1029">
        <v>0.90983007966915652</v>
      </c>
      <c r="AE1029">
        <v>0.89843095302079701</v>
      </c>
      <c r="AF1029">
        <v>0.88676865964654106</v>
      </c>
      <c r="AG1029">
        <v>0.87514635307508148</v>
      </c>
      <c r="AH1029">
        <v>0.86386307562913589</v>
      </c>
      <c r="AI1029">
        <v>0.85318384067938757</v>
      </c>
      <c r="AJ1029">
        <v>0.84331671156956023</v>
      </c>
      <c r="AK1029">
        <v>0.83440064118279611</v>
      </c>
      <c r="AL1029">
        <v>0.82650457605965832</v>
      </c>
      <c r="AM1029">
        <v>0.81963556649455116</v>
      </c>
      <c r="AN1029">
        <v>0.813752219756256</v>
      </c>
      <c r="AO1029">
        <v>0.80877983999940684</v>
      </c>
      <c r="AP1029">
        <v>0.80462451297999737</v>
      </c>
      <c r="AQ1029">
        <v>0.80118459254342678</v>
      </c>
      <c r="AR1029">
        <v>0.79835908416468881</v>
      </c>
      <c r="AS1029">
        <v>0.79605311096092912</v>
      </c>
      <c r="AT1029">
        <v>0.79418099333993897</v>
      </c>
      <c r="AU1029">
        <v>0.79266756782636605</v>
      </c>
      <c r="AV1029">
        <v>0.79144831984980379</v>
      </c>
      <c r="AW1029">
        <v>0.79046879225493261</v>
      </c>
      <c r="AX1029">
        <v>0.78968360748256294</v>
      </c>
    </row>
    <row r="1030" spans="1:59" ht="12" customHeight="1" x14ac:dyDescent="0.2">
      <c r="A1030" t="s">
        <v>194</v>
      </c>
      <c r="B1030" t="s">
        <v>197</v>
      </c>
      <c r="C1030">
        <v>1</v>
      </c>
      <c r="D1030">
        <v>0.96927078575435899</v>
      </c>
      <c r="E1030">
        <v>0.98701290616545889</v>
      </c>
      <c r="F1030">
        <v>0.98659292711983826</v>
      </c>
      <c r="G1030">
        <v>0.98611577935463501</v>
      </c>
      <c r="H1030">
        <v>0.98557424063696064</v>
      </c>
      <c r="I1030">
        <v>0.98496034157947776</v>
      </c>
      <c r="J1030">
        <v>0.98426533763736102</v>
      </c>
      <c r="K1030">
        <v>0.98347969648607736</v>
      </c>
      <c r="L1030">
        <v>0.98259310674668887</v>
      </c>
      <c r="M1030">
        <v>0.98159451515980878</v>
      </c>
      <c r="N1030">
        <v>0.98047220039549432</v>
      </c>
      <c r="O1030">
        <v>0.97921389258320157</v>
      </c>
      <c r="P1030">
        <v>0.97780694815412272</v>
      </c>
      <c r="Q1030">
        <v>0.97623858944549546</v>
      </c>
      <c r="R1030">
        <v>0.97449621740230918</v>
      </c>
      <c r="S1030">
        <v>0.97256780326849956</v>
      </c>
      <c r="T1030">
        <v>0.97044236103617676</v>
      </c>
      <c r="U1030">
        <v>0.96811049634647039</v>
      </c>
      <c r="V1030">
        <v>0.9655650194209856</v>
      </c>
      <c r="W1030">
        <v>0.96280159966999324</v>
      </c>
      <c r="X1030">
        <v>0.9598194285303675</v>
      </c>
      <c r="Y1030">
        <v>0.95662184601947498</v>
      </c>
      <c r="Z1030">
        <v>0.9532168771679399</v>
      </c>
      <c r="AA1030">
        <v>0.94961761902225394</v>
      </c>
      <c r="AB1030">
        <v>0.94584241946497327</v>
      </c>
      <c r="AC1030">
        <v>0.94191479744262863</v>
      </c>
      <c r="AD1030">
        <v>0.93786307107578604</v>
      </c>
      <c r="AE1030">
        <v>0.93371968479394885</v>
      </c>
      <c r="AF1030">
        <v>0.92952025656754211</v>
      </c>
      <c r="AG1030">
        <v>0.92530239739902953</v>
      </c>
      <c r="AH1030">
        <v>0.92110438248899862</v>
      </c>
      <c r="AI1030">
        <v>0.91696377208650548</v>
      </c>
      <c r="AJ1030">
        <v>0.91291608648190159</v>
      </c>
      <c r="AK1030">
        <v>0.90899363266383038</v>
      </c>
      <c r="AL1030">
        <v>0.90522456117421246</v>
      </c>
      <c r="AM1030">
        <v>0.9016322042084548</v>
      </c>
      <c r="AN1030">
        <v>0.89823471487479856</v>
      </c>
      <c r="AO1030">
        <v>0.89504499772719504</v>
      </c>
      <c r="AP1030">
        <v>0.89207089627204827</v>
      </c>
      <c r="AQ1030">
        <v>0.88931558657824794</v>
      </c>
      <c r="AR1030">
        <v>0.88677811808733009</v>
      </c>
      <c r="AS1030">
        <v>0.88445404242270165</v>
      </c>
      <c r="AT1030">
        <v>0.88233607665121383</v>
      </c>
      <c r="AU1030">
        <v>0.88041475687411497</v>
      </c>
      <c r="AV1030">
        <v>0.8786790491197749</v>
      </c>
      <c r="AW1030">
        <v>0.87711689557845729</v>
      </c>
      <c r="AX1030">
        <v>0.87571568409364631</v>
      </c>
    </row>
    <row r="1031" spans="1:59" ht="12" customHeight="1" x14ac:dyDescent="0.2">
      <c r="A1031" t="s">
        <v>198</v>
      </c>
      <c r="B1031" t="s">
        <v>195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0.99032751795104779</v>
      </c>
      <c r="W1031">
        <v>0.98663004457641135</v>
      </c>
      <c r="X1031">
        <v>0.98236862870549801</v>
      </c>
      <c r="Y1031">
        <v>0.9775410138368883</v>
      </c>
      <c r="Z1031">
        <v>0.97216544523344217</v>
      </c>
      <c r="AA1031">
        <v>0.96628373178240956</v>
      </c>
      <c r="AB1031">
        <v>0.95996265425009153</v>
      </c>
      <c r="AC1031">
        <v>0.95329310782539434</v>
      </c>
      <c r="AD1031">
        <v>0.94638664292842545</v>
      </c>
      <c r="AE1031">
        <v>0.9393694992133379</v>
      </c>
      <c r="AF1031">
        <v>0.93237472050005599</v>
      </c>
      <c r="AG1031">
        <v>0.92553335488863986</v>
      </c>
      <c r="AH1031">
        <v>0.91896595187017693</v>
      </c>
      <c r="AI1031">
        <v>0.91277549688804716</v>
      </c>
      <c r="AJ1031">
        <v>0.9070425985647983</v>
      </c>
      <c r="AK1031">
        <v>0.90182327280376906</v>
      </c>
      <c r="AL1031">
        <v>0.89714919354195088</v>
      </c>
      <c r="AM1031">
        <v>0.89302992126115643</v>
      </c>
      <c r="AN1031">
        <v>0.88945643666941865</v>
      </c>
      <c r="AO1031">
        <v>0.88640529332000728</v>
      </c>
      <c r="AP1031">
        <v>0.88384281125015551</v>
      </c>
      <c r="AQ1031">
        <v>0.88172890179961827</v>
      </c>
      <c r="AR1031">
        <v>0.88002028812333288</v>
      </c>
      <c r="AS1031">
        <v>0.87867303251925843</v>
      </c>
      <c r="AT1031">
        <v>0.87764438628710806</v>
      </c>
      <c r="AU1031">
        <v>0.87689404053355235</v>
      </c>
      <c r="AV1031">
        <v>0.87638488501870171</v>
      </c>
      <c r="AW1031">
        <v>0.87608338711400302</v>
      </c>
      <c r="AX1031">
        <v>0.8759596937450812</v>
      </c>
    </row>
    <row r="1032" spans="1:59" ht="12" customHeight="1" x14ac:dyDescent="0.2">
      <c r="A1032" t="s">
        <v>198</v>
      </c>
      <c r="B1032" t="s">
        <v>196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0.99939494324689038</v>
      </c>
      <c r="W1032">
        <v>0.99588480615678443</v>
      </c>
      <c r="X1032">
        <v>0.99149676636477346</v>
      </c>
      <c r="Y1032">
        <v>0.98613522748735949</v>
      </c>
      <c r="Z1032">
        <v>0.97972766915091958</v>
      </c>
      <c r="AA1032">
        <v>0.9722398185730402</v>
      </c>
      <c r="AB1032">
        <v>0.96369138029331658</v>
      </c>
      <c r="AC1032">
        <v>0.95416918547849072</v>
      </c>
      <c r="AD1032">
        <v>0.94383383012143807</v>
      </c>
      <c r="AE1032">
        <v>0.93291618152058531</v>
      </c>
      <c r="AF1032">
        <v>0.9217019704811017</v>
      </c>
      <c r="AG1032">
        <v>0.91050580168417583</v>
      </c>
      <c r="AH1032">
        <v>0.899639223205696</v>
      </c>
      <c r="AI1032">
        <v>0.88937951876881616</v>
      </c>
      <c r="AJ1032">
        <v>0.87994561924379355</v>
      </c>
      <c r="AK1032">
        <v>0.87148511412425378</v>
      </c>
      <c r="AL1032">
        <v>0.86407296588055182</v>
      </c>
      <c r="AM1032">
        <v>0.8577196433215708</v>
      </c>
      <c r="AN1032">
        <v>0.85238490089619945</v>
      </c>
      <c r="AO1032">
        <v>0.84799340799937817</v>
      </c>
      <c r="AP1032">
        <v>0.8444493626123406</v>
      </c>
      <c r="AQ1032">
        <v>0.84164846085370093</v>
      </c>
      <c r="AR1032">
        <v>0.83948667334893023</v>
      </c>
      <c r="AS1032">
        <v>0.83786600163766489</v>
      </c>
      <c r="AT1032">
        <v>0.83669775358945087</v>
      </c>
      <c r="AU1032">
        <v>0.83590398061689508</v>
      </c>
      <c r="AV1032">
        <v>0.83541767095257058</v>
      </c>
      <c r="AW1032">
        <v>0.83518217848349441</v>
      </c>
      <c r="AX1032">
        <v>0.83515023942853661</v>
      </c>
    </row>
    <row r="1033" spans="1:59" ht="12" customHeight="1" x14ac:dyDescent="0.2">
      <c r="A1033" t="s">
        <v>198</v>
      </c>
      <c r="B1033" t="s">
        <v>197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0.99384924726261037</v>
      </c>
      <c r="W1033">
        <v>0.99197740572059911</v>
      </c>
      <c r="X1033">
        <v>0.98987438033283348</v>
      </c>
      <c r="Y1033">
        <v>0.9875429561938418</v>
      </c>
      <c r="Z1033">
        <v>0.98499077307353788</v>
      </c>
      <c r="AA1033">
        <v>0.9822307493725132</v>
      </c>
      <c r="AB1033">
        <v>0.97928129288040155</v>
      </c>
      <c r="AC1033">
        <v>0.97616624462236057</v>
      </c>
      <c r="AD1033">
        <v>0.97291451918669924</v>
      </c>
      <c r="AE1033">
        <v>0.96955943027088831</v>
      </c>
      <c r="AF1033">
        <v>0.96613772122020281</v>
      </c>
      <c r="AG1033">
        <v>0.96268835284949539</v>
      </c>
      <c r="AH1033">
        <v>0.9592511296425833</v>
      </c>
      <c r="AI1033">
        <v>0.95586526544775119</v>
      </c>
      <c r="AJ1033">
        <v>0.95256799730889319</v>
      </c>
      <c r="AK1033">
        <v>0.94939334967111177</v>
      </c>
      <c r="AL1033">
        <v>0.94637113213667667</v>
      </c>
      <c r="AM1033">
        <v>0.94352622581814061</v>
      </c>
      <c r="AN1033">
        <v>0.94087818113653132</v>
      </c>
      <c r="AO1033">
        <v>0.93844111882911962</v>
      </c>
      <c r="AP1033">
        <v>0.93622390022894764</v>
      </c>
      <c r="AQ1033">
        <v>0.93423051519331102</v>
      </c>
      <c r="AR1033">
        <v>0.93246062720091971</v>
      </c>
      <c r="AS1033">
        <v>0.93091021434793442</v>
      </c>
      <c r="AT1033">
        <v>0.92957225045173331</v>
      </c>
      <c r="AU1033">
        <v>0.92843737997633946</v>
      </c>
      <c r="AV1033">
        <v>0.92749455184865126</v>
      </c>
      <c r="AW1033">
        <v>0.92673158866168315</v>
      </c>
      <c r="AX1033">
        <v>0.92613567802631958</v>
      </c>
    </row>
    <row r="1034" spans="1:59" ht="12" customHeight="1" x14ac:dyDescent="0.2">
      <c r="A1034" t="s">
        <v>199</v>
      </c>
    </row>
    <row r="1035" spans="1:59" ht="12" customHeight="1" x14ac:dyDescent="0.2">
      <c r="A1035" t="s">
        <v>200</v>
      </c>
    </row>
    <row r="1037" spans="1:59" s="6" customFormat="1" ht="12" customHeight="1" thickBot="1" x14ac:dyDescent="0.3">
      <c r="A1037" s="6" t="s">
        <v>201</v>
      </c>
    </row>
    <row r="1038" spans="1:59" ht="12" customHeight="1" thickTop="1" x14ac:dyDescent="0.2">
      <c r="A1038" s="19" t="s">
        <v>202</v>
      </c>
    </row>
    <row r="1039" spans="1:59" ht="12" customHeight="1" x14ac:dyDescent="0.2">
      <c r="A1039" t="s">
        <v>203</v>
      </c>
      <c r="AE1039" s="28" t="s">
        <v>204</v>
      </c>
      <c r="AF1039" t="s">
        <v>355</v>
      </c>
    </row>
    <row r="1040" spans="1:59" ht="12" customHeight="1" x14ac:dyDescent="0.2">
      <c r="D1040">
        <v>1995</v>
      </c>
      <c r="E1040">
        <v>1996</v>
      </c>
      <c r="F1040">
        <v>1997</v>
      </c>
      <c r="G1040">
        <v>1998</v>
      </c>
      <c r="H1040">
        <v>1999</v>
      </c>
      <c r="I1040">
        <v>2000</v>
      </c>
      <c r="J1040">
        <v>2001</v>
      </c>
      <c r="K1040">
        <v>2002</v>
      </c>
      <c r="L1040">
        <v>2003</v>
      </c>
      <c r="M1040">
        <v>2004</v>
      </c>
      <c r="N1040">
        <v>2005</v>
      </c>
      <c r="O1040">
        <v>2006</v>
      </c>
      <c r="P1040">
        <v>2007</v>
      </c>
      <c r="Q1040">
        <v>2008</v>
      </c>
      <c r="R1040">
        <v>2009</v>
      </c>
      <c r="S1040">
        <v>2010</v>
      </c>
      <c r="T1040">
        <v>2011</v>
      </c>
      <c r="U1040">
        <v>2012</v>
      </c>
      <c r="V1040">
        <v>2013</v>
      </c>
      <c r="W1040">
        <v>2014</v>
      </c>
      <c r="X1040">
        <v>2015</v>
      </c>
      <c r="Y1040">
        <v>2016</v>
      </c>
      <c r="Z1040">
        <v>2017</v>
      </c>
      <c r="AA1040">
        <v>2018</v>
      </c>
      <c r="AB1040">
        <v>2019</v>
      </c>
      <c r="AC1040">
        <v>2020</v>
      </c>
      <c r="AD1040">
        <v>2021</v>
      </c>
      <c r="AE1040" s="28">
        <v>2022</v>
      </c>
      <c r="AF1040">
        <v>2023</v>
      </c>
      <c r="AG1040">
        <v>2024</v>
      </c>
      <c r="AH1040">
        <v>2025</v>
      </c>
      <c r="AI1040">
        <v>2026</v>
      </c>
      <c r="AJ1040">
        <v>2027</v>
      </c>
      <c r="AK1040">
        <v>2028</v>
      </c>
      <c r="AL1040">
        <v>2029</v>
      </c>
      <c r="AM1040">
        <v>2030</v>
      </c>
      <c r="AN1040">
        <v>2031</v>
      </c>
      <c r="AO1040">
        <v>2032</v>
      </c>
      <c r="AP1040">
        <v>2033</v>
      </c>
      <c r="AQ1040">
        <v>2034</v>
      </c>
      <c r="AR1040">
        <v>2035</v>
      </c>
      <c r="AS1040">
        <v>2036</v>
      </c>
      <c r="AT1040">
        <v>2037</v>
      </c>
      <c r="AU1040">
        <v>2038</v>
      </c>
      <c r="AV1040">
        <v>2039</v>
      </c>
      <c r="AW1040">
        <v>2040</v>
      </c>
      <c r="AX1040">
        <v>2041</v>
      </c>
      <c r="AY1040">
        <v>2042</v>
      </c>
      <c r="AZ1040">
        <v>2043</v>
      </c>
      <c r="BA1040">
        <v>2044</v>
      </c>
      <c r="BB1040">
        <v>2045</v>
      </c>
      <c r="BC1040">
        <v>2046</v>
      </c>
      <c r="BD1040">
        <v>2047</v>
      </c>
      <c r="BE1040">
        <v>2048</v>
      </c>
      <c r="BF1040">
        <v>2049</v>
      </c>
      <c r="BG1040">
        <v>2050</v>
      </c>
    </row>
    <row r="1041" spans="1:59" ht="12" customHeight="1" x14ac:dyDescent="0.2">
      <c r="A1041" t="s">
        <v>46</v>
      </c>
      <c r="D1041" s="19">
        <v>0.18277070951106822</v>
      </c>
      <c r="E1041" s="19">
        <v>0.18579418029697681</v>
      </c>
      <c r="F1041" s="19">
        <v>0.18570060918279097</v>
      </c>
      <c r="G1041" s="19">
        <v>0.18606411467325618</v>
      </c>
      <c r="H1041" s="19">
        <v>0.18572055053441522</v>
      </c>
      <c r="I1041" s="19">
        <v>0.18493096843312271</v>
      </c>
      <c r="J1041" s="19">
        <v>0.18683261276239246</v>
      </c>
      <c r="K1041" s="19">
        <v>0.18531734175166797</v>
      </c>
      <c r="L1041" s="19">
        <v>0.1855720893919631</v>
      </c>
      <c r="M1041" s="19">
        <v>0.18826049084510171</v>
      </c>
      <c r="N1041" s="19">
        <v>0.18933304834238684</v>
      </c>
      <c r="O1041" s="19">
        <v>0.18981243461307271</v>
      </c>
      <c r="P1041" s="19">
        <v>0.18988314447781485</v>
      </c>
      <c r="Q1041" s="19">
        <v>0.19059053782361843</v>
      </c>
      <c r="R1041" s="19">
        <v>0.19164045216507389</v>
      </c>
      <c r="S1041" s="19">
        <v>0.19204726108914552</v>
      </c>
      <c r="T1041" s="19">
        <v>0.1925367489919956</v>
      </c>
      <c r="U1041" s="19">
        <v>0.19330431087744848</v>
      </c>
      <c r="V1041" s="19">
        <v>0.19474157911255988</v>
      </c>
      <c r="W1041" s="19">
        <v>0.19621371317310063</v>
      </c>
      <c r="X1041" s="19">
        <v>0.19905962481058481</v>
      </c>
      <c r="Y1041" s="19">
        <v>0.20203799803466213</v>
      </c>
      <c r="Z1041" s="19">
        <v>0.20533341394546559</v>
      </c>
      <c r="AA1041" s="19">
        <v>0.21017321737737216</v>
      </c>
      <c r="AB1041" s="19">
        <v>0.21479818252083446</v>
      </c>
      <c r="AC1041" s="19">
        <v>0.21852189182470894</v>
      </c>
      <c r="AD1041" s="19">
        <v>0.21986313902514062</v>
      </c>
      <c r="AE1041" s="39">
        <v>0.22263229744172208</v>
      </c>
      <c r="AF1041">
        <f t="shared" ref="AF1041:BG1041" si="197">AE1041</f>
        <v>0.22263229744172208</v>
      </c>
      <c r="AG1041">
        <f t="shared" si="197"/>
        <v>0.22263229744172208</v>
      </c>
      <c r="AH1041">
        <f t="shared" si="197"/>
        <v>0.22263229744172208</v>
      </c>
      <c r="AI1041">
        <f t="shared" si="197"/>
        <v>0.22263229744172208</v>
      </c>
      <c r="AJ1041">
        <f t="shared" si="197"/>
        <v>0.22263229744172208</v>
      </c>
      <c r="AK1041">
        <f t="shared" si="197"/>
        <v>0.22263229744172208</v>
      </c>
      <c r="AL1041">
        <f t="shared" si="197"/>
        <v>0.22263229744172208</v>
      </c>
      <c r="AM1041">
        <f t="shared" si="197"/>
        <v>0.22263229744172208</v>
      </c>
      <c r="AN1041">
        <f t="shared" si="197"/>
        <v>0.22263229744172208</v>
      </c>
      <c r="AO1041">
        <f t="shared" si="197"/>
        <v>0.22263229744172208</v>
      </c>
      <c r="AP1041">
        <f t="shared" si="197"/>
        <v>0.22263229744172208</v>
      </c>
      <c r="AQ1041">
        <f t="shared" si="197"/>
        <v>0.22263229744172208</v>
      </c>
      <c r="AR1041">
        <f t="shared" si="197"/>
        <v>0.22263229744172208</v>
      </c>
      <c r="AS1041">
        <f t="shared" si="197"/>
        <v>0.22263229744172208</v>
      </c>
      <c r="AT1041">
        <f t="shared" si="197"/>
        <v>0.22263229744172208</v>
      </c>
      <c r="AU1041">
        <f t="shared" si="197"/>
        <v>0.22263229744172208</v>
      </c>
      <c r="AV1041">
        <f t="shared" si="197"/>
        <v>0.22263229744172208</v>
      </c>
      <c r="AW1041">
        <f t="shared" si="197"/>
        <v>0.22263229744172208</v>
      </c>
      <c r="AX1041">
        <f t="shared" si="197"/>
        <v>0.22263229744172208</v>
      </c>
      <c r="AY1041">
        <f t="shared" si="197"/>
        <v>0.22263229744172208</v>
      </c>
      <c r="AZ1041">
        <f t="shared" si="197"/>
        <v>0.22263229744172208</v>
      </c>
      <c r="BA1041">
        <f t="shared" si="197"/>
        <v>0.22263229744172208</v>
      </c>
      <c r="BB1041">
        <f t="shared" si="197"/>
        <v>0.22263229744172208</v>
      </c>
      <c r="BC1041">
        <f t="shared" si="197"/>
        <v>0.22263229744172208</v>
      </c>
      <c r="BD1041">
        <f t="shared" si="197"/>
        <v>0.22263229744172208</v>
      </c>
      <c r="BE1041">
        <f t="shared" si="197"/>
        <v>0.22263229744172208</v>
      </c>
      <c r="BF1041">
        <f t="shared" si="197"/>
        <v>0.22263229744172208</v>
      </c>
      <c r="BG1041">
        <f t="shared" si="197"/>
        <v>0.22263229744172208</v>
      </c>
    </row>
    <row r="1042" spans="1:59" ht="12" customHeight="1" x14ac:dyDescent="0.2">
      <c r="A1042" t="s">
        <v>62</v>
      </c>
      <c r="D1042" s="19">
        <v>0.11937595556607732</v>
      </c>
      <c r="E1042" s="19">
        <v>0.1202482665287563</v>
      </c>
      <c r="F1042" s="19">
        <v>0.1179964755140062</v>
      </c>
      <c r="G1042" s="19">
        <v>0.11457827234046906</v>
      </c>
      <c r="H1042" s="19">
        <v>0.11290600127181162</v>
      </c>
      <c r="I1042" s="19">
        <v>0.1131192616293295</v>
      </c>
      <c r="J1042" s="19">
        <v>0.10982295935786235</v>
      </c>
      <c r="K1042" s="19">
        <v>0.10762200371808106</v>
      </c>
      <c r="L1042" s="19">
        <v>0.10728926012014492</v>
      </c>
      <c r="M1042" s="19">
        <v>0.10686655299962033</v>
      </c>
      <c r="N1042" s="19">
        <v>0.10800336900510576</v>
      </c>
      <c r="O1042" s="19">
        <v>0.10834282253325597</v>
      </c>
      <c r="P1042" s="19">
        <v>0.10833683660444469</v>
      </c>
      <c r="Q1042" s="19">
        <v>0.10859428673311236</v>
      </c>
      <c r="R1042" s="19">
        <v>0.10869652182165569</v>
      </c>
      <c r="S1042" s="19">
        <v>0.10670719862414282</v>
      </c>
      <c r="T1042" s="19">
        <v>0.1082106301737169</v>
      </c>
      <c r="U1042" s="19">
        <v>0.10548111794396102</v>
      </c>
      <c r="V1042" s="19">
        <v>0.10678771919804531</v>
      </c>
      <c r="W1042" s="19">
        <v>0.10828704641605899</v>
      </c>
      <c r="X1042" s="19">
        <v>0.1056263768317894</v>
      </c>
      <c r="Y1042" s="19">
        <v>0.10242032238496467</v>
      </c>
      <c r="Z1042" s="19">
        <v>0.10284155576072096</v>
      </c>
      <c r="AA1042" s="19">
        <v>9.8099190671623204E-2</v>
      </c>
      <c r="AB1042" s="19">
        <v>9.7825098665385302E-2</v>
      </c>
      <c r="AC1042" s="19">
        <v>6.5228849152927176E-2</v>
      </c>
      <c r="AD1042" s="19">
        <v>7.4293345979205408E-2</v>
      </c>
      <c r="AE1042" s="39">
        <v>8.7975766853630066E-2</v>
      </c>
      <c r="AF1042">
        <f t="shared" ref="AF1042:BG1042" si="198">AE1042</f>
        <v>8.7975766853630066E-2</v>
      </c>
      <c r="AG1042">
        <f t="shared" si="198"/>
        <v>8.7975766853630066E-2</v>
      </c>
      <c r="AH1042">
        <f t="shared" si="198"/>
        <v>8.7975766853630066E-2</v>
      </c>
      <c r="AI1042">
        <f t="shared" si="198"/>
        <v>8.7975766853630066E-2</v>
      </c>
      <c r="AJ1042">
        <f t="shared" si="198"/>
        <v>8.7975766853630066E-2</v>
      </c>
      <c r="AK1042">
        <f t="shared" si="198"/>
        <v>8.7975766853630066E-2</v>
      </c>
      <c r="AL1042">
        <f t="shared" si="198"/>
        <v>8.7975766853630066E-2</v>
      </c>
      <c r="AM1042">
        <f t="shared" si="198"/>
        <v>8.7975766853630066E-2</v>
      </c>
      <c r="AN1042">
        <f t="shared" si="198"/>
        <v>8.7975766853630066E-2</v>
      </c>
      <c r="AO1042">
        <f t="shared" si="198"/>
        <v>8.7975766853630066E-2</v>
      </c>
      <c r="AP1042">
        <f t="shared" si="198"/>
        <v>8.7975766853630066E-2</v>
      </c>
      <c r="AQ1042">
        <f t="shared" si="198"/>
        <v>8.7975766853630066E-2</v>
      </c>
      <c r="AR1042">
        <f t="shared" si="198"/>
        <v>8.7975766853630066E-2</v>
      </c>
      <c r="AS1042">
        <f t="shared" si="198"/>
        <v>8.7975766853630066E-2</v>
      </c>
      <c r="AT1042">
        <f t="shared" si="198"/>
        <v>8.7975766853630066E-2</v>
      </c>
      <c r="AU1042">
        <f t="shared" si="198"/>
        <v>8.7975766853630066E-2</v>
      </c>
      <c r="AV1042">
        <f t="shared" si="198"/>
        <v>8.7975766853630066E-2</v>
      </c>
      <c r="AW1042">
        <f t="shared" si="198"/>
        <v>8.7975766853630066E-2</v>
      </c>
      <c r="AX1042">
        <f t="shared" si="198"/>
        <v>8.7975766853630066E-2</v>
      </c>
      <c r="AY1042">
        <f t="shared" si="198"/>
        <v>8.7975766853630066E-2</v>
      </c>
      <c r="AZ1042">
        <f t="shared" si="198"/>
        <v>8.7975766853630066E-2</v>
      </c>
      <c r="BA1042">
        <f t="shared" si="198"/>
        <v>8.7975766853630066E-2</v>
      </c>
      <c r="BB1042">
        <f t="shared" si="198"/>
        <v>8.7975766853630066E-2</v>
      </c>
      <c r="BC1042">
        <f t="shared" si="198"/>
        <v>8.7975766853630066E-2</v>
      </c>
      <c r="BD1042">
        <f t="shared" si="198"/>
        <v>8.7975766853630066E-2</v>
      </c>
      <c r="BE1042">
        <f t="shared" si="198"/>
        <v>8.7975766853630066E-2</v>
      </c>
      <c r="BF1042">
        <f t="shared" si="198"/>
        <v>8.7975766853630066E-2</v>
      </c>
      <c r="BG1042">
        <f t="shared" si="198"/>
        <v>8.7975766853630066E-2</v>
      </c>
    </row>
    <row r="1043" spans="1:59" ht="12" customHeight="1" x14ac:dyDescent="0.2">
      <c r="A1043" t="s">
        <v>63</v>
      </c>
      <c r="D1043" s="19">
        <v>0.28028595241546023</v>
      </c>
      <c r="E1043" s="19">
        <v>0.2775213078995995</v>
      </c>
      <c r="F1043" s="19">
        <v>0.27795991051046637</v>
      </c>
      <c r="G1043" s="19">
        <v>0.27281650695437648</v>
      </c>
      <c r="H1043" s="19">
        <v>0.2623283383506621</v>
      </c>
      <c r="I1043" s="19">
        <v>0.23994375704702794</v>
      </c>
      <c r="J1043" s="19">
        <v>0.23257505871329404</v>
      </c>
      <c r="K1043" s="19">
        <v>0.65539903638365327</v>
      </c>
      <c r="L1043" s="19">
        <v>0.19265988824000671</v>
      </c>
      <c r="M1043" s="19">
        <v>0.18897174308084816</v>
      </c>
      <c r="N1043" s="19">
        <v>0.18886173894458066</v>
      </c>
      <c r="O1043" s="19">
        <v>0.18943464583258396</v>
      </c>
      <c r="P1043" s="19">
        <v>0.19233684535307927</v>
      </c>
      <c r="Q1043" s="19">
        <v>0.19848501625231404</v>
      </c>
      <c r="R1043" s="19">
        <v>0.20317013893416622</v>
      </c>
      <c r="S1043" s="19">
        <v>0.20210426797953898</v>
      </c>
      <c r="T1043" s="19">
        <v>0.20232144463409432</v>
      </c>
      <c r="U1043" s="19">
        <v>0.20071032119846088</v>
      </c>
      <c r="V1043" s="19">
        <v>0.19984030400226596</v>
      </c>
      <c r="W1043" s="19">
        <v>0.19982940423103446</v>
      </c>
      <c r="X1043" s="19">
        <v>0.2053063350355416</v>
      </c>
      <c r="Y1043" s="19">
        <v>0.21048824297017799</v>
      </c>
      <c r="Z1043" s="19">
        <v>0.21461619640434274</v>
      </c>
      <c r="AA1043" s="19">
        <v>0.214210877382741</v>
      </c>
      <c r="AB1043" s="19">
        <v>0.21322887041905395</v>
      </c>
      <c r="AC1043" s="19">
        <v>0.20965011764623964</v>
      </c>
      <c r="AD1043" s="19">
        <v>0.21148379318138771</v>
      </c>
      <c r="AE1043" s="39">
        <v>0.21605627088519039</v>
      </c>
      <c r="AF1043">
        <f t="shared" ref="AF1043:BG1043" si="199">AE1043</f>
        <v>0.21605627088519039</v>
      </c>
      <c r="AG1043">
        <f t="shared" si="199"/>
        <v>0.21605627088519039</v>
      </c>
      <c r="AH1043">
        <f t="shared" si="199"/>
        <v>0.21605627088519039</v>
      </c>
      <c r="AI1043">
        <f t="shared" si="199"/>
        <v>0.21605627088519039</v>
      </c>
      <c r="AJ1043">
        <f t="shared" si="199"/>
        <v>0.21605627088519039</v>
      </c>
      <c r="AK1043">
        <f t="shared" si="199"/>
        <v>0.21605627088519039</v>
      </c>
      <c r="AL1043">
        <f t="shared" si="199"/>
        <v>0.21605627088519039</v>
      </c>
      <c r="AM1043">
        <f t="shared" si="199"/>
        <v>0.21605627088519039</v>
      </c>
      <c r="AN1043">
        <f t="shared" si="199"/>
        <v>0.21605627088519039</v>
      </c>
      <c r="AO1043">
        <f t="shared" si="199"/>
        <v>0.21605627088519039</v>
      </c>
      <c r="AP1043">
        <f t="shared" si="199"/>
        <v>0.21605627088519039</v>
      </c>
      <c r="AQ1043">
        <f t="shared" si="199"/>
        <v>0.21605627088519039</v>
      </c>
      <c r="AR1043">
        <f t="shared" si="199"/>
        <v>0.21605627088519039</v>
      </c>
      <c r="AS1043">
        <f t="shared" si="199"/>
        <v>0.21605627088519039</v>
      </c>
      <c r="AT1043">
        <f t="shared" si="199"/>
        <v>0.21605627088519039</v>
      </c>
      <c r="AU1043">
        <f t="shared" si="199"/>
        <v>0.21605627088519039</v>
      </c>
      <c r="AV1043">
        <f t="shared" si="199"/>
        <v>0.21605627088519039</v>
      </c>
      <c r="AW1043">
        <f t="shared" si="199"/>
        <v>0.21605627088519039</v>
      </c>
      <c r="AX1043">
        <f t="shared" si="199"/>
        <v>0.21605627088519039</v>
      </c>
      <c r="AY1043">
        <f t="shared" si="199"/>
        <v>0.21605627088519039</v>
      </c>
      <c r="AZ1043">
        <f t="shared" si="199"/>
        <v>0.21605627088519039</v>
      </c>
      <c r="BA1043">
        <f t="shared" si="199"/>
        <v>0.21605627088519039</v>
      </c>
      <c r="BB1043">
        <f t="shared" si="199"/>
        <v>0.21605627088519039</v>
      </c>
      <c r="BC1043">
        <f t="shared" si="199"/>
        <v>0.21605627088519039</v>
      </c>
      <c r="BD1043">
        <f t="shared" si="199"/>
        <v>0.21605627088519039</v>
      </c>
      <c r="BE1043">
        <f t="shared" si="199"/>
        <v>0.21605627088519039</v>
      </c>
      <c r="BF1043">
        <f t="shared" si="199"/>
        <v>0.21605627088519039</v>
      </c>
      <c r="BG1043">
        <f t="shared" si="199"/>
        <v>0.21605627088519039</v>
      </c>
    </row>
    <row r="1044" spans="1:59" ht="12" customHeight="1" x14ac:dyDescent="0.2">
      <c r="A1044" t="s">
        <v>206</v>
      </c>
      <c r="AE1044" s="28"/>
    </row>
    <row r="1045" spans="1:59" ht="12" customHeight="1" x14ac:dyDescent="0.3"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  <c r="AA1045" s="69"/>
      <c r="AB1045" s="69"/>
      <c r="AC1045" s="69"/>
      <c r="AD1045" s="69"/>
      <c r="AE1045" s="69"/>
    </row>
    <row r="1046" spans="1:59" ht="12" customHeight="1" x14ac:dyDescent="0.3">
      <c r="A1046" t="s">
        <v>207</v>
      </c>
      <c r="B1046">
        <v>200</v>
      </c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  <c r="AA1046" s="69"/>
      <c r="AB1046" s="69"/>
      <c r="AC1046" s="69"/>
      <c r="AD1046" s="69"/>
      <c r="AE1046" s="69"/>
    </row>
    <row r="1047" spans="1:59" ht="12" customHeight="1" x14ac:dyDescent="0.3">
      <c r="A1047" t="s">
        <v>208</v>
      </c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  <c r="AA1047" s="69"/>
      <c r="AB1047" s="69"/>
      <c r="AC1047" s="69"/>
      <c r="AD1047" s="69"/>
      <c r="AE1047" s="69"/>
    </row>
    <row r="1049" spans="1:59" ht="12" customHeight="1" x14ac:dyDescent="0.2">
      <c r="A1049" s="19" t="s">
        <v>209</v>
      </c>
    </row>
    <row r="1050" spans="1:59" ht="12" customHeight="1" x14ac:dyDescent="0.2">
      <c r="A1050" t="s">
        <v>210</v>
      </c>
      <c r="AE1050" s="28" t="s">
        <v>204</v>
      </c>
      <c r="AF1050" t="s">
        <v>355</v>
      </c>
    </row>
    <row r="1051" spans="1:59" ht="12" customHeight="1" x14ac:dyDescent="0.2">
      <c r="D1051">
        <v>1995</v>
      </c>
      <c r="E1051">
        <v>1996</v>
      </c>
      <c r="F1051">
        <v>1997</v>
      </c>
      <c r="G1051">
        <v>1998</v>
      </c>
      <c r="H1051">
        <v>1999</v>
      </c>
      <c r="I1051">
        <v>2000</v>
      </c>
      <c r="J1051">
        <v>2001</v>
      </c>
      <c r="K1051">
        <v>2002</v>
      </c>
      <c r="L1051">
        <v>2003</v>
      </c>
      <c r="M1051">
        <v>2004</v>
      </c>
      <c r="N1051">
        <v>2005</v>
      </c>
      <c r="O1051">
        <v>2006</v>
      </c>
      <c r="P1051">
        <v>2007</v>
      </c>
      <c r="Q1051">
        <v>2008</v>
      </c>
      <c r="R1051">
        <v>2009</v>
      </c>
      <c r="S1051">
        <v>2010</v>
      </c>
      <c r="T1051">
        <v>2011</v>
      </c>
      <c r="U1051">
        <v>2012</v>
      </c>
      <c r="V1051">
        <v>2013</v>
      </c>
      <c r="W1051">
        <v>2014</v>
      </c>
      <c r="X1051">
        <v>2015</v>
      </c>
      <c r="Y1051">
        <v>2016</v>
      </c>
      <c r="Z1051">
        <v>2017</v>
      </c>
      <c r="AA1051">
        <v>2018</v>
      </c>
      <c r="AB1051">
        <v>2019</v>
      </c>
      <c r="AC1051">
        <v>2020</v>
      </c>
      <c r="AD1051">
        <v>2021</v>
      </c>
      <c r="AE1051" s="28">
        <v>2022</v>
      </c>
      <c r="AF1051">
        <v>2023</v>
      </c>
      <c r="AG1051">
        <v>2024</v>
      </c>
      <c r="AH1051">
        <v>2025</v>
      </c>
      <c r="AI1051">
        <v>2026</v>
      </c>
      <c r="AJ1051">
        <v>2027</v>
      </c>
      <c r="AK1051">
        <v>2028</v>
      </c>
      <c r="AL1051">
        <v>2029</v>
      </c>
      <c r="AM1051">
        <v>2030</v>
      </c>
      <c r="AN1051">
        <v>2031</v>
      </c>
      <c r="AO1051">
        <v>2032</v>
      </c>
      <c r="AP1051">
        <v>2033</v>
      </c>
      <c r="AQ1051">
        <v>2034</v>
      </c>
      <c r="AR1051">
        <v>2035</v>
      </c>
      <c r="AS1051">
        <v>2036</v>
      </c>
      <c r="AT1051">
        <v>2037</v>
      </c>
      <c r="AU1051">
        <v>2038</v>
      </c>
      <c r="AV1051">
        <v>2039</v>
      </c>
      <c r="AW1051">
        <v>2040</v>
      </c>
      <c r="AX1051">
        <v>2041</v>
      </c>
      <c r="AY1051">
        <v>2042</v>
      </c>
      <c r="AZ1051">
        <v>2043</v>
      </c>
      <c r="BA1051">
        <v>2044</v>
      </c>
      <c r="BB1051">
        <v>2045</v>
      </c>
      <c r="BC1051">
        <v>2046</v>
      </c>
      <c r="BD1051">
        <v>2047</v>
      </c>
      <c r="BE1051">
        <v>2048</v>
      </c>
      <c r="BF1051">
        <v>2049</v>
      </c>
      <c r="BG1051">
        <v>2050</v>
      </c>
    </row>
    <row r="1052" spans="1:59" ht="12" customHeight="1" x14ac:dyDescent="0.2">
      <c r="A1052" t="s">
        <v>211</v>
      </c>
      <c r="D1052" s="19">
        <v>2.1471655426266056E-2</v>
      </c>
      <c r="E1052" s="19">
        <v>1.9285564446856845E-2</v>
      </c>
      <c r="F1052" s="19">
        <v>1.9046656517459962E-2</v>
      </c>
      <c r="G1052" s="19">
        <v>1.8370422933916084E-2</v>
      </c>
      <c r="H1052" s="19">
        <v>1.8077430588159825E-2</v>
      </c>
      <c r="I1052" s="19">
        <v>1.5099857352810478E-2</v>
      </c>
      <c r="J1052" s="19">
        <v>4.9531317862198776E-2</v>
      </c>
      <c r="K1052" s="19">
        <v>1.293647624321958E-2</v>
      </c>
      <c r="L1052" s="19">
        <v>1.4684114703522495E-2</v>
      </c>
      <c r="M1052" s="19">
        <v>1.507263865810736E-2</v>
      </c>
      <c r="N1052" s="19">
        <v>1.2799997191294193E-2</v>
      </c>
      <c r="O1052" s="19">
        <v>1.2136542169306111E-2</v>
      </c>
      <c r="P1052" s="19">
        <v>1.105511224771704E-2</v>
      </c>
      <c r="Q1052" s="19">
        <v>1.0409249841346075E-2</v>
      </c>
      <c r="R1052" s="19">
        <v>9.8182192539819774E-3</v>
      </c>
      <c r="S1052" s="19">
        <v>1.0714838166188434E-2</v>
      </c>
      <c r="T1052" s="19">
        <v>9.9385889895023984E-3</v>
      </c>
      <c r="U1052" s="19">
        <v>9.354155929531054E-3</v>
      </c>
      <c r="V1052" s="19">
        <v>9.0402463758649191E-3</v>
      </c>
      <c r="W1052" s="19">
        <v>8.8624728607508002E-3</v>
      </c>
      <c r="X1052" s="19">
        <v>8.7210521716024388E-3</v>
      </c>
      <c r="Y1052" s="19">
        <v>7.2359449771918164E-3</v>
      </c>
      <c r="Z1052" s="19">
        <v>6.88001200602686E-3</v>
      </c>
      <c r="AA1052" s="19">
        <v>6.1496098575535806E-3</v>
      </c>
      <c r="AB1052" s="19">
        <v>5.8517259588279765E-3</v>
      </c>
      <c r="AC1052" s="19">
        <v>1.5016915931443942E-2</v>
      </c>
      <c r="AD1052" s="19">
        <v>7.9358564082182524E-3</v>
      </c>
      <c r="AE1052" s="39">
        <v>6.5045544040118735E-3</v>
      </c>
      <c r="AF1052">
        <f>AE1052</f>
        <v>6.5045544040118735E-3</v>
      </c>
      <c r="AG1052">
        <f t="shared" ref="AG1052:BG1057" si="200">AF1052</f>
        <v>6.5045544040118735E-3</v>
      </c>
      <c r="AH1052">
        <f t="shared" si="200"/>
        <v>6.5045544040118735E-3</v>
      </c>
      <c r="AI1052">
        <f t="shared" si="200"/>
        <v>6.5045544040118735E-3</v>
      </c>
      <c r="AJ1052">
        <f t="shared" si="200"/>
        <v>6.5045544040118735E-3</v>
      </c>
      <c r="AK1052">
        <f t="shared" si="200"/>
        <v>6.5045544040118735E-3</v>
      </c>
      <c r="AL1052">
        <f t="shared" si="200"/>
        <v>6.5045544040118735E-3</v>
      </c>
      <c r="AM1052">
        <f t="shared" si="200"/>
        <v>6.5045544040118735E-3</v>
      </c>
      <c r="AN1052">
        <f t="shared" si="200"/>
        <v>6.5045544040118735E-3</v>
      </c>
      <c r="AO1052">
        <f t="shared" si="200"/>
        <v>6.5045544040118735E-3</v>
      </c>
      <c r="AP1052">
        <f t="shared" si="200"/>
        <v>6.5045544040118735E-3</v>
      </c>
      <c r="AQ1052">
        <f t="shared" si="200"/>
        <v>6.5045544040118735E-3</v>
      </c>
      <c r="AR1052">
        <f t="shared" si="200"/>
        <v>6.5045544040118735E-3</v>
      </c>
      <c r="AS1052">
        <f t="shared" si="200"/>
        <v>6.5045544040118735E-3</v>
      </c>
      <c r="AT1052">
        <f t="shared" si="200"/>
        <v>6.5045544040118735E-3</v>
      </c>
      <c r="AU1052">
        <f t="shared" si="200"/>
        <v>6.5045544040118735E-3</v>
      </c>
      <c r="AV1052">
        <f t="shared" si="200"/>
        <v>6.5045544040118735E-3</v>
      </c>
      <c r="AW1052">
        <f t="shared" si="200"/>
        <v>6.5045544040118735E-3</v>
      </c>
      <c r="AX1052">
        <f t="shared" si="200"/>
        <v>6.5045544040118735E-3</v>
      </c>
      <c r="AY1052">
        <f t="shared" si="200"/>
        <v>6.5045544040118735E-3</v>
      </c>
      <c r="AZ1052">
        <f t="shared" si="200"/>
        <v>6.5045544040118735E-3</v>
      </c>
      <c r="BA1052">
        <f t="shared" si="200"/>
        <v>6.5045544040118735E-3</v>
      </c>
      <c r="BB1052">
        <f t="shared" si="200"/>
        <v>6.5045544040118735E-3</v>
      </c>
      <c r="BC1052">
        <f t="shared" si="200"/>
        <v>6.5045544040118735E-3</v>
      </c>
      <c r="BD1052">
        <f t="shared" si="200"/>
        <v>6.5045544040118735E-3</v>
      </c>
      <c r="BE1052">
        <f t="shared" si="200"/>
        <v>6.5045544040118735E-3</v>
      </c>
      <c r="BF1052">
        <f t="shared" si="200"/>
        <v>6.5045544040118735E-3</v>
      </c>
      <c r="BG1052">
        <f t="shared" si="200"/>
        <v>6.5045544040118735E-3</v>
      </c>
    </row>
    <row r="1053" spans="1:59" ht="12" customHeight="1" x14ac:dyDescent="0.2">
      <c r="A1053" t="s">
        <v>212</v>
      </c>
      <c r="D1053" s="19">
        <v>0.15634185480986926</v>
      </c>
      <c r="E1053" s="19">
        <v>0.14807675102441203</v>
      </c>
      <c r="F1053" s="19">
        <v>0.15113067577609793</v>
      </c>
      <c r="G1053" s="19">
        <v>0.14613318713780094</v>
      </c>
      <c r="H1053" s="19">
        <v>0.14337278843574758</v>
      </c>
      <c r="I1053" s="19">
        <v>0.14993348576420101</v>
      </c>
      <c r="J1053" s="19">
        <v>0.1468107557891129</v>
      </c>
      <c r="K1053" s="19">
        <v>0.15505918001342628</v>
      </c>
      <c r="L1053" s="19">
        <v>0.15671071396426942</v>
      </c>
      <c r="M1053" s="19">
        <v>0.16608825234682256</v>
      </c>
      <c r="N1053" s="19">
        <v>0.15494481686142295</v>
      </c>
      <c r="O1053" s="19">
        <v>0.15319563713593345</v>
      </c>
      <c r="P1053" s="19">
        <v>0.14833956693876546</v>
      </c>
      <c r="Q1053" s="19">
        <v>0.14049338501201608</v>
      </c>
      <c r="R1053" s="19">
        <v>0.13438032300784128</v>
      </c>
      <c r="S1053" s="19">
        <v>0.15350794417798938</v>
      </c>
      <c r="T1053" s="19">
        <v>0.14754711308034088</v>
      </c>
      <c r="U1053" s="19">
        <v>0.18456289157842096</v>
      </c>
      <c r="V1053" s="19">
        <v>0.17931507413255648</v>
      </c>
      <c r="W1053" s="19">
        <v>0.18246413678159118</v>
      </c>
      <c r="X1053" s="19">
        <v>0.21026341774380652</v>
      </c>
      <c r="Y1053" s="19">
        <v>0.24361623797054383</v>
      </c>
      <c r="Z1053" s="19">
        <v>0.29214588286208876</v>
      </c>
      <c r="AA1053" s="19">
        <v>0.36740603123442095</v>
      </c>
      <c r="AB1053" s="19">
        <v>0.36916555882416024</v>
      </c>
      <c r="AC1053" s="19">
        <v>0.55262093078959751</v>
      </c>
      <c r="AD1053" s="19">
        <v>0.31234308930715815</v>
      </c>
      <c r="AE1053" s="39">
        <v>0.33337548221195112</v>
      </c>
      <c r="AF1053">
        <f t="shared" ref="AF1053:AU1057" si="201">AE1053</f>
        <v>0.33337548221195112</v>
      </c>
      <c r="AG1053">
        <f t="shared" si="201"/>
        <v>0.33337548221195112</v>
      </c>
      <c r="AH1053">
        <f t="shared" si="201"/>
        <v>0.33337548221195112</v>
      </c>
      <c r="AI1053">
        <f t="shared" si="201"/>
        <v>0.33337548221195112</v>
      </c>
      <c r="AJ1053">
        <f t="shared" si="201"/>
        <v>0.33337548221195112</v>
      </c>
      <c r="AK1053">
        <f t="shared" si="201"/>
        <v>0.33337548221195112</v>
      </c>
      <c r="AL1053">
        <f t="shared" si="201"/>
        <v>0.33337548221195112</v>
      </c>
      <c r="AM1053">
        <f t="shared" si="201"/>
        <v>0.33337548221195112</v>
      </c>
      <c r="AN1053">
        <f t="shared" si="201"/>
        <v>0.33337548221195112</v>
      </c>
      <c r="AO1053">
        <f t="shared" si="201"/>
        <v>0.33337548221195112</v>
      </c>
      <c r="AP1053">
        <f t="shared" si="201"/>
        <v>0.33337548221195112</v>
      </c>
      <c r="AQ1053">
        <f t="shared" si="201"/>
        <v>0.33337548221195112</v>
      </c>
      <c r="AR1053">
        <f t="shared" si="201"/>
        <v>0.33337548221195112</v>
      </c>
      <c r="AS1053">
        <f t="shared" si="201"/>
        <v>0.33337548221195112</v>
      </c>
      <c r="AT1053">
        <f t="shared" si="201"/>
        <v>0.33337548221195112</v>
      </c>
      <c r="AU1053">
        <f t="shared" si="201"/>
        <v>0.33337548221195112</v>
      </c>
      <c r="AV1053">
        <f t="shared" si="200"/>
        <v>0.33337548221195112</v>
      </c>
      <c r="AW1053">
        <f t="shared" si="200"/>
        <v>0.33337548221195112</v>
      </c>
      <c r="AX1053">
        <f t="shared" si="200"/>
        <v>0.33337548221195112</v>
      </c>
      <c r="AY1053">
        <f t="shared" si="200"/>
        <v>0.33337548221195112</v>
      </c>
      <c r="AZ1053">
        <f t="shared" si="200"/>
        <v>0.33337548221195112</v>
      </c>
      <c r="BA1053">
        <f t="shared" si="200"/>
        <v>0.33337548221195112</v>
      </c>
      <c r="BB1053">
        <f t="shared" si="200"/>
        <v>0.33337548221195112</v>
      </c>
      <c r="BC1053">
        <f t="shared" si="200"/>
        <v>0.33337548221195112</v>
      </c>
      <c r="BD1053">
        <f t="shared" si="200"/>
        <v>0.33337548221195112</v>
      </c>
      <c r="BE1053">
        <f t="shared" si="200"/>
        <v>0.33337548221195112</v>
      </c>
      <c r="BF1053">
        <f t="shared" si="200"/>
        <v>0.33337548221195112</v>
      </c>
      <c r="BG1053">
        <f t="shared" si="200"/>
        <v>0.33337548221195112</v>
      </c>
    </row>
    <row r="1054" spans="1:59" ht="12" customHeight="1" x14ac:dyDescent="0.2">
      <c r="A1054" t="s">
        <v>213</v>
      </c>
      <c r="D1054" s="19">
        <v>1.2362674940939358E-2</v>
      </c>
      <c r="E1054" s="19">
        <v>1.0165558211290603E-2</v>
      </c>
      <c r="F1054" s="19">
        <v>9.1144674499433979E-3</v>
      </c>
      <c r="G1054" s="19">
        <v>8.4014700847536237E-3</v>
      </c>
      <c r="H1054" s="19">
        <v>1.1990629622713829E-2</v>
      </c>
      <c r="I1054" s="19">
        <v>1.2346746587486137E-2</v>
      </c>
      <c r="J1054" s="19">
        <v>1.0237938402058236E-2</v>
      </c>
      <c r="K1054" s="19">
        <v>1.0486001824323887E-2</v>
      </c>
      <c r="L1054" s="19">
        <v>1.231348995092588E-2</v>
      </c>
      <c r="M1054" s="19">
        <v>1.2468919665302213E-2</v>
      </c>
      <c r="N1054" s="19">
        <v>1.7434964060891133E-3</v>
      </c>
      <c r="O1054" s="19">
        <v>1.581111946864744E-3</v>
      </c>
      <c r="P1054" s="19">
        <v>1.0078517734061121E-3</v>
      </c>
      <c r="Q1054" s="19">
        <v>7.0786121776028155E-4</v>
      </c>
      <c r="R1054" s="19">
        <v>5.3928442635107078E-4</v>
      </c>
      <c r="S1054" s="19">
        <v>4.3329421211661158E-4</v>
      </c>
      <c r="T1054" s="19">
        <v>2.8411733392239962E-4</v>
      </c>
      <c r="U1054" s="19">
        <v>3.2798571887467082E-4</v>
      </c>
      <c r="V1054" s="19">
        <v>5.5841089029305961E-4</v>
      </c>
      <c r="W1054" s="19">
        <v>6.7764490937414731E-4</v>
      </c>
      <c r="X1054" s="19">
        <v>5.5297791123979127E-4</v>
      </c>
      <c r="Y1054" s="19">
        <v>5.5837162058188893E-4</v>
      </c>
      <c r="Z1054" s="19">
        <v>6.5099966353074845E-4</v>
      </c>
      <c r="AA1054" s="19">
        <v>5.6584536780014867E-4</v>
      </c>
      <c r="AB1054" s="19">
        <v>5.0382128772812377E-4</v>
      </c>
      <c r="AC1054" s="19">
        <v>9.3707628421124786E-4</v>
      </c>
      <c r="AD1054" s="19">
        <v>5.6592080927255893E-4</v>
      </c>
      <c r="AE1054" s="39">
        <v>5.1324370376309568E-4</v>
      </c>
      <c r="AF1054">
        <f t="shared" si="201"/>
        <v>5.1324370376309568E-4</v>
      </c>
      <c r="AG1054">
        <f t="shared" si="200"/>
        <v>5.1324370376309568E-4</v>
      </c>
      <c r="AH1054">
        <f t="shared" si="200"/>
        <v>5.1324370376309568E-4</v>
      </c>
      <c r="AI1054">
        <f t="shared" si="200"/>
        <v>5.1324370376309568E-4</v>
      </c>
      <c r="AJ1054">
        <f t="shared" si="200"/>
        <v>5.1324370376309568E-4</v>
      </c>
      <c r="AK1054">
        <f t="shared" si="200"/>
        <v>5.1324370376309568E-4</v>
      </c>
      <c r="AL1054">
        <f t="shared" si="200"/>
        <v>5.1324370376309568E-4</v>
      </c>
      <c r="AM1054">
        <f t="shared" si="200"/>
        <v>5.1324370376309568E-4</v>
      </c>
      <c r="AN1054">
        <f t="shared" si="200"/>
        <v>5.1324370376309568E-4</v>
      </c>
      <c r="AO1054">
        <f t="shared" si="200"/>
        <v>5.1324370376309568E-4</v>
      </c>
      <c r="AP1054">
        <f t="shared" si="200"/>
        <v>5.1324370376309568E-4</v>
      </c>
      <c r="AQ1054">
        <f t="shared" si="200"/>
        <v>5.1324370376309568E-4</v>
      </c>
      <c r="AR1054">
        <f t="shared" si="200"/>
        <v>5.1324370376309568E-4</v>
      </c>
      <c r="AS1054">
        <f t="shared" si="200"/>
        <v>5.1324370376309568E-4</v>
      </c>
      <c r="AT1054">
        <f t="shared" si="200"/>
        <v>5.1324370376309568E-4</v>
      </c>
      <c r="AU1054">
        <f t="shared" si="200"/>
        <v>5.1324370376309568E-4</v>
      </c>
      <c r="AV1054">
        <f t="shared" si="200"/>
        <v>5.1324370376309568E-4</v>
      </c>
      <c r="AW1054">
        <f t="shared" si="200"/>
        <v>5.1324370376309568E-4</v>
      </c>
      <c r="AX1054">
        <f t="shared" si="200"/>
        <v>5.1324370376309568E-4</v>
      </c>
      <c r="AY1054">
        <f t="shared" si="200"/>
        <v>5.1324370376309568E-4</v>
      </c>
      <c r="AZ1054">
        <f t="shared" si="200"/>
        <v>5.1324370376309568E-4</v>
      </c>
      <c r="BA1054">
        <f t="shared" si="200"/>
        <v>5.1324370376309568E-4</v>
      </c>
      <c r="BB1054">
        <f t="shared" si="200"/>
        <v>5.1324370376309568E-4</v>
      </c>
      <c r="BC1054">
        <f t="shared" si="200"/>
        <v>5.1324370376309568E-4</v>
      </c>
      <c r="BD1054">
        <f t="shared" si="200"/>
        <v>5.1324370376309568E-4</v>
      </c>
      <c r="BE1054">
        <f t="shared" si="200"/>
        <v>5.1324370376309568E-4</v>
      </c>
      <c r="BF1054">
        <f t="shared" si="200"/>
        <v>5.1324370376309568E-4</v>
      </c>
      <c r="BG1054">
        <f t="shared" si="200"/>
        <v>5.1324370376309568E-4</v>
      </c>
    </row>
    <row r="1055" spans="1:59" ht="12" customHeight="1" x14ac:dyDescent="0.2">
      <c r="A1055" t="s">
        <v>214</v>
      </c>
      <c r="D1055" s="19">
        <v>6.5648975602074056E-2</v>
      </c>
      <c r="E1055" s="19">
        <v>6.7091784536257665E-2</v>
      </c>
      <c r="F1055" s="19">
        <v>5.5047176710522394E-2</v>
      </c>
      <c r="G1055" s="19">
        <v>5.4770541903269056E-2</v>
      </c>
      <c r="H1055" s="19">
        <v>5.6155792240136705E-2</v>
      </c>
      <c r="I1055" s="19">
        <v>4.0602500996187132E-2</v>
      </c>
      <c r="J1055" s="19">
        <v>2.5894139054190548E-2</v>
      </c>
      <c r="K1055" s="19">
        <v>3.8838651627899824E-2</v>
      </c>
      <c r="L1055" s="19">
        <v>3.8609916686101704E-2</v>
      </c>
      <c r="M1055" s="19">
        <v>3.7050803131605463E-2</v>
      </c>
      <c r="N1055" s="19">
        <v>3.0145593463424027E-2</v>
      </c>
      <c r="O1055" s="19">
        <v>2.8692146028798434E-2</v>
      </c>
      <c r="P1055" s="19">
        <v>2.2812926026257306E-2</v>
      </c>
      <c r="Q1055" s="19">
        <v>1.9130950083890371E-2</v>
      </c>
      <c r="R1055" s="19">
        <v>1.9796736144806978E-2</v>
      </c>
      <c r="S1055" s="19">
        <v>2.4353175159957666E-2</v>
      </c>
      <c r="T1055" s="19">
        <v>2.067539692373534E-2</v>
      </c>
      <c r="U1055" s="19">
        <v>1.7713355720012154E-2</v>
      </c>
      <c r="V1055" s="19">
        <v>1.7421891649714052E-2</v>
      </c>
      <c r="W1055" s="19">
        <v>1.726236132793444E-2</v>
      </c>
      <c r="X1055" s="19">
        <v>1.5916615791209433E-2</v>
      </c>
      <c r="Y1055" s="19">
        <v>1.4142457383105178E-2</v>
      </c>
      <c r="Z1055" s="19">
        <v>1.5187810193019307E-2</v>
      </c>
      <c r="AA1055" s="19">
        <v>3.3134082344112935E-2</v>
      </c>
      <c r="AB1055" s="19">
        <v>4.7896228848320344E-2</v>
      </c>
      <c r="AC1055" s="19">
        <v>0.14518493599945839</v>
      </c>
      <c r="AD1055" s="19">
        <v>0.13263084663449334</v>
      </c>
      <c r="AE1055" s="39">
        <v>7.4416462058744262E-2</v>
      </c>
      <c r="AF1055">
        <f t="shared" si="201"/>
        <v>7.4416462058744262E-2</v>
      </c>
      <c r="AG1055">
        <f t="shared" si="200"/>
        <v>7.4416462058744262E-2</v>
      </c>
      <c r="AH1055">
        <f t="shared" si="200"/>
        <v>7.4416462058744262E-2</v>
      </c>
      <c r="AI1055">
        <f t="shared" si="200"/>
        <v>7.4416462058744262E-2</v>
      </c>
      <c r="AJ1055">
        <f t="shared" si="200"/>
        <v>7.4416462058744262E-2</v>
      </c>
      <c r="AK1055">
        <f t="shared" si="200"/>
        <v>7.4416462058744262E-2</v>
      </c>
      <c r="AL1055">
        <f t="shared" si="200"/>
        <v>7.4416462058744262E-2</v>
      </c>
      <c r="AM1055">
        <f t="shared" si="200"/>
        <v>7.4416462058744262E-2</v>
      </c>
      <c r="AN1055">
        <f t="shared" si="200"/>
        <v>7.4416462058744262E-2</v>
      </c>
      <c r="AO1055">
        <f t="shared" si="200"/>
        <v>7.4416462058744262E-2</v>
      </c>
      <c r="AP1055">
        <f t="shared" si="200"/>
        <v>7.4416462058744262E-2</v>
      </c>
      <c r="AQ1055">
        <f t="shared" si="200"/>
        <v>7.4416462058744262E-2</v>
      </c>
      <c r="AR1055">
        <f t="shared" si="200"/>
        <v>7.4416462058744262E-2</v>
      </c>
      <c r="AS1055">
        <f t="shared" si="200"/>
        <v>7.4416462058744262E-2</v>
      </c>
      <c r="AT1055">
        <f t="shared" si="200"/>
        <v>7.4416462058744262E-2</v>
      </c>
      <c r="AU1055">
        <f t="shared" si="200"/>
        <v>7.4416462058744262E-2</v>
      </c>
      <c r="AV1055">
        <f t="shared" si="200"/>
        <v>7.4416462058744262E-2</v>
      </c>
      <c r="AW1055">
        <f t="shared" si="200"/>
        <v>7.4416462058744262E-2</v>
      </c>
      <c r="AX1055">
        <f t="shared" si="200"/>
        <v>7.4416462058744262E-2</v>
      </c>
      <c r="AY1055">
        <f t="shared" si="200"/>
        <v>7.4416462058744262E-2</v>
      </c>
      <c r="AZ1055">
        <f t="shared" si="200"/>
        <v>7.4416462058744262E-2</v>
      </c>
      <c r="BA1055">
        <f t="shared" si="200"/>
        <v>7.4416462058744262E-2</v>
      </c>
      <c r="BB1055">
        <f t="shared" si="200"/>
        <v>7.4416462058744262E-2</v>
      </c>
      <c r="BC1055">
        <f t="shared" si="200"/>
        <v>7.4416462058744262E-2</v>
      </c>
      <c r="BD1055">
        <f t="shared" si="200"/>
        <v>7.4416462058744262E-2</v>
      </c>
      <c r="BE1055">
        <f t="shared" si="200"/>
        <v>7.4416462058744262E-2</v>
      </c>
      <c r="BF1055">
        <f t="shared" si="200"/>
        <v>7.4416462058744262E-2</v>
      </c>
      <c r="BG1055">
        <f t="shared" si="200"/>
        <v>7.4416462058744262E-2</v>
      </c>
    </row>
    <row r="1056" spans="1:59" ht="12" customHeight="1" x14ac:dyDescent="0.2">
      <c r="A1056" t="s">
        <v>215</v>
      </c>
      <c r="D1056" s="19">
        <v>0.22273902058294429</v>
      </c>
      <c r="E1056" s="19">
        <v>0.22097547053278704</v>
      </c>
      <c r="F1056" s="19">
        <v>0.24051996565436354</v>
      </c>
      <c r="G1056" s="19">
        <v>0.24675061326883585</v>
      </c>
      <c r="H1056" s="19">
        <v>0.25759393701822852</v>
      </c>
      <c r="I1056" s="19">
        <v>0.26404512038784034</v>
      </c>
      <c r="J1056" s="19">
        <v>0.2583272512694274</v>
      </c>
      <c r="K1056" s="19">
        <v>0.27413610047236858</v>
      </c>
      <c r="L1056" s="19">
        <v>0.25586197628036167</v>
      </c>
      <c r="M1056" s="19">
        <v>0.25623881335137549</v>
      </c>
      <c r="N1056" s="19">
        <v>0.24845172379035899</v>
      </c>
      <c r="O1056" s="19">
        <v>0.24633818781279798</v>
      </c>
      <c r="P1056" s="19">
        <v>0.22739925006185172</v>
      </c>
      <c r="Q1056" s="19">
        <v>0.22170327163144782</v>
      </c>
      <c r="R1056" s="19">
        <v>0.21138101851062599</v>
      </c>
      <c r="S1056" s="19">
        <v>0.26257537406495624</v>
      </c>
      <c r="T1056" s="19">
        <v>0.23848510059965339</v>
      </c>
      <c r="U1056" s="19">
        <v>0.25258040371269652</v>
      </c>
      <c r="V1056" s="19">
        <v>0.23800540773158468</v>
      </c>
      <c r="W1056" s="19">
        <v>0.24966573711918916</v>
      </c>
      <c r="X1056" s="19">
        <v>0.26385209082541689</v>
      </c>
      <c r="Y1056" s="19">
        <v>0.28614339097413449</v>
      </c>
      <c r="Z1056" s="19">
        <v>0.3064725900833592</v>
      </c>
      <c r="AA1056" s="19">
        <v>0.32507163440457987</v>
      </c>
      <c r="AB1056" s="19">
        <v>0.30424159835285508</v>
      </c>
      <c r="AC1056" s="19">
        <v>0.62384546825805953</v>
      </c>
      <c r="AD1056" s="19">
        <v>0.64979825158421511</v>
      </c>
      <c r="AE1056" s="39">
        <v>0.40792886018159968</v>
      </c>
      <c r="AF1056">
        <f t="shared" si="201"/>
        <v>0.40792886018159968</v>
      </c>
      <c r="AG1056">
        <f t="shared" si="200"/>
        <v>0.40792886018159968</v>
      </c>
      <c r="AH1056">
        <f t="shared" si="200"/>
        <v>0.40792886018159968</v>
      </c>
      <c r="AI1056">
        <f t="shared" si="200"/>
        <v>0.40792886018159968</v>
      </c>
      <c r="AJ1056">
        <f t="shared" si="200"/>
        <v>0.40792886018159968</v>
      </c>
      <c r="AK1056">
        <f t="shared" si="200"/>
        <v>0.40792886018159968</v>
      </c>
      <c r="AL1056">
        <f t="shared" si="200"/>
        <v>0.40792886018159968</v>
      </c>
      <c r="AM1056">
        <f t="shared" si="200"/>
        <v>0.40792886018159968</v>
      </c>
      <c r="AN1056">
        <f t="shared" si="200"/>
        <v>0.40792886018159968</v>
      </c>
      <c r="AO1056">
        <f t="shared" si="200"/>
        <v>0.40792886018159968</v>
      </c>
      <c r="AP1056">
        <f t="shared" si="200"/>
        <v>0.40792886018159968</v>
      </c>
      <c r="AQ1056">
        <f t="shared" si="200"/>
        <v>0.40792886018159968</v>
      </c>
      <c r="AR1056">
        <f t="shared" si="200"/>
        <v>0.40792886018159968</v>
      </c>
      <c r="AS1056">
        <f t="shared" si="200"/>
        <v>0.40792886018159968</v>
      </c>
      <c r="AT1056">
        <f t="shared" si="200"/>
        <v>0.40792886018159968</v>
      </c>
      <c r="AU1056">
        <f t="shared" si="200"/>
        <v>0.40792886018159968</v>
      </c>
      <c r="AV1056">
        <f t="shared" si="200"/>
        <v>0.40792886018159968</v>
      </c>
      <c r="AW1056">
        <f t="shared" si="200"/>
        <v>0.40792886018159968</v>
      </c>
      <c r="AX1056">
        <f t="shared" si="200"/>
        <v>0.40792886018159968</v>
      </c>
      <c r="AY1056">
        <f t="shared" si="200"/>
        <v>0.40792886018159968</v>
      </c>
      <c r="AZ1056">
        <f t="shared" si="200"/>
        <v>0.40792886018159968</v>
      </c>
      <c r="BA1056">
        <f t="shared" si="200"/>
        <v>0.40792886018159968</v>
      </c>
      <c r="BB1056">
        <f t="shared" si="200"/>
        <v>0.40792886018159968</v>
      </c>
      <c r="BC1056">
        <f t="shared" si="200"/>
        <v>0.40792886018159968</v>
      </c>
      <c r="BD1056">
        <f t="shared" si="200"/>
        <v>0.40792886018159968</v>
      </c>
      <c r="BE1056">
        <f t="shared" si="200"/>
        <v>0.40792886018159968</v>
      </c>
      <c r="BF1056">
        <f t="shared" si="200"/>
        <v>0.40792886018159968</v>
      </c>
      <c r="BG1056">
        <f t="shared" si="200"/>
        <v>0.40792886018159968</v>
      </c>
    </row>
    <row r="1057" spans="1:59" ht="12" customHeight="1" x14ac:dyDescent="0.2">
      <c r="A1057" t="s">
        <v>216</v>
      </c>
      <c r="D1057" s="19">
        <v>5.9747393861170728E-2</v>
      </c>
      <c r="E1057" s="19">
        <v>2.1165285187716324E-2</v>
      </c>
      <c r="F1057" s="19">
        <v>1.3929627241187226E-2</v>
      </c>
      <c r="G1057" s="19">
        <v>1.2990711788534467E-2</v>
      </c>
      <c r="H1057" s="19">
        <v>8.305883893473991E-3</v>
      </c>
      <c r="I1057" s="19">
        <v>2.5693203726873046E-3</v>
      </c>
      <c r="J1057" s="19">
        <v>1.6867340069050575E-3</v>
      </c>
      <c r="K1057" s="19">
        <v>2.5111575926279055E-4</v>
      </c>
      <c r="L1057" s="19">
        <v>7.0835081908358802E-4</v>
      </c>
      <c r="M1057" s="19">
        <v>7.2232286401482221E-4</v>
      </c>
      <c r="N1057" s="19">
        <v>5.7543153482089205E-4</v>
      </c>
      <c r="O1057" s="19">
        <v>3.0197298266332334E-4</v>
      </c>
      <c r="P1057" s="19">
        <v>1.9152974249582905E-4</v>
      </c>
      <c r="Q1057" s="19">
        <v>1.8682720321744741E-3</v>
      </c>
      <c r="R1057" s="19">
        <v>2.3538175720771324E-3</v>
      </c>
      <c r="S1057" s="19">
        <v>8.9645195471178818E-4</v>
      </c>
      <c r="T1057" s="19">
        <v>7.2429508044675754E-5</v>
      </c>
      <c r="U1057" s="19">
        <v>4.9622398858439136E-5</v>
      </c>
      <c r="V1057" s="19">
        <v>1.5397210052005007E-4</v>
      </c>
      <c r="W1057" s="19">
        <v>1.9033504301132107E-4</v>
      </c>
      <c r="X1057" s="19">
        <v>2.8591838490100341E-3</v>
      </c>
      <c r="Y1057" s="19">
        <v>6.3152580160136494E-3</v>
      </c>
      <c r="Z1057" s="19">
        <v>7.4344163174981945E-3</v>
      </c>
      <c r="AA1057" s="19">
        <v>7.1457863670015198E-3</v>
      </c>
      <c r="AB1057" s="19">
        <v>7.3025374444984081E-3</v>
      </c>
      <c r="AC1057" s="19">
        <v>1.8634378128506915E-5</v>
      </c>
      <c r="AD1057" s="19">
        <v>3.6179525385751438E-5</v>
      </c>
      <c r="AE1057" s="39">
        <v>3.7507605073611859E-5</v>
      </c>
      <c r="AF1057">
        <f t="shared" si="201"/>
        <v>3.7507605073611859E-5</v>
      </c>
      <c r="AG1057">
        <f t="shared" si="200"/>
        <v>3.7507605073611859E-5</v>
      </c>
      <c r="AH1057">
        <f t="shared" si="200"/>
        <v>3.7507605073611859E-5</v>
      </c>
      <c r="AI1057">
        <f t="shared" si="200"/>
        <v>3.7507605073611859E-5</v>
      </c>
      <c r="AJ1057">
        <f t="shared" si="200"/>
        <v>3.7507605073611859E-5</v>
      </c>
      <c r="AK1057">
        <f t="shared" si="200"/>
        <v>3.7507605073611859E-5</v>
      </c>
      <c r="AL1057">
        <f t="shared" si="200"/>
        <v>3.7507605073611859E-5</v>
      </c>
      <c r="AM1057">
        <f t="shared" si="200"/>
        <v>3.7507605073611859E-5</v>
      </c>
      <c r="AN1057">
        <f t="shared" si="200"/>
        <v>3.7507605073611859E-5</v>
      </c>
      <c r="AO1057">
        <f t="shared" si="200"/>
        <v>3.7507605073611859E-5</v>
      </c>
      <c r="AP1057">
        <f t="shared" si="200"/>
        <v>3.7507605073611859E-5</v>
      </c>
      <c r="AQ1057">
        <f t="shared" si="200"/>
        <v>3.7507605073611859E-5</v>
      </c>
      <c r="AR1057">
        <f t="shared" si="200"/>
        <v>3.7507605073611859E-5</v>
      </c>
      <c r="AS1057">
        <f t="shared" si="200"/>
        <v>3.7507605073611859E-5</v>
      </c>
      <c r="AT1057">
        <f t="shared" si="200"/>
        <v>3.7507605073611859E-5</v>
      </c>
      <c r="AU1057">
        <f t="shared" si="200"/>
        <v>3.7507605073611859E-5</v>
      </c>
      <c r="AV1057">
        <f t="shared" si="200"/>
        <v>3.7507605073611859E-5</v>
      </c>
      <c r="AW1057">
        <f t="shared" si="200"/>
        <v>3.7507605073611859E-5</v>
      </c>
      <c r="AX1057">
        <f t="shared" si="200"/>
        <v>3.7507605073611859E-5</v>
      </c>
      <c r="AY1057">
        <f t="shared" si="200"/>
        <v>3.7507605073611859E-5</v>
      </c>
      <c r="AZ1057">
        <f t="shared" si="200"/>
        <v>3.7507605073611859E-5</v>
      </c>
      <c r="BA1057">
        <f t="shared" si="200"/>
        <v>3.7507605073611859E-5</v>
      </c>
      <c r="BB1057">
        <f t="shared" si="200"/>
        <v>3.7507605073611859E-5</v>
      </c>
      <c r="BC1057">
        <f t="shared" si="200"/>
        <v>3.7507605073611859E-5</v>
      </c>
      <c r="BD1057">
        <f t="shared" si="200"/>
        <v>3.7507605073611859E-5</v>
      </c>
      <c r="BE1057">
        <f t="shared" si="200"/>
        <v>3.7507605073611859E-5</v>
      </c>
      <c r="BF1057">
        <f t="shared" si="200"/>
        <v>3.7507605073611859E-5</v>
      </c>
      <c r="BG1057">
        <f t="shared" si="200"/>
        <v>3.7507605073611859E-5</v>
      </c>
    </row>
    <row r="1058" spans="1:59" ht="12" customHeight="1" x14ac:dyDescent="0.2">
      <c r="A1058" t="s">
        <v>208</v>
      </c>
      <c r="AE1058" s="28"/>
    </row>
    <row r="1059" spans="1:59" ht="12" customHeight="1" x14ac:dyDescent="0.2">
      <c r="A1059" t="s">
        <v>217</v>
      </c>
      <c r="AF1059">
        <v>3</v>
      </c>
      <c r="AG1059">
        <v>6</v>
      </c>
    </row>
    <row r="1061" spans="1:59" ht="12" customHeight="1" x14ac:dyDescent="0.2">
      <c r="A1061" s="19" t="s">
        <v>218</v>
      </c>
      <c r="AF1061">
        <v>1</v>
      </c>
      <c r="AG1061">
        <v>3</v>
      </c>
    </row>
    <row r="1062" spans="1:59" ht="12" customHeight="1" x14ac:dyDescent="0.2">
      <c r="A1062" t="s">
        <v>219</v>
      </c>
      <c r="AE1062" s="28"/>
      <c r="AF1062" t="s">
        <v>205</v>
      </c>
      <c r="AH1062" s="20" t="s">
        <v>355</v>
      </c>
    </row>
    <row r="1063" spans="1:59" ht="12" customHeight="1" x14ac:dyDescent="0.2">
      <c r="D1063">
        <v>1995</v>
      </c>
      <c r="E1063">
        <v>1996</v>
      </c>
      <c r="F1063">
        <v>1997</v>
      </c>
      <c r="G1063">
        <v>1998</v>
      </c>
      <c r="H1063">
        <v>1999</v>
      </c>
      <c r="I1063">
        <v>2000</v>
      </c>
      <c r="J1063">
        <v>2001</v>
      </c>
      <c r="K1063">
        <v>2002</v>
      </c>
      <c r="L1063">
        <v>2003</v>
      </c>
      <c r="M1063">
        <v>2004</v>
      </c>
      <c r="N1063">
        <v>2005</v>
      </c>
      <c r="O1063">
        <v>2006</v>
      </c>
      <c r="P1063">
        <v>2007</v>
      </c>
      <c r="Q1063">
        <v>2008</v>
      </c>
      <c r="R1063">
        <v>2009</v>
      </c>
      <c r="S1063">
        <v>2010</v>
      </c>
      <c r="T1063">
        <v>2011</v>
      </c>
      <c r="U1063">
        <v>2012</v>
      </c>
      <c r="V1063">
        <v>2013</v>
      </c>
      <c r="W1063">
        <v>2014</v>
      </c>
      <c r="X1063">
        <v>2015</v>
      </c>
      <c r="Y1063">
        <v>2016</v>
      </c>
      <c r="Z1063">
        <v>2017</v>
      </c>
      <c r="AA1063">
        <v>2018</v>
      </c>
      <c r="AB1063">
        <v>2019</v>
      </c>
      <c r="AC1063">
        <v>2020</v>
      </c>
      <c r="AD1063">
        <v>2021</v>
      </c>
      <c r="AE1063" s="28">
        <v>2022</v>
      </c>
      <c r="AF1063">
        <v>2023</v>
      </c>
      <c r="AG1063">
        <v>2024</v>
      </c>
      <c r="AH1063" s="20">
        <v>2025</v>
      </c>
      <c r="AI1063">
        <v>2026</v>
      </c>
      <c r="AJ1063">
        <v>2027</v>
      </c>
      <c r="AK1063">
        <v>2028</v>
      </c>
      <c r="AL1063">
        <v>2029</v>
      </c>
      <c r="AM1063">
        <v>2030</v>
      </c>
      <c r="AN1063">
        <v>2031</v>
      </c>
      <c r="AO1063">
        <v>2032</v>
      </c>
      <c r="AP1063">
        <v>2033</v>
      </c>
      <c r="AQ1063">
        <v>2034</v>
      </c>
      <c r="AR1063">
        <v>2035</v>
      </c>
      <c r="AS1063">
        <v>2036</v>
      </c>
      <c r="AT1063">
        <v>2037</v>
      </c>
      <c r="AU1063">
        <v>2038</v>
      </c>
      <c r="AV1063">
        <v>2039</v>
      </c>
      <c r="AW1063">
        <v>2040</v>
      </c>
      <c r="AX1063">
        <v>2041</v>
      </c>
      <c r="AY1063">
        <v>2042</v>
      </c>
      <c r="AZ1063">
        <v>2043</v>
      </c>
      <c r="BA1063">
        <v>2044</v>
      </c>
      <c r="BB1063">
        <v>2045</v>
      </c>
      <c r="BC1063">
        <v>2046</v>
      </c>
      <c r="BD1063">
        <v>2047</v>
      </c>
      <c r="BE1063">
        <v>2048</v>
      </c>
      <c r="BF1063">
        <v>2049</v>
      </c>
      <c r="BG1063">
        <v>2050</v>
      </c>
    </row>
    <row r="1064" spans="1:59" ht="12" customHeight="1" x14ac:dyDescent="0.2">
      <c r="A1064" t="s">
        <v>211</v>
      </c>
      <c r="D1064" s="19">
        <v>3.2358856187787929E-2</v>
      </c>
      <c r="E1064" s="19">
        <v>2.9406215300982787E-2</v>
      </c>
      <c r="F1064" s="19">
        <v>2.7629116371342011E-2</v>
      </c>
      <c r="G1064" s="19">
        <v>2.700030404123735E-2</v>
      </c>
      <c r="H1064" s="19">
        <v>2.7204610572325417E-2</v>
      </c>
      <c r="I1064" s="19">
        <v>2.3229193693763462E-2</v>
      </c>
      <c r="J1064" s="19">
        <v>7.9142793987509952E-2</v>
      </c>
      <c r="K1064" s="19">
        <v>1.7675022665494325E-2</v>
      </c>
      <c r="L1064" s="19">
        <v>1.8347954520312668E-2</v>
      </c>
      <c r="M1064" s="19">
        <v>1.8153652444158702E-2</v>
      </c>
      <c r="N1064" s="19">
        <v>1.541857668408857E-2</v>
      </c>
      <c r="O1064" s="19">
        <v>1.4649201290147611E-2</v>
      </c>
      <c r="P1064" s="19">
        <v>1.3718898649328383E-2</v>
      </c>
      <c r="Q1064" s="19">
        <v>1.352858467195321E-2</v>
      </c>
      <c r="R1064" s="19">
        <v>1.3957949657519089E-2</v>
      </c>
      <c r="S1064" s="19">
        <v>1.3433229960408894E-2</v>
      </c>
      <c r="T1064" s="19">
        <v>1.2720934588492777E-2</v>
      </c>
      <c r="U1064" s="19">
        <v>1.2409781576300851E-2</v>
      </c>
      <c r="V1064" s="19">
        <v>1.2830238168127898E-2</v>
      </c>
      <c r="W1064" s="19">
        <v>1.2807989482155897E-2</v>
      </c>
      <c r="X1064" s="19">
        <v>1.3287261984874744E-2</v>
      </c>
      <c r="Y1064" s="19">
        <v>1.1195598412010063E-2</v>
      </c>
      <c r="Z1064" s="19">
        <v>9.9653567251264431E-3</v>
      </c>
      <c r="AA1064" s="19">
        <v>8.8071516886237631E-3</v>
      </c>
      <c r="AB1064" s="19">
        <v>8.8350033178063309E-3</v>
      </c>
      <c r="AC1064" s="19">
        <v>8.500199425928532E-3</v>
      </c>
      <c r="AD1064" s="19">
        <v>7.2327923071461315E-3</v>
      </c>
      <c r="AE1064" s="39">
        <v>7.9060283906306691E-3</v>
      </c>
      <c r="AF1064">
        <f t="shared" ref="AF1064:AG1066" si="202">($AB1064*AF$1059+$AD1064)/(1+AF$1059)</f>
        <v>8.4344505651412806E-3</v>
      </c>
      <c r="AG1064">
        <f t="shared" si="202"/>
        <v>8.6061160305691588E-3</v>
      </c>
      <c r="AH1064" s="20">
        <f t="shared" ref="AH1064:BG1064" si="203">AG1064</f>
        <v>8.6061160305691588E-3</v>
      </c>
      <c r="AI1064">
        <f t="shared" si="203"/>
        <v>8.6061160305691588E-3</v>
      </c>
      <c r="AJ1064">
        <f t="shared" si="203"/>
        <v>8.6061160305691588E-3</v>
      </c>
      <c r="AK1064">
        <f t="shared" si="203"/>
        <v>8.6061160305691588E-3</v>
      </c>
      <c r="AL1064">
        <f t="shared" si="203"/>
        <v>8.6061160305691588E-3</v>
      </c>
      <c r="AM1064">
        <f t="shared" si="203"/>
        <v>8.6061160305691588E-3</v>
      </c>
      <c r="AN1064">
        <f t="shared" si="203"/>
        <v>8.6061160305691588E-3</v>
      </c>
      <c r="AO1064">
        <f t="shared" si="203"/>
        <v>8.6061160305691588E-3</v>
      </c>
      <c r="AP1064">
        <f t="shared" si="203"/>
        <v>8.6061160305691588E-3</v>
      </c>
      <c r="AQ1064">
        <f t="shared" si="203"/>
        <v>8.6061160305691588E-3</v>
      </c>
      <c r="AR1064">
        <f t="shared" si="203"/>
        <v>8.6061160305691588E-3</v>
      </c>
      <c r="AS1064">
        <f t="shared" si="203"/>
        <v>8.6061160305691588E-3</v>
      </c>
      <c r="AT1064">
        <f t="shared" si="203"/>
        <v>8.6061160305691588E-3</v>
      </c>
      <c r="AU1064">
        <f t="shared" si="203"/>
        <v>8.6061160305691588E-3</v>
      </c>
      <c r="AV1064">
        <f t="shared" si="203"/>
        <v>8.6061160305691588E-3</v>
      </c>
      <c r="AW1064">
        <f t="shared" si="203"/>
        <v>8.6061160305691588E-3</v>
      </c>
      <c r="AX1064">
        <f t="shared" si="203"/>
        <v>8.6061160305691588E-3</v>
      </c>
      <c r="AY1064">
        <f t="shared" si="203"/>
        <v>8.6061160305691588E-3</v>
      </c>
      <c r="AZ1064">
        <f t="shared" si="203"/>
        <v>8.6061160305691588E-3</v>
      </c>
      <c r="BA1064">
        <f t="shared" si="203"/>
        <v>8.6061160305691588E-3</v>
      </c>
      <c r="BB1064">
        <f t="shared" si="203"/>
        <v>8.6061160305691588E-3</v>
      </c>
      <c r="BC1064">
        <f t="shared" si="203"/>
        <v>8.6061160305691588E-3</v>
      </c>
      <c r="BD1064">
        <f t="shared" si="203"/>
        <v>8.6061160305691588E-3</v>
      </c>
      <c r="BE1064">
        <f t="shared" si="203"/>
        <v>8.6061160305691588E-3</v>
      </c>
      <c r="BF1064">
        <f t="shared" si="203"/>
        <v>8.6061160305691588E-3</v>
      </c>
      <c r="BG1064">
        <f t="shared" si="203"/>
        <v>8.6061160305691588E-3</v>
      </c>
    </row>
    <row r="1065" spans="1:59" ht="12" customHeight="1" x14ac:dyDescent="0.2">
      <c r="A1065" t="s">
        <v>212</v>
      </c>
      <c r="D1065" s="19">
        <v>7.1507445531385591E-2</v>
      </c>
      <c r="E1065" s="19">
        <v>6.4677329339106818E-2</v>
      </c>
      <c r="F1065" s="19">
        <v>5.8844196574560921E-2</v>
      </c>
      <c r="G1065" s="19">
        <v>5.3301409544724974E-2</v>
      </c>
      <c r="H1065" s="19">
        <v>5.3620500102750268E-2</v>
      </c>
      <c r="I1065" s="19">
        <v>5.3362134749423501E-2</v>
      </c>
      <c r="J1065" s="19">
        <v>4.6143834323968257E-2</v>
      </c>
      <c r="K1065" s="19">
        <v>4.4578485435962344E-2</v>
      </c>
      <c r="L1065" s="19">
        <v>3.6669759295903555E-2</v>
      </c>
      <c r="M1065" s="19">
        <v>3.4565090018934007E-2</v>
      </c>
      <c r="N1065" s="19">
        <v>2.9369821400306619E-2</v>
      </c>
      <c r="O1065" s="19">
        <v>2.4593506144355716E-2</v>
      </c>
      <c r="P1065" s="19">
        <v>2.383905529937512E-2</v>
      </c>
      <c r="Q1065" s="19">
        <v>2.096044604037137E-2</v>
      </c>
      <c r="R1065" s="19">
        <v>2.0850852687855876E-2</v>
      </c>
      <c r="S1065" s="19">
        <v>2.0901334693855043E-2</v>
      </c>
      <c r="T1065" s="19">
        <v>1.7796731231166891E-2</v>
      </c>
      <c r="U1065" s="19">
        <v>2.3270808192145481E-2</v>
      </c>
      <c r="V1065" s="19">
        <v>2.1509842550702263E-2</v>
      </c>
      <c r="W1065" s="19">
        <v>2.0509095696710888E-2</v>
      </c>
      <c r="X1065" s="19">
        <v>2.3907466691186114E-2</v>
      </c>
      <c r="Y1065" s="19">
        <v>3.1176529256578392E-2</v>
      </c>
      <c r="Z1065" s="19">
        <v>3.7015917340266068E-2</v>
      </c>
      <c r="AA1065" s="19">
        <v>4.7628819006978053E-2</v>
      </c>
      <c r="AB1065" s="19">
        <v>5.079013269114304E-2</v>
      </c>
      <c r="AC1065" s="19">
        <v>3.8693068251881527E-2</v>
      </c>
      <c r="AD1065" s="19">
        <v>3.7887129618374191E-2</v>
      </c>
      <c r="AE1065" s="39">
        <v>4.1549508775367554E-2</v>
      </c>
      <c r="AF1065">
        <f t="shared" si="202"/>
        <v>4.756438192295083E-2</v>
      </c>
      <c r="AG1065">
        <f t="shared" si="202"/>
        <v>4.8946846537890346E-2</v>
      </c>
      <c r="AH1065" s="20">
        <f t="shared" ref="AH1065:BG1065" si="204">AG1065</f>
        <v>4.8946846537890346E-2</v>
      </c>
      <c r="AI1065">
        <f t="shared" si="204"/>
        <v>4.8946846537890346E-2</v>
      </c>
      <c r="AJ1065">
        <f t="shared" si="204"/>
        <v>4.8946846537890346E-2</v>
      </c>
      <c r="AK1065">
        <f t="shared" si="204"/>
        <v>4.8946846537890346E-2</v>
      </c>
      <c r="AL1065">
        <f t="shared" si="204"/>
        <v>4.8946846537890346E-2</v>
      </c>
      <c r="AM1065">
        <f t="shared" si="204"/>
        <v>4.8946846537890346E-2</v>
      </c>
      <c r="AN1065">
        <f t="shared" si="204"/>
        <v>4.8946846537890346E-2</v>
      </c>
      <c r="AO1065">
        <f t="shared" si="204"/>
        <v>4.8946846537890346E-2</v>
      </c>
      <c r="AP1065">
        <f t="shared" si="204"/>
        <v>4.8946846537890346E-2</v>
      </c>
      <c r="AQ1065">
        <f t="shared" si="204"/>
        <v>4.8946846537890346E-2</v>
      </c>
      <c r="AR1065">
        <f t="shared" si="204"/>
        <v>4.8946846537890346E-2</v>
      </c>
      <c r="AS1065">
        <f t="shared" si="204"/>
        <v>4.8946846537890346E-2</v>
      </c>
      <c r="AT1065">
        <f t="shared" si="204"/>
        <v>4.8946846537890346E-2</v>
      </c>
      <c r="AU1065">
        <f t="shared" si="204"/>
        <v>4.8946846537890346E-2</v>
      </c>
      <c r="AV1065">
        <f t="shared" si="204"/>
        <v>4.8946846537890346E-2</v>
      </c>
      <c r="AW1065">
        <f t="shared" si="204"/>
        <v>4.8946846537890346E-2</v>
      </c>
      <c r="AX1065">
        <f t="shared" si="204"/>
        <v>4.8946846537890346E-2</v>
      </c>
      <c r="AY1065">
        <f t="shared" si="204"/>
        <v>4.8946846537890346E-2</v>
      </c>
      <c r="AZ1065">
        <f t="shared" si="204"/>
        <v>4.8946846537890346E-2</v>
      </c>
      <c r="BA1065">
        <f t="shared" si="204"/>
        <v>4.8946846537890346E-2</v>
      </c>
      <c r="BB1065">
        <f t="shared" si="204"/>
        <v>4.8946846537890346E-2</v>
      </c>
      <c r="BC1065">
        <f t="shared" si="204"/>
        <v>4.8946846537890346E-2</v>
      </c>
      <c r="BD1065">
        <f t="shared" si="204"/>
        <v>4.8946846537890346E-2</v>
      </c>
      <c r="BE1065">
        <f t="shared" si="204"/>
        <v>4.8946846537890346E-2</v>
      </c>
      <c r="BF1065">
        <f t="shared" si="204"/>
        <v>4.8946846537890346E-2</v>
      </c>
      <c r="BG1065">
        <f t="shared" si="204"/>
        <v>4.8946846537890346E-2</v>
      </c>
    </row>
    <row r="1066" spans="1:59" ht="12" customHeight="1" x14ac:dyDescent="0.2">
      <c r="A1066" t="s">
        <v>213</v>
      </c>
      <c r="D1066" s="19">
        <v>1.1225439917386469E-3</v>
      </c>
      <c r="E1066" s="19">
        <v>1.2225694824978801E-3</v>
      </c>
      <c r="F1066" s="19">
        <v>1.0410501133400701E-3</v>
      </c>
      <c r="G1066" s="19">
        <v>9.6582989754909502E-4</v>
      </c>
      <c r="H1066" s="19">
        <v>1.395592599556444E-3</v>
      </c>
      <c r="I1066" s="19">
        <v>1.5542071802463642E-3</v>
      </c>
      <c r="J1066" s="19">
        <v>1.2329978625837379E-3</v>
      </c>
      <c r="K1066" s="19">
        <v>1.2220542911425178E-3</v>
      </c>
      <c r="L1066" s="19">
        <v>1.9651101563734797E-3</v>
      </c>
      <c r="M1066" s="19">
        <v>2.223371457779226E-3</v>
      </c>
      <c r="N1066" s="19">
        <v>3.5179307750775096E-4</v>
      </c>
      <c r="O1066" s="19">
        <v>3.328489861382152E-4</v>
      </c>
      <c r="P1066" s="19">
        <v>2.2135141668243777E-4</v>
      </c>
      <c r="Q1066" s="19">
        <v>1.7103975373798259E-4</v>
      </c>
      <c r="R1066" s="19">
        <v>1.4994235147160461E-4</v>
      </c>
      <c r="S1066" s="19">
        <v>1.0764589238698845E-4</v>
      </c>
      <c r="T1066" s="19">
        <v>6.869693248020058E-5</v>
      </c>
      <c r="U1066" s="19">
        <v>8.0218793334802769E-5</v>
      </c>
      <c r="V1066" s="19">
        <v>1.4090967565121094E-4</v>
      </c>
      <c r="W1066" s="19">
        <v>1.6196909635619861E-4</v>
      </c>
      <c r="X1066" s="19">
        <v>1.2911667183596601E-4</v>
      </c>
      <c r="Y1066" s="19">
        <v>1.3054396808245117E-4</v>
      </c>
      <c r="Z1066" s="19">
        <v>1.3820936684439826E-4</v>
      </c>
      <c r="AA1066" s="19">
        <v>1.1783069721063206E-4</v>
      </c>
      <c r="AB1066" s="19">
        <v>1.1039276788124624E-4</v>
      </c>
      <c r="AC1066" s="19">
        <v>8.0386752895654525E-5</v>
      </c>
      <c r="AD1066" s="19">
        <v>7.2667466756605169E-5</v>
      </c>
      <c r="AE1066" s="39">
        <v>6.7767870500871558E-5</v>
      </c>
      <c r="AF1066">
        <f t="shared" si="202"/>
        <v>1.0096144260008597E-4</v>
      </c>
      <c r="AG1066">
        <f t="shared" si="202"/>
        <v>1.0500343914915466E-4</v>
      </c>
      <c r="AH1066" s="20">
        <f t="shared" ref="AH1066:BG1066" si="205">AG1066</f>
        <v>1.0500343914915466E-4</v>
      </c>
      <c r="AI1066">
        <f t="shared" si="205"/>
        <v>1.0500343914915466E-4</v>
      </c>
      <c r="AJ1066">
        <f t="shared" si="205"/>
        <v>1.0500343914915466E-4</v>
      </c>
      <c r="AK1066">
        <f t="shared" si="205"/>
        <v>1.0500343914915466E-4</v>
      </c>
      <c r="AL1066">
        <f t="shared" si="205"/>
        <v>1.0500343914915466E-4</v>
      </c>
      <c r="AM1066">
        <f t="shared" si="205"/>
        <v>1.0500343914915466E-4</v>
      </c>
      <c r="AN1066">
        <f t="shared" si="205"/>
        <v>1.0500343914915466E-4</v>
      </c>
      <c r="AO1066">
        <f t="shared" si="205"/>
        <v>1.0500343914915466E-4</v>
      </c>
      <c r="AP1066">
        <f t="shared" si="205"/>
        <v>1.0500343914915466E-4</v>
      </c>
      <c r="AQ1066">
        <f t="shared" si="205"/>
        <v>1.0500343914915466E-4</v>
      </c>
      <c r="AR1066">
        <f t="shared" si="205"/>
        <v>1.0500343914915466E-4</v>
      </c>
      <c r="AS1066">
        <f t="shared" si="205"/>
        <v>1.0500343914915466E-4</v>
      </c>
      <c r="AT1066">
        <f t="shared" si="205"/>
        <v>1.0500343914915466E-4</v>
      </c>
      <c r="AU1066">
        <f t="shared" si="205"/>
        <v>1.0500343914915466E-4</v>
      </c>
      <c r="AV1066">
        <f t="shared" si="205"/>
        <v>1.0500343914915466E-4</v>
      </c>
      <c r="AW1066">
        <f t="shared" si="205"/>
        <v>1.0500343914915466E-4</v>
      </c>
      <c r="AX1066">
        <f t="shared" si="205"/>
        <v>1.0500343914915466E-4</v>
      </c>
      <c r="AY1066">
        <f t="shared" si="205"/>
        <v>1.0500343914915466E-4</v>
      </c>
      <c r="AZ1066">
        <f t="shared" si="205"/>
        <v>1.0500343914915466E-4</v>
      </c>
      <c r="BA1066">
        <f t="shared" si="205"/>
        <v>1.0500343914915466E-4</v>
      </c>
      <c r="BB1066">
        <f t="shared" si="205"/>
        <v>1.0500343914915466E-4</v>
      </c>
      <c r="BC1066">
        <f t="shared" si="205"/>
        <v>1.0500343914915466E-4</v>
      </c>
      <c r="BD1066">
        <f t="shared" si="205"/>
        <v>1.0500343914915466E-4</v>
      </c>
      <c r="BE1066">
        <f t="shared" si="205"/>
        <v>1.0500343914915466E-4</v>
      </c>
      <c r="BF1066">
        <f t="shared" si="205"/>
        <v>1.0500343914915466E-4</v>
      </c>
      <c r="BG1066">
        <f t="shared" si="205"/>
        <v>1.0500343914915466E-4</v>
      </c>
    </row>
    <row r="1067" spans="1:59" ht="12" customHeight="1" x14ac:dyDescent="0.2">
      <c r="A1067" t="s">
        <v>214</v>
      </c>
      <c r="D1067" s="19">
        <v>6.1663442511537235E-3</v>
      </c>
      <c r="E1067" s="19">
        <v>6.2796285542688398E-3</v>
      </c>
      <c r="F1067" s="19">
        <v>5.0787040685858435E-3</v>
      </c>
      <c r="G1067" s="19">
        <v>5.8145332462577531E-3</v>
      </c>
      <c r="H1067" s="19">
        <v>5.9485807513197844E-3</v>
      </c>
      <c r="I1067" s="19">
        <v>4.366836843588873E-3</v>
      </c>
      <c r="J1067" s="19">
        <v>7.1016593657874548E-3</v>
      </c>
      <c r="K1067" s="19">
        <v>4.136677249207737E-3</v>
      </c>
      <c r="L1067" s="19">
        <v>4.0012694232197674E-3</v>
      </c>
      <c r="M1067" s="19">
        <v>3.8480418361555723E-3</v>
      </c>
      <c r="N1067" s="19">
        <v>3.4690576427469249E-3</v>
      </c>
      <c r="O1067" s="19">
        <v>3.6350740066503455E-3</v>
      </c>
      <c r="P1067" s="19">
        <v>3.1088353403699422E-3</v>
      </c>
      <c r="Q1067" s="19">
        <v>3.0047452714681883E-3</v>
      </c>
      <c r="R1067" s="19">
        <v>3.6063697391224788E-3</v>
      </c>
      <c r="S1067" s="19">
        <v>4.3493903348763834E-3</v>
      </c>
      <c r="T1067" s="19">
        <v>3.8420718133300477E-3</v>
      </c>
      <c r="U1067" s="19">
        <v>3.3437461406192813E-3</v>
      </c>
      <c r="V1067" s="19">
        <v>3.4726734979270597E-3</v>
      </c>
      <c r="W1067" s="19">
        <v>3.5052210776166828E-3</v>
      </c>
      <c r="X1067" s="19">
        <v>3.3483790219433025E-3</v>
      </c>
      <c r="Y1067" s="19">
        <v>2.9540499072367248E-3</v>
      </c>
      <c r="Z1067" s="19">
        <v>2.9590328618438479E-3</v>
      </c>
      <c r="AA1067" s="19">
        <v>6.657865652822878E-3</v>
      </c>
      <c r="AB1067" s="19">
        <v>1.0811388198540771E-2</v>
      </c>
      <c r="AC1067" s="19">
        <v>1.3027086220415141E-2</v>
      </c>
      <c r="AD1067" s="19">
        <v>2.1029948714164137E-2</v>
      </c>
      <c r="AE1067" s="39">
        <v>1.7588192939574764E-2</v>
      </c>
      <c r="AF1067">
        <f t="shared" ref="AF1067:AG1069" si="206">($AB1067*AF$1061+$AD1067)/(1+AF$1061)</f>
        <v>1.5920668456352455E-2</v>
      </c>
      <c r="AG1067">
        <f t="shared" si="206"/>
        <v>1.3366028327446612E-2</v>
      </c>
      <c r="AH1067" s="20">
        <f t="shared" ref="AH1067:BG1067" si="207">AG1067</f>
        <v>1.3366028327446612E-2</v>
      </c>
      <c r="AI1067">
        <f t="shared" si="207"/>
        <v>1.3366028327446612E-2</v>
      </c>
      <c r="AJ1067">
        <f t="shared" si="207"/>
        <v>1.3366028327446612E-2</v>
      </c>
      <c r="AK1067">
        <f t="shared" si="207"/>
        <v>1.3366028327446612E-2</v>
      </c>
      <c r="AL1067">
        <f t="shared" si="207"/>
        <v>1.3366028327446612E-2</v>
      </c>
      <c r="AM1067">
        <f t="shared" si="207"/>
        <v>1.3366028327446612E-2</v>
      </c>
      <c r="AN1067">
        <f t="shared" si="207"/>
        <v>1.3366028327446612E-2</v>
      </c>
      <c r="AO1067">
        <f t="shared" si="207"/>
        <v>1.3366028327446612E-2</v>
      </c>
      <c r="AP1067">
        <f t="shared" si="207"/>
        <v>1.3366028327446612E-2</v>
      </c>
      <c r="AQ1067">
        <f t="shared" si="207"/>
        <v>1.3366028327446612E-2</v>
      </c>
      <c r="AR1067">
        <f t="shared" si="207"/>
        <v>1.3366028327446612E-2</v>
      </c>
      <c r="AS1067">
        <f t="shared" si="207"/>
        <v>1.3366028327446612E-2</v>
      </c>
      <c r="AT1067">
        <f t="shared" si="207"/>
        <v>1.3366028327446612E-2</v>
      </c>
      <c r="AU1067">
        <f t="shared" si="207"/>
        <v>1.3366028327446612E-2</v>
      </c>
      <c r="AV1067">
        <f t="shared" si="207"/>
        <v>1.3366028327446612E-2</v>
      </c>
      <c r="AW1067">
        <f t="shared" si="207"/>
        <v>1.3366028327446612E-2</v>
      </c>
      <c r="AX1067">
        <f t="shared" si="207"/>
        <v>1.3366028327446612E-2</v>
      </c>
      <c r="AY1067">
        <f t="shared" si="207"/>
        <v>1.3366028327446612E-2</v>
      </c>
      <c r="AZ1067">
        <f t="shared" si="207"/>
        <v>1.3366028327446612E-2</v>
      </c>
      <c r="BA1067">
        <f t="shared" si="207"/>
        <v>1.3366028327446612E-2</v>
      </c>
      <c r="BB1067">
        <f t="shared" si="207"/>
        <v>1.3366028327446612E-2</v>
      </c>
      <c r="BC1067">
        <f t="shared" si="207"/>
        <v>1.3366028327446612E-2</v>
      </c>
      <c r="BD1067">
        <f t="shared" si="207"/>
        <v>1.3366028327446612E-2</v>
      </c>
      <c r="BE1067">
        <f t="shared" si="207"/>
        <v>1.3366028327446612E-2</v>
      </c>
      <c r="BF1067">
        <f t="shared" si="207"/>
        <v>1.3366028327446612E-2</v>
      </c>
      <c r="BG1067">
        <f t="shared" si="207"/>
        <v>1.3366028327446612E-2</v>
      </c>
    </row>
    <row r="1068" spans="1:59" ht="12" customHeight="1" x14ac:dyDescent="0.2">
      <c r="A1068" t="s">
        <v>215</v>
      </c>
      <c r="D1068" s="19">
        <v>0.1891358019544965</v>
      </c>
      <c r="E1068" s="19">
        <v>0.18342507367913907</v>
      </c>
      <c r="F1068" s="19">
        <v>0.19288375284815856</v>
      </c>
      <c r="G1068" s="19">
        <v>0.19388005113042975</v>
      </c>
      <c r="H1068" s="19">
        <v>0.21009150841517496</v>
      </c>
      <c r="I1068" s="19">
        <v>0.22335624795349371</v>
      </c>
      <c r="J1068" s="19">
        <v>0.19872310911726693</v>
      </c>
      <c r="K1068" s="19">
        <v>0.19114871402956513</v>
      </c>
      <c r="L1068" s="19">
        <v>0.14714013067334575</v>
      </c>
      <c r="M1068" s="19">
        <v>0.14889600599303859</v>
      </c>
      <c r="N1068" s="19">
        <v>0.14777863179982942</v>
      </c>
      <c r="O1068" s="19">
        <v>0.14811776066373047</v>
      </c>
      <c r="P1068" s="19">
        <v>0.13926254687165146</v>
      </c>
      <c r="Q1068" s="19">
        <v>0.14938599263654259</v>
      </c>
      <c r="R1068" s="19">
        <v>0.15274742148458512</v>
      </c>
      <c r="S1068" s="19">
        <v>0.1838172633354884</v>
      </c>
      <c r="T1068" s="19">
        <v>0.16121715383016147</v>
      </c>
      <c r="U1068" s="19">
        <v>0.17913083874965793</v>
      </c>
      <c r="V1068" s="19">
        <v>0.17691939070668872</v>
      </c>
      <c r="W1068" s="19">
        <v>0.18392934250594711</v>
      </c>
      <c r="X1068" s="19">
        <v>0.19623347170030728</v>
      </c>
      <c r="Y1068" s="19">
        <v>0.21381002185711701</v>
      </c>
      <c r="Z1068" s="19">
        <v>0.21796196120907144</v>
      </c>
      <c r="AA1068" s="19">
        <v>0.22689957058639007</v>
      </c>
      <c r="AB1068" s="19">
        <v>0.21172277600097547</v>
      </c>
      <c r="AC1068" s="19">
        <v>0.14791339784043242</v>
      </c>
      <c r="AD1068" s="19">
        <v>0.16877383487137651</v>
      </c>
      <c r="AE1068" s="39">
        <v>0.17941164669576218</v>
      </c>
      <c r="AF1068">
        <f t="shared" si="206"/>
        <v>0.19024830543617599</v>
      </c>
      <c r="AG1068">
        <f t="shared" si="206"/>
        <v>0.20098554071857574</v>
      </c>
      <c r="AH1068" s="20">
        <f t="shared" ref="AH1068:BG1068" si="208">AG1068</f>
        <v>0.20098554071857574</v>
      </c>
      <c r="AI1068">
        <f t="shared" si="208"/>
        <v>0.20098554071857574</v>
      </c>
      <c r="AJ1068">
        <f t="shared" si="208"/>
        <v>0.20098554071857574</v>
      </c>
      <c r="AK1068">
        <f t="shared" si="208"/>
        <v>0.20098554071857574</v>
      </c>
      <c r="AL1068">
        <f t="shared" si="208"/>
        <v>0.20098554071857574</v>
      </c>
      <c r="AM1068">
        <f t="shared" si="208"/>
        <v>0.20098554071857574</v>
      </c>
      <c r="AN1068">
        <f t="shared" si="208"/>
        <v>0.20098554071857574</v>
      </c>
      <c r="AO1068">
        <f t="shared" si="208"/>
        <v>0.20098554071857574</v>
      </c>
      <c r="AP1068">
        <f t="shared" si="208"/>
        <v>0.20098554071857574</v>
      </c>
      <c r="AQ1068">
        <f t="shared" si="208"/>
        <v>0.20098554071857574</v>
      </c>
      <c r="AR1068">
        <f t="shared" si="208"/>
        <v>0.20098554071857574</v>
      </c>
      <c r="AS1068">
        <f t="shared" si="208"/>
        <v>0.20098554071857574</v>
      </c>
      <c r="AT1068">
        <f t="shared" si="208"/>
        <v>0.20098554071857574</v>
      </c>
      <c r="AU1068">
        <f t="shared" si="208"/>
        <v>0.20098554071857574</v>
      </c>
      <c r="AV1068">
        <f t="shared" si="208"/>
        <v>0.20098554071857574</v>
      </c>
      <c r="AW1068">
        <f t="shared" si="208"/>
        <v>0.20098554071857574</v>
      </c>
      <c r="AX1068">
        <f t="shared" si="208"/>
        <v>0.20098554071857574</v>
      </c>
      <c r="AY1068">
        <f t="shared" si="208"/>
        <v>0.20098554071857574</v>
      </c>
      <c r="AZ1068">
        <f t="shared" si="208"/>
        <v>0.20098554071857574</v>
      </c>
      <c r="BA1068">
        <f t="shared" si="208"/>
        <v>0.20098554071857574</v>
      </c>
      <c r="BB1068">
        <f t="shared" si="208"/>
        <v>0.20098554071857574</v>
      </c>
      <c r="BC1068">
        <f t="shared" si="208"/>
        <v>0.20098554071857574</v>
      </c>
      <c r="BD1068">
        <f t="shared" si="208"/>
        <v>0.20098554071857574</v>
      </c>
      <c r="BE1068">
        <f t="shared" si="208"/>
        <v>0.20098554071857574</v>
      </c>
      <c r="BF1068">
        <f t="shared" si="208"/>
        <v>0.20098554071857574</v>
      </c>
      <c r="BG1068">
        <f t="shared" si="208"/>
        <v>0.20098554071857574</v>
      </c>
    </row>
    <row r="1069" spans="1:59" ht="12" customHeight="1" x14ac:dyDescent="0.2">
      <c r="A1069" t="s">
        <v>216</v>
      </c>
      <c r="D1069" s="19">
        <v>8.087066862769008E-6</v>
      </c>
      <c r="E1069" s="19">
        <v>2.2269043827538715E-5</v>
      </c>
      <c r="F1069" s="19">
        <v>1.390592060404264E-5</v>
      </c>
      <c r="G1069" s="19">
        <v>2.1210562812489205E-5</v>
      </c>
      <c r="H1069" s="19">
        <v>1.2068750175765424E-5</v>
      </c>
      <c r="I1069" s="19">
        <v>3.3010968784244871E-6</v>
      </c>
      <c r="J1069" s="19">
        <v>1.8100419787891692E-6</v>
      </c>
      <c r="K1069" s="19">
        <v>1.4458252907837125E-7</v>
      </c>
      <c r="L1069" s="19">
        <v>7.4842156507904828E-7</v>
      </c>
      <c r="M1069" s="19">
        <v>1.2990304111550408E-6</v>
      </c>
      <c r="N1069" s="19">
        <v>1.5815459307745095E-6</v>
      </c>
      <c r="O1069" s="19">
        <v>9.6598456533046775E-7</v>
      </c>
      <c r="P1069" s="19">
        <v>7.1014045319268166E-7</v>
      </c>
      <c r="Q1069" s="19">
        <v>7.8914321126563167E-6</v>
      </c>
      <c r="R1069" s="19">
        <v>1.0512742427878E-5</v>
      </c>
      <c r="S1069" s="19">
        <v>3.2142449485728578E-6</v>
      </c>
      <c r="T1069" s="19">
        <v>2.8799054956152716E-7</v>
      </c>
      <c r="U1069" s="19">
        <v>3.0523491783088197E-7</v>
      </c>
      <c r="V1069" s="19">
        <v>1.0712574886650587E-6</v>
      </c>
      <c r="W1069" s="19">
        <v>1.3312303542394614E-6</v>
      </c>
      <c r="X1069" s="19">
        <v>2.2354009780927312E-5</v>
      </c>
      <c r="Y1069" s="19">
        <v>5.6788002934936818E-5</v>
      </c>
      <c r="Z1069" s="19">
        <v>5.4696602483476628E-5</v>
      </c>
      <c r="AA1069" s="19">
        <v>4.9502170319704922E-5</v>
      </c>
      <c r="AB1069" s="19">
        <v>4.7248899044064007E-5</v>
      </c>
      <c r="AC1069" s="19">
        <v>4.1081220341882674E-8</v>
      </c>
      <c r="AD1069" s="19">
        <v>1.2484919494692193E-7</v>
      </c>
      <c r="AE1069" s="39">
        <v>1.0505893681851587E-7</v>
      </c>
      <c r="AF1069">
        <f t="shared" si="206"/>
        <v>2.3686874119505464E-5</v>
      </c>
      <c r="AG1069">
        <f t="shared" si="206"/>
        <v>3.5467886581784737E-5</v>
      </c>
      <c r="AH1069" s="20">
        <f t="shared" ref="AH1069:BG1069" si="209">AG1069</f>
        <v>3.5467886581784737E-5</v>
      </c>
      <c r="AI1069">
        <f t="shared" si="209"/>
        <v>3.5467886581784737E-5</v>
      </c>
      <c r="AJ1069">
        <f t="shared" si="209"/>
        <v>3.5467886581784737E-5</v>
      </c>
      <c r="AK1069">
        <f t="shared" si="209"/>
        <v>3.5467886581784737E-5</v>
      </c>
      <c r="AL1069">
        <f t="shared" si="209"/>
        <v>3.5467886581784737E-5</v>
      </c>
      <c r="AM1069">
        <f t="shared" si="209"/>
        <v>3.5467886581784737E-5</v>
      </c>
      <c r="AN1069">
        <f t="shared" si="209"/>
        <v>3.5467886581784737E-5</v>
      </c>
      <c r="AO1069">
        <f t="shared" si="209"/>
        <v>3.5467886581784737E-5</v>
      </c>
      <c r="AP1069">
        <f t="shared" si="209"/>
        <v>3.5467886581784737E-5</v>
      </c>
      <c r="AQ1069">
        <f t="shared" si="209"/>
        <v>3.5467886581784737E-5</v>
      </c>
      <c r="AR1069">
        <f t="shared" si="209"/>
        <v>3.5467886581784737E-5</v>
      </c>
      <c r="AS1069">
        <f t="shared" si="209"/>
        <v>3.5467886581784737E-5</v>
      </c>
      <c r="AT1069">
        <f t="shared" si="209"/>
        <v>3.5467886581784737E-5</v>
      </c>
      <c r="AU1069">
        <f t="shared" si="209"/>
        <v>3.5467886581784737E-5</v>
      </c>
      <c r="AV1069">
        <f t="shared" si="209"/>
        <v>3.5467886581784737E-5</v>
      </c>
      <c r="AW1069">
        <f t="shared" si="209"/>
        <v>3.5467886581784737E-5</v>
      </c>
      <c r="AX1069">
        <f t="shared" si="209"/>
        <v>3.5467886581784737E-5</v>
      </c>
      <c r="AY1069">
        <f t="shared" si="209"/>
        <v>3.5467886581784737E-5</v>
      </c>
      <c r="AZ1069">
        <f t="shared" si="209"/>
        <v>3.5467886581784737E-5</v>
      </c>
      <c r="BA1069">
        <f t="shared" si="209"/>
        <v>3.5467886581784737E-5</v>
      </c>
      <c r="BB1069">
        <f t="shared" si="209"/>
        <v>3.5467886581784737E-5</v>
      </c>
      <c r="BC1069">
        <f t="shared" si="209"/>
        <v>3.5467886581784737E-5</v>
      </c>
      <c r="BD1069">
        <f t="shared" si="209"/>
        <v>3.5467886581784737E-5</v>
      </c>
      <c r="BE1069">
        <f t="shared" si="209"/>
        <v>3.5467886581784737E-5</v>
      </c>
      <c r="BF1069">
        <f t="shared" si="209"/>
        <v>3.5467886581784737E-5</v>
      </c>
      <c r="BG1069">
        <f t="shared" si="209"/>
        <v>3.5467886581784737E-5</v>
      </c>
    </row>
    <row r="1070" spans="1:59" ht="12" customHeight="1" x14ac:dyDescent="0.2">
      <c r="A1070" t="s">
        <v>208</v>
      </c>
      <c r="AE1070" s="28"/>
      <c r="AH1070" s="20"/>
    </row>
    <row r="1071" spans="1:59" ht="12" customHeight="1" x14ac:dyDescent="0.2">
      <c r="AC1071" s="16"/>
      <c r="AD1071" s="16"/>
      <c r="AE1071" s="16"/>
      <c r="AF1071" s="16"/>
      <c r="AG1071" s="16"/>
    </row>
    <row r="1072" spans="1:59" ht="12" customHeight="1" x14ac:dyDescent="0.2">
      <c r="A1072" t="s">
        <v>220</v>
      </c>
      <c r="B1072" t="s">
        <v>221</v>
      </c>
      <c r="D1072">
        <v>1</v>
      </c>
    </row>
    <row r="1073" spans="1:59" ht="12" customHeight="1" x14ac:dyDescent="0.2">
      <c r="A1073" s="19" t="s">
        <v>222</v>
      </c>
      <c r="D1073">
        <v>1995</v>
      </c>
      <c r="E1073">
        <v>1996</v>
      </c>
      <c r="F1073">
        <v>1997</v>
      </c>
      <c r="G1073">
        <v>1998</v>
      </c>
      <c r="H1073">
        <v>1999</v>
      </c>
      <c r="I1073">
        <v>2000</v>
      </c>
      <c r="J1073">
        <v>2001</v>
      </c>
      <c r="K1073">
        <v>2002</v>
      </c>
      <c r="L1073">
        <v>2003</v>
      </c>
      <c r="M1073">
        <v>2004</v>
      </c>
      <c r="N1073">
        <v>2005</v>
      </c>
      <c r="O1073">
        <v>2006</v>
      </c>
      <c r="P1073">
        <v>2007</v>
      </c>
      <c r="Q1073">
        <v>2008</v>
      </c>
      <c r="R1073">
        <v>2009</v>
      </c>
      <c r="S1073">
        <v>2010</v>
      </c>
      <c r="T1073">
        <v>2011</v>
      </c>
      <c r="U1073">
        <v>2012</v>
      </c>
      <c r="V1073">
        <v>2013</v>
      </c>
      <c r="W1073">
        <v>2014</v>
      </c>
      <c r="X1073">
        <v>2015</v>
      </c>
      <c r="Y1073">
        <v>2016</v>
      </c>
      <c r="Z1073">
        <v>2017</v>
      </c>
      <c r="AA1073">
        <v>2018</v>
      </c>
      <c r="AB1073">
        <v>2019</v>
      </c>
      <c r="AC1073">
        <v>2020</v>
      </c>
      <c r="AD1073">
        <v>2021</v>
      </c>
      <c r="AE1073">
        <v>2022</v>
      </c>
      <c r="AF1073">
        <v>2023</v>
      </c>
      <c r="AG1073">
        <v>2024</v>
      </c>
      <c r="AH1073">
        <v>2025</v>
      </c>
      <c r="AI1073">
        <v>2026</v>
      </c>
      <c r="AJ1073">
        <v>2027</v>
      </c>
      <c r="AK1073">
        <v>2028</v>
      </c>
      <c r="AL1073">
        <v>2029</v>
      </c>
      <c r="AM1073">
        <v>2030</v>
      </c>
      <c r="AN1073">
        <v>2031</v>
      </c>
      <c r="AO1073">
        <v>2032</v>
      </c>
      <c r="AP1073">
        <v>2033</v>
      </c>
      <c r="AQ1073">
        <v>2034</v>
      </c>
      <c r="AR1073">
        <v>2035</v>
      </c>
      <c r="AS1073">
        <v>2036</v>
      </c>
      <c r="AT1073">
        <v>2037</v>
      </c>
      <c r="AU1073">
        <v>2038</v>
      </c>
      <c r="AV1073">
        <v>2039</v>
      </c>
      <c r="AW1073">
        <v>2040</v>
      </c>
      <c r="AX1073">
        <v>2041</v>
      </c>
      <c r="AY1073">
        <v>2042</v>
      </c>
      <c r="AZ1073">
        <v>2043</v>
      </c>
      <c r="BA1073">
        <v>2044</v>
      </c>
      <c r="BB1073">
        <v>2045</v>
      </c>
      <c r="BC1073">
        <v>2046</v>
      </c>
      <c r="BD1073">
        <v>2047</v>
      </c>
      <c r="BE1073">
        <v>2048</v>
      </c>
      <c r="BF1073">
        <v>2049</v>
      </c>
      <c r="BG1073">
        <v>2050</v>
      </c>
    </row>
    <row r="1074" spans="1:59" ht="12" customHeight="1" x14ac:dyDescent="0.2">
      <c r="A1074" t="s">
        <v>101</v>
      </c>
      <c r="B1074" t="str">
        <f t="shared" ref="B1074:B1121" si="210">LEFT(A1074,3)</f>
        <v>USA</v>
      </c>
      <c r="C1074" t="str">
        <f t="shared" ref="C1074:C1121" si="211">RIGHT(A1074,2)</f>
        <v>NB</v>
      </c>
      <c r="D1074" s="40">
        <v>0.18013764481680705</v>
      </c>
      <c r="E1074" s="40">
        <v>0.17346308453914197</v>
      </c>
      <c r="F1074" s="40">
        <v>0.17990812054623159</v>
      </c>
      <c r="G1074" s="40">
        <v>0.17754496688179178</v>
      </c>
      <c r="H1074" s="40">
        <v>0.17878360768709134</v>
      </c>
      <c r="I1074" s="40">
        <v>0.17935325035475869</v>
      </c>
      <c r="J1074" s="40">
        <v>0.14314548209336231</v>
      </c>
      <c r="K1074" s="40">
        <v>0.1515767308369835</v>
      </c>
      <c r="L1074" s="40">
        <v>0.14855901844984132</v>
      </c>
      <c r="M1074" s="40">
        <v>0.14825671413868738</v>
      </c>
      <c r="N1074" s="40">
        <v>0.14761977949237565</v>
      </c>
      <c r="O1074" s="40">
        <v>0.14568800286443753</v>
      </c>
      <c r="P1074" s="40">
        <v>0.14722257906358457</v>
      </c>
      <c r="Q1074" s="40">
        <v>0.1426176582812296</v>
      </c>
      <c r="R1074" s="40">
        <v>0.14361554927118969</v>
      </c>
      <c r="S1074" s="40">
        <v>0.14123470045781628</v>
      </c>
      <c r="T1074" s="40">
        <v>0.13772030490027809</v>
      </c>
      <c r="U1074" s="40">
        <v>0.13691503029076788</v>
      </c>
      <c r="V1074" s="40">
        <v>0.13694259461173452</v>
      </c>
      <c r="W1074" s="40">
        <v>0.13466857297265794</v>
      </c>
      <c r="X1074" s="40">
        <v>0.13384000384002787</v>
      </c>
      <c r="Y1074" s="40">
        <v>0.13092302837425396</v>
      </c>
      <c r="Z1074" s="40">
        <v>0.13022780975574852</v>
      </c>
      <c r="AA1074" s="40">
        <v>0.12975116752491297</v>
      </c>
      <c r="AB1074" s="40">
        <v>0.12759823144744337</v>
      </c>
      <c r="AC1074" s="40">
        <v>0.11511546052506356</v>
      </c>
      <c r="AD1074" s="40">
        <v>0.11324223539625594</v>
      </c>
      <c r="AE1074" s="40">
        <v>0.11706129756326121</v>
      </c>
      <c r="AF1074" s="16">
        <v>0</v>
      </c>
      <c r="AG1074" s="16">
        <v>0</v>
      </c>
      <c r="AH1074" s="16">
        <v>0</v>
      </c>
      <c r="AI1074" s="16">
        <v>0</v>
      </c>
      <c r="AJ1074" s="16">
        <v>0</v>
      </c>
      <c r="AK1074" s="16">
        <v>0</v>
      </c>
      <c r="AL1074" s="16">
        <v>0</v>
      </c>
      <c r="AM1074" s="16">
        <v>0</v>
      </c>
      <c r="AN1074" s="16">
        <v>0</v>
      </c>
      <c r="AO1074" s="16">
        <v>0</v>
      </c>
      <c r="AP1074" s="16">
        <v>0</v>
      </c>
      <c r="AQ1074" s="16">
        <v>0</v>
      </c>
      <c r="AR1074" s="16">
        <v>0</v>
      </c>
      <c r="AS1074" s="16">
        <v>0</v>
      </c>
      <c r="AT1074" s="16">
        <v>0</v>
      </c>
      <c r="AU1074" s="16">
        <v>0</v>
      </c>
      <c r="AV1074" s="16">
        <v>0</v>
      </c>
      <c r="AW1074" s="16">
        <v>0</v>
      </c>
      <c r="AX1074" s="16">
        <v>0</v>
      </c>
      <c r="AY1074" s="16">
        <v>0</v>
      </c>
      <c r="AZ1074" s="16">
        <v>0</v>
      </c>
      <c r="BA1074" s="16">
        <v>0</v>
      </c>
      <c r="BB1074" s="16">
        <v>0</v>
      </c>
      <c r="BC1074" s="16">
        <v>0</v>
      </c>
      <c r="BD1074" s="16">
        <v>0</v>
      </c>
      <c r="BE1074" s="16">
        <v>0</v>
      </c>
      <c r="BF1074" s="16">
        <v>0</v>
      </c>
      <c r="BG1074" s="16">
        <v>0</v>
      </c>
    </row>
    <row r="1075" spans="1:59" ht="12" customHeight="1" x14ac:dyDescent="0.2">
      <c r="A1075" t="s">
        <v>102</v>
      </c>
      <c r="B1075" t="str">
        <f t="shared" si="210"/>
        <v>CAN</v>
      </c>
      <c r="C1075" t="str">
        <f t="shared" si="211"/>
        <v>NB</v>
      </c>
      <c r="D1075" s="16">
        <f t="shared" ref="D1075:AD1075" si="212">D$1074/D$1125*D1126</f>
        <v>0.19252560448463041</v>
      </c>
      <c r="E1075" s="16">
        <f t="shared" si="212"/>
        <v>0.18539203863040049</v>
      </c>
      <c r="F1075" s="16">
        <f t="shared" si="212"/>
        <v>0.19228029596524029</v>
      </c>
      <c r="G1075" s="16">
        <f t="shared" si="212"/>
        <v>0.18975462961604925</v>
      </c>
      <c r="H1075" s="16">
        <f t="shared" si="212"/>
        <v>0.19107845101952178</v>
      </c>
      <c r="I1075" s="16">
        <f t="shared" si="212"/>
        <v>0.19168726767771901</v>
      </c>
      <c r="J1075" s="16">
        <f t="shared" si="212"/>
        <v>0.15298951253245824</v>
      </c>
      <c r="K1075" s="16">
        <f t="shared" si="212"/>
        <v>0.16200057328312317</v>
      </c>
      <c r="L1075" s="16">
        <f t="shared" si="212"/>
        <v>0.15877533459364132</v>
      </c>
      <c r="M1075" s="16">
        <f t="shared" si="212"/>
        <v>0.15845224099317592</v>
      </c>
      <c r="N1075" s="16">
        <f t="shared" si="212"/>
        <v>0.15777150472662221</v>
      </c>
      <c r="O1075" s="16">
        <f t="shared" si="212"/>
        <v>0.15570688095849594</v>
      </c>
      <c r="P1075" s="16">
        <f t="shared" si="212"/>
        <v>0.15734698905843791</v>
      </c>
      <c r="Q1075" s="16">
        <f t="shared" si="212"/>
        <v>0.15242539058784429</v>
      </c>
      <c r="R1075" s="16">
        <f t="shared" si="212"/>
        <v>0.15349190595306519</v>
      </c>
      <c r="S1075" s="16">
        <f t="shared" si="212"/>
        <v>0.1509473275699772</v>
      </c>
      <c r="T1075" s="16">
        <f t="shared" si="212"/>
        <v>0.13337829111371166</v>
      </c>
      <c r="U1075" s="16">
        <f t="shared" si="212"/>
        <v>0.15353577525850168</v>
      </c>
      <c r="V1075" s="16">
        <f t="shared" si="212"/>
        <v>0.15767144915838444</v>
      </c>
      <c r="W1075" s="16">
        <f t="shared" si="212"/>
        <v>0.14011814164770603</v>
      </c>
      <c r="X1075" s="16">
        <f t="shared" si="212"/>
        <v>0.13544516814782923</v>
      </c>
      <c r="Y1075" s="16">
        <f t="shared" si="212"/>
        <v>0.13857635100406093</v>
      </c>
      <c r="Z1075" s="16">
        <f t="shared" si="212"/>
        <v>0.13127175837309021</v>
      </c>
      <c r="AA1075" s="16">
        <f t="shared" si="212"/>
        <v>0.13604796495284782</v>
      </c>
      <c r="AB1075" s="16">
        <f t="shared" si="212"/>
        <v>0.13952141661024198</v>
      </c>
      <c r="AC1075" s="16">
        <f t="shared" si="212"/>
        <v>0.12615297905724832</v>
      </c>
      <c r="AD1075" s="16">
        <f t="shared" si="212"/>
        <v>0.12035376041331532</v>
      </c>
      <c r="AE1075" s="65">
        <f t="shared" ref="AE1075" si="213">AE$1074/AE$1125*AE1126</f>
        <v>0.1244126567380209</v>
      </c>
      <c r="AF1075" s="16">
        <v>0</v>
      </c>
      <c r="AG1075" s="16">
        <v>0</v>
      </c>
      <c r="AH1075" s="16">
        <v>0</v>
      </c>
      <c r="AI1075" s="16">
        <v>0</v>
      </c>
      <c r="AJ1075" s="16">
        <v>0</v>
      </c>
      <c r="AK1075" s="16">
        <v>0</v>
      </c>
      <c r="AL1075" s="16">
        <v>0</v>
      </c>
      <c r="AM1075" s="16">
        <v>0</v>
      </c>
      <c r="AN1075" s="16">
        <v>0</v>
      </c>
      <c r="AO1075" s="16">
        <v>0</v>
      </c>
      <c r="AP1075" s="16">
        <v>0</v>
      </c>
      <c r="AQ1075" s="16">
        <v>0</v>
      </c>
      <c r="AR1075" s="16">
        <v>0</v>
      </c>
      <c r="AS1075" s="16">
        <v>0</v>
      </c>
      <c r="AT1075" s="16">
        <v>0</v>
      </c>
      <c r="AU1075" s="16">
        <v>0</v>
      </c>
      <c r="AV1075" s="16">
        <v>0</v>
      </c>
      <c r="AW1075" s="16">
        <v>0</v>
      </c>
      <c r="AX1075" s="16">
        <v>0</v>
      </c>
      <c r="AY1075" s="16">
        <v>0</v>
      </c>
      <c r="AZ1075" s="16">
        <v>0</v>
      </c>
      <c r="BA1075" s="16">
        <v>0</v>
      </c>
      <c r="BB1075" s="16">
        <v>0</v>
      </c>
      <c r="BC1075" s="16">
        <v>0</v>
      </c>
      <c r="BD1075" s="16">
        <v>0</v>
      </c>
      <c r="BE1075" s="16">
        <v>0</v>
      </c>
      <c r="BF1075" s="16">
        <v>0</v>
      </c>
      <c r="BG1075" s="16">
        <v>0</v>
      </c>
    </row>
    <row r="1076" spans="1:59" ht="12" customHeight="1" x14ac:dyDescent="0.2">
      <c r="A1076" t="s">
        <v>103</v>
      </c>
      <c r="B1076" t="str">
        <f t="shared" si="210"/>
        <v>MXC</v>
      </c>
      <c r="C1076" t="str">
        <f t="shared" si="211"/>
        <v>NB</v>
      </c>
      <c r="D1076" s="16">
        <f t="shared" ref="D1076:AD1076" si="214">D$1074/D$1125*D1127</f>
        <v>0.20956542482428234</v>
      </c>
      <c r="E1076" s="16">
        <f t="shared" si="214"/>
        <v>0.20180049006271905</v>
      </c>
      <c r="F1076" s="16">
        <f t="shared" si="214"/>
        <v>0.20929840483898413</v>
      </c>
      <c r="G1076" s="16">
        <f t="shared" si="214"/>
        <v>0.20654919990673901</v>
      </c>
      <c r="H1076" s="16">
        <f t="shared" si="214"/>
        <v>0.20799018847318368</v>
      </c>
      <c r="I1076" s="16">
        <f t="shared" si="214"/>
        <v>0.20865288953030667</v>
      </c>
      <c r="J1076" s="16">
        <f t="shared" si="214"/>
        <v>0.16653012088105906</v>
      </c>
      <c r="K1076" s="16">
        <f t="shared" si="214"/>
        <v>0.1763387215572422</v>
      </c>
      <c r="L1076" s="16">
        <f t="shared" si="214"/>
        <v>0.17282802739305411</v>
      </c>
      <c r="M1076" s="16">
        <f t="shared" si="214"/>
        <v>0.17247633782001889</v>
      </c>
      <c r="N1076" s="16">
        <f t="shared" si="214"/>
        <v>0.17173535178195137</v>
      </c>
      <c r="O1076" s="16">
        <f t="shared" si="214"/>
        <v>0.16948799482271518</v>
      </c>
      <c r="P1076" s="16">
        <f t="shared" si="214"/>
        <v>0.17127326360107922</v>
      </c>
      <c r="Q1076" s="16">
        <f t="shared" si="214"/>
        <v>0.16591607032247394</v>
      </c>
      <c r="R1076" s="16">
        <f t="shared" si="214"/>
        <v>0.16707697952305764</v>
      </c>
      <c r="S1076" s="16">
        <f t="shared" si="214"/>
        <v>0.16430718871378847</v>
      </c>
      <c r="T1076" s="16">
        <f t="shared" si="214"/>
        <v>0.13838691420456353</v>
      </c>
      <c r="U1076" s="16">
        <f t="shared" si="214"/>
        <v>0.13823909478685792</v>
      </c>
      <c r="V1076" s="16">
        <f t="shared" si="214"/>
        <v>0.13153780431791454</v>
      </c>
      <c r="W1076" s="16">
        <f t="shared" si="214"/>
        <v>0.13104130006386336</v>
      </c>
      <c r="X1076" s="16">
        <f t="shared" si="214"/>
        <v>0.12653347331023018</v>
      </c>
      <c r="Y1076" s="16">
        <f t="shared" si="214"/>
        <v>0.11735562652012771</v>
      </c>
      <c r="Z1076" s="16">
        <f t="shared" si="214"/>
        <v>0.11571192635801784</v>
      </c>
      <c r="AA1076" s="16">
        <f t="shared" si="214"/>
        <v>0.11314898222124999</v>
      </c>
      <c r="AB1076" s="16">
        <f t="shared" si="214"/>
        <v>0.11041823366454905</v>
      </c>
      <c r="AC1076" s="16">
        <f t="shared" si="214"/>
        <v>0.10019574993432434</v>
      </c>
      <c r="AD1076" s="16">
        <f t="shared" si="214"/>
        <v>9.6905167343607615E-2</v>
      </c>
      <c r="AE1076" s="65">
        <f t="shared" ref="AE1076" si="215">AE$1074/AE$1125*AE1127</f>
        <v>0.10017326653905605</v>
      </c>
      <c r="AF1076" s="16">
        <v>0</v>
      </c>
      <c r="AG1076" s="16">
        <v>0</v>
      </c>
      <c r="AH1076" s="16">
        <v>0</v>
      </c>
      <c r="AI1076" s="16">
        <v>0</v>
      </c>
      <c r="AJ1076" s="16">
        <v>0</v>
      </c>
      <c r="AK1076" s="16">
        <v>0</v>
      </c>
      <c r="AL1076" s="16">
        <v>0</v>
      </c>
      <c r="AM1076" s="16">
        <v>0</v>
      </c>
      <c r="AN1076" s="16">
        <v>0</v>
      </c>
      <c r="AO1076" s="16">
        <v>0</v>
      </c>
      <c r="AP1076" s="16">
        <v>0</v>
      </c>
      <c r="AQ1076" s="16">
        <v>0</v>
      </c>
      <c r="AR1076" s="16">
        <v>0</v>
      </c>
      <c r="AS1076" s="16">
        <v>0</v>
      </c>
      <c r="AT1076" s="16">
        <v>0</v>
      </c>
      <c r="AU1076" s="16">
        <v>0</v>
      </c>
      <c r="AV1076" s="16">
        <v>0</v>
      </c>
      <c r="AW1076" s="16">
        <v>0</v>
      </c>
      <c r="AX1076" s="16">
        <v>0</v>
      </c>
      <c r="AY1076" s="16">
        <v>0</v>
      </c>
      <c r="AZ1076" s="16">
        <v>0</v>
      </c>
      <c r="BA1076" s="16">
        <v>0</v>
      </c>
      <c r="BB1076" s="16">
        <v>0</v>
      </c>
      <c r="BC1076" s="16">
        <v>0</v>
      </c>
      <c r="BD1076" s="16">
        <v>0</v>
      </c>
      <c r="BE1076" s="16">
        <v>0</v>
      </c>
      <c r="BF1076" s="16">
        <v>0</v>
      </c>
      <c r="BG1076" s="16">
        <v>0</v>
      </c>
    </row>
    <row r="1077" spans="1:59" ht="12" customHeight="1" x14ac:dyDescent="0.2">
      <c r="A1077" t="s">
        <v>104</v>
      </c>
      <c r="B1077" t="str">
        <f t="shared" si="210"/>
        <v>EUR</v>
      </c>
      <c r="C1077" t="str">
        <f t="shared" si="211"/>
        <v>NB</v>
      </c>
      <c r="D1077" s="16">
        <f t="shared" ref="D1077:AD1077" si="216">D$1074/D$1125*D1128</f>
        <v>0.18873515524844262</v>
      </c>
      <c r="E1077" s="16">
        <f t="shared" si="216"/>
        <v>0.18174203522901916</v>
      </c>
      <c r="F1077" s="16">
        <f t="shared" si="216"/>
        <v>0.18849467636972517</v>
      </c>
      <c r="G1077" s="16">
        <f t="shared" si="216"/>
        <v>0.18601873540698222</v>
      </c>
      <c r="H1077" s="16">
        <f t="shared" si="216"/>
        <v>0.18731649337935388</v>
      </c>
      <c r="I1077" s="16">
        <f t="shared" si="216"/>
        <v>0.18791332363894603</v>
      </c>
      <c r="J1077" s="16">
        <f t="shared" si="216"/>
        <v>0.14997745092914203</v>
      </c>
      <c r="K1077" s="16">
        <f t="shared" si="216"/>
        <v>0.15881110167540244</v>
      </c>
      <c r="L1077" s="16">
        <f t="shared" si="216"/>
        <v>0.15564936157126352</v>
      </c>
      <c r="M1077" s="16">
        <f t="shared" si="216"/>
        <v>0.15533262904622172</v>
      </c>
      <c r="N1077" s="16">
        <f t="shared" si="216"/>
        <v>0.15466529513344071</v>
      </c>
      <c r="O1077" s="16">
        <f t="shared" si="216"/>
        <v>0.15264131973312953</v>
      </c>
      <c r="P1077" s="16">
        <f t="shared" si="216"/>
        <v>0.15424913734105444</v>
      </c>
      <c r="Q1077" s="16">
        <f t="shared" si="216"/>
        <v>0.14942443543242009</v>
      </c>
      <c r="R1077" s="16">
        <f t="shared" si="216"/>
        <v>0.15046995321468412</v>
      </c>
      <c r="S1077" s="16">
        <f t="shared" si="216"/>
        <v>0.14797547255867205</v>
      </c>
      <c r="T1077" s="16">
        <f t="shared" si="216"/>
        <v>0.14138041189845157</v>
      </c>
      <c r="U1077" s="16">
        <f t="shared" si="216"/>
        <v>0.13735225692442987</v>
      </c>
      <c r="V1077" s="16">
        <f t="shared" si="216"/>
        <v>0.13378203269287414</v>
      </c>
      <c r="W1077" s="16">
        <f t="shared" si="216"/>
        <v>0.13263793931545667</v>
      </c>
      <c r="X1077" s="16">
        <f t="shared" si="216"/>
        <v>0.13340553229348309</v>
      </c>
      <c r="Y1077" s="16">
        <f t="shared" si="216"/>
        <v>0.12875223589577486</v>
      </c>
      <c r="Z1077" s="16">
        <f t="shared" si="216"/>
        <v>0.1276000229385881</v>
      </c>
      <c r="AA1077" s="16">
        <f t="shared" si="216"/>
        <v>0.12705888936112747</v>
      </c>
      <c r="AB1077" s="16">
        <f t="shared" si="216"/>
        <v>0.12007696544265521</v>
      </c>
      <c r="AC1077" s="16">
        <f t="shared" si="216"/>
        <v>0.10789720809624812</v>
      </c>
      <c r="AD1077" s="16">
        <f t="shared" si="216"/>
        <v>0.10834787532361445</v>
      </c>
      <c r="AE1077" s="65">
        <f t="shared" ref="AE1077" si="217">AE$1074/AE$1125*AE1128</f>
        <v>0.11200187658980192</v>
      </c>
      <c r="AF1077" s="16">
        <v>0</v>
      </c>
      <c r="AG1077" s="16">
        <v>0</v>
      </c>
      <c r="AH1077" s="16">
        <v>0</v>
      </c>
      <c r="AI1077" s="16">
        <v>0</v>
      </c>
      <c r="AJ1077" s="16">
        <v>0</v>
      </c>
      <c r="AK1077" s="16">
        <v>0</v>
      </c>
      <c r="AL1077" s="16">
        <v>0</v>
      </c>
      <c r="AM1077" s="16">
        <v>0</v>
      </c>
      <c r="AN1077" s="16">
        <v>0</v>
      </c>
      <c r="AO1077" s="16">
        <v>0</v>
      </c>
      <c r="AP1077" s="16">
        <v>0</v>
      </c>
      <c r="AQ1077" s="16">
        <v>0</v>
      </c>
      <c r="AR1077" s="16">
        <v>0</v>
      </c>
      <c r="AS1077" s="16">
        <v>0</v>
      </c>
      <c r="AT1077" s="16">
        <v>0</v>
      </c>
      <c r="AU1077" s="16">
        <v>0</v>
      </c>
      <c r="AV1077" s="16">
        <v>0</v>
      </c>
      <c r="AW1077" s="16">
        <v>0</v>
      </c>
      <c r="AX1077" s="16">
        <v>0</v>
      </c>
      <c r="AY1077" s="16">
        <v>0</v>
      </c>
      <c r="AZ1077" s="16">
        <v>0</v>
      </c>
      <c r="BA1077" s="16">
        <v>0</v>
      </c>
      <c r="BB1077" s="16">
        <v>0</v>
      </c>
      <c r="BC1077" s="16">
        <v>0</v>
      </c>
      <c r="BD1077" s="16">
        <v>0</v>
      </c>
      <c r="BE1077" s="16">
        <v>0</v>
      </c>
      <c r="BF1077" s="16">
        <v>0</v>
      </c>
      <c r="BG1077" s="16">
        <v>0</v>
      </c>
    </row>
    <row r="1078" spans="1:59" ht="12" customHeight="1" x14ac:dyDescent="0.2">
      <c r="A1078" t="s">
        <v>105</v>
      </c>
      <c r="B1078" t="str">
        <f t="shared" si="210"/>
        <v>JPN</v>
      </c>
      <c r="C1078" t="str">
        <f t="shared" si="211"/>
        <v>NB</v>
      </c>
      <c r="D1078" s="16">
        <f t="shared" ref="D1078:AD1078" si="218">D$1074/D$1125*D1129</f>
        <v>0.18972700709695922</v>
      </c>
      <c r="E1078" s="16">
        <f t="shared" si="218"/>
        <v>0.18269713643079466</v>
      </c>
      <c r="F1078" s="16">
        <f t="shared" si="218"/>
        <v>0.18948526443980013</v>
      </c>
      <c r="G1078" s="16">
        <f t="shared" si="218"/>
        <v>0.18699631176963319</v>
      </c>
      <c r="H1078" s="16">
        <f t="shared" si="218"/>
        <v>0.18830088979438001</v>
      </c>
      <c r="I1078" s="16">
        <f t="shared" si="218"/>
        <v>0.18890085655069658</v>
      </c>
      <c r="J1078" s="16">
        <f t="shared" si="218"/>
        <v>0.15076562105963023</v>
      </c>
      <c r="K1078" s="16">
        <f t="shared" si="218"/>
        <v>0.1596456949156197</v>
      </c>
      <c r="L1078" s="16">
        <f t="shared" si="218"/>
        <v>0.15646733905294502</v>
      </c>
      <c r="M1078" s="16">
        <f t="shared" si="218"/>
        <v>0.15614894201691143</v>
      </c>
      <c r="N1078" s="16">
        <f t="shared" si="218"/>
        <v>0.15547810109255061</v>
      </c>
      <c r="O1078" s="16">
        <f t="shared" si="218"/>
        <v>0.15344348918024722</v>
      </c>
      <c r="P1078" s="16">
        <f t="shared" si="218"/>
        <v>0.15505975628378621</v>
      </c>
      <c r="Q1078" s="16">
        <f t="shared" si="218"/>
        <v>0.15020969932404696</v>
      </c>
      <c r="R1078" s="16">
        <f t="shared" si="218"/>
        <v>0.15126071157152407</v>
      </c>
      <c r="S1078" s="16">
        <f t="shared" si="218"/>
        <v>0.14875312177722505</v>
      </c>
      <c r="T1078" s="16">
        <f t="shared" si="218"/>
        <v>0.14055321294629569</v>
      </c>
      <c r="U1078" s="16">
        <f t="shared" si="218"/>
        <v>0.13729970917832796</v>
      </c>
      <c r="V1078" s="16">
        <f t="shared" si="218"/>
        <v>0.13334865580173741</v>
      </c>
      <c r="W1078" s="16">
        <f t="shared" si="218"/>
        <v>0.12624710764614391</v>
      </c>
      <c r="X1078" s="16">
        <f t="shared" si="218"/>
        <v>0.12322610101281053</v>
      </c>
      <c r="Y1078" s="16">
        <f t="shared" si="218"/>
        <v>0.11971077706120882</v>
      </c>
      <c r="Z1078" s="16">
        <f t="shared" si="218"/>
        <v>0.1225123641787295</v>
      </c>
      <c r="AA1078" s="16">
        <f t="shared" si="218"/>
        <v>0.11970367402772637</v>
      </c>
      <c r="AB1078" s="16">
        <f t="shared" si="218"/>
        <v>0.12069590025635926</v>
      </c>
      <c r="AC1078" s="16">
        <f t="shared" si="218"/>
        <v>0.11364786384367288</v>
      </c>
      <c r="AD1078" s="16">
        <f t="shared" si="218"/>
        <v>0.1108728856833897</v>
      </c>
      <c r="AE1078" s="65">
        <f t="shared" ref="AE1078" si="219">AE$1074/AE$1125*AE1129</f>
        <v>0.11461204220549885</v>
      </c>
      <c r="AF1078" s="16">
        <v>0</v>
      </c>
      <c r="AG1078" s="16">
        <v>0</v>
      </c>
      <c r="AH1078" s="16">
        <v>0</v>
      </c>
      <c r="AI1078" s="16">
        <v>0</v>
      </c>
      <c r="AJ1078" s="16">
        <v>0</v>
      </c>
      <c r="AK1078" s="16">
        <v>0</v>
      </c>
      <c r="AL1078" s="16">
        <v>0</v>
      </c>
      <c r="AM1078" s="16">
        <v>0</v>
      </c>
      <c r="AN1078" s="16">
        <v>0</v>
      </c>
      <c r="AO1078" s="16">
        <v>0</v>
      </c>
      <c r="AP1078" s="16">
        <v>0</v>
      </c>
      <c r="AQ1078" s="16">
        <v>0</v>
      </c>
      <c r="AR1078" s="16">
        <v>0</v>
      </c>
      <c r="AS1078" s="16">
        <v>0</v>
      </c>
      <c r="AT1078" s="16">
        <v>0</v>
      </c>
      <c r="AU1078" s="16">
        <v>0</v>
      </c>
      <c r="AV1078" s="16">
        <v>0</v>
      </c>
      <c r="AW1078" s="16">
        <v>0</v>
      </c>
      <c r="AX1078" s="16">
        <v>0</v>
      </c>
      <c r="AY1078" s="16">
        <v>0</v>
      </c>
      <c r="AZ1078" s="16">
        <v>0</v>
      </c>
      <c r="BA1078" s="16">
        <v>0</v>
      </c>
      <c r="BB1078" s="16">
        <v>0</v>
      </c>
      <c r="BC1078" s="16">
        <v>0</v>
      </c>
      <c r="BD1078" s="16">
        <v>0</v>
      </c>
      <c r="BE1078" s="16">
        <v>0</v>
      </c>
      <c r="BF1078" s="16">
        <v>0</v>
      </c>
      <c r="BG1078" s="16">
        <v>0</v>
      </c>
    </row>
    <row r="1079" spans="1:59" ht="12" customHeight="1" x14ac:dyDescent="0.2">
      <c r="A1079" t="s">
        <v>106</v>
      </c>
      <c r="B1079" t="str">
        <f t="shared" si="210"/>
        <v>ANZ</v>
      </c>
      <c r="C1079" t="str">
        <f t="shared" si="211"/>
        <v>NB</v>
      </c>
      <c r="D1079" s="16">
        <f t="shared" ref="D1079:AD1079" si="220">D$1074/D$1125*D1130</f>
        <v>0.19070391944302778</v>
      </c>
      <c r="E1079" s="16">
        <f t="shared" si="220"/>
        <v>0.18363785167688193</v>
      </c>
      <c r="F1079" s="16">
        <f t="shared" si="220"/>
        <v>0.19046093204275089</v>
      </c>
      <c r="G1079" s="16">
        <f t="shared" si="220"/>
        <v>0.18795916365051321</v>
      </c>
      <c r="H1079" s="16">
        <f t="shared" si="220"/>
        <v>0.18927045900242542</v>
      </c>
      <c r="I1079" s="16">
        <f t="shared" si="220"/>
        <v>0.18987351501282579</v>
      </c>
      <c r="J1079" s="16">
        <f t="shared" si="220"/>
        <v>0.15154191958891966</v>
      </c>
      <c r="K1079" s="16">
        <f t="shared" si="220"/>
        <v>0.16046771731899881</v>
      </c>
      <c r="L1079" s="16">
        <f t="shared" si="220"/>
        <v>0.15727299596819486</v>
      </c>
      <c r="M1079" s="16">
        <f t="shared" si="220"/>
        <v>0.15695295949241986</v>
      </c>
      <c r="N1079" s="16">
        <f t="shared" si="220"/>
        <v>0.15627866437990059</v>
      </c>
      <c r="O1079" s="16">
        <f t="shared" si="220"/>
        <v>0.15423357616521408</v>
      </c>
      <c r="P1079" s="16">
        <f t="shared" si="220"/>
        <v>0.15585816549610571</v>
      </c>
      <c r="Q1079" s="16">
        <f t="shared" si="220"/>
        <v>0.15098313538891842</v>
      </c>
      <c r="R1079" s="16">
        <f t="shared" si="220"/>
        <v>0.15203955934269997</v>
      </c>
      <c r="S1079" s="16">
        <f t="shared" si="220"/>
        <v>0.14951905786299352</v>
      </c>
      <c r="T1079" s="16">
        <f t="shared" si="220"/>
        <v>0.16310956948257513</v>
      </c>
      <c r="U1079" s="16">
        <f t="shared" si="220"/>
        <v>0.1510277571611818</v>
      </c>
      <c r="V1079" s="16">
        <f t="shared" si="220"/>
        <v>0.15171587940400635</v>
      </c>
      <c r="W1079" s="16">
        <f t="shared" si="220"/>
        <v>0.15074114495815269</v>
      </c>
      <c r="X1079" s="16">
        <f t="shared" si="220"/>
        <v>0.1393737448666425</v>
      </c>
      <c r="Y1079" s="16">
        <f t="shared" si="220"/>
        <v>0.13962362996803029</v>
      </c>
      <c r="Z1079" s="16">
        <f t="shared" si="220"/>
        <v>0.14578889051583294</v>
      </c>
      <c r="AA1079" s="16">
        <f t="shared" si="220"/>
        <v>0.14621128766055946</v>
      </c>
      <c r="AB1079" s="16">
        <f t="shared" si="220"/>
        <v>0.14840672951827916</v>
      </c>
      <c r="AC1079" s="16">
        <f t="shared" si="220"/>
        <v>0.12377250719929575</v>
      </c>
      <c r="AD1079" s="16">
        <f t="shared" si="220"/>
        <v>0.1238464247775939</v>
      </c>
      <c r="AE1079" s="65">
        <f t="shared" ref="AE1079" si="221">AE$1074/AE$1125*AE1130</f>
        <v>0.12802311021418861</v>
      </c>
      <c r="AF1079" s="16">
        <v>0</v>
      </c>
      <c r="AG1079" s="16">
        <v>0</v>
      </c>
      <c r="AH1079" s="16">
        <v>0</v>
      </c>
      <c r="AI1079" s="16">
        <v>0</v>
      </c>
      <c r="AJ1079" s="16">
        <v>0</v>
      </c>
      <c r="AK1079" s="16">
        <v>0</v>
      </c>
      <c r="AL1079" s="16">
        <v>0</v>
      </c>
      <c r="AM1079" s="16">
        <v>0</v>
      </c>
      <c r="AN1079" s="16">
        <v>0</v>
      </c>
      <c r="AO1079" s="16">
        <v>0</v>
      </c>
      <c r="AP1079" s="16">
        <v>0</v>
      </c>
      <c r="AQ1079" s="16">
        <v>0</v>
      </c>
      <c r="AR1079" s="16">
        <v>0</v>
      </c>
      <c r="AS1079" s="16">
        <v>0</v>
      </c>
      <c r="AT1079" s="16">
        <v>0</v>
      </c>
      <c r="AU1079" s="16">
        <v>0</v>
      </c>
      <c r="AV1079" s="16">
        <v>0</v>
      </c>
      <c r="AW1079" s="16">
        <v>0</v>
      </c>
      <c r="AX1079" s="16">
        <v>0</v>
      </c>
      <c r="AY1079" s="16">
        <v>0</v>
      </c>
      <c r="AZ1079" s="16">
        <v>0</v>
      </c>
      <c r="BA1079" s="16">
        <v>0</v>
      </c>
      <c r="BB1079" s="16">
        <v>0</v>
      </c>
      <c r="BC1079" s="16">
        <v>0</v>
      </c>
      <c r="BD1079" s="16">
        <v>0</v>
      </c>
      <c r="BE1079" s="16">
        <v>0</v>
      </c>
      <c r="BF1079" s="16">
        <v>0</v>
      </c>
      <c r="BG1079" s="16">
        <v>0</v>
      </c>
    </row>
    <row r="1080" spans="1:59" ht="12" customHeight="1" x14ac:dyDescent="0.2">
      <c r="A1080" t="s">
        <v>107</v>
      </c>
      <c r="B1080" t="str">
        <f t="shared" si="210"/>
        <v>SKO</v>
      </c>
      <c r="C1080" t="str">
        <f t="shared" si="211"/>
        <v>NB</v>
      </c>
      <c r="D1080" s="16">
        <f t="shared" ref="D1080:AD1080" si="222">D$1074/D$1125*D1131</f>
        <v>0.20494449043799592</v>
      </c>
      <c r="E1080" s="16">
        <f t="shared" si="222"/>
        <v>0.19735077310925614</v>
      </c>
      <c r="F1080" s="16">
        <f t="shared" si="222"/>
        <v>0.20468335826473988</v>
      </c>
      <c r="G1080" s="16">
        <f t="shared" si="222"/>
        <v>0.20199477352123538</v>
      </c>
      <c r="H1080" s="16">
        <f t="shared" si="222"/>
        <v>0.2034039881744856</v>
      </c>
      <c r="I1080" s="16">
        <f t="shared" si="222"/>
        <v>0.20405207662027131</v>
      </c>
      <c r="J1080" s="16">
        <f t="shared" si="222"/>
        <v>0.1628581183903002</v>
      </c>
      <c r="K1080" s="16">
        <f t="shared" si="222"/>
        <v>0.17245043863671336</v>
      </c>
      <c r="L1080" s="16">
        <f t="shared" si="222"/>
        <v>0.16901715555976274</v>
      </c>
      <c r="M1080" s="16">
        <f t="shared" si="222"/>
        <v>0.16867322076995431</v>
      </c>
      <c r="N1080" s="16">
        <f t="shared" si="222"/>
        <v>0.16794857353331805</v>
      </c>
      <c r="O1080" s="16">
        <f t="shared" si="222"/>
        <v>0.16575077097486102</v>
      </c>
      <c r="P1080" s="16">
        <f t="shared" si="222"/>
        <v>0.16749667443380933</v>
      </c>
      <c r="Q1080" s="16">
        <f t="shared" si="222"/>
        <v>0.16225760769566674</v>
      </c>
      <c r="R1080" s="16">
        <f t="shared" si="222"/>
        <v>0.16339291875548445</v>
      </c>
      <c r="S1080" s="16">
        <f t="shared" si="222"/>
        <v>0.16068420205519152</v>
      </c>
      <c r="T1080" s="16">
        <f t="shared" si="222"/>
        <v>0.16061745166470867</v>
      </c>
      <c r="U1080" s="16">
        <f t="shared" si="222"/>
        <v>0.15273045415094569</v>
      </c>
      <c r="V1080" s="16">
        <f t="shared" si="222"/>
        <v>0.14507246312987054</v>
      </c>
      <c r="W1080" s="16">
        <f t="shared" si="222"/>
        <v>0.15129385345420981</v>
      </c>
      <c r="X1080" s="16">
        <f t="shared" si="222"/>
        <v>0.15963665573470384</v>
      </c>
      <c r="Y1080" s="16">
        <f t="shared" si="222"/>
        <v>0.15114856113682851</v>
      </c>
      <c r="Z1080" s="16">
        <f t="shared" si="222"/>
        <v>0.1444460080822971</v>
      </c>
      <c r="AA1080" s="16">
        <f t="shared" si="222"/>
        <v>0.135257154343043</v>
      </c>
      <c r="AB1080" s="16">
        <f t="shared" si="222"/>
        <v>0.13693772985802385</v>
      </c>
      <c r="AC1080" s="16">
        <f t="shared" si="222"/>
        <v>0.11427504768627453</v>
      </c>
      <c r="AD1080" s="16">
        <f t="shared" si="222"/>
        <v>0.10862604476376221</v>
      </c>
      <c r="AE1080" s="65">
        <f t="shared" ref="AE1080" si="223">AE$1074/AE$1125*AE1131</f>
        <v>0.11228942721516885</v>
      </c>
      <c r="AF1080" s="16">
        <v>0</v>
      </c>
      <c r="AG1080" s="16">
        <v>0</v>
      </c>
      <c r="AH1080" s="16">
        <v>0</v>
      </c>
      <c r="AI1080" s="16">
        <v>0</v>
      </c>
      <c r="AJ1080" s="16">
        <v>0</v>
      </c>
      <c r="AK1080" s="16">
        <v>0</v>
      </c>
      <c r="AL1080" s="16">
        <v>0</v>
      </c>
      <c r="AM1080" s="16">
        <v>0</v>
      </c>
      <c r="AN1080" s="16">
        <v>0</v>
      </c>
      <c r="AO1080" s="16">
        <v>0</v>
      </c>
      <c r="AP1080" s="16">
        <v>0</v>
      </c>
      <c r="AQ1080" s="16">
        <v>0</v>
      </c>
      <c r="AR1080" s="16">
        <v>0</v>
      </c>
      <c r="AS1080" s="16">
        <v>0</v>
      </c>
      <c r="AT1080" s="16">
        <v>0</v>
      </c>
      <c r="AU1080" s="16">
        <v>0</v>
      </c>
      <c r="AV1080" s="16">
        <v>0</v>
      </c>
      <c r="AW1080" s="16">
        <v>0</v>
      </c>
      <c r="AX1080" s="16">
        <v>0</v>
      </c>
      <c r="AY1080" s="16">
        <v>0</v>
      </c>
      <c r="AZ1080" s="16">
        <v>0</v>
      </c>
      <c r="BA1080" s="16">
        <v>0</v>
      </c>
      <c r="BB1080" s="16">
        <v>0</v>
      </c>
      <c r="BC1080" s="16">
        <v>0</v>
      </c>
      <c r="BD1080" s="16">
        <v>0</v>
      </c>
      <c r="BE1080" s="16">
        <v>0</v>
      </c>
      <c r="BF1080" s="16">
        <v>0</v>
      </c>
      <c r="BG1080" s="16">
        <v>0</v>
      </c>
    </row>
    <row r="1081" spans="1:59" ht="12" customHeight="1" x14ac:dyDescent="0.2">
      <c r="A1081" t="s">
        <v>108</v>
      </c>
      <c r="B1081" t="str">
        <f t="shared" si="210"/>
        <v>RUS</v>
      </c>
      <c r="C1081" t="str">
        <f t="shared" si="211"/>
        <v>NB</v>
      </c>
      <c r="D1081" s="16">
        <f t="shared" ref="D1081:AD1081" si="224">D$1074/D$1125*D1132</f>
        <v>0.38490236759678081</v>
      </c>
      <c r="E1081" s="16">
        <f t="shared" si="224"/>
        <v>0.37064075084169701</v>
      </c>
      <c r="F1081" s="16">
        <f t="shared" si="224"/>
        <v>0.38441194020579728</v>
      </c>
      <c r="G1081" s="16">
        <f t="shared" si="224"/>
        <v>0.37936256009780878</v>
      </c>
      <c r="H1081" s="16">
        <f t="shared" si="224"/>
        <v>0.38200917945961194</v>
      </c>
      <c r="I1081" s="16">
        <f t="shared" si="224"/>
        <v>0.38322634210039291</v>
      </c>
      <c r="J1081" s="16">
        <f t="shared" si="224"/>
        <v>0.30586074900973231</v>
      </c>
      <c r="K1081" s="16">
        <f t="shared" si="224"/>
        <v>0.32387590406806244</v>
      </c>
      <c r="L1081" s="16">
        <f t="shared" si="224"/>
        <v>0.31742792011824239</v>
      </c>
      <c r="M1081" s="16">
        <f t="shared" si="224"/>
        <v>0.31678198270068486</v>
      </c>
      <c r="N1081" s="16">
        <f t="shared" si="224"/>
        <v>0.31542103644417574</v>
      </c>
      <c r="O1081" s="16">
        <f t="shared" si="224"/>
        <v>0.31129338506671012</v>
      </c>
      <c r="P1081" s="16">
        <f t="shared" si="224"/>
        <v>0.31457233330049011</v>
      </c>
      <c r="Q1081" s="16">
        <f t="shared" si="224"/>
        <v>0.30473294124267486</v>
      </c>
      <c r="R1081" s="16">
        <f t="shared" si="224"/>
        <v>0.30686514745104254</v>
      </c>
      <c r="S1081" s="16">
        <f t="shared" si="224"/>
        <v>0.30177795789613665</v>
      </c>
      <c r="T1081" s="16">
        <f t="shared" si="224"/>
        <v>0.26689870701647145</v>
      </c>
      <c r="U1081" s="16">
        <f t="shared" si="224"/>
        <v>0.26539625236607201</v>
      </c>
      <c r="V1081" s="16">
        <f t="shared" si="224"/>
        <v>0.23237324605801155</v>
      </c>
      <c r="W1081" s="16">
        <f t="shared" si="224"/>
        <v>0.20694573949679049</v>
      </c>
      <c r="X1081" s="16">
        <f t="shared" si="224"/>
        <v>0.1887133892294881</v>
      </c>
      <c r="Y1081" s="16">
        <f t="shared" si="224"/>
        <v>0.19800283728877791</v>
      </c>
      <c r="Z1081" s="16">
        <f t="shared" si="224"/>
        <v>0.19027885393065325</v>
      </c>
      <c r="AA1081" s="16">
        <f t="shared" si="224"/>
        <v>0.183862763109476</v>
      </c>
      <c r="AB1081" s="16">
        <f t="shared" si="224"/>
        <v>0.1648422028639242</v>
      </c>
      <c r="AC1081" s="16">
        <f t="shared" si="224"/>
        <v>0.14632133751500473</v>
      </c>
      <c r="AD1081" s="16">
        <f t="shared" si="224"/>
        <v>0.14299930084887189</v>
      </c>
      <c r="AE1081" s="65">
        <f t="shared" ref="AE1081" si="225">AE$1074/AE$1125*AE1132</f>
        <v>0.14782191158124697</v>
      </c>
      <c r="AF1081" s="16">
        <v>0</v>
      </c>
      <c r="AG1081" s="16">
        <v>0</v>
      </c>
      <c r="AH1081" s="16">
        <v>0</v>
      </c>
      <c r="AI1081" s="16">
        <v>0</v>
      </c>
      <c r="AJ1081" s="16">
        <v>0</v>
      </c>
      <c r="AK1081" s="16">
        <v>0</v>
      </c>
      <c r="AL1081" s="16">
        <v>0</v>
      </c>
      <c r="AM1081" s="16">
        <v>0</v>
      </c>
      <c r="AN1081" s="16">
        <v>0</v>
      </c>
      <c r="AO1081" s="16">
        <v>0</v>
      </c>
      <c r="AP1081" s="16">
        <v>0</v>
      </c>
      <c r="AQ1081" s="16">
        <v>0</v>
      </c>
      <c r="AR1081" s="16">
        <v>0</v>
      </c>
      <c r="AS1081" s="16">
        <v>0</v>
      </c>
      <c r="AT1081" s="16">
        <v>0</v>
      </c>
      <c r="AU1081" s="16">
        <v>0</v>
      </c>
      <c r="AV1081" s="16">
        <v>0</v>
      </c>
      <c r="AW1081" s="16">
        <v>0</v>
      </c>
      <c r="AX1081" s="16">
        <v>0</v>
      </c>
      <c r="AY1081" s="16">
        <v>0</v>
      </c>
      <c r="AZ1081" s="16">
        <v>0</v>
      </c>
      <c r="BA1081" s="16">
        <v>0</v>
      </c>
      <c r="BB1081" s="16">
        <v>0</v>
      </c>
      <c r="BC1081" s="16">
        <v>0</v>
      </c>
      <c r="BD1081" s="16">
        <v>0</v>
      </c>
      <c r="BE1081" s="16">
        <v>0</v>
      </c>
      <c r="BF1081" s="16">
        <v>0</v>
      </c>
      <c r="BG1081" s="16">
        <v>0</v>
      </c>
    </row>
    <row r="1082" spans="1:59" ht="12" customHeight="1" x14ac:dyDescent="0.2">
      <c r="A1082" t="s">
        <v>109</v>
      </c>
      <c r="B1082" t="str">
        <f t="shared" si="210"/>
        <v>URA</v>
      </c>
      <c r="C1082" t="str">
        <f t="shared" si="211"/>
        <v>NB</v>
      </c>
      <c r="D1082" s="16">
        <f t="shared" ref="D1082:AD1082" si="226">D$1074/D$1125*D1133</f>
        <v>0.30934265796824223</v>
      </c>
      <c r="E1082" s="16">
        <f t="shared" si="226"/>
        <v>0.29788072162971674</v>
      </c>
      <c r="F1082" s="16">
        <f t="shared" si="226"/>
        <v>0.30894850577423394</v>
      </c>
      <c r="G1082" s="16">
        <f t="shared" si="226"/>
        <v>0.30489036325500302</v>
      </c>
      <c r="H1082" s="16">
        <f t="shared" si="226"/>
        <v>0.30701742803021398</v>
      </c>
      <c r="I1082" s="16">
        <f t="shared" si="226"/>
        <v>0.30799565097238435</v>
      </c>
      <c r="J1082" s="16">
        <f t="shared" si="226"/>
        <v>0.24581760215605225</v>
      </c>
      <c r="K1082" s="16">
        <f t="shared" si="226"/>
        <v>0.26029622431743094</v>
      </c>
      <c r="L1082" s="16">
        <f t="shared" si="226"/>
        <v>0.25511403615364325</v>
      </c>
      <c r="M1082" s="16">
        <f t="shared" si="226"/>
        <v>0.2545949019148076</v>
      </c>
      <c r="N1082" s="16">
        <f t="shared" si="226"/>
        <v>0.2535011213413883</v>
      </c>
      <c r="O1082" s="16">
        <f t="shared" si="226"/>
        <v>0.25018376412105259</v>
      </c>
      <c r="P1082" s="16">
        <f t="shared" si="226"/>
        <v>0.25281902606633733</v>
      </c>
      <c r="Q1082" s="16">
        <f t="shared" si="226"/>
        <v>0.24491119294241953</v>
      </c>
      <c r="R1082" s="16">
        <f t="shared" si="226"/>
        <v>0.24662482837664951</v>
      </c>
      <c r="S1082" s="16">
        <f t="shared" si="226"/>
        <v>0.2425362987364488</v>
      </c>
      <c r="T1082" s="16">
        <f t="shared" si="226"/>
        <v>0.18119626604344741</v>
      </c>
      <c r="U1082" s="16">
        <f t="shared" si="226"/>
        <v>0.17402115605130689</v>
      </c>
      <c r="V1082" s="16">
        <f t="shared" si="226"/>
        <v>0.11809962621505132</v>
      </c>
      <c r="W1082" s="16">
        <f t="shared" si="226"/>
        <v>0.11276251278480805</v>
      </c>
      <c r="X1082" s="16">
        <f t="shared" si="226"/>
        <v>0.10724104444936601</v>
      </c>
      <c r="Y1082" s="16">
        <f t="shared" si="226"/>
        <v>0.1016716811269862</v>
      </c>
      <c r="Z1082" s="16">
        <f t="shared" si="226"/>
        <v>0.11361303503665043</v>
      </c>
      <c r="AA1082" s="16">
        <f t="shared" si="226"/>
        <v>0.10731986631084588</v>
      </c>
      <c r="AB1082" s="16">
        <f t="shared" si="226"/>
        <v>9.9215275801906644E-2</v>
      </c>
      <c r="AC1082" s="16">
        <f t="shared" si="226"/>
        <v>0.11581636650701974</v>
      </c>
      <c r="AD1082" s="16">
        <f t="shared" si="226"/>
        <v>0.11253534410882017</v>
      </c>
      <c r="AE1082" s="65">
        <f t="shared" ref="AE1082" si="227">AE$1074/AE$1125*AE1133</f>
        <v>0.11633056656829417</v>
      </c>
      <c r="AF1082" s="16">
        <v>0</v>
      </c>
      <c r="AG1082" s="16">
        <v>0</v>
      </c>
      <c r="AH1082" s="16">
        <v>0</v>
      </c>
      <c r="AI1082" s="16">
        <v>0</v>
      </c>
      <c r="AJ1082" s="16">
        <v>0</v>
      </c>
      <c r="AK1082" s="16">
        <v>0</v>
      </c>
      <c r="AL1082" s="16">
        <v>0</v>
      </c>
      <c r="AM1082" s="16">
        <v>0</v>
      </c>
      <c r="AN1082" s="16">
        <v>0</v>
      </c>
      <c r="AO1082" s="16">
        <v>0</v>
      </c>
      <c r="AP1082" s="16">
        <v>0</v>
      </c>
      <c r="AQ1082" s="16">
        <v>0</v>
      </c>
      <c r="AR1082" s="16">
        <v>0</v>
      </c>
      <c r="AS1082" s="16">
        <v>0</v>
      </c>
      <c r="AT1082" s="16">
        <v>0</v>
      </c>
      <c r="AU1082" s="16">
        <v>0</v>
      </c>
      <c r="AV1082" s="16">
        <v>0</v>
      </c>
      <c r="AW1082" s="16">
        <v>0</v>
      </c>
      <c r="AX1082" s="16">
        <v>0</v>
      </c>
      <c r="AY1082" s="16">
        <v>0</v>
      </c>
      <c r="AZ1082" s="16">
        <v>0</v>
      </c>
      <c r="BA1082" s="16">
        <v>0</v>
      </c>
      <c r="BB1082" s="16">
        <v>0</v>
      </c>
      <c r="BC1082" s="16">
        <v>0</v>
      </c>
      <c r="BD1082" s="16">
        <v>0</v>
      </c>
      <c r="BE1082" s="16">
        <v>0</v>
      </c>
      <c r="BF1082" s="16">
        <v>0</v>
      </c>
      <c r="BG1082" s="16">
        <v>0</v>
      </c>
    </row>
    <row r="1083" spans="1:59" ht="12" customHeight="1" x14ac:dyDescent="0.2">
      <c r="A1083" t="s">
        <v>110</v>
      </c>
      <c r="B1083" t="str">
        <f t="shared" si="210"/>
        <v>CHI</v>
      </c>
      <c r="C1083" t="str">
        <f t="shared" si="211"/>
        <v>NB</v>
      </c>
      <c r="D1083" s="16">
        <f t="shared" ref="D1083:AD1083" si="228">D$1074/D$1125*D1134</f>
        <v>0.14557970467878836</v>
      </c>
      <c r="E1083" s="16">
        <f t="shared" si="228"/>
        <v>0.14018560443354858</v>
      </c>
      <c r="F1083" s="16">
        <f t="shared" si="228"/>
        <v>0.14539421277030376</v>
      </c>
      <c r="G1083" s="16">
        <f t="shared" si="228"/>
        <v>0.14348441089113739</v>
      </c>
      <c r="H1083" s="16">
        <f t="shared" si="228"/>
        <v>0.14448542854528729</v>
      </c>
      <c r="I1083" s="16">
        <f t="shared" si="228"/>
        <v>0.14494578990626644</v>
      </c>
      <c r="J1083" s="16">
        <f t="shared" si="228"/>
        <v>0.11568418711395388</v>
      </c>
      <c r="K1083" s="16">
        <f t="shared" si="228"/>
        <v>0.1224979694492232</v>
      </c>
      <c r="L1083" s="16">
        <f t="shared" si="228"/>
        <v>0.12005918060765458</v>
      </c>
      <c r="M1083" s="16">
        <f t="shared" si="228"/>
        <v>0.11981487091666426</v>
      </c>
      <c r="N1083" s="16">
        <f t="shared" si="228"/>
        <v>0.11930012699512556</v>
      </c>
      <c r="O1083" s="16">
        <f t="shared" si="228"/>
        <v>0.11773894598109257</v>
      </c>
      <c r="P1083" s="16">
        <f t="shared" si="228"/>
        <v>0.11897912623384382</v>
      </c>
      <c r="Q1083" s="16">
        <f t="shared" si="228"/>
        <v>0.11525762200164291</v>
      </c>
      <c r="R1083" s="16">
        <f t="shared" si="228"/>
        <v>0.11606407573188762</v>
      </c>
      <c r="S1083" s="16">
        <f t="shared" si="228"/>
        <v>0.11413997337400333</v>
      </c>
      <c r="T1083" s="16">
        <f t="shared" si="228"/>
        <v>0.10567479023775803</v>
      </c>
      <c r="U1083" s="16">
        <f t="shared" si="228"/>
        <v>0.10638056849733378</v>
      </c>
      <c r="V1083" s="16">
        <f t="shared" si="228"/>
        <v>0.10765108194699427</v>
      </c>
      <c r="W1083" s="16">
        <f t="shared" si="228"/>
        <v>0.10795706919444503</v>
      </c>
      <c r="X1083" s="16">
        <f t="shared" si="228"/>
        <v>0.10984182584208042</v>
      </c>
      <c r="Y1083" s="16">
        <f t="shared" si="228"/>
        <v>0.10698640249050481</v>
      </c>
      <c r="Z1083" s="16">
        <f t="shared" si="228"/>
        <v>0.10951483097409986</v>
      </c>
      <c r="AA1083" s="16">
        <f t="shared" si="228"/>
        <v>0.1071263400483696</v>
      </c>
      <c r="AB1083" s="16">
        <f t="shared" si="228"/>
        <v>0.10616448035858807</v>
      </c>
      <c r="AC1083" s="16">
        <f t="shared" si="228"/>
        <v>0.11480892938652359</v>
      </c>
      <c r="AD1083" s="16">
        <f t="shared" si="228"/>
        <v>0.1132531981211006</v>
      </c>
      <c r="AE1083" s="65">
        <f t="shared" ref="AE1083" si="229">AE$1074/AE$1125*AE1134</f>
        <v>0.11707263000288194</v>
      </c>
      <c r="AF1083" s="16">
        <v>0</v>
      </c>
      <c r="AG1083" s="16">
        <v>0</v>
      </c>
      <c r="AH1083" s="16">
        <v>0</v>
      </c>
      <c r="AI1083" s="16">
        <v>0</v>
      </c>
      <c r="AJ1083" s="16">
        <v>0</v>
      </c>
      <c r="AK1083" s="16">
        <v>0</v>
      </c>
      <c r="AL1083" s="16">
        <v>0</v>
      </c>
      <c r="AM1083" s="16">
        <v>0</v>
      </c>
      <c r="AN1083" s="16">
        <v>0</v>
      </c>
      <c r="AO1083" s="16">
        <v>0</v>
      </c>
      <c r="AP1083" s="16">
        <v>0</v>
      </c>
      <c r="AQ1083" s="16">
        <v>0</v>
      </c>
      <c r="AR1083" s="16">
        <v>0</v>
      </c>
      <c r="AS1083" s="16">
        <v>0</v>
      </c>
      <c r="AT1083" s="16">
        <v>0</v>
      </c>
      <c r="AU1083" s="16">
        <v>0</v>
      </c>
      <c r="AV1083" s="16">
        <v>0</v>
      </c>
      <c r="AW1083" s="16">
        <v>0</v>
      </c>
      <c r="AX1083" s="16">
        <v>0</v>
      </c>
      <c r="AY1083" s="16">
        <v>0</v>
      </c>
      <c r="AZ1083" s="16">
        <v>0</v>
      </c>
      <c r="BA1083" s="16">
        <v>0</v>
      </c>
      <c r="BB1083" s="16">
        <v>0</v>
      </c>
      <c r="BC1083" s="16">
        <v>0</v>
      </c>
      <c r="BD1083" s="16">
        <v>0</v>
      </c>
      <c r="BE1083" s="16">
        <v>0</v>
      </c>
      <c r="BF1083" s="16">
        <v>0</v>
      </c>
      <c r="BG1083" s="16">
        <v>0</v>
      </c>
    </row>
    <row r="1084" spans="1:59" ht="12" customHeight="1" x14ac:dyDescent="0.2">
      <c r="A1084" t="s">
        <v>111</v>
      </c>
      <c r="B1084" t="str">
        <f t="shared" si="210"/>
        <v>IND</v>
      </c>
      <c r="C1084" t="str">
        <f t="shared" si="211"/>
        <v>NB</v>
      </c>
      <c r="D1084" s="16">
        <f t="shared" ref="D1084:AD1084" si="230">D$1074/D$1125*D1135</f>
        <v>0.1720925094108621</v>
      </c>
      <c r="E1084" s="16">
        <f t="shared" si="230"/>
        <v>0.16571604196805984</v>
      </c>
      <c r="F1084" s="16">
        <f t="shared" si="230"/>
        <v>0.17187323593399276</v>
      </c>
      <c r="G1084" s="16">
        <f t="shared" si="230"/>
        <v>0.16961562318097551</v>
      </c>
      <c r="H1084" s="16">
        <f t="shared" si="230"/>
        <v>0.17079894499391174</v>
      </c>
      <c r="I1084" s="16">
        <f t="shared" si="230"/>
        <v>0.17134314682493973</v>
      </c>
      <c r="J1084" s="16">
        <f t="shared" si="230"/>
        <v>0.13675245532007718</v>
      </c>
      <c r="K1084" s="16">
        <f t="shared" si="230"/>
        <v>0.14480715568674687</v>
      </c>
      <c r="L1084" s="16">
        <f t="shared" si="230"/>
        <v>0.14192421748739562</v>
      </c>
      <c r="M1084" s="16">
        <f t="shared" si="230"/>
        <v>0.14163541440259281</v>
      </c>
      <c r="N1084" s="16">
        <f t="shared" si="230"/>
        <v>0.14102692592298613</v>
      </c>
      <c r="O1084" s="16">
        <f t="shared" si="230"/>
        <v>0.13918142445736409</v>
      </c>
      <c r="P1084" s="16">
        <f t="shared" si="230"/>
        <v>0.14064746488029714</v>
      </c>
      <c r="Q1084" s="16">
        <f t="shared" si="230"/>
        <v>0.13624820467080784</v>
      </c>
      <c r="R1084" s="16">
        <f t="shared" si="230"/>
        <v>0.13720152880666717</v>
      </c>
      <c r="S1084" s="16">
        <f t="shared" si="230"/>
        <v>0.13492701118855366</v>
      </c>
      <c r="T1084" s="16">
        <f t="shared" si="230"/>
        <v>0.13130602053796758</v>
      </c>
      <c r="U1084" s="16">
        <f t="shared" si="230"/>
        <v>0.13122299677477983</v>
      </c>
      <c r="V1084" s="16">
        <f t="shared" si="230"/>
        <v>0.12828362967048756</v>
      </c>
      <c r="W1084" s="16">
        <f t="shared" si="230"/>
        <v>0.12905157142704579</v>
      </c>
      <c r="X1084" s="16">
        <f t="shared" si="230"/>
        <v>0.12587412098083522</v>
      </c>
      <c r="Y1084" s="16">
        <f t="shared" si="230"/>
        <v>0.12484044429036263</v>
      </c>
      <c r="Z1084" s="16">
        <f t="shared" si="230"/>
        <v>0.12033699307398825</v>
      </c>
      <c r="AA1084" s="16">
        <f t="shared" si="230"/>
        <v>0.11771952677577577</v>
      </c>
      <c r="AB1084" s="16">
        <f t="shared" si="230"/>
        <v>0.11337289019686202</v>
      </c>
      <c r="AC1084" s="16">
        <f t="shared" si="230"/>
        <v>0.10915749965422351</v>
      </c>
      <c r="AD1084" s="16">
        <f t="shared" si="230"/>
        <v>0.10718388193249805</v>
      </c>
      <c r="AE1084" s="65">
        <f t="shared" ref="AE1084" si="231">AE$1074/AE$1125*AE1135</f>
        <v>0.11079862785277063</v>
      </c>
      <c r="AF1084" s="16">
        <v>0</v>
      </c>
      <c r="AG1084" s="16">
        <v>0</v>
      </c>
      <c r="AH1084" s="16">
        <v>0</v>
      </c>
      <c r="AI1084" s="16">
        <v>0</v>
      </c>
      <c r="AJ1084" s="16">
        <v>0</v>
      </c>
      <c r="AK1084" s="16">
        <v>0</v>
      </c>
      <c r="AL1084" s="16">
        <v>0</v>
      </c>
      <c r="AM1084" s="16">
        <v>0</v>
      </c>
      <c r="AN1084" s="16">
        <v>0</v>
      </c>
      <c r="AO1084" s="16">
        <v>0</v>
      </c>
      <c r="AP1084" s="16">
        <v>0</v>
      </c>
      <c r="AQ1084" s="16">
        <v>0</v>
      </c>
      <c r="AR1084" s="16">
        <v>0</v>
      </c>
      <c r="AS1084" s="16">
        <v>0</v>
      </c>
      <c r="AT1084" s="16">
        <v>0</v>
      </c>
      <c r="AU1084" s="16">
        <v>0</v>
      </c>
      <c r="AV1084" s="16">
        <v>0</v>
      </c>
      <c r="AW1084" s="16">
        <v>0</v>
      </c>
      <c r="AX1084" s="16">
        <v>0</v>
      </c>
      <c r="AY1084" s="16">
        <v>0</v>
      </c>
      <c r="AZ1084" s="16">
        <v>0</v>
      </c>
      <c r="BA1084" s="16">
        <v>0</v>
      </c>
      <c r="BB1084" s="16">
        <v>0</v>
      </c>
      <c r="BC1084" s="16">
        <v>0</v>
      </c>
      <c r="BD1084" s="16">
        <v>0</v>
      </c>
      <c r="BE1084" s="16">
        <v>0</v>
      </c>
      <c r="BF1084" s="16">
        <v>0</v>
      </c>
      <c r="BG1084" s="16">
        <v>0</v>
      </c>
    </row>
    <row r="1085" spans="1:59" ht="12" customHeight="1" x14ac:dyDescent="0.2">
      <c r="A1085" t="s">
        <v>112</v>
      </c>
      <c r="B1085" t="str">
        <f t="shared" si="210"/>
        <v>OAS</v>
      </c>
      <c r="C1085" t="str">
        <f t="shared" si="211"/>
        <v>NB</v>
      </c>
      <c r="D1085" s="16">
        <f t="shared" ref="D1085:AD1085" si="232">D$1074/D$1125*D1136</f>
        <v>0.19778026159110584</v>
      </c>
      <c r="E1085" s="16">
        <f t="shared" si="232"/>
        <v>0.19045199725710343</v>
      </c>
      <c r="F1085" s="16">
        <f t="shared" si="232"/>
        <v>0.19752825779521915</v>
      </c>
      <c r="G1085" s="16">
        <f t="shared" si="232"/>
        <v>0.19493365770256116</v>
      </c>
      <c r="H1085" s="16">
        <f t="shared" si="232"/>
        <v>0.19629361054716896</v>
      </c>
      <c r="I1085" s="16">
        <f t="shared" si="232"/>
        <v>0.19691904381481976</v>
      </c>
      <c r="J1085" s="16">
        <f t="shared" si="232"/>
        <v>0.15716509962590935</v>
      </c>
      <c r="K1085" s="16">
        <f t="shared" si="232"/>
        <v>0.16642210186854939</v>
      </c>
      <c r="L1085" s="16">
        <f t="shared" si="232"/>
        <v>0.16310883580501964</v>
      </c>
      <c r="M1085" s="16">
        <f t="shared" si="232"/>
        <v>0.16277692391730206</v>
      </c>
      <c r="N1085" s="16">
        <f t="shared" si="232"/>
        <v>0.16207760811858557</v>
      </c>
      <c r="O1085" s="16">
        <f t="shared" si="232"/>
        <v>0.159956633975742</v>
      </c>
      <c r="P1085" s="16">
        <f t="shared" si="232"/>
        <v>0.16164150602126834</v>
      </c>
      <c r="Q1085" s="16">
        <f t="shared" si="232"/>
        <v>0.15658558093760966</v>
      </c>
      <c r="R1085" s="16">
        <f t="shared" si="232"/>
        <v>0.15768120501571073</v>
      </c>
      <c r="S1085" s="16">
        <f t="shared" si="232"/>
        <v>0.155067176717535</v>
      </c>
      <c r="T1085" s="16">
        <f t="shared" si="232"/>
        <v>0.14847388349603974</v>
      </c>
      <c r="U1085" s="16">
        <f t="shared" si="232"/>
        <v>0.15535872313199767</v>
      </c>
      <c r="V1085" s="16">
        <f t="shared" si="232"/>
        <v>0.15922992111228834</v>
      </c>
      <c r="W1085" s="16">
        <f t="shared" si="232"/>
        <v>0.14818726398002782</v>
      </c>
      <c r="X1085" s="16">
        <f t="shared" si="232"/>
        <v>0.14563295443384347</v>
      </c>
      <c r="Y1085" s="16">
        <f t="shared" si="232"/>
        <v>0.14189112406553664</v>
      </c>
      <c r="Z1085" s="16">
        <f t="shared" si="232"/>
        <v>0.14053550676320709</v>
      </c>
      <c r="AA1085" s="16">
        <f t="shared" si="232"/>
        <v>0.13982312376258565</v>
      </c>
      <c r="AB1085" s="16">
        <f t="shared" si="232"/>
        <v>0.13934424784404562</v>
      </c>
      <c r="AC1085" s="16">
        <f t="shared" si="232"/>
        <v>0.12694693351872846</v>
      </c>
      <c r="AD1085" s="16">
        <f t="shared" si="232"/>
        <v>0.12537169659367187</v>
      </c>
      <c r="AE1085" s="65">
        <f t="shared" ref="AE1085" si="233">AE$1074/AE$1125*AE1136</f>
        <v>0.12959982138826581</v>
      </c>
      <c r="AF1085" s="16">
        <v>0</v>
      </c>
      <c r="AG1085" s="16">
        <v>0</v>
      </c>
      <c r="AH1085" s="16">
        <v>0</v>
      </c>
      <c r="AI1085" s="16">
        <v>0</v>
      </c>
      <c r="AJ1085" s="16">
        <v>0</v>
      </c>
      <c r="AK1085" s="16">
        <v>0</v>
      </c>
      <c r="AL1085" s="16">
        <v>0</v>
      </c>
      <c r="AM1085" s="16">
        <v>0</v>
      </c>
      <c r="AN1085" s="16">
        <v>0</v>
      </c>
      <c r="AO1085" s="16">
        <v>0</v>
      </c>
      <c r="AP1085" s="16">
        <v>0</v>
      </c>
      <c r="AQ1085" s="16">
        <v>0</v>
      </c>
      <c r="AR1085" s="16">
        <v>0</v>
      </c>
      <c r="AS1085" s="16">
        <v>0</v>
      </c>
      <c r="AT1085" s="16">
        <v>0</v>
      </c>
      <c r="AU1085" s="16">
        <v>0</v>
      </c>
      <c r="AV1085" s="16">
        <v>0</v>
      </c>
      <c r="AW1085" s="16">
        <v>0</v>
      </c>
      <c r="AX1085" s="16">
        <v>0</v>
      </c>
      <c r="AY1085" s="16">
        <v>0</v>
      </c>
      <c r="AZ1085" s="16">
        <v>0</v>
      </c>
      <c r="BA1085" s="16">
        <v>0</v>
      </c>
      <c r="BB1085" s="16">
        <v>0</v>
      </c>
      <c r="BC1085" s="16">
        <v>0</v>
      </c>
      <c r="BD1085" s="16">
        <v>0</v>
      </c>
      <c r="BE1085" s="16">
        <v>0</v>
      </c>
      <c r="BF1085" s="16">
        <v>0</v>
      </c>
      <c r="BG1085" s="16">
        <v>0</v>
      </c>
    </row>
    <row r="1086" spans="1:59" ht="12" customHeight="1" x14ac:dyDescent="0.2">
      <c r="A1086" t="s">
        <v>113</v>
      </c>
      <c r="B1086" t="str">
        <f t="shared" si="210"/>
        <v>MID</v>
      </c>
      <c r="C1086" t="str">
        <f t="shared" si="211"/>
        <v>NB</v>
      </c>
      <c r="D1086" s="16">
        <f t="shared" ref="D1086:AD1086" si="234">D$1074/D$1125*D1137</f>
        <v>0.23519881667437215</v>
      </c>
      <c r="E1086" s="16">
        <f t="shared" si="234"/>
        <v>0.22648409921081772</v>
      </c>
      <c r="F1086" s="16">
        <f t="shared" si="234"/>
        <v>0.23489913563384174</v>
      </c>
      <c r="G1086" s="16">
        <f t="shared" si="234"/>
        <v>0.2318136564933701</v>
      </c>
      <c r="H1086" s="16">
        <f t="shared" si="234"/>
        <v>0.23343090230552285</v>
      </c>
      <c r="I1086" s="16">
        <f t="shared" si="234"/>
        <v>0.23417466289759037</v>
      </c>
      <c r="J1086" s="16">
        <f t="shared" si="234"/>
        <v>0.18689956802133181</v>
      </c>
      <c r="K1086" s="16">
        <f t="shared" si="234"/>
        <v>0.19790792626651507</v>
      </c>
      <c r="L1086" s="16">
        <f t="shared" si="234"/>
        <v>0.19396781489645004</v>
      </c>
      <c r="M1086" s="16">
        <f t="shared" si="234"/>
        <v>0.19357310774719605</v>
      </c>
      <c r="N1086" s="16">
        <f t="shared" si="234"/>
        <v>0.19274148659846962</v>
      </c>
      <c r="O1086" s="16">
        <f t="shared" si="234"/>
        <v>0.19021923991631545</v>
      </c>
      <c r="P1086" s="16">
        <f t="shared" si="234"/>
        <v>0.19222287722656836</v>
      </c>
      <c r="Q1086" s="16">
        <f t="shared" si="234"/>
        <v>0.18621040870567393</v>
      </c>
      <c r="R1086" s="16">
        <f t="shared" si="234"/>
        <v>0.18751331671386576</v>
      </c>
      <c r="S1086" s="16">
        <f t="shared" si="234"/>
        <v>0.1844047336958326</v>
      </c>
      <c r="T1086" s="16">
        <f t="shared" si="234"/>
        <v>0.17723015157856414</v>
      </c>
      <c r="U1086" s="16">
        <f t="shared" si="234"/>
        <v>0.16794045742115921</v>
      </c>
      <c r="V1086" s="16">
        <f t="shared" si="234"/>
        <v>0.15502500922209958</v>
      </c>
      <c r="W1086" s="16">
        <f t="shared" si="234"/>
        <v>0.15252613383207914</v>
      </c>
      <c r="X1086" s="16">
        <f t="shared" si="234"/>
        <v>0.17304811383584892</v>
      </c>
      <c r="Y1086" s="16">
        <f t="shared" si="234"/>
        <v>0.16605261489540879</v>
      </c>
      <c r="Z1086" s="16">
        <f t="shared" si="234"/>
        <v>0.17445267051432686</v>
      </c>
      <c r="AA1086" s="16">
        <f t="shared" si="234"/>
        <v>0.16679260483745176</v>
      </c>
      <c r="AB1086" s="16">
        <f t="shared" si="234"/>
        <v>0.18211979677577619</v>
      </c>
      <c r="AC1086" s="16">
        <f t="shared" si="234"/>
        <v>0.16232937259933125</v>
      </c>
      <c r="AD1086" s="16">
        <f t="shared" si="234"/>
        <v>0.15012828595273445</v>
      </c>
      <c r="AE1086" s="65">
        <f t="shared" ref="AE1086" si="235">AE$1074/AE$1125*AE1137</f>
        <v>0.15519131967926925</v>
      </c>
      <c r="AF1086" s="16">
        <v>0</v>
      </c>
      <c r="AG1086" s="16">
        <v>0</v>
      </c>
      <c r="AH1086" s="16">
        <v>0</v>
      </c>
      <c r="AI1086" s="16">
        <v>0</v>
      </c>
      <c r="AJ1086" s="16">
        <v>0</v>
      </c>
      <c r="AK1086" s="16">
        <v>0</v>
      </c>
      <c r="AL1086" s="16">
        <v>0</v>
      </c>
      <c r="AM1086" s="16">
        <v>0</v>
      </c>
      <c r="AN1086" s="16">
        <v>0</v>
      </c>
      <c r="AO1086" s="16">
        <v>0</v>
      </c>
      <c r="AP1086" s="16">
        <v>0</v>
      </c>
      <c r="AQ1086" s="16">
        <v>0</v>
      </c>
      <c r="AR1086" s="16">
        <v>0</v>
      </c>
      <c r="AS1086" s="16">
        <v>0</v>
      </c>
      <c r="AT1086" s="16">
        <v>0</v>
      </c>
      <c r="AU1086" s="16">
        <v>0</v>
      </c>
      <c r="AV1086" s="16">
        <v>0</v>
      </c>
      <c r="AW1086" s="16">
        <v>0</v>
      </c>
      <c r="AX1086" s="16">
        <v>0</v>
      </c>
      <c r="AY1086" s="16">
        <v>0</v>
      </c>
      <c r="AZ1086" s="16">
        <v>0</v>
      </c>
      <c r="BA1086" s="16">
        <v>0</v>
      </c>
      <c r="BB1086" s="16">
        <v>0</v>
      </c>
      <c r="BC1086" s="16">
        <v>0</v>
      </c>
      <c r="BD1086" s="16">
        <v>0</v>
      </c>
      <c r="BE1086" s="16">
        <v>0</v>
      </c>
      <c r="BF1086" s="16">
        <v>0</v>
      </c>
      <c r="BG1086" s="16">
        <v>0</v>
      </c>
    </row>
    <row r="1087" spans="1:59" ht="12" customHeight="1" x14ac:dyDescent="0.2">
      <c r="A1087" t="s">
        <v>114</v>
      </c>
      <c r="B1087" t="str">
        <f t="shared" si="210"/>
        <v>AFR</v>
      </c>
      <c r="C1087" t="str">
        <f t="shared" si="211"/>
        <v>NB</v>
      </c>
      <c r="D1087" s="16">
        <f t="shared" ref="D1087:AD1087" si="236">D$1074/D$1125*D1138</f>
        <v>0.23061003509817707</v>
      </c>
      <c r="E1087" s="16">
        <f t="shared" si="236"/>
        <v>0.22206534372363085</v>
      </c>
      <c r="F1087" s="16">
        <f t="shared" si="236"/>
        <v>0.23031620090184837</v>
      </c>
      <c r="G1087" s="16">
        <f t="shared" si="236"/>
        <v>0.22729092015027055</v>
      </c>
      <c r="H1087" s="16">
        <f t="shared" si="236"/>
        <v>0.22887661313451407</v>
      </c>
      <c r="I1087" s="16">
        <f t="shared" si="236"/>
        <v>0.22960586279089645</v>
      </c>
      <c r="J1087" s="16">
        <f t="shared" si="236"/>
        <v>0.1832531156009419</v>
      </c>
      <c r="K1087" s="16">
        <f t="shared" si="236"/>
        <v>0.19404669831190302</v>
      </c>
      <c r="L1087" s="16">
        <f t="shared" si="236"/>
        <v>0.1901834593968901</v>
      </c>
      <c r="M1087" s="16">
        <f t="shared" si="236"/>
        <v>0.18979645307249615</v>
      </c>
      <c r="N1087" s="16">
        <f t="shared" si="236"/>
        <v>0.18898105703858797</v>
      </c>
      <c r="O1087" s="16">
        <f t="shared" si="236"/>
        <v>0.18650801995395366</v>
      </c>
      <c r="P1087" s="16">
        <f t="shared" si="236"/>
        <v>0.18847256585165328</v>
      </c>
      <c r="Q1087" s="16">
        <f t="shared" si="236"/>
        <v>0.18257740193784086</v>
      </c>
      <c r="R1087" s="16">
        <f t="shared" si="236"/>
        <v>0.18385488991906143</v>
      </c>
      <c r="S1087" s="16">
        <f t="shared" si="236"/>
        <v>0.18080695605174651</v>
      </c>
      <c r="T1087" s="16">
        <f t="shared" si="236"/>
        <v>0.16973647465272482</v>
      </c>
      <c r="U1087" s="16">
        <f t="shared" si="236"/>
        <v>0.15627042825043039</v>
      </c>
      <c r="V1087" s="16">
        <f t="shared" si="236"/>
        <v>0.1429003658953871</v>
      </c>
      <c r="W1087" s="16">
        <f t="shared" si="236"/>
        <v>0.14302035799396484</v>
      </c>
      <c r="X1087" s="16">
        <f t="shared" si="236"/>
        <v>0.14189314969125166</v>
      </c>
      <c r="Y1087" s="16">
        <f t="shared" si="236"/>
        <v>0.14628936635062459</v>
      </c>
      <c r="Z1087" s="16">
        <f t="shared" si="236"/>
        <v>0.14613708238473344</v>
      </c>
      <c r="AA1087" s="16">
        <f t="shared" si="236"/>
        <v>0.14818282843130348</v>
      </c>
      <c r="AB1087" s="16">
        <f t="shared" si="236"/>
        <v>0.13364054660280655</v>
      </c>
      <c r="AC1087" s="16">
        <f t="shared" si="236"/>
        <v>0.12494956360083176</v>
      </c>
      <c r="AD1087" s="16">
        <f t="shared" si="236"/>
        <v>0.12167902552504367</v>
      </c>
      <c r="AE1087" s="65">
        <f t="shared" ref="AE1087" si="237">AE$1074/AE$1125*AE1138</f>
        <v>0.12578261603855387</v>
      </c>
      <c r="AF1087" s="16">
        <v>0</v>
      </c>
      <c r="AG1087" s="16">
        <v>0</v>
      </c>
      <c r="AH1087" s="16">
        <v>0</v>
      </c>
      <c r="AI1087" s="16">
        <v>0</v>
      </c>
      <c r="AJ1087" s="16">
        <v>0</v>
      </c>
      <c r="AK1087" s="16">
        <v>0</v>
      </c>
      <c r="AL1087" s="16">
        <v>0</v>
      </c>
      <c r="AM1087" s="16">
        <v>0</v>
      </c>
      <c r="AN1087" s="16">
        <v>0</v>
      </c>
      <c r="AO1087" s="16">
        <v>0</v>
      </c>
      <c r="AP1087" s="16">
        <v>0</v>
      </c>
      <c r="AQ1087" s="16">
        <v>0</v>
      </c>
      <c r="AR1087" s="16">
        <v>0</v>
      </c>
      <c r="AS1087" s="16">
        <v>0</v>
      </c>
      <c r="AT1087" s="16">
        <v>0</v>
      </c>
      <c r="AU1087" s="16">
        <v>0</v>
      </c>
      <c r="AV1087" s="16">
        <v>0</v>
      </c>
      <c r="AW1087" s="16">
        <v>0</v>
      </c>
      <c r="AX1087" s="16">
        <v>0</v>
      </c>
      <c r="AY1087" s="16">
        <v>0</v>
      </c>
      <c r="AZ1087" s="16">
        <v>0</v>
      </c>
      <c r="BA1087" s="16">
        <v>0</v>
      </c>
      <c r="BB1087" s="16">
        <v>0</v>
      </c>
      <c r="BC1087" s="16">
        <v>0</v>
      </c>
      <c r="BD1087" s="16">
        <v>0</v>
      </c>
      <c r="BE1087" s="16">
        <v>0</v>
      </c>
      <c r="BF1087" s="16">
        <v>0</v>
      </c>
      <c r="BG1087" s="16">
        <v>0</v>
      </c>
    </row>
    <row r="1088" spans="1:59" ht="12" customHeight="1" x14ac:dyDescent="0.2">
      <c r="A1088" t="s">
        <v>115</v>
      </c>
      <c r="B1088" t="str">
        <f t="shared" si="210"/>
        <v>BRZ</v>
      </c>
      <c r="C1088" t="str">
        <f t="shared" si="211"/>
        <v>NB</v>
      </c>
      <c r="D1088" s="16">
        <f t="shared" ref="D1088:AD1088" si="238">D$1074/D$1125*D1139</f>
        <v>0.17942354330759594</v>
      </c>
      <c r="E1088" s="16">
        <f t="shared" si="238"/>
        <v>0.17277544231650832</v>
      </c>
      <c r="F1088" s="16">
        <f t="shared" si="238"/>
        <v>0.17919492891695246</v>
      </c>
      <c r="G1088" s="16">
        <f t="shared" si="238"/>
        <v>0.17684114326440153</v>
      </c>
      <c r="H1088" s="16">
        <f t="shared" si="238"/>
        <v>0.1780748738507997</v>
      </c>
      <c r="I1088" s="16">
        <f t="shared" si="238"/>
        <v>0.17864225834145411</v>
      </c>
      <c r="J1088" s="16">
        <f t="shared" si="238"/>
        <v>0.14257802488638274</v>
      </c>
      <c r="K1088" s="16">
        <f t="shared" si="238"/>
        <v>0.1509758504803981</v>
      </c>
      <c r="L1088" s="16">
        <f t="shared" si="238"/>
        <v>0.14797010090631596</v>
      </c>
      <c r="M1088" s="16">
        <f t="shared" si="238"/>
        <v>0.1476689949896734</v>
      </c>
      <c r="N1088" s="16">
        <f t="shared" si="238"/>
        <v>0.14703458527918317</v>
      </c>
      <c r="O1088" s="16">
        <f t="shared" si="238"/>
        <v>0.14511046659862675</v>
      </c>
      <c r="P1088" s="16">
        <f t="shared" si="238"/>
        <v>0.14663895943201796</v>
      </c>
      <c r="Q1088" s="16">
        <f t="shared" si="238"/>
        <v>0.14205229347298892</v>
      </c>
      <c r="R1088" s="16">
        <f t="shared" si="238"/>
        <v>0.14304622862427527</v>
      </c>
      <c r="S1088" s="16">
        <f t="shared" si="238"/>
        <v>0.14067481796988615</v>
      </c>
      <c r="T1088" s="16">
        <f t="shared" si="238"/>
        <v>0.13115450693891176</v>
      </c>
      <c r="U1088" s="16">
        <f t="shared" si="238"/>
        <v>0.14080289218800385</v>
      </c>
      <c r="V1088" s="16">
        <f t="shared" si="238"/>
        <v>0.13548125443824263</v>
      </c>
      <c r="W1088" s="16">
        <f t="shared" si="238"/>
        <v>0.13401193402864944</v>
      </c>
      <c r="X1088" s="16">
        <f t="shared" si="238"/>
        <v>0.13124975819112203</v>
      </c>
      <c r="Y1088" s="16">
        <f t="shared" si="238"/>
        <v>0.12696610023698163</v>
      </c>
      <c r="Z1088" s="16">
        <f t="shared" si="238"/>
        <v>0.1276206728129331</v>
      </c>
      <c r="AA1088" s="16">
        <f t="shared" si="238"/>
        <v>0.12464577263295812</v>
      </c>
      <c r="AB1088" s="16">
        <f t="shared" si="238"/>
        <v>0.12379862095591111</v>
      </c>
      <c r="AC1088" s="16">
        <f t="shared" si="238"/>
        <v>0.11032320736698602</v>
      </c>
      <c r="AD1088" s="16">
        <f t="shared" si="238"/>
        <v>0.10232411807813836</v>
      </c>
      <c r="AE1088" s="65">
        <f t="shared" ref="AE1088" si="239">AE$1074/AE$1125*AE1139</f>
        <v>0.10577496984521077</v>
      </c>
      <c r="AF1088" s="16">
        <v>0</v>
      </c>
      <c r="AG1088" s="16">
        <v>0</v>
      </c>
      <c r="AH1088" s="16">
        <v>0</v>
      </c>
      <c r="AI1088" s="16">
        <v>0</v>
      </c>
      <c r="AJ1088" s="16">
        <v>0</v>
      </c>
      <c r="AK1088" s="16">
        <v>0</v>
      </c>
      <c r="AL1088" s="16">
        <v>0</v>
      </c>
      <c r="AM1088" s="16">
        <v>0</v>
      </c>
      <c r="AN1088" s="16">
        <v>0</v>
      </c>
      <c r="AO1088" s="16">
        <v>0</v>
      </c>
      <c r="AP1088" s="16">
        <v>0</v>
      </c>
      <c r="AQ1088" s="16">
        <v>0</v>
      </c>
      <c r="AR1088" s="16">
        <v>0</v>
      </c>
      <c r="AS1088" s="16">
        <v>0</v>
      </c>
      <c r="AT1088" s="16">
        <v>0</v>
      </c>
      <c r="AU1088" s="16">
        <v>0</v>
      </c>
      <c r="AV1088" s="16">
        <v>0</v>
      </c>
      <c r="AW1088" s="16">
        <v>0</v>
      </c>
      <c r="AX1088" s="16">
        <v>0</v>
      </c>
      <c r="AY1088" s="16">
        <v>0</v>
      </c>
      <c r="AZ1088" s="16">
        <v>0</v>
      </c>
      <c r="BA1088" s="16">
        <v>0</v>
      </c>
      <c r="BB1088" s="16">
        <v>0</v>
      </c>
      <c r="BC1088" s="16">
        <v>0</v>
      </c>
      <c r="BD1088" s="16">
        <v>0</v>
      </c>
      <c r="BE1088" s="16">
        <v>0</v>
      </c>
      <c r="BF1088" s="16">
        <v>0</v>
      </c>
      <c r="BG1088" s="16">
        <v>0</v>
      </c>
    </row>
    <row r="1089" spans="1:59" ht="12" customHeight="1" x14ac:dyDescent="0.2">
      <c r="A1089" t="s">
        <v>116</v>
      </c>
      <c r="B1089" t="str">
        <f t="shared" si="210"/>
        <v>CSA</v>
      </c>
      <c r="C1089" t="str">
        <f t="shared" si="211"/>
        <v>NB</v>
      </c>
      <c r="D1089" s="16">
        <f t="shared" ref="D1089:AD1089" si="240">D$1074/D$1125*D1140</f>
        <v>0.21787048652847671</v>
      </c>
      <c r="E1089" s="16">
        <f t="shared" si="240"/>
        <v>0.20979782799817681</v>
      </c>
      <c r="F1089" s="16">
        <f t="shared" si="240"/>
        <v>0.21759288456165174</v>
      </c>
      <c r="G1089" s="16">
        <f t="shared" si="240"/>
        <v>0.21473472884890968</v>
      </c>
      <c r="H1089" s="16">
        <f t="shared" si="240"/>
        <v>0.21623282368166427</v>
      </c>
      <c r="I1089" s="16">
        <f t="shared" si="240"/>
        <v>0.2169217875308268</v>
      </c>
      <c r="J1089" s="16">
        <f t="shared" si="240"/>
        <v>0.17312969679241857</v>
      </c>
      <c r="K1089" s="16">
        <f t="shared" si="240"/>
        <v>0.18332701156070833</v>
      </c>
      <c r="L1089" s="16">
        <f t="shared" si="240"/>
        <v>0.17967718885619643</v>
      </c>
      <c r="M1089" s="16">
        <f t="shared" si="240"/>
        <v>0.17931156185236977</v>
      </c>
      <c r="N1089" s="16">
        <f t="shared" si="240"/>
        <v>0.17854121059447528</v>
      </c>
      <c r="O1089" s="16">
        <f t="shared" si="240"/>
        <v>0.1762047910514018</v>
      </c>
      <c r="P1089" s="16">
        <f t="shared" si="240"/>
        <v>0.17806080989445483</v>
      </c>
      <c r="Q1089" s="16">
        <f t="shared" si="240"/>
        <v>0.17249131145731766</v>
      </c>
      <c r="R1089" s="16">
        <f t="shared" si="240"/>
        <v>0.17369822740043486</v>
      </c>
      <c r="S1089" s="16">
        <f t="shared" si="240"/>
        <v>0.17081866999394205</v>
      </c>
      <c r="T1089" s="16">
        <f t="shared" si="240"/>
        <v>0.15778346358631973</v>
      </c>
      <c r="U1089" s="16">
        <f t="shared" si="240"/>
        <v>0.13787482277326635</v>
      </c>
      <c r="V1089" s="16">
        <f t="shared" si="240"/>
        <v>0.12997151840523677</v>
      </c>
      <c r="W1089" s="16">
        <f t="shared" si="240"/>
        <v>0.13168049965236173</v>
      </c>
      <c r="X1089" s="16">
        <f t="shared" si="240"/>
        <v>0.13146049159060738</v>
      </c>
      <c r="Y1089" s="16">
        <f t="shared" si="240"/>
        <v>0.12251618508977459</v>
      </c>
      <c r="Z1089" s="16">
        <f t="shared" si="240"/>
        <v>0.12820177766748617</v>
      </c>
      <c r="AA1089" s="16">
        <f t="shared" si="240"/>
        <v>0.12369729654823898</v>
      </c>
      <c r="AB1089" s="16">
        <f t="shared" si="240"/>
        <v>0.1161527907183192</v>
      </c>
      <c r="AC1089" s="16">
        <f t="shared" si="240"/>
        <v>0.12079201523325558</v>
      </c>
      <c r="AD1089" s="16">
        <f t="shared" si="240"/>
        <v>0.11043884258558623</v>
      </c>
      <c r="AE1089" s="65">
        <f t="shared" ref="AE1089" si="241">AE$1074/AE$1125*AE1140</f>
        <v>0.11416336112772384</v>
      </c>
      <c r="AF1089" s="16">
        <v>0</v>
      </c>
      <c r="AG1089" s="16">
        <v>0</v>
      </c>
      <c r="AH1089" s="16">
        <v>0</v>
      </c>
      <c r="AI1089" s="16">
        <v>0</v>
      </c>
      <c r="AJ1089" s="16">
        <v>0</v>
      </c>
      <c r="AK1089" s="16">
        <v>0</v>
      </c>
      <c r="AL1089" s="16">
        <v>0</v>
      </c>
      <c r="AM1089" s="16">
        <v>0</v>
      </c>
      <c r="AN1089" s="16">
        <v>0</v>
      </c>
      <c r="AO1089" s="16">
        <v>0</v>
      </c>
      <c r="AP1089" s="16">
        <v>0</v>
      </c>
      <c r="AQ1089" s="16">
        <v>0</v>
      </c>
      <c r="AR1089" s="16">
        <v>0</v>
      </c>
      <c r="AS1089" s="16">
        <v>0</v>
      </c>
      <c r="AT1089" s="16">
        <v>0</v>
      </c>
      <c r="AU1089" s="16">
        <v>0</v>
      </c>
      <c r="AV1089" s="16">
        <v>0</v>
      </c>
      <c r="AW1089" s="16">
        <v>0</v>
      </c>
      <c r="AX1089" s="16">
        <v>0</v>
      </c>
      <c r="AY1089" s="16">
        <v>0</v>
      </c>
      <c r="AZ1089" s="16">
        <v>0</v>
      </c>
      <c r="BA1089" s="16">
        <v>0</v>
      </c>
      <c r="BB1089" s="16">
        <v>0</v>
      </c>
      <c r="BC1089" s="16">
        <v>0</v>
      </c>
      <c r="BD1089" s="16">
        <v>0</v>
      </c>
      <c r="BE1089" s="16">
        <v>0</v>
      </c>
      <c r="BF1089" s="16">
        <v>0</v>
      </c>
      <c r="BG1089" s="16">
        <v>0</v>
      </c>
    </row>
    <row r="1090" spans="1:59" ht="12" customHeight="1" x14ac:dyDescent="0.2">
      <c r="A1090" t="s">
        <v>117</v>
      </c>
      <c r="B1090" t="str">
        <f t="shared" si="210"/>
        <v>USA</v>
      </c>
      <c r="C1090" t="str">
        <f t="shared" si="211"/>
        <v>WB</v>
      </c>
      <c r="D1090" s="40">
        <v>0.14086413459692979</v>
      </c>
      <c r="E1090" s="40">
        <v>0.14024006960900945</v>
      </c>
      <c r="F1090" s="40">
        <v>0.13646057742695766</v>
      </c>
      <c r="G1090" s="40">
        <v>0.13747474207720212</v>
      </c>
      <c r="H1090" s="40">
        <v>0.13429883729615791</v>
      </c>
      <c r="I1090" s="40">
        <v>0.14004090002104949</v>
      </c>
      <c r="J1090" s="40">
        <v>0.13630832251738972</v>
      </c>
      <c r="K1090" s="40">
        <v>0.12668204302788674</v>
      </c>
      <c r="L1090" s="40">
        <v>0.11632307331157674</v>
      </c>
      <c r="M1090" s="40">
        <v>0.11956429542553058</v>
      </c>
      <c r="N1090" s="40">
        <v>0.11994192530947485</v>
      </c>
      <c r="O1090" s="40">
        <v>0.11579669139025829</v>
      </c>
      <c r="P1090" s="40">
        <v>0.11460272523594293</v>
      </c>
      <c r="Q1090" s="40">
        <v>0.11891121532483677</v>
      </c>
      <c r="R1090" s="40">
        <v>0.122330519729255</v>
      </c>
      <c r="S1090" s="40">
        <v>0.12566909586071817</v>
      </c>
      <c r="T1090" s="40">
        <v>0.13015402003885337</v>
      </c>
      <c r="U1090" s="40">
        <v>0.13002124525662129</v>
      </c>
      <c r="V1090" s="40">
        <v>0.13336974001580121</v>
      </c>
      <c r="W1090" s="40">
        <v>0.12668735043279986</v>
      </c>
      <c r="X1090" s="40">
        <v>0.12599882584051078</v>
      </c>
      <c r="Y1090" s="40">
        <v>0.1233323419179725</v>
      </c>
      <c r="Z1090" s="40">
        <v>0.118295881844083</v>
      </c>
      <c r="AA1090" s="40">
        <v>0.11505206164449805</v>
      </c>
      <c r="AB1090" s="40">
        <v>0.11665287829624446</v>
      </c>
      <c r="AC1090" s="40">
        <v>0.11789842303593542</v>
      </c>
      <c r="AD1090" s="40">
        <v>0.10250406477980915</v>
      </c>
      <c r="AE1090" s="40">
        <v>0.11094389942483729</v>
      </c>
      <c r="AF1090" s="16">
        <v>0</v>
      </c>
      <c r="AG1090" s="16">
        <v>0</v>
      </c>
      <c r="AH1090" s="16">
        <v>0</v>
      </c>
      <c r="AI1090" s="16">
        <v>0</v>
      </c>
      <c r="AJ1090" s="16">
        <v>0</v>
      </c>
      <c r="AK1090" s="16">
        <v>0</v>
      </c>
      <c r="AL1090" s="16">
        <v>0</v>
      </c>
      <c r="AM1090" s="16">
        <v>0</v>
      </c>
      <c r="AN1090" s="16">
        <v>0</v>
      </c>
      <c r="AO1090" s="16">
        <v>0</v>
      </c>
      <c r="AP1090" s="16">
        <v>0</v>
      </c>
      <c r="AQ1090" s="16">
        <v>0</v>
      </c>
      <c r="AR1090" s="16">
        <v>0</v>
      </c>
      <c r="AS1090" s="16">
        <v>0</v>
      </c>
      <c r="AT1090" s="16">
        <v>0</v>
      </c>
      <c r="AU1090" s="16">
        <v>0</v>
      </c>
      <c r="AV1090" s="16">
        <v>0</v>
      </c>
      <c r="AW1090" s="16">
        <v>0</v>
      </c>
      <c r="AX1090" s="16">
        <v>0</v>
      </c>
      <c r="AY1090" s="16">
        <v>0</v>
      </c>
      <c r="AZ1090" s="16">
        <v>0</v>
      </c>
      <c r="BA1090" s="16">
        <v>0</v>
      </c>
      <c r="BB1090" s="16">
        <v>0</v>
      </c>
      <c r="BC1090" s="16">
        <v>0</v>
      </c>
      <c r="BD1090" s="16">
        <v>0</v>
      </c>
      <c r="BE1090" s="16">
        <v>0</v>
      </c>
      <c r="BF1090" s="16">
        <v>0</v>
      </c>
      <c r="BG1090" s="16">
        <v>0</v>
      </c>
    </row>
    <row r="1091" spans="1:59" ht="12" customHeight="1" x14ac:dyDescent="0.2">
      <c r="A1091" t="s">
        <v>118</v>
      </c>
      <c r="B1091" t="str">
        <f t="shared" si="210"/>
        <v>CAN</v>
      </c>
      <c r="C1091" t="str">
        <f t="shared" si="211"/>
        <v>WB</v>
      </c>
      <c r="D1091" s="16">
        <f t="shared" ref="D1091:AE1091" si="242">D$1090/D$1141*D1142</f>
        <v>0.14230912019302461</v>
      </c>
      <c r="E1091" s="16">
        <f t="shared" si="242"/>
        <v>0.14167865354068374</v>
      </c>
      <c r="F1091" s="16">
        <f t="shared" si="242"/>
        <v>0.13786039129285727</v>
      </c>
      <c r="G1091" s="16">
        <f t="shared" si="242"/>
        <v>0.13888495925346789</v>
      </c>
      <c r="H1091" s="16">
        <f t="shared" si="242"/>
        <v>0.13567647601179345</v>
      </c>
      <c r="I1091" s="16">
        <f t="shared" si="242"/>
        <v>0.14147744086924763</v>
      </c>
      <c r="J1091" s="16">
        <f t="shared" si="242"/>
        <v>0.1377065745510182</v>
      </c>
      <c r="K1091" s="16">
        <f t="shared" si="242"/>
        <v>0.12798154859744104</v>
      </c>
      <c r="L1091" s="16">
        <f t="shared" si="242"/>
        <v>0.11751631647393079</v>
      </c>
      <c r="M1091" s="16">
        <f t="shared" si="242"/>
        <v>0.12079078707432023</v>
      </c>
      <c r="N1091" s="16">
        <f t="shared" si="242"/>
        <v>0.12117229068910816</v>
      </c>
      <c r="O1091" s="16">
        <f t="shared" si="242"/>
        <v>0.11698453492199291</v>
      </c>
      <c r="P1091" s="16">
        <f t="shared" si="242"/>
        <v>0.11577832105181896</v>
      </c>
      <c r="Q1091" s="16">
        <f t="shared" si="242"/>
        <v>0.12013100767191061</v>
      </c>
      <c r="R1091" s="16">
        <f t="shared" si="242"/>
        <v>0.1235853873325478</v>
      </c>
      <c r="S1091" s="16">
        <f t="shared" si="242"/>
        <v>0.12695821060885898</v>
      </c>
      <c r="T1091" s="16">
        <f t="shared" si="242"/>
        <v>0.11751557485006167</v>
      </c>
      <c r="U1091" s="16">
        <f t="shared" si="242"/>
        <v>0.13365348243064379</v>
      </c>
      <c r="V1091" s="16">
        <f t="shared" si="242"/>
        <v>0.13960944016561114</v>
      </c>
      <c r="W1091" s="16">
        <f t="shared" si="242"/>
        <v>0.12138568910626674</v>
      </c>
      <c r="X1091" s="16">
        <f t="shared" si="242"/>
        <v>0.12127592480873808</v>
      </c>
      <c r="Y1091" s="16">
        <f t="shared" si="242"/>
        <v>0.12485999132462268</v>
      </c>
      <c r="Z1091" s="16">
        <f t="shared" si="242"/>
        <v>0.1121450275679166</v>
      </c>
      <c r="AA1091" s="16">
        <f t="shared" si="242"/>
        <v>0.11398847889155934</v>
      </c>
      <c r="AB1091" s="16">
        <f t="shared" si="242"/>
        <v>0.12044170282696225</v>
      </c>
      <c r="AC1091" s="16">
        <f t="shared" si="242"/>
        <v>0.11532047373115088</v>
      </c>
      <c r="AD1091" s="16">
        <f t="shared" si="242"/>
        <v>9.9048199864808714E-2</v>
      </c>
      <c r="AE1091" s="65">
        <f t="shared" si="242"/>
        <v>0.10720349039443214</v>
      </c>
      <c r="AF1091" s="16">
        <v>0</v>
      </c>
      <c r="AG1091" s="16">
        <v>0</v>
      </c>
      <c r="AH1091" s="16">
        <v>0</v>
      </c>
      <c r="AI1091" s="16">
        <v>0</v>
      </c>
      <c r="AJ1091" s="16">
        <v>0</v>
      </c>
      <c r="AK1091" s="16">
        <v>0</v>
      </c>
      <c r="AL1091" s="16">
        <v>0</v>
      </c>
      <c r="AM1091" s="16">
        <v>0</v>
      </c>
      <c r="AN1091" s="16">
        <v>0</v>
      </c>
      <c r="AO1091" s="16">
        <v>0</v>
      </c>
      <c r="AP1091" s="16">
        <v>0</v>
      </c>
      <c r="AQ1091" s="16">
        <v>0</v>
      </c>
      <c r="AR1091" s="16">
        <v>0</v>
      </c>
      <c r="AS1091" s="16">
        <v>0</v>
      </c>
      <c r="AT1091" s="16">
        <v>0</v>
      </c>
      <c r="AU1091" s="16">
        <v>0</v>
      </c>
      <c r="AV1091" s="16">
        <v>0</v>
      </c>
      <c r="AW1091" s="16">
        <v>0</v>
      </c>
      <c r="AX1091" s="16">
        <v>0</v>
      </c>
      <c r="AY1091" s="16">
        <v>0</v>
      </c>
      <c r="AZ1091" s="16">
        <v>0</v>
      </c>
      <c r="BA1091" s="16">
        <v>0</v>
      </c>
      <c r="BB1091" s="16">
        <v>0</v>
      </c>
      <c r="BC1091" s="16">
        <v>0</v>
      </c>
      <c r="BD1091" s="16">
        <v>0</v>
      </c>
      <c r="BE1091" s="16">
        <v>0</v>
      </c>
      <c r="BF1091" s="16">
        <v>0</v>
      </c>
      <c r="BG1091" s="16">
        <v>0</v>
      </c>
    </row>
    <row r="1092" spans="1:59" ht="12" customHeight="1" x14ac:dyDescent="0.2">
      <c r="A1092" t="s">
        <v>119</v>
      </c>
      <c r="B1092" t="str">
        <f t="shared" si="210"/>
        <v>MXC</v>
      </c>
      <c r="C1092" t="str">
        <f t="shared" si="211"/>
        <v>WB</v>
      </c>
      <c r="D1092" s="16">
        <f t="shared" ref="D1092:AC1092" si="243">D$1090/D$1141*D1143</f>
        <v>0.16240509313045251</v>
      </c>
      <c r="E1092" s="16">
        <f t="shared" si="243"/>
        <v>0.16168559605781108</v>
      </c>
      <c r="F1092" s="16">
        <f t="shared" si="243"/>
        <v>0.15732814352691457</v>
      </c>
      <c r="G1092" s="16">
        <f t="shared" si="243"/>
        <v>0.15849739434397922</v>
      </c>
      <c r="H1092" s="16">
        <f t="shared" si="243"/>
        <v>0.15483582986402977</v>
      </c>
      <c r="I1092" s="16">
        <f t="shared" si="243"/>
        <v>0.16145596943515128</v>
      </c>
      <c r="J1092" s="16">
        <f t="shared" si="243"/>
        <v>0.15715260578028586</v>
      </c>
      <c r="K1092" s="16">
        <f t="shared" si="243"/>
        <v>0.14605427460133882</v>
      </c>
      <c r="L1092" s="16">
        <f t="shared" si="243"/>
        <v>0.13411121012771141</v>
      </c>
      <c r="M1092" s="16">
        <f t="shared" si="243"/>
        <v>0.13784808027410728</v>
      </c>
      <c r="N1092" s="16">
        <f t="shared" si="243"/>
        <v>0.13828345736030667</v>
      </c>
      <c r="O1092" s="16">
        <f t="shared" si="243"/>
        <v>0.13350433382666768</v>
      </c>
      <c r="P1092" s="16">
        <f t="shared" si="243"/>
        <v>0.13212778624029278</v>
      </c>
      <c r="Q1092" s="16">
        <f t="shared" si="243"/>
        <v>0.13709513109454274</v>
      </c>
      <c r="R1092" s="16">
        <f t="shared" si="243"/>
        <v>0.1410373158943137</v>
      </c>
      <c r="S1092" s="16">
        <f t="shared" si="243"/>
        <v>0.14488642744499228</v>
      </c>
      <c r="T1092" s="16">
        <f t="shared" si="243"/>
        <v>0.13493047454150314</v>
      </c>
      <c r="U1092" s="16">
        <f t="shared" si="243"/>
        <v>0.13472246625585876</v>
      </c>
      <c r="V1092" s="16">
        <f t="shared" si="243"/>
        <v>0.1322180403921219</v>
      </c>
      <c r="W1092" s="16">
        <f t="shared" si="243"/>
        <v>0.12812231651180783</v>
      </c>
      <c r="X1092" s="16">
        <f t="shared" si="243"/>
        <v>0.12262269119419426</v>
      </c>
      <c r="Y1092" s="16">
        <f t="shared" si="243"/>
        <v>0.11505586628243095</v>
      </c>
      <c r="Z1092" s="16">
        <f t="shared" si="243"/>
        <v>0.10761923518740575</v>
      </c>
      <c r="AA1092" s="16">
        <f t="shared" si="243"/>
        <v>0.10690974537783227</v>
      </c>
      <c r="AB1092" s="16">
        <f t="shared" si="243"/>
        <v>0.10664017976949354</v>
      </c>
      <c r="AC1092" s="16">
        <f t="shared" si="243"/>
        <v>0.10019365441799212</v>
      </c>
      <c r="AD1092" s="16">
        <f t="shared" ref="AD1092:AE1105" si="244">AD$1090/AD$1141*AD1143</f>
        <v>8.586222878938099E-2</v>
      </c>
      <c r="AE1092" s="65">
        <f t="shared" si="244"/>
        <v>9.2931831490431063E-2</v>
      </c>
      <c r="AF1092" s="16">
        <v>0</v>
      </c>
      <c r="AG1092" s="16">
        <v>0</v>
      </c>
      <c r="AH1092" s="16">
        <v>0</v>
      </c>
      <c r="AI1092" s="16">
        <v>0</v>
      </c>
      <c r="AJ1092" s="16">
        <v>0</v>
      </c>
      <c r="AK1092" s="16">
        <v>0</v>
      </c>
      <c r="AL1092" s="16">
        <v>0</v>
      </c>
      <c r="AM1092" s="16">
        <v>0</v>
      </c>
      <c r="AN1092" s="16">
        <v>0</v>
      </c>
      <c r="AO1092" s="16">
        <v>0</v>
      </c>
      <c r="AP1092" s="16">
        <v>0</v>
      </c>
      <c r="AQ1092" s="16">
        <v>0</v>
      </c>
      <c r="AR1092" s="16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>
        <v>0</v>
      </c>
      <c r="AX1092" s="16">
        <v>0</v>
      </c>
      <c r="AY1092" s="16">
        <v>0</v>
      </c>
      <c r="AZ1092" s="16">
        <v>0</v>
      </c>
      <c r="BA1092" s="16">
        <v>0</v>
      </c>
      <c r="BB1092" s="16">
        <v>0</v>
      </c>
      <c r="BC1092" s="16">
        <v>0</v>
      </c>
      <c r="BD1092" s="16">
        <v>0</v>
      </c>
      <c r="BE1092" s="16">
        <v>0</v>
      </c>
      <c r="BF1092" s="16">
        <v>0</v>
      </c>
      <c r="BG1092" s="16">
        <v>0</v>
      </c>
    </row>
    <row r="1093" spans="1:59" ht="12" customHeight="1" x14ac:dyDescent="0.2">
      <c r="A1093" t="s">
        <v>120</v>
      </c>
      <c r="B1093" t="str">
        <f t="shared" si="210"/>
        <v>EUR</v>
      </c>
      <c r="C1093" t="str">
        <f t="shared" si="211"/>
        <v>WB</v>
      </c>
      <c r="D1093" s="16">
        <f t="shared" ref="D1093:AC1093" si="245">D$1090/D$1141*D1144</f>
        <v>0.12361262122798548</v>
      </c>
      <c r="E1093" s="16">
        <f t="shared" si="245"/>
        <v>0.12306498495993058</v>
      </c>
      <c r="F1093" s="16">
        <f t="shared" si="245"/>
        <v>0.11974836404097965</v>
      </c>
      <c r="G1093" s="16">
        <f t="shared" si="245"/>
        <v>0.12063832479026615</v>
      </c>
      <c r="H1093" s="16">
        <f t="shared" si="245"/>
        <v>0.11785137042548972</v>
      </c>
      <c r="I1093" s="16">
        <f t="shared" si="245"/>
        <v>0.12289020750570437</v>
      </c>
      <c r="J1093" s="16">
        <f t="shared" si="245"/>
        <v>0.1196147556635145</v>
      </c>
      <c r="K1093" s="16">
        <f t="shared" si="245"/>
        <v>0.11116739861428734</v>
      </c>
      <c r="L1093" s="16">
        <f t="shared" si="245"/>
        <v>0.10207708330075183</v>
      </c>
      <c r="M1093" s="16">
        <f t="shared" si="245"/>
        <v>0.10492135563901869</v>
      </c>
      <c r="N1093" s="16">
        <f t="shared" si="245"/>
        <v>0.10525273750525413</v>
      </c>
      <c r="O1093" s="16">
        <f t="shared" si="245"/>
        <v>0.10161516693540176</v>
      </c>
      <c r="P1093" s="16">
        <f t="shared" si="245"/>
        <v>0.10056742482265793</v>
      </c>
      <c r="Q1093" s="16">
        <f t="shared" si="245"/>
        <v>0.10434825771491189</v>
      </c>
      <c r="R1093" s="16">
        <f t="shared" si="245"/>
        <v>0.10734880275368962</v>
      </c>
      <c r="S1093" s="16">
        <f t="shared" si="245"/>
        <v>0.11027850624393734</v>
      </c>
      <c r="T1093" s="16">
        <f t="shared" si="245"/>
        <v>0.10936882409788207</v>
      </c>
      <c r="U1093" s="16">
        <f t="shared" si="245"/>
        <v>0.10660983464027726</v>
      </c>
      <c r="V1093" s="16">
        <f t="shared" si="245"/>
        <v>0.1072445339207152</v>
      </c>
      <c r="W1093" s="16">
        <f t="shared" si="245"/>
        <v>0.10279476445403858</v>
      </c>
      <c r="X1093" s="16">
        <f t="shared" si="245"/>
        <v>0.10485144265728578</v>
      </c>
      <c r="Y1093" s="16">
        <f t="shared" si="245"/>
        <v>0.10301877271662591</v>
      </c>
      <c r="Z1093" s="16">
        <f t="shared" si="245"/>
        <v>9.7604637197110364E-2</v>
      </c>
      <c r="AA1093" s="16">
        <f t="shared" si="245"/>
        <v>9.5219002594682717E-2</v>
      </c>
      <c r="AB1093" s="16">
        <f t="shared" si="245"/>
        <v>9.3234046643104279E-2</v>
      </c>
      <c r="AC1093" s="16">
        <f t="shared" si="245"/>
        <v>0.10192272900526199</v>
      </c>
      <c r="AD1093" s="16">
        <f t="shared" si="244"/>
        <v>8.7556546252783071E-2</v>
      </c>
      <c r="AE1093" s="65">
        <f t="shared" si="244"/>
        <v>9.4765653267715869E-2</v>
      </c>
      <c r="AF1093" s="16">
        <v>0</v>
      </c>
      <c r="AG1093" s="16">
        <v>0</v>
      </c>
      <c r="AH1093" s="16">
        <v>0</v>
      </c>
      <c r="AI1093" s="16">
        <v>0</v>
      </c>
      <c r="AJ1093" s="16">
        <v>0</v>
      </c>
      <c r="AK1093" s="16">
        <v>0</v>
      </c>
      <c r="AL1093" s="16">
        <v>0</v>
      </c>
      <c r="AM1093" s="16">
        <v>0</v>
      </c>
      <c r="AN1093" s="16">
        <v>0</v>
      </c>
      <c r="AO1093" s="16">
        <v>0</v>
      </c>
      <c r="AP1093" s="16">
        <v>0</v>
      </c>
      <c r="AQ1093" s="16">
        <v>0</v>
      </c>
      <c r="AR1093" s="16">
        <v>0</v>
      </c>
      <c r="AS1093" s="16">
        <v>0</v>
      </c>
      <c r="AT1093" s="16">
        <v>0</v>
      </c>
      <c r="AU1093" s="16">
        <v>0</v>
      </c>
      <c r="AV1093" s="16">
        <v>0</v>
      </c>
      <c r="AW1093" s="16">
        <v>0</v>
      </c>
      <c r="AX1093" s="16">
        <v>0</v>
      </c>
      <c r="AY1093" s="16">
        <v>0</v>
      </c>
      <c r="AZ1093" s="16">
        <v>0</v>
      </c>
      <c r="BA1093" s="16">
        <v>0</v>
      </c>
      <c r="BB1093" s="16">
        <v>0</v>
      </c>
      <c r="BC1093" s="16">
        <v>0</v>
      </c>
      <c r="BD1093" s="16">
        <v>0</v>
      </c>
      <c r="BE1093" s="16">
        <v>0</v>
      </c>
      <c r="BF1093" s="16">
        <v>0</v>
      </c>
      <c r="BG1093" s="16">
        <v>0</v>
      </c>
    </row>
    <row r="1094" spans="1:59" ht="12" customHeight="1" x14ac:dyDescent="0.2">
      <c r="A1094" t="s">
        <v>121</v>
      </c>
      <c r="B1094" t="str">
        <f t="shared" si="210"/>
        <v>JPN</v>
      </c>
      <c r="C1094" t="str">
        <f t="shared" si="211"/>
        <v>WB</v>
      </c>
      <c r="D1094" s="16">
        <f t="shared" ref="D1094:AC1094" si="246">D$1090/D$1141*D1145</f>
        <v>0.13365915734514608</v>
      </c>
      <c r="E1094" s="16">
        <f t="shared" si="246"/>
        <v>0.13306701229237788</v>
      </c>
      <c r="F1094" s="16">
        <f t="shared" si="246"/>
        <v>0.12948083514593042</v>
      </c>
      <c r="G1094" s="16">
        <f t="shared" si="246"/>
        <v>0.13044312688150084</v>
      </c>
      <c r="H1094" s="16">
        <f t="shared" si="246"/>
        <v>0.12742966459702773</v>
      </c>
      <c r="I1094" s="16">
        <f t="shared" si="246"/>
        <v>0.13287802991321029</v>
      </c>
      <c r="J1094" s="16">
        <f t="shared" si="246"/>
        <v>0.12933636783370261</v>
      </c>
      <c r="K1094" s="16">
        <f t="shared" si="246"/>
        <v>0.1202024572849498</v>
      </c>
      <c r="L1094" s="16">
        <f t="shared" si="246"/>
        <v>0.11037333245336858</v>
      </c>
      <c r="M1094" s="16">
        <f t="shared" si="246"/>
        <v>0.1134487711926839</v>
      </c>
      <c r="N1094" s="16">
        <f t="shared" si="246"/>
        <v>0.11380708590650912</v>
      </c>
      <c r="O1094" s="16">
        <f t="shared" si="246"/>
        <v>0.10987387413314777</v>
      </c>
      <c r="P1094" s="16">
        <f t="shared" si="246"/>
        <v>0.10874097745550124</v>
      </c>
      <c r="Q1094" s="16">
        <f t="shared" si="246"/>
        <v>0.11282909510417924</v>
      </c>
      <c r="R1094" s="16">
        <f t="shared" si="246"/>
        <v>0.11607350750701559</v>
      </c>
      <c r="S1094" s="16">
        <f t="shared" si="246"/>
        <v>0.11924132076012531</v>
      </c>
      <c r="T1094" s="16">
        <f t="shared" si="246"/>
        <v>0.12440016485840766</v>
      </c>
      <c r="U1094" s="16">
        <f t="shared" si="246"/>
        <v>0.12491041214034138</v>
      </c>
      <c r="V1094" s="16">
        <f t="shared" si="246"/>
        <v>0.1274333796694451</v>
      </c>
      <c r="W1094" s="16">
        <f t="shared" si="246"/>
        <v>0.11882638019946846</v>
      </c>
      <c r="X1094" s="16">
        <f t="shared" si="246"/>
        <v>0.11632405162721204</v>
      </c>
      <c r="Y1094" s="16">
        <f t="shared" si="246"/>
        <v>0.11404403035547271</v>
      </c>
      <c r="Z1094" s="16">
        <f t="shared" si="246"/>
        <v>0.11116630864288722</v>
      </c>
      <c r="AA1094" s="16">
        <f t="shared" si="246"/>
        <v>0.10671751240561701</v>
      </c>
      <c r="AB1094" s="16">
        <f t="shared" si="246"/>
        <v>0.10960835869995426</v>
      </c>
      <c r="AC1094" s="16">
        <f t="shared" si="246"/>
        <v>0.11635932407945895</v>
      </c>
      <c r="AD1094" s="16">
        <f t="shared" si="244"/>
        <v>0.10302854324763885</v>
      </c>
      <c r="AE1094" s="65">
        <f t="shared" si="244"/>
        <v>0.11151156165862659</v>
      </c>
      <c r="AF1094" s="16">
        <v>0</v>
      </c>
      <c r="AG1094" s="16">
        <v>0</v>
      </c>
      <c r="AH1094" s="16">
        <v>0</v>
      </c>
      <c r="AI1094" s="16">
        <v>0</v>
      </c>
      <c r="AJ1094" s="16">
        <v>0</v>
      </c>
      <c r="AK1094" s="16">
        <v>0</v>
      </c>
      <c r="AL1094" s="16">
        <v>0</v>
      </c>
      <c r="AM1094" s="16">
        <v>0</v>
      </c>
      <c r="AN1094" s="16">
        <v>0</v>
      </c>
      <c r="AO1094" s="16">
        <v>0</v>
      </c>
      <c r="AP1094" s="16">
        <v>0</v>
      </c>
      <c r="AQ1094" s="16">
        <v>0</v>
      </c>
      <c r="AR1094" s="16">
        <v>0</v>
      </c>
      <c r="AS1094" s="16">
        <v>0</v>
      </c>
      <c r="AT1094" s="16">
        <v>0</v>
      </c>
      <c r="AU1094" s="16">
        <v>0</v>
      </c>
      <c r="AV1094" s="16">
        <v>0</v>
      </c>
      <c r="AW1094" s="16">
        <v>0</v>
      </c>
      <c r="AX1094" s="16">
        <v>0</v>
      </c>
      <c r="AY1094" s="16">
        <v>0</v>
      </c>
      <c r="AZ1094" s="16">
        <v>0</v>
      </c>
      <c r="BA1094" s="16">
        <v>0</v>
      </c>
      <c r="BB1094" s="16">
        <v>0</v>
      </c>
      <c r="BC1094" s="16">
        <v>0</v>
      </c>
      <c r="BD1094" s="16">
        <v>0</v>
      </c>
      <c r="BE1094" s="16">
        <v>0</v>
      </c>
      <c r="BF1094" s="16">
        <v>0</v>
      </c>
      <c r="BG1094" s="16">
        <v>0</v>
      </c>
    </row>
    <row r="1095" spans="1:59" ht="12" customHeight="1" x14ac:dyDescent="0.2">
      <c r="A1095" t="s">
        <v>122</v>
      </c>
      <c r="B1095" t="str">
        <f t="shared" si="210"/>
        <v>ANZ</v>
      </c>
      <c r="C1095" t="str">
        <f t="shared" si="211"/>
        <v>WB</v>
      </c>
      <c r="D1095" s="16">
        <f t="shared" ref="D1095:AC1095" si="247">D$1090/D$1141*D1146</f>
        <v>0.12413507524638744</v>
      </c>
      <c r="E1095" s="16">
        <f t="shared" si="247"/>
        <v>0.12358512437027694</v>
      </c>
      <c r="F1095" s="16">
        <f t="shared" si="247"/>
        <v>0.12025448561148563</v>
      </c>
      <c r="G1095" s="16">
        <f t="shared" si="247"/>
        <v>0.12114820781785529</v>
      </c>
      <c r="H1095" s="16">
        <f t="shared" si="247"/>
        <v>0.11834947427153157</v>
      </c>
      <c r="I1095" s="16">
        <f t="shared" si="247"/>
        <v>0.12340960821168236</v>
      </c>
      <c r="J1095" s="16">
        <f t="shared" si="247"/>
        <v>0.12012031253251181</v>
      </c>
      <c r="K1095" s="16">
        <f t="shared" si="247"/>
        <v>0.11163725236825156</v>
      </c>
      <c r="L1095" s="16">
        <f t="shared" si="247"/>
        <v>0.10250851644914262</v>
      </c>
      <c r="M1095" s="16">
        <f t="shared" si="247"/>
        <v>0.10536481022581758</v>
      </c>
      <c r="N1095" s="16">
        <f t="shared" si="247"/>
        <v>0.10569759269165135</v>
      </c>
      <c r="O1095" s="16">
        <f t="shared" si="247"/>
        <v>0.10204464777456357</v>
      </c>
      <c r="P1095" s="16">
        <f t="shared" si="247"/>
        <v>0.10099247733507111</v>
      </c>
      <c r="Q1095" s="16">
        <f t="shared" si="247"/>
        <v>0.1047892900788794</v>
      </c>
      <c r="R1095" s="16">
        <f t="shared" si="247"/>
        <v>0.10780251704930238</v>
      </c>
      <c r="S1095" s="16">
        <f t="shared" si="247"/>
        <v>0.11074460305636756</v>
      </c>
      <c r="T1095" s="16">
        <f t="shared" si="247"/>
        <v>0.12585807927320286</v>
      </c>
      <c r="U1095" s="16">
        <f t="shared" si="247"/>
        <v>0.11897470425326703</v>
      </c>
      <c r="V1095" s="16">
        <f t="shared" si="247"/>
        <v>0.12391098856648446</v>
      </c>
      <c r="W1095" s="16">
        <f t="shared" si="247"/>
        <v>0.11696058338317236</v>
      </c>
      <c r="X1095" s="16">
        <f t="shared" si="247"/>
        <v>0.11090352471777352</v>
      </c>
      <c r="Y1095" s="16">
        <f t="shared" si="247"/>
        <v>0.11101004595039839</v>
      </c>
      <c r="Z1095" s="16">
        <f t="shared" si="247"/>
        <v>0.1103330992090648</v>
      </c>
      <c r="AA1095" s="16">
        <f t="shared" si="247"/>
        <v>0.10852088757302858</v>
      </c>
      <c r="AB1095" s="16">
        <f t="shared" si="247"/>
        <v>0.10936181080721531</v>
      </c>
      <c r="AC1095" s="16">
        <f t="shared" si="247"/>
        <v>0.1184307489090803</v>
      </c>
      <c r="AD1095" s="16">
        <f t="shared" si="244"/>
        <v>0.10410646563525648</v>
      </c>
      <c r="AE1095" s="65">
        <f t="shared" si="244"/>
        <v>0.11267823649456138</v>
      </c>
      <c r="AF1095" s="16">
        <v>0</v>
      </c>
      <c r="AG1095" s="16">
        <v>0</v>
      </c>
      <c r="AH1095" s="16">
        <v>0</v>
      </c>
      <c r="AI1095" s="16">
        <v>0</v>
      </c>
      <c r="AJ1095" s="16">
        <v>0</v>
      </c>
      <c r="AK1095" s="16">
        <v>0</v>
      </c>
      <c r="AL1095" s="16">
        <v>0</v>
      </c>
      <c r="AM1095" s="16">
        <v>0</v>
      </c>
      <c r="AN1095" s="16">
        <v>0</v>
      </c>
      <c r="AO1095" s="16">
        <v>0</v>
      </c>
      <c r="AP1095" s="16">
        <v>0</v>
      </c>
      <c r="AQ1095" s="16">
        <v>0</v>
      </c>
      <c r="AR1095" s="16">
        <v>0</v>
      </c>
      <c r="AS1095" s="16">
        <v>0</v>
      </c>
      <c r="AT1095" s="16">
        <v>0</v>
      </c>
      <c r="AU1095" s="16">
        <v>0</v>
      </c>
      <c r="AV1095" s="16">
        <v>0</v>
      </c>
      <c r="AW1095" s="16">
        <v>0</v>
      </c>
      <c r="AX1095" s="16">
        <v>0</v>
      </c>
      <c r="AY1095" s="16">
        <v>0</v>
      </c>
      <c r="AZ1095" s="16">
        <v>0</v>
      </c>
      <c r="BA1095" s="16">
        <v>0</v>
      </c>
      <c r="BB1095" s="16">
        <v>0</v>
      </c>
      <c r="BC1095" s="16">
        <v>0</v>
      </c>
      <c r="BD1095" s="16">
        <v>0</v>
      </c>
      <c r="BE1095" s="16">
        <v>0</v>
      </c>
      <c r="BF1095" s="16">
        <v>0</v>
      </c>
      <c r="BG1095" s="16">
        <v>0</v>
      </c>
    </row>
    <row r="1096" spans="1:59" ht="12" customHeight="1" x14ac:dyDescent="0.2">
      <c r="A1096" t="s">
        <v>123</v>
      </c>
      <c r="B1096" t="str">
        <f t="shared" si="210"/>
        <v>SKO</v>
      </c>
      <c r="C1096" t="str">
        <f t="shared" si="211"/>
        <v>WB</v>
      </c>
      <c r="D1096" s="16">
        <f t="shared" ref="D1096:AC1096" si="248">D$1090/D$1141*D1147</f>
        <v>0.1419754344274321</v>
      </c>
      <c r="E1096" s="16">
        <f t="shared" si="248"/>
        <v>0.14134644609037619</v>
      </c>
      <c r="F1096" s="16">
        <f t="shared" si="248"/>
        <v>0.13753713688617525</v>
      </c>
      <c r="G1096" s="16">
        <f t="shared" si="248"/>
        <v>0.13855930244457948</v>
      </c>
      <c r="H1096" s="16">
        <f t="shared" si="248"/>
        <v>0.13535834243954256</v>
      </c>
      <c r="I1096" s="16">
        <f t="shared" si="248"/>
        <v>0.14114570522147965</v>
      </c>
      <c r="J1096" s="16">
        <f t="shared" si="248"/>
        <v>0.13738368081311966</v>
      </c>
      <c r="K1096" s="16">
        <f t="shared" si="248"/>
        <v>0.12768145805533435</v>
      </c>
      <c r="L1096" s="16">
        <f t="shared" si="248"/>
        <v>0.11724076475961322</v>
      </c>
      <c r="M1096" s="16">
        <f t="shared" si="248"/>
        <v>0.12050755739651219</v>
      </c>
      <c r="N1096" s="16">
        <f t="shared" si="248"/>
        <v>0.120888166463392</v>
      </c>
      <c r="O1096" s="16">
        <f t="shared" si="248"/>
        <v>0.11671023012659414</v>
      </c>
      <c r="P1096" s="16">
        <f t="shared" si="248"/>
        <v>0.11550684458111357</v>
      </c>
      <c r="Q1096" s="16">
        <f t="shared" si="248"/>
        <v>0.11984932504178804</v>
      </c>
      <c r="R1096" s="16">
        <f t="shared" si="248"/>
        <v>0.12329560488900397</v>
      </c>
      <c r="S1096" s="16">
        <f t="shared" si="248"/>
        <v>0.12666051958492594</v>
      </c>
      <c r="T1096" s="16">
        <f t="shared" si="248"/>
        <v>0.13044029325354778</v>
      </c>
      <c r="U1096" s="16">
        <f t="shared" si="248"/>
        <v>0.12396487901737674</v>
      </c>
      <c r="V1096" s="16">
        <f t="shared" si="248"/>
        <v>0.12192780326856431</v>
      </c>
      <c r="W1096" s="16">
        <f t="shared" si="248"/>
        <v>0.12155923492434717</v>
      </c>
      <c r="X1096" s="16">
        <f t="shared" si="248"/>
        <v>0.12742380405984627</v>
      </c>
      <c r="Y1096" s="16">
        <f t="shared" si="248"/>
        <v>0.11958932766840495</v>
      </c>
      <c r="Z1096" s="16">
        <f t="shared" si="248"/>
        <v>0.10931692244976847</v>
      </c>
      <c r="AA1096" s="16">
        <f t="shared" si="248"/>
        <v>0.10010968416641047</v>
      </c>
      <c r="AB1096" s="16">
        <f t="shared" si="248"/>
        <v>0.1055311848578718</v>
      </c>
      <c r="AC1096" s="16">
        <f t="shared" si="248"/>
        <v>0.10616086558025936</v>
      </c>
      <c r="AD1096" s="16">
        <f t="shared" si="244"/>
        <v>8.5994187695669785E-2</v>
      </c>
      <c r="AE1096" s="65">
        <f t="shared" si="244"/>
        <v>9.3074655442427157E-2</v>
      </c>
      <c r="AF1096" s="16">
        <v>0</v>
      </c>
      <c r="AG1096" s="16">
        <v>0</v>
      </c>
      <c r="AH1096" s="16">
        <v>0</v>
      </c>
      <c r="AI1096" s="16">
        <v>0</v>
      </c>
      <c r="AJ1096" s="16">
        <v>0</v>
      </c>
      <c r="AK1096" s="16">
        <v>0</v>
      </c>
      <c r="AL1096" s="16">
        <v>0</v>
      </c>
      <c r="AM1096" s="16">
        <v>0</v>
      </c>
      <c r="AN1096" s="16">
        <v>0</v>
      </c>
      <c r="AO1096" s="16">
        <v>0</v>
      </c>
      <c r="AP1096" s="16">
        <v>0</v>
      </c>
      <c r="AQ1096" s="16">
        <v>0</v>
      </c>
      <c r="AR1096" s="16">
        <v>0</v>
      </c>
      <c r="AS1096" s="16">
        <v>0</v>
      </c>
      <c r="AT1096" s="16">
        <v>0</v>
      </c>
      <c r="AU1096" s="16">
        <v>0</v>
      </c>
      <c r="AV1096" s="16">
        <v>0</v>
      </c>
      <c r="AW1096" s="16">
        <v>0</v>
      </c>
      <c r="AX1096" s="16">
        <v>0</v>
      </c>
      <c r="AY1096" s="16">
        <v>0</v>
      </c>
      <c r="AZ1096" s="16">
        <v>0</v>
      </c>
      <c r="BA1096" s="16">
        <v>0</v>
      </c>
      <c r="BB1096" s="16">
        <v>0</v>
      </c>
      <c r="BC1096" s="16">
        <v>0</v>
      </c>
      <c r="BD1096" s="16">
        <v>0</v>
      </c>
      <c r="BE1096" s="16">
        <v>0</v>
      </c>
      <c r="BF1096" s="16">
        <v>0</v>
      </c>
      <c r="BG1096" s="16">
        <v>0</v>
      </c>
    </row>
    <row r="1097" spans="1:59" ht="12" customHeight="1" x14ac:dyDescent="0.2">
      <c r="A1097" t="s">
        <v>124</v>
      </c>
      <c r="B1097" t="str">
        <f t="shared" si="210"/>
        <v>RUS</v>
      </c>
      <c r="C1097" t="str">
        <f t="shared" si="211"/>
        <v>WB</v>
      </c>
      <c r="D1097" s="16">
        <f t="shared" ref="D1097:AC1097" si="249">D$1090/D$1141*D1148</f>
        <v>0.2467148123903149</v>
      </c>
      <c r="E1097" s="16">
        <f t="shared" si="249"/>
        <v>0.2456218011930027</v>
      </c>
      <c r="F1097" s="16">
        <f t="shared" si="249"/>
        <v>0.23900225458311719</v>
      </c>
      <c r="G1097" s="16">
        <f t="shared" si="249"/>
        <v>0.24077850119219124</v>
      </c>
      <c r="H1097" s="16">
        <f t="shared" si="249"/>
        <v>0.2352161005536833</v>
      </c>
      <c r="I1097" s="16">
        <f t="shared" si="249"/>
        <v>0.24527296798809928</v>
      </c>
      <c r="J1097" s="16">
        <f t="shared" si="249"/>
        <v>0.23873558953344326</v>
      </c>
      <c r="K1097" s="16">
        <f t="shared" si="249"/>
        <v>0.2218757568651408</v>
      </c>
      <c r="L1097" s="16">
        <f t="shared" si="249"/>
        <v>0.20373266261741541</v>
      </c>
      <c r="M1097" s="16">
        <f t="shared" si="249"/>
        <v>0.20940946252143366</v>
      </c>
      <c r="N1097" s="16">
        <f t="shared" si="249"/>
        <v>0.21007085788823074</v>
      </c>
      <c r="O1097" s="16">
        <f t="shared" si="249"/>
        <v>0.20281073726476739</v>
      </c>
      <c r="P1097" s="16">
        <f t="shared" si="249"/>
        <v>0.20071957945085558</v>
      </c>
      <c r="Q1097" s="16">
        <f t="shared" si="249"/>
        <v>0.20826563315010668</v>
      </c>
      <c r="R1097" s="16">
        <f t="shared" si="249"/>
        <v>0.21425433316274861</v>
      </c>
      <c r="S1097" s="16">
        <f t="shared" si="249"/>
        <v>0.22010164260231316</v>
      </c>
      <c r="T1097" s="16">
        <f t="shared" si="249"/>
        <v>0.20249271348805339</v>
      </c>
      <c r="U1097" s="16">
        <f t="shared" si="249"/>
        <v>0.2048738695794424</v>
      </c>
      <c r="V1097" s="16">
        <f t="shared" si="249"/>
        <v>0.19719540285170165</v>
      </c>
      <c r="W1097" s="16">
        <f t="shared" si="249"/>
        <v>0.16921559904380809</v>
      </c>
      <c r="X1097" s="16">
        <f t="shared" si="249"/>
        <v>0.16342376714268955</v>
      </c>
      <c r="Y1097" s="16">
        <f t="shared" si="249"/>
        <v>0.16251382854923435</v>
      </c>
      <c r="Z1097" s="16">
        <f t="shared" si="249"/>
        <v>0.14951826882219696</v>
      </c>
      <c r="AA1097" s="16">
        <f t="shared" si="249"/>
        <v>0.14182970485762475</v>
      </c>
      <c r="AB1097" s="16">
        <f t="shared" si="249"/>
        <v>0.1267174531913908</v>
      </c>
      <c r="AC1097" s="16">
        <f t="shared" si="249"/>
        <v>0.13328319528039823</v>
      </c>
      <c r="AD1097" s="16">
        <f t="shared" si="244"/>
        <v>0.10829425734520151</v>
      </c>
      <c r="AE1097" s="65">
        <f t="shared" si="244"/>
        <v>0.11721083667269426</v>
      </c>
      <c r="AF1097" s="16">
        <v>0</v>
      </c>
      <c r="AG1097" s="16">
        <v>0</v>
      </c>
      <c r="AH1097" s="16">
        <v>0</v>
      </c>
      <c r="AI1097" s="16">
        <v>0</v>
      </c>
      <c r="AJ1097" s="16">
        <v>0</v>
      </c>
      <c r="AK1097" s="16">
        <v>0</v>
      </c>
      <c r="AL1097" s="16">
        <v>0</v>
      </c>
      <c r="AM1097" s="16">
        <v>0</v>
      </c>
      <c r="AN1097" s="16">
        <v>0</v>
      </c>
      <c r="AO1097" s="16">
        <v>0</v>
      </c>
      <c r="AP1097" s="16">
        <v>0</v>
      </c>
      <c r="AQ1097" s="16">
        <v>0</v>
      </c>
      <c r="AR1097" s="16">
        <v>0</v>
      </c>
      <c r="AS1097" s="16">
        <v>0</v>
      </c>
      <c r="AT1097" s="16">
        <v>0</v>
      </c>
      <c r="AU1097" s="16">
        <v>0</v>
      </c>
      <c r="AV1097" s="16">
        <v>0</v>
      </c>
      <c r="AW1097" s="16">
        <v>0</v>
      </c>
      <c r="AX1097" s="16">
        <v>0</v>
      </c>
      <c r="AY1097" s="16">
        <v>0</v>
      </c>
      <c r="AZ1097" s="16">
        <v>0</v>
      </c>
      <c r="BA1097" s="16">
        <v>0</v>
      </c>
      <c r="BB1097" s="16">
        <v>0</v>
      </c>
      <c r="BC1097" s="16">
        <v>0</v>
      </c>
      <c r="BD1097" s="16">
        <v>0</v>
      </c>
      <c r="BE1097" s="16">
        <v>0</v>
      </c>
      <c r="BF1097" s="16">
        <v>0</v>
      </c>
      <c r="BG1097" s="16">
        <v>0</v>
      </c>
    </row>
    <row r="1098" spans="1:59" ht="12" customHeight="1" x14ac:dyDescent="0.2">
      <c r="A1098" t="s">
        <v>125</v>
      </c>
      <c r="B1098" t="str">
        <f t="shared" si="210"/>
        <v>URA</v>
      </c>
      <c r="C1098" t="str">
        <f t="shared" si="211"/>
        <v>WB</v>
      </c>
      <c r="D1098" s="16">
        <f t="shared" ref="D1098:AC1098" si="250">D$1090/D$1141*D1149</f>
        <v>0.24141427435498536</v>
      </c>
      <c r="E1098" s="16">
        <f t="shared" si="250"/>
        <v>0.24034474592860317</v>
      </c>
      <c r="F1098" s="16">
        <f t="shared" si="250"/>
        <v>0.23386741679744294</v>
      </c>
      <c r="G1098" s="16">
        <f t="shared" si="250"/>
        <v>0.23560550168197236</v>
      </c>
      <c r="H1098" s="16">
        <f t="shared" si="250"/>
        <v>0.23016260629678303</v>
      </c>
      <c r="I1098" s="16">
        <f t="shared" si="250"/>
        <v>0.24000340722171007</v>
      </c>
      <c r="J1098" s="16">
        <f t="shared" si="250"/>
        <v>0.23360648090616368</v>
      </c>
      <c r="K1098" s="16">
        <f t="shared" si="250"/>
        <v>0.21710887287878086</v>
      </c>
      <c r="L1098" s="16">
        <f t="shared" si="250"/>
        <v>0.19935557347234167</v>
      </c>
      <c r="M1098" s="16">
        <f t="shared" si="250"/>
        <v>0.20491041031496657</v>
      </c>
      <c r="N1098" s="16">
        <f t="shared" si="250"/>
        <v>0.20555759595003278</v>
      </c>
      <c r="O1098" s="16">
        <f t="shared" si="250"/>
        <v>0.19845345520119839</v>
      </c>
      <c r="P1098" s="16">
        <f t="shared" si="250"/>
        <v>0.19640722481350442</v>
      </c>
      <c r="Q1098" s="16">
        <f t="shared" si="250"/>
        <v>0.20379115551632093</v>
      </c>
      <c r="R1098" s="16">
        <f t="shared" si="250"/>
        <v>0.20965119145771541</v>
      </c>
      <c r="S1098" s="16">
        <f t="shared" si="250"/>
        <v>0.21537287452815981</v>
      </c>
      <c r="T1098" s="16">
        <f t="shared" si="250"/>
        <v>0.18992948187724584</v>
      </c>
      <c r="U1098" s="16">
        <f t="shared" si="250"/>
        <v>0.17716517126069792</v>
      </c>
      <c r="V1098" s="16">
        <f t="shared" si="250"/>
        <v>0.12963526228658179</v>
      </c>
      <c r="W1098" s="16">
        <f t="shared" si="250"/>
        <v>0.11731120927344728</v>
      </c>
      <c r="X1098" s="16">
        <f t="shared" si="250"/>
        <v>0.1103993479837839</v>
      </c>
      <c r="Y1098" s="16">
        <f t="shared" si="250"/>
        <v>0.10666008155009263</v>
      </c>
      <c r="Z1098" s="16">
        <f t="shared" si="250"/>
        <v>0.1128261443861041</v>
      </c>
      <c r="AA1098" s="16">
        <f t="shared" si="250"/>
        <v>0.10020748814123492</v>
      </c>
      <c r="AB1098" s="16">
        <f t="shared" si="250"/>
        <v>9.6206838051730165E-2</v>
      </c>
      <c r="AC1098" s="16">
        <f t="shared" si="250"/>
        <v>0.13228153560735903</v>
      </c>
      <c r="AD1098" s="16">
        <f t="shared" si="244"/>
        <v>0.10499835491274465</v>
      </c>
      <c r="AE1098" s="65">
        <f t="shared" si="244"/>
        <v>0.11364356088937724</v>
      </c>
      <c r="AF1098" s="16">
        <v>0</v>
      </c>
      <c r="AG1098" s="16">
        <v>0</v>
      </c>
      <c r="AH1098" s="16">
        <v>0</v>
      </c>
      <c r="AI1098" s="16">
        <v>0</v>
      </c>
      <c r="AJ1098" s="16">
        <v>0</v>
      </c>
      <c r="AK1098" s="16">
        <v>0</v>
      </c>
      <c r="AL1098" s="16">
        <v>0</v>
      </c>
      <c r="AM1098" s="16">
        <v>0</v>
      </c>
      <c r="AN1098" s="16">
        <v>0</v>
      </c>
      <c r="AO1098" s="16">
        <v>0</v>
      </c>
      <c r="AP1098" s="16">
        <v>0</v>
      </c>
      <c r="AQ1098" s="16">
        <v>0</v>
      </c>
      <c r="AR1098" s="16">
        <v>0</v>
      </c>
      <c r="AS1098" s="16">
        <v>0</v>
      </c>
      <c r="AT1098" s="16">
        <v>0</v>
      </c>
      <c r="AU1098" s="16">
        <v>0</v>
      </c>
      <c r="AV1098" s="16">
        <v>0</v>
      </c>
      <c r="AW1098" s="16">
        <v>0</v>
      </c>
      <c r="AX1098" s="16">
        <v>0</v>
      </c>
      <c r="AY1098" s="16">
        <v>0</v>
      </c>
      <c r="AZ1098" s="16">
        <v>0</v>
      </c>
      <c r="BA1098" s="16">
        <v>0</v>
      </c>
      <c r="BB1098" s="16">
        <v>0</v>
      </c>
      <c r="BC1098" s="16">
        <v>0</v>
      </c>
      <c r="BD1098" s="16">
        <v>0</v>
      </c>
      <c r="BE1098" s="16">
        <v>0</v>
      </c>
      <c r="BF1098" s="16">
        <v>0</v>
      </c>
      <c r="BG1098" s="16">
        <v>0</v>
      </c>
    </row>
    <row r="1099" spans="1:59" ht="12" customHeight="1" x14ac:dyDescent="0.2">
      <c r="A1099" t="s">
        <v>126</v>
      </c>
      <c r="B1099" t="str">
        <f t="shared" si="210"/>
        <v>CHI</v>
      </c>
      <c r="C1099" t="str">
        <f t="shared" si="211"/>
        <v>WB</v>
      </c>
      <c r="D1099" s="16">
        <f t="shared" ref="D1099:AC1099" si="251">D$1090/D$1141*D1150</f>
        <v>9.9788804857148833E-2</v>
      </c>
      <c r="E1099" s="16">
        <f t="shared" si="251"/>
        <v>9.9346714331579947E-2</v>
      </c>
      <c r="F1099" s="16">
        <f t="shared" si="251"/>
        <v>9.6669304578607215E-2</v>
      </c>
      <c r="G1099" s="16">
        <f t="shared" si="251"/>
        <v>9.7387743510318564E-2</v>
      </c>
      <c r="H1099" s="16">
        <f t="shared" si="251"/>
        <v>9.5137917865576946E-2</v>
      </c>
      <c r="I1099" s="16">
        <f t="shared" si="251"/>
        <v>9.9205621673727151E-2</v>
      </c>
      <c r="J1099" s="16">
        <f t="shared" si="251"/>
        <v>9.6561446496044936E-2</v>
      </c>
      <c r="K1099" s="16">
        <f t="shared" si="251"/>
        <v>8.9742145555979203E-2</v>
      </c>
      <c r="L1099" s="16">
        <f t="shared" si="251"/>
        <v>8.240380346840781E-2</v>
      </c>
      <c r="M1099" s="16">
        <f t="shared" si="251"/>
        <v>8.4699900214066343E-2</v>
      </c>
      <c r="N1099" s="16">
        <f t="shared" si="251"/>
        <v>8.4967414971495347E-2</v>
      </c>
      <c r="O1099" s="16">
        <f t="shared" si="251"/>
        <v>8.2030912079289656E-2</v>
      </c>
      <c r="P1099" s="16">
        <f t="shared" si="251"/>
        <v>8.1185100929986556E-2</v>
      </c>
      <c r="Q1099" s="16">
        <f t="shared" si="251"/>
        <v>8.4237255248328979E-2</v>
      </c>
      <c r="R1099" s="16">
        <f t="shared" si="251"/>
        <v>8.6659506312704013E-2</v>
      </c>
      <c r="S1099" s="16">
        <f t="shared" si="251"/>
        <v>8.9024569094913256E-2</v>
      </c>
      <c r="T1099" s="16">
        <f t="shared" si="251"/>
        <v>8.5821781172235614E-2</v>
      </c>
      <c r="U1099" s="16">
        <f t="shared" si="251"/>
        <v>8.6261301304781948E-2</v>
      </c>
      <c r="V1099" s="16">
        <f t="shared" si="251"/>
        <v>9.2365823989080637E-2</v>
      </c>
      <c r="W1099" s="16">
        <f t="shared" si="251"/>
        <v>9.0196953013668132E-2</v>
      </c>
      <c r="X1099" s="16">
        <f t="shared" si="251"/>
        <v>9.2897281981058066E-2</v>
      </c>
      <c r="Y1099" s="16">
        <f t="shared" si="251"/>
        <v>9.1790756972461585E-2</v>
      </c>
      <c r="Z1099" s="16">
        <f t="shared" si="251"/>
        <v>8.9816249416305727E-2</v>
      </c>
      <c r="AA1099" s="16">
        <f t="shared" si="251"/>
        <v>8.6073342327418548E-2</v>
      </c>
      <c r="AB1099" s="16">
        <f t="shared" si="251"/>
        <v>8.9345626617592155E-2</v>
      </c>
      <c r="AC1099" s="16">
        <f t="shared" si="251"/>
        <v>0.11154666832741053</v>
      </c>
      <c r="AD1099" s="16">
        <f t="shared" si="244"/>
        <v>9.5299671532841662E-2</v>
      </c>
      <c r="AE1099" s="65">
        <f t="shared" si="244"/>
        <v>0.10314632104074593</v>
      </c>
      <c r="AF1099" s="16">
        <v>0</v>
      </c>
      <c r="AG1099" s="16">
        <v>0</v>
      </c>
      <c r="AH1099" s="16">
        <v>0</v>
      </c>
      <c r="AI1099" s="16">
        <v>0</v>
      </c>
      <c r="AJ1099" s="16">
        <v>0</v>
      </c>
      <c r="AK1099" s="16">
        <v>0</v>
      </c>
      <c r="AL1099" s="16">
        <v>0</v>
      </c>
      <c r="AM1099" s="16">
        <v>0</v>
      </c>
      <c r="AN1099" s="16">
        <v>0</v>
      </c>
      <c r="AO1099" s="16">
        <v>0</v>
      </c>
      <c r="AP1099" s="16">
        <v>0</v>
      </c>
      <c r="AQ1099" s="16">
        <v>0</v>
      </c>
      <c r="AR1099" s="16">
        <v>0</v>
      </c>
      <c r="AS1099" s="16">
        <v>0</v>
      </c>
      <c r="AT1099" s="16">
        <v>0</v>
      </c>
      <c r="AU1099" s="16">
        <v>0</v>
      </c>
      <c r="AV1099" s="16">
        <v>0</v>
      </c>
      <c r="AW1099" s="16">
        <v>0</v>
      </c>
      <c r="AX1099" s="16">
        <v>0</v>
      </c>
      <c r="AY1099" s="16">
        <v>0</v>
      </c>
      <c r="AZ1099" s="16">
        <v>0</v>
      </c>
      <c r="BA1099" s="16">
        <v>0</v>
      </c>
      <c r="BB1099" s="16">
        <v>0</v>
      </c>
      <c r="BC1099" s="16">
        <v>0</v>
      </c>
      <c r="BD1099" s="16">
        <v>0</v>
      </c>
      <c r="BE1099" s="16">
        <v>0</v>
      </c>
      <c r="BF1099" s="16">
        <v>0</v>
      </c>
      <c r="BG1099" s="16">
        <v>0</v>
      </c>
    </row>
    <row r="1100" spans="1:59" ht="12" customHeight="1" x14ac:dyDescent="0.2">
      <c r="A1100" t="s">
        <v>127</v>
      </c>
      <c r="B1100" t="str">
        <f t="shared" si="210"/>
        <v>IND</v>
      </c>
      <c r="C1100" t="str">
        <f t="shared" si="211"/>
        <v>WB</v>
      </c>
      <c r="D1100" s="16">
        <f t="shared" ref="D1100:AC1100" si="252">D$1090/D$1141*D1151</f>
        <v>0.1193628389376947</v>
      </c>
      <c r="E1100" s="16">
        <f t="shared" si="252"/>
        <v>0.11883403031758046</v>
      </c>
      <c r="F1100" s="16">
        <f t="shared" si="252"/>
        <v>0.11563143429920149</v>
      </c>
      <c r="G1100" s="16">
        <f t="shared" si="252"/>
        <v>0.11649079833923778</v>
      </c>
      <c r="H1100" s="16">
        <f t="shared" si="252"/>
        <v>0.11379965902300264</v>
      </c>
      <c r="I1100" s="16">
        <f t="shared" si="252"/>
        <v>0.11866526168447893</v>
      </c>
      <c r="J1100" s="16">
        <f t="shared" si="252"/>
        <v>0.11550241935653895</v>
      </c>
      <c r="K1100" s="16">
        <f t="shared" si="252"/>
        <v>0.10734548110137132</v>
      </c>
      <c r="L1100" s="16">
        <f t="shared" si="252"/>
        <v>9.8567689384931698E-2</v>
      </c>
      <c r="M1100" s="16">
        <f t="shared" si="252"/>
        <v>0.10131417609182977</v>
      </c>
      <c r="N1100" s="16">
        <f t="shared" si="252"/>
        <v>0.1016341651021217</v>
      </c>
      <c r="O1100" s="16">
        <f t="shared" si="252"/>
        <v>9.8121653630878117E-2</v>
      </c>
      <c r="P1100" s="16">
        <f t="shared" si="252"/>
        <v>9.7109932725607251E-2</v>
      </c>
      <c r="Q1100" s="16">
        <f t="shared" si="252"/>
        <v>0.10076078118335581</v>
      </c>
      <c r="R1100" s="16">
        <f t="shared" si="252"/>
        <v>0.10365816796013456</v>
      </c>
      <c r="S1100" s="16">
        <f t="shared" si="252"/>
        <v>0.10648714870957335</v>
      </c>
      <c r="T1100" s="16">
        <f t="shared" si="252"/>
        <v>0.10610235883590668</v>
      </c>
      <c r="U1100" s="16">
        <f t="shared" si="252"/>
        <v>0.10704009149093066</v>
      </c>
      <c r="V1100" s="16">
        <f t="shared" si="252"/>
        <v>0.11045355236274168</v>
      </c>
      <c r="W1100" s="16">
        <f t="shared" si="252"/>
        <v>0.10881732563025687</v>
      </c>
      <c r="X1100" s="16">
        <f t="shared" si="252"/>
        <v>0.10919019366927041</v>
      </c>
      <c r="Y1100" s="16">
        <f t="shared" si="252"/>
        <v>0.10667395651746354</v>
      </c>
      <c r="Z1100" s="16">
        <f t="shared" si="252"/>
        <v>9.9016600074599226E-2</v>
      </c>
      <c r="AA1100" s="16">
        <f t="shared" si="252"/>
        <v>9.3239535898284834E-2</v>
      </c>
      <c r="AB1100" s="16">
        <f t="shared" si="252"/>
        <v>9.2735938939956186E-2</v>
      </c>
      <c r="AC1100" s="16">
        <f t="shared" si="252"/>
        <v>0.10673190845760756</v>
      </c>
      <c r="AD1100" s="16">
        <f t="shared" si="244"/>
        <v>9.207509306726562E-2</v>
      </c>
      <c r="AE1100" s="65">
        <f t="shared" si="244"/>
        <v>9.9656241796173078E-2</v>
      </c>
      <c r="AF1100" s="16">
        <v>0</v>
      </c>
      <c r="AG1100" s="16">
        <v>0</v>
      </c>
      <c r="AH1100" s="16">
        <v>0</v>
      </c>
      <c r="AI1100" s="16">
        <v>0</v>
      </c>
      <c r="AJ1100" s="16">
        <v>0</v>
      </c>
      <c r="AK1100" s="16">
        <v>0</v>
      </c>
      <c r="AL1100" s="16">
        <v>0</v>
      </c>
      <c r="AM1100" s="16">
        <v>0</v>
      </c>
      <c r="AN1100" s="16">
        <v>0</v>
      </c>
      <c r="AO1100" s="16">
        <v>0</v>
      </c>
      <c r="AP1100" s="16">
        <v>0</v>
      </c>
      <c r="AQ1100" s="16">
        <v>0</v>
      </c>
      <c r="AR1100" s="16">
        <v>0</v>
      </c>
      <c r="AS1100" s="16">
        <v>0</v>
      </c>
      <c r="AT1100" s="16">
        <v>0</v>
      </c>
      <c r="AU1100" s="16">
        <v>0</v>
      </c>
      <c r="AV1100" s="16">
        <v>0</v>
      </c>
      <c r="AW1100" s="16">
        <v>0</v>
      </c>
      <c r="AX1100" s="16">
        <v>0</v>
      </c>
      <c r="AY1100" s="16">
        <v>0</v>
      </c>
      <c r="AZ1100" s="16">
        <v>0</v>
      </c>
      <c r="BA1100" s="16">
        <v>0</v>
      </c>
      <c r="BB1100" s="16">
        <v>0</v>
      </c>
      <c r="BC1100" s="16">
        <v>0</v>
      </c>
      <c r="BD1100" s="16">
        <v>0</v>
      </c>
      <c r="BE1100" s="16">
        <v>0</v>
      </c>
      <c r="BF1100" s="16">
        <v>0</v>
      </c>
      <c r="BG1100" s="16">
        <v>0</v>
      </c>
    </row>
    <row r="1101" spans="1:59" ht="12" customHeight="1" x14ac:dyDescent="0.2">
      <c r="A1101" t="s">
        <v>128</v>
      </c>
      <c r="B1101" t="str">
        <f t="shared" si="210"/>
        <v>OAS</v>
      </c>
      <c r="C1101" t="str">
        <f t="shared" si="211"/>
        <v>WB</v>
      </c>
      <c r="D1101" s="16">
        <f t="shared" ref="D1101:AC1101" si="253">D$1090/D$1141*D1152</f>
        <v>0.12352654468747123</v>
      </c>
      <c r="E1101" s="16">
        <f t="shared" si="253"/>
        <v>0.12297928976102163</v>
      </c>
      <c r="F1101" s="16">
        <f t="shared" si="253"/>
        <v>0.11966497834131165</v>
      </c>
      <c r="G1101" s="16">
        <f t="shared" si="253"/>
        <v>0.12055431937440955</v>
      </c>
      <c r="H1101" s="16">
        <f t="shared" si="253"/>
        <v>0.11776930568031795</v>
      </c>
      <c r="I1101" s="16">
        <f t="shared" si="253"/>
        <v>0.12280463401150868</v>
      </c>
      <c r="J1101" s="16">
        <f t="shared" si="253"/>
        <v>0.11953146300084228</v>
      </c>
      <c r="K1101" s="16">
        <f t="shared" si="253"/>
        <v>0.11108998819295959</v>
      </c>
      <c r="L1101" s="16">
        <f t="shared" si="253"/>
        <v>0.10200600283899131</v>
      </c>
      <c r="M1101" s="16">
        <f t="shared" si="253"/>
        <v>0.10484829459371639</v>
      </c>
      <c r="N1101" s="16">
        <f t="shared" si="253"/>
        <v>0.10517944570516037</v>
      </c>
      <c r="O1101" s="16">
        <f t="shared" si="253"/>
        <v>0.10154440812496082</v>
      </c>
      <c r="P1101" s="16">
        <f t="shared" si="253"/>
        <v>0.10049739559804342</v>
      </c>
      <c r="Q1101" s="16">
        <f t="shared" si="253"/>
        <v>0.1042755957412108</v>
      </c>
      <c r="R1101" s="16">
        <f t="shared" si="253"/>
        <v>0.10727405137735287</v>
      </c>
      <c r="S1101" s="16">
        <f t="shared" si="253"/>
        <v>0.1102017147948421</v>
      </c>
      <c r="T1101" s="16">
        <f t="shared" si="253"/>
        <v>0.11331496451909337</v>
      </c>
      <c r="U1101" s="16">
        <f t="shared" si="253"/>
        <v>0.11831800261747505</v>
      </c>
      <c r="V1101" s="16">
        <f t="shared" si="253"/>
        <v>0.12778061547270961</v>
      </c>
      <c r="W1101" s="16">
        <f t="shared" si="253"/>
        <v>0.117124429524763</v>
      </c>
      <c r="X1101" s="16">
        <f t="shared" si="253"/>
        <v>0.11731894571746447</v>
      </c>
      <c r="Y1101" s="16">
        <f t="shared" si="253"/>
        <v>0.11473713357511604</v>
      </c>
      <c r="Z1101" s="16">
        <f t="shared" si="253"/>
        <v>0.10836328549335492</v>
      </c>
      <c r="AA1101" s="16">
        <f t="shared" si="253"/>
        <v>0.10603915690031931</v>
      </c>
      <c r="AB1101" s="16">
        <f t="shared" si="253"/>
        <v>0.11004020224688953</v>
      </c>
      <c r="AC1101" s="16">
        <f t="shared" si="253"/>
        <v>0.11736508966550602</v>
      </c>
      <c r="AD1101" s="16">
        <f t="shared" si="244"/>
        <v>9.9783146811642506E-2</v>
      </c>
      <c r="AE1101" s="65">
        <f t="shared" si="244"/>
        <v>0.10799895036304188</v>
      </c>
      <c r="AF1101" s="16">
        <v>0</v>
      </c>
      <c r="AG1101" s="16">
        <v>0</v>
      </c>
      <c r="AH1101" s="16">
        <v>0</v>
      </c>
      <c r="AI1101" s="16">
        <v>0</v>
      </c>
      <c r="AJ1101" s="16">
        <v>0</v>
      </c>
      <c r="AK1101" s="16">
        <v>0</v>
      </c>
      <c r="AL1101" s="16">
        <v>0</v>
      </c>
      <c r="AM1101" s="16">
        <v>0</v>
      </c>
      <c r="AN1101" s="16">
        <v>0</v>
      </c>
      <c r="AO1101" s="16">
        <v>0</v>
      </c>
      <c r="AP1101" s="16">
        <v>0</v>
      </c>
      <c r="AQ1101" s="16">
        <v>0</v>
      </c>
      <c r="AR1101" s="16">
        <v>0</v>
      </c>
      <c r="AS1101" s="16">
        <v>0</v>
      </c>
      <c r="AT1101" s="16">
        <v>0</v>
      </c>
      <c r="AU1101" s="16">
        <v>0</v>
      </c>
      <c r="AV1101" s="16">
        <v>0</v>
      </c>
      <c r="AW1101" s="16">
        <v>0</v>
      </c>
      <c r="AX1101" s="16">
        <v>0</v>
      </c>
      <c r="AY1101" s="16">
        <v>0</v>
      </c>
      <c r="AZ1101" s="16">
        <v>0</v>
      </c>
      <c r="BA1101" s="16">
        <v>0</v>
      </c>
      <c r="BB1101" s="16">
        <v>0</v>
      </c>
      <c r="BC1101" s="16">
        <v>0</v>
      </c>
      <c r="BD1101" s="16">
        <v>0</v>
      </c>
      <c r="BE1101" s="16">
        <v>0</v>
      </c>
      <c r="BF1101" s="16">
        <v>0</v>
      </c>
      <c r="BG1101" s="16">
        <v>0</v>
      </c>
    </row>
    <row r="1102" spans="1:59" ht="12" customHeight="1" x14ac:dyDescent="0.2">
      <c r="A1102" t="s">
        <v>129</v>
      </c>
      <c r="B1102" t="str">
        <f t="shared" si="210"/>
        <v>MID</v>
      </c>
      <c r="C1102" t="str">
        <f t="shared" si="211"/>
        <v>WB</v>
      </c>
      <c r="D1102" s="16">
        <f t="shared" ref="D1102:AC1102" si="254">D$1090/D$1141*D1153</f>
        <v>0.15667013124404816</v>
      </c>
      <c r="E1102" s="16">
        <f t="shared" si="254"/>
        <v>0.15597604155370884</v>
      </c>
      <c r="F1102" s="16">
        <f t="shared" si="254"/>
        <v>0.15177246242483941</v>
      </c>
      <c r="G1102" s="16">
        <f t="shared" si="254"/>
        <v>0.15290042384178576</v>
      </c>
      <c r="H1102" s="16">
        <f t="shared" si="254"/>
        <v>0.14936815907979686</v>
      </c>
      <c r="I1102" s="16">
        <f t="shared" si="254"/>
        <v>0.15575452366645676</v>
      </c>
      <c r="J1102" s="16">
        <f t="shared" si="254"/>
        <v>0.15160312338951426</v>
      </c>
      <c r="K1102" s="16">
        <f t="shared" si="254"/>
        <v>0.14089670421952638</v>
      </c>
      <c r="L1102" s="16">
        <f t="shared" si="254"/>
        <v>0.12937538156595449</v>
      </c>
      <c r="M1102" s="16">
        <f t="shared" si="254"/>
        <v>0.13298029274818898</v>
      </c>
      <c r="N1102" s="16">
        <f t="shared" si="254"/>
        <v>0.13340029549515162</v>
      </c>
      <c r="O1102" s="16">
        <f t="shared" si="254"/>
        <v>0.12878993570400085</v>
      </c>
      <c r="P1102" s="16">
        <f t="shared" si="254"/>
        <v>0.12746199772580086</v>
      </c>
      <c r="Q1102" s="16">
        <f t="shared" si="254"/>
        <v>0.13225393223505094</v>
      </c>
      <c r="R1102" s="16">
        <f t="shared" si="254"/>
        <v>0.1360569078564639</v>
      </c>
      <c r="S1102" s="16">
        <f t="shared" si="254"/>
        <v>0.13977009689625219</v>
      </c>
      <c r="T1102" s="16">
        <f t="shared" si="254"/>
        <v>0.13697031819952407</v>
      </c>
      <c r="U1102" s="16">
        <f t="shared" si="254"/>
        <v>0.12675723026819319</v>
      </c>
      <c r="V1102" s="16">
        <f t="shared" si="254"/>
        <v>0.11861335543635959</v>
      </c>
      <c r="W1102" s="16">
        <f t="shared" si="254"/>
        <v>0.11167437466466269</v>
      </c>
      <c r="X1102" s="16">
        <f t="shared" si="254"/>
        <v>0.12369783499047597</v>
      </c>
      <c r="Y1102" s="16">
        <f t="shared" si="254"/>
        <v>0.11681923810421653</v>
      </c>
      <c r="Z1102" s="16">
        <f t="shared" si="254"/>
        <v>0.11582273855691742</v>
      </c>
      <c r="AA1102" s="16">
        <f t="shared" si="254"/>
        <v>0.1068887995839574</v>
      </c>
      <c r="AB1102" s="16">
        <f t="shared" si="254"/>
        <v>0.12111946636122715</v>
      </c>
      <c r="AC1102" s="16">
        <f t="shared" si="254"/>
        <v>0.13073099393211074</v>
      </c>
      <c r="AD1102" s="16">
        <f t="shared" si="244"/>
        <v>0.10239678596646511</v>
      </c>
      <c r="AE1102" s="65">
        <f t="shared" si="244"/>
        <v>0.11082778764035706</v>
      </c>
      <c r="AF1102" s="16">
        <v>0</v>
      </c>
      <c r="AG1102" s="16">
        <v>0</v>
      </c>
      <c r="AH1102" s="16">
        <v>0</v>
      </c>
      <c r="AI1102" s="16">
        <v>0</v>
      </c>
      <c r="AJ1102" s="16">
        <v>0</v>
      </c>
      <c r="AK1102" s="16">
        <v>0</v>
      </c>
      <c r="AL1102" s="16">
        <v>0</v>
      </c>
      <c r="AM1102" s="16">
        <v>0</v>
      </c>
      <c r="AN1102" s="16">
        <v>0</v>
      </c>
      <c r="AO1102" s="16">
        <v>0</v>
      </c>
      <c r="AP1102" s="16">
        <v>0</v>
      </c>
      <c r="AQ1102" s="16">
        <v>0</v>
      </c>
      <c r="AR1102" s="16">
        <v>0</v>
      </c>
      <c r="AS1102" s="16">
        <v>0</v>
      </c>
      <c r="AT1102" s="16">
        <v>0</v>
      </c>
      <c r="AU1102" s="16">
        <v>0</v>
      </c>
      <c r="AV1102" s="16">
        <v>0</v>
      </c>
      <c r="AW1102" s="16">
        <v>0</v>
      </c>
      <c r="AX1102" s="16">
        <v>0</v>
      </c>
      <c r="AY1102" s="16">
        <v>0</v>
      </c>
      <c r="AZ1102" s="16">
        <v>0</v>
      </c>
      <c r="BA1102" s="16">
        <v>0</v>
      </c>
      <c r="BB1102" s="16">
        <v>0</v>
      </c>
      <c r="BC1102" s="16">
        <v>0</v>
      </c>
      <c r="BD1102" s="16">
        <v>0</v>
      </c>
      <c r="BE1102" s="16">
        <v>0</v>
      </c>
      <c r="BF1102" s="16">
        <v>0</v>
      </c>
      <c r="BG1102" s="16">
        <v>0</v>
      </c>
    </row>
    <row r="1103" spans="1:59" ht="12" customHeight="1" x14ac:dyDescent="0.2">
      <c r="A1103" t="s">
        <v>130</v>
      </c>
      <c r="B1103" t="str">
        <f t="shared" si="210"/>
        <v>AFR</v>
      </c>
      <c r="C1103" t="str">
        <f t="shared" si="211"/>
        <v>WB</v>
      </c>
      <c r="D1103" s="16">
        <f t="shared" ref="D1103:AC1103" si="255">D$1090/D$1141*D1154</f>
        <v>0.15750395108169352</v>
      </c>
      <c r="E1103" s="16">
        <f t="shared" si="255"/>
        <v>0.1568061673512183</v>
      </c>
      <c r="F1103" s="16">
        <f t="shared" si="255"/>
        <v>0.15258021620006912</v>
      </c>
      <c r="G1103" s="16">
        <f t="shared" si="255"/>
        <v>0.15371418078174176</v>
      </c>
      <c r="H1103" s="16">
        <f t="shared" si="255"/>
        <v>0.1501631168242267</v>
      </c>
      <c r="I1103" s="16">
        <f t="shared" si="255"/>
        <v>0.15658347051551363</v>
      </c>
      <c r="J1103" s="16">
        <f t="shared" si="255"/>
        <v>0.15240997591926833</v>
      </c>
      <c r="K1103" s="16">
        <f t="shared" si="255"/>
        <v>0.14164657572409592</v>
      </c>
      <c r="L1103" s="16">
        <f t="shared" si="255"/>
        <v>0.13006393501769434</v>
      </c>
      <c r="M1103" s="16">
        <f t="shared" si="255"/>
        <v>0.13368803202962612</v>
      </c>
      <c r="N1103" s="16">
        <f t="shared" si="255"/>
        <v>0.13411027008857518</v>
      </c>
      <c r="O1103" s="16">
        <f t="shared" si="255"/>
        <v>0.12947537333289885</v>
      </c>
      <c r="P1103" s="16">
        <f t="shared" si="255"/>
        <v>0.1281403678873993</v>
      </c>
      <c r="Q1103" s="16">
        <f t="shared" si="255"/>
        <v>0.13295780572662544</v>
      </c>
      <c r="R1103" s="16">
        <f t="shared" si="255"/>
        <v>0.13678102130373407</v>
      </c>
      <c r="S1103" s="16">
        <f t="shared" si="255"/>
        <v>0.14051397244276689</v>
      </c>
      <c r="T1103" s="16">
        <f t="shared" si="255"/>
        <v>0.13965932026140093</v>
      </c>
      <c r="U1103" s="16">
        <f t="shared" si="255"/>
        <v>0.12917457333869364</v>
      </c>
      <c r="V1103" s="16">
        <f t="shared" si="255"/>
        <v>0.122748749401128</v>
      </c>
      <c r="W1103" s="16">
        <f t="shared" si="255"/>
        <v>0.11851181078025014</v>
      </c>
      <c r="X1103" s="16">
        <f t="shared" si="255"/>
        <v>0.11909295709482028</v>
      </c>
      <c r="Y1103" s="16">
        <f t="shared" si="255"/>
        <v>0.12276411146807395</v>
      </c>
      <c r="Z1103" s="16">
        <f t="shared" si="255"/>
        <v>0.11752035786641568</v>
      </c>
      <c r="AA1103" s="16">
        <f t="shared" si="255"/>
        <v>0.11583015326739479</v>
      </c>
      <c r="AB1103" s="16">
        <f t="shared" si="255"/>
        <v>0.10864095862984319</v>
      </c>
      <c r="AC1103" s="16">
        <f t="shared" si="255"/>
        <v>0.11413625500451782</v>
      </c>
      <c r="AD1103" s="16">
        <f t="shared" si="244"/>
        <v>9.9369072869884945E-2</v>
      </c>
      <c r="AE1103" s="65">
        <f t="shared" si="244"/>
        <v>0.10755078298697265</v>
      </c>
      <c r="AF1103" s="16">
        <v>0</v>
      </c>
      <c r="AG1103" s="16">
        <v>0</v>
      </c>
      <c r="AH1103" s="16">
        <v>0</v>
      </c>
      <c r="AI1103" s="16">
        <v>0</v>
      </c>
      <c r="AJ1103" s="16">
        <v>0</v>
      </c>
      <c r="AK1103" s="16">
        <v>0</v>
      </c>
      <c r="AL1103" s="16">
        <v>0</v>
      </c>
      <c r="AM1103" s="16">
        <v>0</v>
      </c>
      <c r="AN1103" s="16">
        <v>0</v>
      </c>
      <c r="AO1103" s="16">
        <v>0</v>
      </c>
      <c r="AP1103" s="16">
        <v>0</v>
      </c>
      <c r="AQ1103" s="16">
        <v>0</v>
      </c>
      <c r="AR1103" s="16">
        <v>0</v>
      </c>
      <c r="AS1103" s="16">
        <v>0</v>
      </c>
      <c r="AT1103" s="16">
        <v>0</v>
      </c>
      <c r="AU1103" s="16">
        <v>0</v>
      </c>
      <c r="AV1103" s="16">
        <v>0</v>
      </c>
      <c r="AW1103" s="16">
        <v>0</v>
      </c>
      <c r="AX1103" s="16">
        <v>0</v>
      </c>
      <c r="AY1103" s="16">
        <v>0</v>
      </c>
      <c r="AZ1103" s="16">
        <v>0</v>
      </c>
      <c r="BA1103" s="16">
        <v>0</v>
      </c>
      <c r="BB1103" s="16">
        <v>0</v>
      </c>
      <c r="BC1103" s="16">
        <v>0</v>
      </c>
      <c r="BD1103" s="16">
        <v>0</v>
      </c>
      <c r="BE1103" s="16">
        <v>0</v>
      </c>
      <c r="BF1103" s="16">
        <v>0</v>
      </c>
      <c r="BG1103" s="16">
        <v>0</v>
      </c>
    </row>
    <row r="1104" spans="1:59" ht="12" customHeight="1" x14ac:dyDescent="0.2">
      <c r="A1104" t="s">
        <v>131</v>
      </c>
      <c r="B1104" t="str">
        <f t="shared" si="210"/>
        <v>BRZ</v>
      </c>
      <c r="C1104" t="str">
        <f t="shared" si="211"/>
        <v>WB</v>
      </c>
      <c r="D1104" s="16">
        <f t="shared" ref="D1104:AC1104" si="256">D$1090/D$1141*D1155</f>
        <v>0.13962507328018822</v>
      </c>
      <c r="E1104" s="16">
        <f t="shared" si="256"/>
        <v>0.13900649765822948</v>
      </c>
      <c r="F1104" s="16">
        <f t="shared" si="256"/>
        <v>0.13526025043645878</v>
      </c>
      <c r="G1104" s="16">
        <f t="shared" si="256"/>
        <v>0.13626549434764842</v>
      </c>
      <c r="H1104" s="16">
        <f t="shared" si="256"/>
        <v>0.13311752528474213</v>
      </c>
      <c r="I1104" s="16">
        <f t="shared" si="256"/>
        <v>0.13880907999479322</v>
      </c>
      <c r="J1104" s="16">
        <f t="shared" si="256"/>
        <v>0.13510933478311293</v>
      </c>
      <c r="K1104" s="16">
        <f t="shared" si="256"/>
        <v>0.12556772944131769</v>
      </c>
      <c r="L1104" s="16">
        <f t="shared" si="256"/>
        <v>0.11529987872200081</v>
      </c>
      <c r="M1104" s="16">
        <f t="shared" si="256"/>
        <v>0.11851259057710234</v>
      </c>
      <c r="N1104" s="16">
        <f t="shared" si="256"/>
        <v>0.11888689877392888</v>
      </c>
      <c r="O1104" s="16">
        <f t="shared" si="256"/>
        <v>0.11477812693225138</v>
      </c>
      <c r="P1104" s="16">
        <f t="shared" si="256"/>
        <v>0.11359466307704533</v>
      </c>
      <c r="Q1104" s="16">
        <f t="shared" si="256"/>
        <v>0.11786525506350173</v>
      </c>
      <c r="R1104" s="16">
        <f t="shared" si="256"/>
        <v>0.12125448277146489</v>
      </c>
      <c r="S1104" s="16">
        <f t="shared" si="256"/>
        <v>0.1245636923040466</v>
      </c>
      <c r="T1104" s="16">
        <f t="shared" si="256"/>
        <v>0.11917746809350854</v>
      </c>
      <c r="U1104" s="16">
        <f t="shared" si="256"/>
        <v>0.12300850517349837</v>
      </c>
      <c r="V1104" s="16">
        <f t="shared" si="256"/>
        <v>0.12501096150818219</v>
      </c>
      <c r="W1104" s="16">
        <f t="shared" si="256"/>
        <v>0.12192408237969407</v>
      </c>
      <c r="X1104" s="16">
        <f t="shared" si="256"/>
        <v>0.12119712865586929</v>
      </c>
      <c r="Y1104" s="16">
        <f t="shared" si="256"/>
        <v>0.11526137288875084</v>
      </c>
      <c r="Z1104" s="16">
        <f t="shared" si="256"/>
        <v>0.11117139808436884</v>
      </c>
      <c r="AA1104" s="16">
        <f t="shared" si="256"/>
        <v>0.10661035477529512</v>
      </c>
      <c r="AB1104" s="16">
        <f t="shared" si="256"/>
        <v>0.10795562574474302</v>
      </c>
      <c r="AC1104" s="16">
        <f t="shared" si="256"/>
        <v>0.10548077987248766</v>
      </c>
      <c r="AD1104" s="16">
        <f t="shared" si="244"/>
        <v>8.3936024453764246E-2</v>
      </c>
      <c r="AE1104" s="65">
        <f t="shared" si="244"/>
        <v>9.0847030067761569E-2</v>
      </c>
      <c r="AF1104" s="16">
        <v>0</v>
      </c>
      <c r="AG1104" s="16">
        <v>0</v>
      </c>
      <c r="AH1104" s="16">
        <v>0</v>
      </c>
      <c r="AI1104" s="16">
        <v>0</v>
      </c>
      <c r="AJ1104" s="16">
        <v>0</v>
      </c>
      <c r="AK1104" s="16">
        <v>0</v>
      </c>
      <c r="AL1104" s="16">
        <v>0</v>
      </c>
      <c r="AM1104" s="16">
        <v>0</v>
      </c>
      <c r="AN1104" s="16">
        <v>0</v>
      </c>
      <c r="AO1104" s="16">
        <v>0</v>
      </c>
      <c r="AP1104" s="16">
        <v>0</v>
      </c>
      <c r="AQ1104" s="16">
        <v>0</v>
      </c>
      <c r="AR1104" s="16">
        <v>0</v>
      </c>
      <c r="AS1104" s="16">
        <v>0</v>
      </c>
      <c r="AT1104" s="16">
        <v>0</v>
      </c>
      <c r="AU1104" s="16">
        <v>0</v>
      </c>
      <c r="AV1104" s="16">
        <v>0</v>
      </c>
      <c r="AW1104" s="16">
        <v>0</v>
      </c>
      <c r="AX1104" s="16">
        <v>0</v>
      </c>
      <c r="AY1104" s="16">
        <v>0</v>
      </c>
      <c r="AZ1104" s="16">
        <v>0</v>
      </c>
      <c r="BA1104" s="16">
        <v>0</v>
      </c>
      <c r="BB1104" s="16">
        <v>0</v>
      </c>
      <c r="BC1104" s="16">
        <v>0</v>
      </c>
      <c r="BD1104" s="16">
        <v>0</v>
      </c>
      <c r="BE1104" s="16">
        <v>0</v>
      </c>
      <c r="BF1104" s="16">
        <v>0</v>
      </c>
      <c r="BG1104" s="16">
        <v>0</v>
      </c>
    </row>
    <row r="1105" spans="1:59" ht="12" customHeight="1" x14ac:dyDescent="0.2">
      <c r="A1105" t="s">
        <v>132</v>
      </c>
      <c r="B1105" t="str">
        <f t="shared" si="210"/>
        <v>CSA</v>
      </c>
      <c r="C1105" t="str">
        <f t="shared" si="211"/>
        <v>WB</v>
      </c>
      <c r="D1105" s="16">
        <f t="shared" ref="D1105:AC1105" si="257">D$1090/D$1141*D1156</f>
        <v>0.15465727439234422</v>
      </c>
      <c r="E1105" s="16">
        <f t="shared" si="257"/>
        <v>0.15397210218472995</v>
      </c>
      <c r="F1105" s="16">
        <f t="shared" si="257"/>
        <v>0.14982252954059402</v>
      </c>
      <c r="G1105" s="16">
        <f t="shared" si="257"/>
        <v>0.15093599920439935</v>
      </c>
      <c r="H1105" s="16">
        <f t="shared" si="257"/>
        <v>0.14744911605581526</v>
      </c>
      <c r="I1105" s="16">
        <f t="shared" si="257"/>
        <v>0.15375343030133057</v>
      </c>
      <c r="J1105" s="16">
        <f t="shared" si="257"/>
        <v>0.14965536612888519</v>
      </c>
      <c r="K1105" s="16">
        <f t="shared" si="257"/>
        <v>0.1390865002309371</v>
      </c>
      <c r="L1105" s="16">
        <f t="shared" si="257"/>
        <v>0.12771320051613338</v>
      </c>
      <c r="M1105" s="16">
        <f t="shared" si="257"/>
        <v>0.13127179674276448</v>
      </c>
      <c r="N1105" s="16">
        <f t="shared" si="257"/>
        <v>0.13168640340433263</v>
      </c>
      <c r="O1105" s="16">
        <f t="shared" si="257"/>
        <v>0.12713527630942553</v>
      </c>
      <c r="P1105" s="16">
        <f t="shared" si="257"/>
        <v>0.12582439933089939</v>
      </c>
      <c r="Q1105" s="16">
        <f t="shared" si="257"/>
        <v>0.13055476831943874</v>
      </c>
      <c r="R1105" s="16">
        <f t="shared" si="257"/>
        <v>0.13430888430515955</v>
      </c>
      <c r="S1105" s="16">
        <f t="shared" si="257"/>
        <v>0.13797436726376275</v>
      </c>
      <c r="T1105" s="16">
        <f t="shared" si="257"/>
        <v>0.13533265025289912</v>
      </c>
      <c r="U1105" s="16">
        <f t="shared" si="257"/>
        <v>0.12595722815437477</v>
      </c>
      <c r="V1105" s="16">
        <f t="shared" si="257"/>
        <v>0.12435498648363391</v>
      </c>
      <c r="W1105" s="16">
        <f t="shared" si="257"/>
        <v>0.12428730207312956</v>
      </c>
      <c r="X1105" s="16">
        <f t="shared" si="257"/>
        <v>0.1238066929560899</v>
      </c>
      <c r="Y1105" s="16">
        <f t="shared" si="257"/>
        <v>0.11612578437191268</v>
      </c>
      <c r="Z1105" s="16">
        <f t="shared" si="257"/>
        <v>0.11605283365997263</v>
      </c>
      <c r="AA1105" s="16">
        <f t="shared" si="257"/>
        <v>0.11066400442934682</v>
      </c>
      <c r="AB1105" s="16">
        <f t="shared" si="257"/>
        <v>0.10943502930669546</v>
      </c>
      <c r="AC1105" s="16">
        <f t="shared" si="257"/>
        <v>0.12620939913328025</v>
      </c>
      <c r="AD1105" s="16">
        <f t="shared" si="244"/>
        <v>0.10219938221702407</v>
      </c>
      <c r="AE1105" s="65">
        <f t="shared" si="244"/>
        <v>0.11061413034031618</v>
      </c>
      <c r="AF1105" s="16">
        <v>0</v>
      </c>
      <c r="AG1105" s="16">
        <v>0</v>
      </c>
      <c r="AH1105" s="16">
        <v>0</v>
      </c>
      <c r="AI1105" s="16">
        <v>0</v>
      </c>
      <c r="AJ1105" s="16">
        <v>0</v>
      </c>
      <c r="AK1105" s="16">
        <v>0</v>
      </c>
      <c r="AL1105" s="16">
        <v>0</v>
      </c>
      <c r="AM1105" s="16">
        <v>0</v>
      </c>
      <c r="AN1105" s="16">
        <v>0</v>
      </c>
      <c r="AO1105" s="16">
        <v>0</v>
      </c>
      <c r="AP1105" s="16">
        <v>0</v>
      </c>
      <c r="AQ1105" s="16">
        <v>0</v>
      </c>
      <c r="AR1105" s="16">
        <v>0</v>
      </c>
      <c r="AS1105" s="16">
        <v>0</v>
      </c>
      <c r="AT1105" s="16">
        <v>0</v>
      </c>
      <c r="AU1105" s="16">
        <v>0</v>
      </c>
      <c r="AV1105" s="16">
        <v>0</v>
      </c>
      <c r="AW1105" s="16">
        <v>0</v>
      </c>
      <c r="AX1105" s="16">
        <v>0</v>
      </c>
      <c r="AY1105" s="16">
        <v>0</v>
      </c>
      <c r="AZ1105" s="16">
        <v>0</v>
      </c>
      <c r="BA1105" s="16">
        <v>0</v>
      </c>
      <c r="BB1105" s="16">
        <v>0</v>
      </c>
      <c r="BC1105" s="16">
        <v>0</v>
      </c>
      <c r="BD1105" s="16">
        <v>0</v>
      </c>
      <c r="BE1105" s="16">
        <v>0</v>
      </c>
      <c r="BF1105" s="16">
        <v>0</v>
      </c>
      <c r="BG1105" s="16">
        <v>0</v>
      </c>
    </row>
    <row r="1106" spans="1:59" ht="12" customHeight="1" x14ac:dyDescent="0.2">
      <c r="A1106" t="s">
        <v>133</v>
      </c>
      <c r="B1106" t="str">
        <f t="shared" si="210"/>
        <v>USA</v>
      </c>
      <c r="C1106" t="str">
        <f t="shared" si="211"/>
        <v>RJ</v>
      </c>
      <c r="D1106" s="40">
        <v>0.19200203885754091</v>
      </c>
      <c r="E1106" s="40">
        <v>0.19200203885754091</v>
      </c>
      <c r="F1106" s="40">
        <v>0.19200203885754091</v>
      </c>
      <c r="G1106" s="40">
        <v>0.19200203885754091</v>
      </c>
      <c r="H1106" s="40">
        <v>0.19200203885754091</v>
      </c>
      <c r="I1106" s="40">
        <v>0.19200203885754091</v>
      </c>
      <c r="J1106" s="40">
        <v>0.19200203885754091</v>
      </c>
      <c r="K1106" s="40">
        <v>0.19200203885754091</v>
      </c>
      <c r="L1106" s="40">
        <v>0.19200203885754091</v>
      </c>
      <c r="M1106" s="40">
        <v>0.18390936859260973</v>
      </c>
      <c r="N1106" s="40">
        <v>0.20657805369220855</v>
      </c>
      <c r="O1106" s="40">
        <v>0.20865808914224723</v>
      </c>
      <c r="P1106" s="40">
        <v>0.19715175444601479</v>
      </c>
      <c r="Q1106" s="40">
        <v>0.18035141882758865</v>
      </c>
      <c r="R1106" s="40">
        <v>0.19320356992138549</v>
      </c>
      <c r="S1106" s="40">
        <v>0.18902963554679947</v>
      </c>
      <c r="T1106" s="41">
        <f>AVERAGE(S1106,U1106)</f>
        <v>0.19716324692039133</v>
      </c>
      <c r="U1106" s="40">
        <v>0.20529685829398323</v>
      </c>
      <c r="V1106" s="40">
        <v>0.23595736939364023</v>
      </c>
      <c r="W1106" s="40">
        <v>0.26539884510209283</v>
      </c>
      <c r="X1106" s="40">
        <v>0.26426215097440736</v>
      </c>
      <c r="Y1106" s="40">
        <v>0.21708883442560334</v>
      </c>
      <c r="Z1106" s="40">
        <v>0.26532677899283763</v>
      </c>
      <c r="AA1106" s="40">
        <v>0.26407089315910764</v>
      </c>
      <c r="AB1106" s="40">
        <v>0.22419074711409681</v>
      </c>
      <c r="AC1106" s="40">
        <v>0.17976327041704607</v>
      </c>
      <c r="AD1106" s="40">
        <v>0.21326728657913041</v>
      </c>
      <c r="AE1106" s="40">
        <v>0.1680997485373856</v>
      </c>
      <c r="AF1106" s="16">
        <v>0</v>
      </c>
      <c r="AG1106" s="16">
        <v>0</v>
      </c>
      <c r="AH1106" s="16">
        <v>0</v>
      </c>
      <c r="AI1106" s="16">
        <v>0</v>
      </c>
      <c r="AJ1106" s="16">
        <v>0</v>
      </c>
      <c r="AK1106" s="16">
        <v>0</v>
      </c>
      <c r="AL1106" s="16">
        <v>0</v>
      </c>
      <c r="AM1106" s="16">
        <v>0</v>
      </c>
      <c r="AN1106" s="16">
        <v>0</v>
      </c>
      <c r="AO1106" s="16">
        <v>0</v>
      </c>
      <c r="AP1106" s="16">
        <v>0</v>
      </c>
      <c r="AQ1106" s="16">
        <v>0</v>
      </c>
      <c r="AR1106" s="16">
        <v>0</v>
      </c>
      <c r="AS1106" s="16">
        <v>0</v>
      </c>
      <c r="AT1106" s="16">
        <v>0</v>
      </c>
      <c r="AU1106" s="16">
        <v>0</v>
      </c>
      <c r="AV1106" s="16">
        <v>0</v>
      </c>
      <c r="AW1106" s="16">
        <v>0</v>
      </c>
      <c r="AX1106" s="16">
        <v>0</v>
      </c>
      <c r="AY1106" s="16">
        <v>0</v>
      </c>
      <c r="AZ1106" s="16">
        <v>0</v>
      </c>
      <c r="BA1106" s="16">
        <v>0</v>
      </c>
      <c r="BB1106" s="16">
        <v>0</v>
      </c>
      <c r="BC1106" s="16">
        <v>0</v>
      </c>
      <c r="BD1106" s="16">
        <v>0</v>
      </c>
      <c r="BE1106" s="16">
        <v>0</v>
      </c>
      <c r="BF1106" s="16">
        <v>0</v>
      </c>
      <c r="BG1106" s="16">
        <v>0</v>
      </c>
    </row>
    <row r="1107" spans="1:59" ht="12" customHeight="1" x14ac:dyDescent="0.2">
      <c r="A1107" t="s">
        <v>134</v>
      </c>
      <c r="B1107" t="str">
        <f t="shared" si="210"/>
        <v>CAN</v>
      </c>
      <c r="C1107" t="str">
        <f t="shared" si="211"/>
        <v>RJ</v>
      </c>
      <c r="D1107" s="16">
        <f t="shared" ref="D1107:AD1107" si="258">D$1106/D$1157*D1158</f>
        <v>0.19425240103447389</v>
      </c>
      <c r="E1107" s="16">
        <f t="shared" si="258"/>
        <v>0.19425240103447383</v>
      </c>
      <c r="F1107" s="16">
        <f t="shared" si="258"/>
        <v>0.19425240103447386</v>
      </c>
      <c r="G1107" s="16">
        <f t="shared" si="258"/>
        <v>0.19425240103447386</v>
      </c>
      <c r="H1107" s="16">
        <f t="shared" si="258"/>
        <v>0.19425240103447389</v>
      </c>
      <c r="I1107" s="16">
        <f t="shared" si="258"/>
        <v>0.19425240103447386</v>
      </c>
      <c r="J1107" s="16">
        <f t="shared" si="258"/>
        <v>0.19425240103447389</v>
      </c>
      <c r="K1107" s="16">
        <f t="shared" si="258"/>
        <v>0.19425240103447386</v>
      </c>
      <c r="L1107" s="16">
        <f t="shared" si="258"/>
        <v>0.19425240103447386</v>
      </c>
      <c r="M1107" s="16">
        <f t="shared" si="258"/>
        <v>0.18606488053158191</v>
      </c>
      <c r="N1107" s="16">
        <f t="shared" si="258"/>
        <v>0.20899925422413776</v>
      </c>
      <c r="O1107" s="16">
        <f t="shared" si="258"/>
        <v>0.21110366875437422</v>
      </c>
      <c r="P1107" s="16">
        <f t="shared" si="258"/>
        <v>0.19946247392566818</v>
      </c>
      <c r="Q1107" s="16">
        <f t="shared" si="258"/>
        <v>0.18246522977408039</v>
      </c>
      <c r="R1107" s="16">
        <f t="shared" si="258"/>
        <v>0.19546801465742344</v>
      </c>
      <c r="S1107" s="16">
        <f t="shared" si="258"/>
        <v>0.19124515963542418</v>
      </c>
      <c r="T1107" s="16">
        <f t="shared" si="258"/>
        <v>0.18053245358955386</v>
      </c>
      <c r="U1107" s="16">
        <f t="shared" si="258"/>
        <v>0.21356608828808163</v>
      </c>
      <c r="V1107" s="16">
        <f t="shared" si="258"/>
        <v>0.2522888327045204</v>
      </c>
      <c r="W1107" s="16">
        <f t="shared" si="258"/>
        <v>0.26003771102616186</v>
      </c>
      <c r="X1107" s="16">
        <f t="shared" si="258"/>
        <v>0.26559137852414216</v>
      </c>
      <c r="Y1107" s="16">
        <f t="shared" si="258"/>
        <v>0.23057693391916312</v>
      </c>
      <c r="Z1107" s="16">
        <f t="shared" si="258"/>
        <v>0.27050366351776256</v>
      </c>
      <c r="AA1107" s="16">
        <f t="shared" si="258"/>
        <v>0.28063792107486701</v>
      </c>
      <c r="AB1107" s="16">
        <f t="shared" si="258"/>
        <v>0.25348844811678151</v>
      </c>
      <c r="AC1107" s="16">
        <f t="shared" si="258"/>
        <v>0.21057735693513152</v>
      </c>
      <c r="AD1107" s="16">
        <f t="shared" si="258"/>
        <v>0.23405455913508258</v>
      </c>
      <c r="AE1107" s="65">
        <f t="shared" ref="AE1107" si="259">AE$1106/AE$1157*AE1158</f>
        <v>0.18448451783549888</v>
      </c>
      <c r="AF1107" s="16">
        <v>0</v>
      </c>
      <c r="AG1107" s="16">
        <v>0</v>
      </c>
      <c r="AH1107" s="16">
        <v>0</v>
      </c>
      <c r="AI1107" s="16">
        <v>0</v>
      </c>
      <c r="AJ1107" s="16">
        <v>0</v>
      </c>
      <c r="AK1107" s="16">
        <v>0</v>
      </c>
      <c r="AL1107" s="16">
        <v>0</v>
      </c>
      <c r="AM1107" s="16">
        <v>0</v>
      </c>
      <c r="AN1107" s="16">
        <v>0</v>
      </c>
      <c r="AO1107" s="16">
        <v>0</v>
      </c>
      <c r="AP1107" s="16">
        <v>0</v>
      </c>
      <c r="AQ1107" s="16">
        <v>0</v>
      </c>
      <c r="AR1107" s="16">
        <v>0</v>
      </c>
      <c r="AS1107" s="16">
        <v>0</v>
      </c>
      <c r="AT1107" s="16">
        <v>0</v>
      </c>
      <c r="AU1107" s="16">
        <v>0</v>
      </c>
      <c r="AV1107" s="16">
        <v>0</v>
      </c>
      <c r="AW1107" s="16">
        <v>0</v>
      </c>
      <c r="AX1107" s="16">
        <v>0</v>
      </c>
      <c r="AY1107" s="16">
        <v>0</v>
      </c>
      <c r="AZ1107" s="16">
        <v>0</v>
      </c>
      <c r="BA1107" s="16">
        <v>0</v>
      </c>
      <c r="BB1107" s="16">
        <v>0</v>
      </c>
      <c r="BC1107" s="16">
        <v>0</v>
      </c>
      <c r="BD1107" s="16">
        <v>0</v>
      </c>
      <c r="BE1107" s="16">
        <v>0</v>
      </c>
      <c r="BF1107" s="16">
        <v>0</v>
      </c>
      <c r="BG1107" s="16">
        <v>0</v>
      </c>
    </row>
    <row r="1108" spans="1:59" ht="12" customHeight="1" x14ac:dyDescent="0.2">
      <c r="A1108" t="s">
        <v>135</v>
      </c>
      <c r="B1108" t="str">
        <f t="shared" si="210"/>
        <v>MXC</v>
      </c>
      <c r="C1108" t="str">
        <f t="shared" si="211"/>
        <v>RJ</v>
      </c>
      <c r="D1108" s="16">
        <f t="shared" ref="D1108:AD1108" si="260">D$1106/D$1157*D1159</f>
        <v>0.21143271456715337</v>
      </c>
      <c r="E1108" s="16">
        <f t="shared" si="260"/>
        <v>0.21143271456715335</v>
      </c>
      <c r="F1108" s="16">
        <f t="shared" si="260"/>
        <v>0.21143271456715337</v>
      </c>
      <c r="G1108" s="16">
        <f t="shared" si="260"/>
        <v>0.2114327145671534</v>
      </c>
      <c r="H1108" s="16">
        <f t="shared" si="260"/>
        <v>0.21143271456715343</v>
      </c>
      <c r="I1108" s="16">
        <f t="shared" si="260"/>
        <v>0.21143271456715343</v>
      </c>
      <c r="J1108" s="16">
        <f t="shared" si="260"/>
        <v>0.21143271456715346</v>
      </c>
      <c r="K1108" s="16">
        <f t="shared" si="260"/>
        <v>0.21143271456715343</v>
      </c>
      <c r="L1108" s="16">
        <f t="shared" si="260"/>
        <v>0.21143271456715343</v>
      </c>
      <c r="M1108" s="16">
        <f t="shared" si="260"/>
        <v>0.20252106314723892</v>
      </c>
      <c r="N1108" s="16">
        <f t="shared" si="260"/>
        <v>0.22748382736992687</v>
      </c>
      <c r="O1108" s="16">
        <f t="shared" si="260"/>
        <v>0.22977436315910091</v>
      </c>
      <c r="P1108" s="16">
        <f t="shared" si="260"/>
        <v>0.21710358323395795</v>
      </c>
      <c r="Q1108" s="16">
        <f t="shared" si="260"/>
        <v>0.19860304758038272</v>
      </c>
      <c r="R1108" s="16">
        <f t="shared" si="260"/>
        <v>0.21275584100881539</v>
      </c>
      <c r="S1108" s="16">
        <f t="shared" si="260"/>
        <v>0.20815950296732894</v>
      </c>
      <c r="T1108" s="16">
        <f t="shared" si="260"/>
        <v>0.18373435369661878</v>
      </c>
      <c r="U1108" s="16">
        <f t="shared" si="260"/>
        <v>0.17660979812351041</v>
      </c>
      <c r="V1108" s="16">
        <f t="shared" si="260"/>
        <v>0.19024855667583129</v>
      </c>
      <c r="W1108" s="16">
        <f t="shared" si="260"/>
        <v>0.20953587910290059</v>
      </c>
      <c r="X1108" s="16">
        <f t="shared" si="260"/>
        <v>0.20270013830326875</v>
      </c>
      <c r="Y1108" s="16">
        <f t="shared" si="260"/>
        <v>0.16229109515058368</v>
      </c>
      <c r="Z1108" s="16">
        <f t="shared" si="260"/>
        <v>0.19223413702629558</v>
      </c>
      <c r="AA1108" s="16">
        <f t="shared" si="260"/>
        <v>0.18888240889591404</v>
      </c>
      <c r="AB1108" s="16">
        <f t="shared" si="260"/>
        <v>0.16085034500543219</v>
      </c>
      <c r="AC1108" s="16">
        <f t="shared" si="260"/>
        <v>0.12696184990049697</v>
      </c>
      <c r="AD1108" s="16">
        <f t="shared" si="260"/>
        <v>0.14897558828690147</v>
      </c>
      <c r="AE1108" s="65">
        <f t="shared" ref="AE1108" si="261">AE$1106/AE$1157*AE1159</f>
        <v>0.11742428635413524</v>
      </c>
      <c r="AF1108" s="16">
        <v>0</v>
      </c>
      <c r="AG1108" s="16">
        <v>0</v>
      </c>
      <c r="AH1108" s="16">
        <v>0</v>
      </c>
      <c r="AI1108" s="16">
        <v>0</v>
      </c>
      <c r="AJ1108" s="16">
        <v>0</v>
      </c>
      <c r="AK1108" s="16">
        <v>0</v>
      </c>
      <c r="AL1108" s="16">
        <v>0</v>
      </c>
      <c r="AM1108" s="16">
        <v>0</v>
      </c>
      <c r="AN1108" s="16">
        <v>0</v>
      </c>
      <c r="AO1108" s="16">
        <v>0</v>
      </c>
      <c r="AP1108" s="16">
        <v>0</v>
      </c>
      <c r="AQ1108" s="16">
        <v>0</v>
      </c>
      <c r="AR1108" s="16">
        <v>0</v>
      </c>
      <c r="AS1108" s="16">
        <v>0</v>
      </c>
      <c r="AT1108" s="16">
        <v>0</v>
      </c>
      <c r="AU1108" s="16">
        <v>0</v>
      </c>
      <c r="AV1108" s="16">
        <v>0</v>
      </c>
      <c r="AW1108" s="16">
        <v>0</v>
      </c>
      <c r="AX1108" s="16">
        <v>0</v>
      </c>
      <c r="AY1108" s="16">
        <v>0</v>
      </c>
      <c r="AZ1108" s="16">
        <v>0</v>
      </c>
      <c r="BA1108" s="16">
        <v>0</v>
      </c>
      <c r="BB1108" s="16">
        <v>0</v>
      </c>
      <c r="BC1108" s="16">
        <v>0</v>
      </c>
      <c r="BD1108" s="16">
        <v>0</v>
      </c>
      <c r="BE1108" s="16">
        <v>0</v>
      </c>
      <c r="BF1108" s="16">
        <v>0</v>
      </c>
      <c r="BG1108" s="16">
        <v>0</v>
      </c>
    </row>
    <row r="1109" spans="1:59" ht="12" customHeight="1" x14ac:dyDescent="0.2">
      <c r="A1109" t="s">
        <v>136</v>
      </c>
      <c r="B1109" t="str">
        <f t="shared" si="210"/>
        <v>EUR</v>
      </c>
      <c r="C1109" t="str">
        <f t="shared" si="211"/>
        <v>RJ</v>
      </c>
      <c r="D1109" s="16">
        <f t="shared" ref="D1109:AD1109" si="262">D$1106/D$1157*D1160</f>
        <v>0.17053016264044749</v>
      </c>
      <c r="E1109" s="16">
        <f t="shared" si="262"/>
        <v>0.17053016264044746</v>
      </c>
      <c r="F1109" s="16">
        <f t="shared" si="262"/>
        <v>0.17053016264044746</v>
      </c>
      <c r="G1109" s="16">
        <f t="shared" si="262"/>
        <v>0.17053016264044746</v>
      </c>
      <c r="H1109" s="16">
        <f t="shared" si="262"/>
        <v>0.17053016264044749</v>
      </c>
      <c r="I1109" s="16">
        <f t="shared" si="262"/>
        <v>0.17053016264044749</v>
      </c>
      <c r="J1109" s="16">
        <f t="shared" si="262"/>
        <v>0.17053016264044749</v>
      </c>
      <c r="K1109" s="16">
        <f t="shared" si="262"/>
        <v>0.17053016264044749</v>
      </c>
      <c r="L1109" s="16">
        <f t="shared" si="262"/>
        <v>0.17053016264044749</v>
      </c>
      <c r="M1109" s="16">
        <f t="shared" si="262"/>
        <v>0.16334250783904106</v>
      </c>
      <c r="N1109" s="16">
        <f t="shared" si="262"/>
        <v>0.18347611985629622</v>
      </c>
      <c r="O1109" s="16">
        <f t="shared" si="262"/>
        <v>0.18532354181964408</v>
      </c>
      <c r="P1109" s="16">
        <f t="shared" si="262"/>
        <v>0.17510397780449413</v>
      </c>
      <c r="Q1109" s="16">
        <f t="shared" si="262"/>
        <v>0.16018244893703237</v>
      </c>
      <c r="R1109" s="16">
        <f t="shared" si="262"/>
        <v>0.17159732468182035</v>
      </c>
      <c r="S1109" s="16">
        <f t="shared" si="262"/>
        <v>0.16789016765378054</v>
      </c>
      <c r="T1109" s="16">
        <f t="shared" si="262"/>
        <v>0.17116077943830216</v>
      </c>
      <c r="U1109" s="16">
        <f t="shared" si="262"/>
        <v>0.17180865267069423</v>
      </c>
      <c r="V1109" s="16">
        <f t="shared" si="262"/>
        <v>0.1948342026526341</v>
      </c>
      <c r="W1109" s="16">
        <f t="shared" si="262"/>
        <v>0.22468084937664679</v>
      </c>
      <c r="X1109" s="16">
        <f t="shared" si="262"/>
        <v>0.23368433938920327</v>
      </c>
      <c r="Y1109" s="16">
        <f t="shared" si="262"/>
        <v>0.19125690320720323</v>
      </c>
      <c r="Z1109" s="16">
        <f t="shared" si="262"/>
        <v>0.23879347600391801</v>
      </c>
      <c r="AA1109" s="16">
        <f t="shared" si="262"/>
        <v>0.23610783455105688</v>
      </c>
      <c r="AB1109" s="16">
        <f t="shared" si="262"/>
        <v>0.19649734580333234</v>
      </c>
      <c r="AC1109" s="16">
        <f t="shared" si="262"/>
        <v>0.16226218762717967</v>
      </c>
      <c r="AD1109" s="16">
        <f t="shared" si="262"/>
        <v>0.19534881101713306</v>
      </c>
      <c r="AE1109" s="65">
        <f t="shared" ref="AE1109" si="263">AE$1106/AE$1157*AE1160</f>
        <v>0.15397619829927897</v>
      </c>
      <c r="AF1109" s="16">
        <v>0</v>
      </c>
      <c r="AG1109" s="16">
        <v>0</v>
      </c>
      <c r="AH1109" s="16">
        <v>0</v>
      </c>
      <c r="AI1109" s="16">
        <v>0</v>
      </c>
      <c r="AJ1109" s="16">
        <v>0</v>
      </c>
      <c r="AK1109" s="16">
        <v>0</v>
      </c>
      <c r="AL1109" s="16">
        <v>0</v>
      </c>
      <c r="AM1109" s="16">
        <v>0</v>
      </c>
      <c r="AN1109" s="16">
        <v>0</v>
      </c>
      <c r="AO1109" s="16">
        <v>0</v>
      </c>
      <c r="AP1109" s="16">
        <v>0</v>
      </c>
      <c r="AQ1109" s="16">
        <v>0</v>
      </c>
      <c r="AR1109" s="16">
        <v>0</v>
      </c>
      <c r="AS1109" s="16">
        <v>0</v>
      </c>
      <c r="AT1109" s="16">
        <v>0</v>
      </c>
      <c r="AU1109" s="16">
        <v>0</v>
      </c>
      <c r="AV1109" s="16">
        <v>0</v>
      </c>
      <c r="AW1109" s="16">
        <v>0</v>
      </c>
      <c r="AX1109" s="16">
        <v>0</v>
      </c>
      <c r="AY1109" s="16">
        <v>0</v>
      </c>
      <c r="AZ1109" s="16">
        <v>0</v>
      </c>
      <c r="BA1109" s="16">
        <v>0</v>
      </c>
      <c r="BB1109" s="16">
        <v>0</v>
      </c>
      <c r="BC1109" s="16">
        <v>0</v>
      </c>
      <c r="BD1109" s="16">
        <v>0</v>
      </c>
      <c r="BE1109" s="16">
        <v>0</v>
      </c>
      <c r="BF1109" s="16">
        <v>0</v>
      </c>
      <c r="BG1109" s="16">
        <v>0</v>
      </c>
    </row>
    <row r="1110" spans="1:59" ht="12" customHeight="1" x14ac:dyDescent="0.2">
      <c r="A1110" t="s">
        <v>137</v>
      </c>
      <c r="B1110" t="str">
        <f t="shared" si="210"/>
        <v>JPN</v>
      </c>
      <c r="C1110" t="str">
        <f t="shared" si="211"/>
        <v>RJ</v>
      </c>
      <c r="D1110" s="16">
        <f t="shared" ref="D1110:AD1110" si="264">D$1106/D$1157*D1161</f>
        <v>0.20326600030569753</v>
      </c>
      <c r="E1110" s="16">
        <f t="shared" si="264"/>
        <v>0.2032660003056975</v>
      </c>
      <c r="F1110" s="16">
        <f t="shared" si="264"/>
        <v>0.20326600030569753</v>
      </c>
      <c r="G1110" s="16">
        <f t="shared" si="264"/>
        <v>0.20326600030569755</v>
      </c>
      <c r="H1110" s="16">
        <f t="shared" si="264"/>
        <v>0.20326600030569758</v>
      </c>
      <c r="I1110" s="16">
        <f t="shared" si="264"/>
        <v>0.20326600030569755</v>
      </c>
      <c r="J1110" s="16">
        <f t="shared" si="264"/>
        <v>0.20326600030569758</v>
      </c>
      <c r="K1110" s="16">
        <f t="shared" si="264"/>
        <v>0.20326600030569753</v>
      </c>
      <c r="L1110" s="16">
        <f t="shared" si="264"/>
        <v>0.20326600030569755</v>
      </c>
      <c r="M1110" s="16">
        <f t="shared" si="264"/>
        <v>0.19469856671835986</v>
      </c>
      <c r="N1110" s="16">
        <f t="shared" si="264"/>
        <v>0.21869712933676846</v>
      </c>
      <c r="O1110" s="16">
        <f t="shared" si="264"/>
        <v>0.22089919181974618</v>
      </c>
      <c r="P1110" s="16">
        <f t="shared" si="264"/>
        <v>0.20871782829986615</v>
      </c>
      <c r="Q1110" s="16">
        <f t="shared" si="264"/>
        <v>0.19093188683137685</v>
      </c>
      <c r="R1110" s="16">
        <f t="shared" si="264"/>
        <v>0.20453802020217349</v>
      </c>
      <c r="S1110" s="16">
        <f t="shared" si="264"/>
        <v>0.20011921844929179</v>
      </c>
      <c r="T1110" s="16">
        <f t="shared" si="264"/>
        <v>0.20336026534633111</v>
      </c>
      <c r="U1110" s="16">
        <f t="shared" si="264"/>
        <v>0.20716690914650868</v>
      </c>
      <c r="V1110" s="16">
        <f t="shared" si="264"/>
        <v>0.23057057164306521</v>
      </c>
      <c r="W1110" s="16">
        <f t="shared" si="264"/>
        <v>0.25025675031083194</v>
      </c>
      <c r="X1110" s="16">
        <f t="shared" si="264"/>
        <v>0.25266718530974813</v>
      </c>
      <c r="Y1110" s="16">
        <f t="shared" si="264"/>
        <v>0.19836144542403472</v>
      </c>
      <c r="Z1110" s="16">
        <f t="shared" si="264"/>
        <v>0.2445561640317509</v>
      </c>
      <c r="AA1110" s="16">
        <f t="shared" si="264"/>
        <v>0.23553517980853353</v>
      </c>
      <c r="AB1110" s="16">
        <f t="shared" si="264"/>
        <v>0.21059303174853586</v>
      </c>
      <c r="AC1110" s="16">
        <f t="shared" si="264"/>
        <v>0.18094766836337536</v>
      </c>
      <c r="AD1110" s="16">
        <f t="shared" si="264"/>
        <v>0.20773120708240958</v>
      </c>
      <c r="AE1110" s="65">
        <f t="shared" ref="AE1110" si="265">AE$1106/AE$1157*AE1161</f>
        <v>0.16373614647628634</v>
      </c>
      <c r="AF1110" s="16">
        <v>0</v>
      </c>
      <c r="AG1110" s="16">
        <v>0</v>
      </c>
      <c r="AH1110" s="16">
        <v>0</v>
      </c>
      <c r="AI1110" s="16">
        <v>0</v>
      </c>
      <c r="AJ1110" s="16">
        <v>0</v>
      </c>
      <c r="AK1110" s="16">
        <v>0</v>
      </c>
      <c r="AL1110" s="16">
        <v>0</v>
      </c>
      <c r="AM1110" s="16">
        <v>0</v>
      </c>
      <c r="AN1110" s="16">
        <v>0</v>
      </c>
      <c r="AO1110" s="16">
        <v>0</v>
      </c>
      <c r="AP1110" s="16">
        <v>0</v>
      </c>
      <c r="AQ1110" s="16">
        <v>0</v>
      </c>
      <c r="AR1110" s="16">
        <v>0</v>
      </c>
      <c r="AS1110" s="16">
        <v>0</v>
      </c>
      <c r="AT1110" s="16">
        <v>0</v>
      </c>
      <c r="AU1110" s="16">
        <v>0</v>
      </c>
      <c r="AV1110" s="16">
        <v>0</v>
      </c>
      <c r="AW1110" s="16">
        <v>0</v>
      </c>
      <c r="AX1110" s="16">
        <v>0</v>
      </c>
      <c r="AY1110" s="16">
        <v>0</v>
      </c>
      <c r="AZ1110" s="16">
        <v>0</v>
      </c>
      <c r="BA1110" s="16">
        <v>0</v>
      </c>
      <c r="BB1110" s="16">
        <v>0</v>
      </c>
      <c r="BC1110" s="16">
        <v>0</v>
      </c>
      <c r="BD1110" s="16">
        <v>0</v>
      </c>
      <c r="BE1110" s="16">
        <v>0</v>
      </c>
      <c r="BF1110" s="16">
        <v>0</v>
      </c>
      <c r="BG1110" s="16">
        <v>0</v>
      </c>
    </row>
    <row r="1111" spans="1:59" ht="12" customHeight="1" x14ac:dyDescent="0.2">
      <c r="A1111" t="s">
        <v>138</v>
      </c>
      <c r="B1111" t="str">
        <f t="shared" si="210"/>
        <v>ANZ</v>
      </c>
      <c r="C1111" t="str">
        <f t="shared" si="211"/>
        <v>RJ</v>
      </c>
      <c r="D1111" s="16">
        <f t="shared" ref="D1111:AD1111" si="266">D$1106/D$1157*D1162</f>
        <v>0.19456671204622389</v>
      </c>
      <c r="E1111" s="16">
        <f t="shared" si="266"/>
        <v>0.19456671204622386</v>
      </c>
      <c r="F1111" s="16">
        <f t="shared" si="266"/>
        <v>0.19456671204622386</v>
      </c>
      <c r="G1111" s="16">
        <f t="shared" si="266"/>
        <v>0.19456671204622389</v>
      </c>
      <c r="H1111" s="16">
        <f t="shared" si="266"/>
        <v>0.19456671204622392</v>
      </c>
      <c r="I1111" s="16">
        <f t="shared" si="266"/>
        <v>0.19456671204622386</v>
      </c>
      <c r="J1111" s="16">
        <f t="shared" si="266"/>
        <v>0.19456671204622389</v>
      </c>
      <c r="K1111" s="16">
        <f t="shared" si="266"/>
        <v>0.19456671204622389</v>
      </c>
      <c r="L1111" s="16">
        <f t="shared" si="266"/>
        <v>0.19456671204622389</v>
      </c>
      <c r="M1111" s="16">
        <f t="shared" si="266"/>
        <v>0.18636594368724735</v>
      </c>
      <c r="N1111" s="16">
        <f t="shared" si="266"/>
        <v>0.20933742645109793</v>
      </c>
      <c r="O1111" s="16">
        <f t="shared" si="266"/>
        <v>0.21144524603916953</v>
      </c>
      <c r="P1111" s="16">
        <f t="shared" si="266"/>
        <v>0.19978521512038119</v>
      </c>
      <c r="Q1111" s="16">
        <f t="shared" si="266"/>
        <v>0.18276046849789573</v>
      </c>
      <c r="R1111" s="16">
        <f t="shared" si="266"/>
        <v>0.19578429259851737</v>
      </c>
      <c r="S1111" s="16">
        <f t="shared" si="266"/>
        <v>0.19155460476607475</v>
      </c>
      <c r="T1111" s="16">
        <f t="shared" si="266"/>
        <v>0.22629128449569</v>
      </c>
      <c r="U1111" s="16">
        <f t="shared" si="266"/>
        <v>0.21635503811258711</v>
      </c>
      <c r="V1111" s="16">
        <f t="shared" si="266"/>
        <v>0.24410773446974465</v>
      </c>
      <c r="W1111" s="16">
        <f t="shared" si="266"/>
        <v>0.28566361935625906</v>
      </c>
      <c r="X1111" s="16">
        <f t="shared" si="266"/>
        <v>0.27230957577717291</v>
      </c>
      <c r="Y1111" s="16">
        <f t="shared" si="266"/>
        <v>0.23090563687121848</v>
      </c>
      <c r="Z1111" s="16">
        <f t="shared" si="266"/>
        <v>0.30461496954387851</v>
      </c>
      <c r="AA1111" s="16">
        <f t="shared" si="266"/>
        <v>0.30348278549064694</v>
      </c>
      <c r="AB1111" s="16">
        <f t="shared" si="266"/>
        <v>0.25356192618339074</v>
      </c>
      <c r="AC1111" s="16">
        <f t="shared" si="266"/>
        <v>0.19101768195853983</v>
      </c>
      <c r="AD1111" s="16">
        <f t="shared" si="266"/>
        <v>0.225136917211996</v>
      </c>
      <c r="AE1111" s="65">
        <f t="shared" ref="AE1111" si="267">AE$1106/AE$1157*AE1162</f>
        <v>0.17745552905403808</v>
      </c>
      <c r="AF1111" s="16">
        <v>0</v>
      </c>
      <c r="AG1111" s="16">
        <v>0</v>
      </c>
      <c r="AH1111" s="16">
        <v>0</v>
      </c>
      <c r="AI1111" s="16">
        <v>0</v>
      </c>
      <c r="AJ1111" s="16">
        <v>0</v>
      </c>
      <c r="AK1111" s="16">
        <v>0</v>
      </c>
      <c r="AL1111" s="16">
        <v>0</v>
      </c>
      <c r="AM1111" s="16">
        <v>0</v>
      </c>
      <c r="AN1111" s="16">
        <v>0</v>
      </c>
      <c r="AO1111" s="16">
        <v>0</v>
      </c>
      <c r="AP1111" s="16">
        <v>0</v>
      </c>
      <c r="AQ1111" s="16">
        <v>0</v>
      </c>
      <c r="AR1111" s="16">
        <v>0</v>
      </c>
      <c r="AS1111" s="16">
        <v>0</v>
      </c>
      <c r="AT1111" s="16">
        <v>0</v>
      </c>
      <c r="AU1111" s="16">
        <v>0</v>
      </c>
      <c r="AV1111" s="16">
        <v>0</v>
      </c>
      <c r="AW1111" s="16">
        <v>0</v>
      </c>
      <c r="AX1111" s="16">
        <v>0</v>
      </c>
      <c r="AY1111" s="16">
        <v>0</v>
      </c>
      <c r="AZ1111" s="16">
        <v>0</v>
      </c>
      <c r="BA1111" s="16">
        <v>0</v>
      </c>
      <c r="BB1111" s="16">
        <v>0</v>
      </c>
      <c r="BC1111" s="16">
        <v>0</v>
      </c>
      <c r="BD1111" s="16">
        <v>0</v>
      </c>
      <c r="BE1111" s="16">
        <v>0</v>
      </c>
      <c r="BF1111" s="16">
        <v>0</v>
      </c>
      <c r="BG1111" s="16">
        <v>0</v>
      </c>
    </row>
    <row r="1112" spans="1:59" ht="12" customHeight="1" x14ac:dyDescent="0.2">
      <c r="A1112" t="s">
        <v>139</v>
      </c>
      <c r="B1112" t="str">
        <f t="shared" si="210"/>
        <v>SKO</v>
      </c>
      <c r="C1112" t="str">
        <f t="shared" si="211"/>
        <v>RJ</v>
      </c>
      <c r="D1112" s="16">
        <f t="shared" ref="D1112:AD1112" si="268">D$1106/D$1157*D1163</f>
        <v>0.1971909237857605</v>
      </c>
      <c r="E1112" s="16">
        <f t="shared" si="268"/>
        <v>0.19719092378576047</v>
      </c>
      <c r="F1112" s="16">
        <f t="shared" si="268"/>
        <v>0.1971909237857605</v>
      </c>
      <c r="G1112" s="16">
        <f t="shared" si="268"/>
        <v>0.19719092378576053</v>
      </c>
      <c r="H1112" s="16">
        <f t="shared" si="268"/>
        <v>0.19719092378576056</v>
      </c>
      <c r="I1112" s="16">
        <f t="shared" si="268"/>
        <v>0.1971909237857605</v>
      </c>
      <c r="J1112" s="16">
        <f t="shared" si="268"/>
        <v>0.19719092378576053</v>
      </c>
      <c r="K1112" s="16">
        <f t="shared" si="268"/>
        <v>0.19719092378576047</v>
      </c>
      <c r="L1112" s="16">
        <f t="shared" si="268"/>
        <v>0.1971909237857605</v>
      </c>
      <c r="M1112" s="16">
        <f t="shared" si="268"/>
        <v>0.18887954784969888</v>
      </c>
      <c r="N1112" s="16">
        <f t="shared" si="268"/>
        <v>0.21216085768576282</v>
      </c>
      <c r="O1112" s="16">
        <f t="shared" si="268"/>
        <v>0.21429710641697852</v>
      </c>
      <c r="P1112" s="16">
        <f t="shared" si="268"/>
        <v>0.20247981123803671</v>
      </c>
      <c r="Q1112" s="16">
        <f t="shared" si="268"/>
        <v>0.18522544393953991</v>
      </c>
      <c r="R1112" s="16">
        <f t="shared" si="268"/>
        <v>0.19842492641326695</v>
      </c>
      <c r="S1112" s="16">
        <f t="shared" si="268"/>
        <v>0.19413819081377445</v>
      </c>
      <c r="T1112" s="16">
        <f t="shared" si="268"/>
        <v>0.2115875049304716</v>
      </c>
      <c r="U1112" s="16">
        <f t="shared" si="268"/>
        <v>0.2124527213081028</v>
      </c>
      <c r="V1112" s="16">
        <f t="shared" si="268"/>
        <v>0.23638763364524903</v>
      </c>
      <c r="W1112" s="16">
        <f t="shared" si="268"/>
        <v>0.28657317591254627</v>
      </c>
      <c r="X1112" s="16">
        <f t="shared" si="268"/>
        <v>0.38159135209675454</v>
      </c>
      <c r="Y1112" s="16">
        <f t="shared" si="268"/>
        <v>0.30668389356480158</v>
      </c>
      <c r="Z1112" s="16">
        <f t="shared" si="268"/>
        <v>0.37877863841533599</v>
      </c>
      <c r="AA1112" s="16">
        <f t="shared" si="268"/>
        <v>0.3700084958388718</v>
      </c>
      <c r="AB1112" s="16">
        <f t="shared" si="268"/>
        <v>0.29333498837580707</v>
      </c>
      <c r="AC1112" s="16">
        <f t="shared" si="268"/>
        <v>0.18724613465026224</v>
      </c>
      <c r="AD1112" s="16">
        <f t="shared" si="268"/>
        <v>0.2147382868639682</v>
      </c>
      <c r="AE1112" s="65">
        <f t="shared" ref="AE1112" si="269">AE$1106/AE$1157*AE1163</f>
        <v>0.1692592080210506</v>
      </c>
      <c r="AF1112" s="16">
        <v>0</v>
      </c>
      <c r="AG1112" s="16">
        <v>0</v>
      </c>
      <c r="AH1112" s="16">
        <v>0</v>
      </c>
      <c r="AI1112" s="16">
        <v>0</v>
      </c>
      <c r="AJ1112" s="16">
        <v>0</v>
      </c>
      <c r="AK1112" s="16">
        <v>0</v>
      </c>
      <c r="AL1112" s="16">
        <v>0</v>
      </c>
      <c r="AM1112" s="16">
        <v>0</v>
      </c>
      <c r="AN1112" s="16">
        <v>0</v>
      </c>
      <c r="AO1112" s="16">
        <v>0</v>
      </c>
      <c r="AP1112" s="16">
        <v>0</v>
      </c>
      <c r="AQ1112" s="16">
        <v>0</v>
      </c>
      <c r="AR1112" s="16">
        <v>0</v>
      </c>
      <c r="AS1112" s="16">
        <v>0</v>
      </c>
      <c r="AT1112" s="16">
        <v>0</v>
      </c>
      <c r="AU1112" s="16">
        <v>0</v>
      </c>
      <c r="AV1112" s="16">
        <v>0</v>
      </c>
      <c r="AW1112" s="16">
        <v>0</v>
      </c>
      <c r="AX1112" s="16">
        <v>0</v>
      </c>
      <c r="AY1112" s="16">
        <v>0</v>
      </c>
      <c r="AZ1112" s="16">
        <v>0</v>
      </c>
      <c r="BA1112" s="16">
        <v>0</v>
      </c>
      <c r="BB1112" s="16">
        <v>0</v>
      </c>
      <c r="BC1112" s="16">
        <v>0</v>
      </c>
      <c r="BD1112" s="16">
        <v>0</v>
      </c>
      <c r="BE1112" s="16">
        <v>0</v>
      </c>
      <c r="BF1112" s="16">
        <v>0</v>
      </c>
      <c r="BG1112" s="16">
        <v>0</v>
      </c>
    </row>
    <row r="1113" spans="1:59" ht="12" customHeight="1" x14ac:dyDescent="0.2">
      <c r="A1113" t="s">
        <v>140</v>
      </c>
      <c r="B1113" t="str">
        <f t="shared" si="210"/>
        <v>RUS</v>
      </c>
      <c r="C1113" t="str">
        <f t="shared" si="211"/>
        <v>RJ</v>
      </c>
      <c r="D1113" s="16">
        <f t="shared" ref="D1113:AD1113" si="270">D$1106/D$1157*D1164</f>
        <v>0.26639589166081434</v>
      </c>
      <c r="E1113" s="16">
        <f t="shared" si="270"/>
        <v>0.26639589166081429</v>
      </c>
      <c r="F1113" s="16">
        <f t="shared" si="270"/>
        <v>0.26639589166081429</v>
      </c>
      <c r="G1113" s="16">
        <f t="shared" si="270"/>
        <v>0.26639589166081434</v>
      </c>
      <c r="H1113" s="16">
        <f t="shared" si="270"/>
        <v>0.2663958916608144</v>
      </c>
      <c r="I1113" s="16">
        <f t="shared" si="270"/>
        <v>0.26639589166081434</v>
      </c>
      <c r="J1113" s="16">
        <f t="shared" si="270"/>
        <v>0.2663958916608144</v>
      </c>
      <c r="K1113" s="16">
        <f t="shared" si="270"/>
        <v>0.26639589166081434</v>
      </c>
      <c r="L1113" s="16">
        <f t="shared" si="270"/>
        <v>0.26639589166081434</v>
      </c>
      <c r="M1113" s="16">
        <f t="shared" si="270"/>
        <v>0.25516760406568695</v>
      </c>
      <c r="N1113" s="16">
        <f t="shared" si="270"/>
        <v>0.28661958559577094</v>
      </c>
      <c r="O1113" s="16">
        <f t="shared" si="270"/>
        <v>0.28950555962863156</v>
      </c>
      <c r="P1113" s="16">
        <f t="shared" si="270"/>
        <v>0.27354093597468737</v>
      </c>
      <c r="Q1113" s="16">
        <f t="shared" si="270"/>
        <v>0.25023107731952865</v>
      </c>
      <c r="R1113" s="16">
        <f t="shared" si="270"/>
        <v>0.26806297259920236</v>
      </c>
      <c r="S1113" s="16">
        <f t="shared" si="270"/>
        <v>0.2622717894635036</v>
      </c>
      <c r="T1113" s="16">
        <f t="shared" si="270"/>
        <v>0.280083090775753</v>
      </c>
      <c r="U1113" s="16">
        <f t="shared" si="270"/>
        <v>0.3108444277744381</v>
      </c>
      <c r="V1113" s="16">
        <f t="shared" si="270"/>
        <v>0.33589264775212202</v>
      </c>
      <c r="W1113" s="16">
        <f t="shared" si="270"/>
        <v>0.3311301144050014</v>
      </c>
      <c r="X1113" s="16">
        <f t="shared" si="270"/>
        <v>0.29354454785305883</v>
      </c>
      <c r="Y1113" s="16">
        <f t="shared" si="270"/>
        <v>0.26385721828274894</v>
      </c>
      <c r="Z1113" s="16">
        <f t="shared" si="270"/>
        <v>0.3161415102682516</v>
      </c>
      <c r="AA1113" s="16">
        <f t="shared" si="270"/>
        <v>0.30525216193843635</v>
      </c>
      <c r="AB1113" s="16">
        <f t="shared" si="270"/>
        <v>0.23262133821551953</v>
      </c>
      <c r="AC1113" s="16">
        <f t="shared" si="270"/>
        <v>0.18013660900121783</v>
      </c>
      <c r="AD1113" s="16">
        <f t="shared" si="270"/>
        <v>0.21407601670023063</v>
      </c>
      <c r="AE1113" s="65">
        <f t="shared" ref="AE1113" si="271">AE$1106/AE$1157*AE1164</f>
        <v>0.1687371989976611</v>
      </c>
      <c r="AF1113" s="16">
        <v>0</v>
      </c>
      <c r="AG1113" s="16">
        <v>0</v>
      </c>
      <c r="AH1113" s="16">
        <v>0</v>
      </c>
      <c r="AI1113" s="16">
        <v>0</v>
      </c>
      <c r="AJ1113" s="16">
        <v>0</v>
      </c>
      <c r="AK1113" s="16">
        <v>0</v>
      </c>
      <c r="AL1113" s="16">
        <v>0</v>
      </c>
      <c r="AM1113" s="16">
        <v>0</v>
      </c>
      <c r="AN1113" s="16">
        <v>0</v>
      </c>
      <c r="AO1113" s="16">
        <v>0</v>
      </c>
      <c r="AP1113" s="16">
        <v>0</v>
      </c>
      <c r="AQ1113" s="16">
        <v>0</v>
      </c>
      <c r="AR1113" s="16">
        <v>0</v>
      </c>
      <c r="AS1113" s="16">
        <v>0</v>
      </c>
      <c r="AT1113" s="16">
        <v>0</v>
      </c>
      <c r="AU1113" s="16">
        <v>0</v>
      </c>
      <c r="AV1113" s="16">
        <v>0</v>
      </c>
      <c r="AW1113" s="16">
        <v>0</v>
      </c>
      <c r="AX1113" s="16">
        <v>0</v>
      </c>
      <c r="AY1113" s="16">
        <v>0</v>
      </c>
      <c r="AZ1113" s="16">
        <v>0</v>
      </c>
      <c r="BA1113" s="16">
        <v>0</v>
      </c>
      <c r="BB1113" s="16">
        <v>0</v>
      </c>
      <c r="BC1113" s="16">
        <v>0</v>
      </c>
      <c r="BD1113" s="16">
        <v>0</v>
      </c>
      <c r="BE1113" s="16">
        <v>0</v>
      </c>
      <c r="BF1113" s="16">
        <v>0</v>
      </c>
      <c r="BG1113" s="16">
        <v>0</v>
      </c>
    </row>
    <row r="1114" spans="1:59" ht="12" customHeight="1" x14ac:dyDescent="0.2">
      <c r="A1114" t="s">
        <v>141</v>
      </c>
      <c r="B1114" t="str">
        <f t="shared" si="210"/>
        <v>URA</v>
      </c>
      <c r="C1114" t="str">
        <f t="shared" si="211"/>
        <v>RJ</v>
      </c>
      <c r="D1114" s="16">
        <f t="shared" ref="D1114:AD1114" si="272">D$1106/D$1157*D1165</f>
        <v>0.27091281568869602</v>
      </c>
      <c r="E1114" s="16">
        <f t="shared" si="272"/>
        <v>0.27091281568869596</v>
      </c>
      <c r="F1114" s="16">
        <f t="shared" si="272"/>
        <v>0.27091281568869602</v>
      </c>
      <c r="G1114" s="16">
        <f t="shared" si="272"/>
        <v>0.27091281568869602</v>
      </c>
      <c r="H1114" s="16">
        <f t="shared" si="272"/>
        <v>0.27091281568869607</v>
      </c>
      <c r="I1114" s="16">
        <f t="shared" si="272"/>
        <v>0.27091281568869602</v>
      </c>
      <c r="J1114" s="16">
        <f t="shared" si="272"/>
        <v>0.27091281568869607</v>
      </c>
      <c r="K1114" s="16">
        <f t="shared" si="272"/>
        <v>0.27091281568869602</v>
      </c>
      <c r="L1114" s="16">
        <f t="shared" si="272"/>
        <v>0.27091281568869607</v>
      </c>
      <c r="M1114" s="16">
        <f t="shared" si="272"/>
        <v>0.25949414481958416</v>
      </c>
      <c r="N1114" s="16">
        <f t="shared" si="272"/>
        <v>0.29147941614708972</v>
      </c>
      <c r="O1114" s="16">
        <f t="shared" si="272"/>
        <v>0.2944143238379418</v>
      </c>
      <c r="P1114" s="16">
        <f t="shared" si="272"/>
        <v>0.27817900910190546</v>
      </c>
      <c r="Q1114" s="16">
        <f t="shared" si="272"/>
        <v>0.25447391589568213</v>
      </c>
      <c r="R1114" s="16">
        <f t="shared" si="272"/>
        <v>0.2726081631213611</v>
      </c>
      <c r="S1114" s="16">
        <f t="shared" si="272"/>
        <v>0.26671878652594933</v>
      </c>
      <c r="T1114" s="16">
        <f t="shared" si="272"/>
        <v>0.2111908235500041</v>
      </c>
      <c r="U1114" s="16">
        <f t="shared" si="272"/>
        <v>0.19682520761108652</v>
      </c>
      <c r="V1114" s="16">
        <f t="shared" si="272"/>
        <v>0.16292643660713016</v>
      </c>
      <c r="W1114" s="16">
        <f t="shared" si="272"/>
        <v>0.18789419697255783</v>
      </c>
      <c r="X1114" s="16">
        <f t="shared" si="272"/>
        <v>0.18648885787247865</v>
      </c>
      <c r="Y1114" s="16">
        <f t="shared" si="272"/>
        <v>0.15342215787160299</v>
      </c>
      <c r="Z1114" s="16">
        <f t="shared" si="272"/>
        <v>0.20255790543095711</v>
      </c>
      <c r="AA1114" s="16">
        <f t="shared" si="272"/>
        <v>0.18812527674375162</v>
      </c>
      <c r="AB1114" s="16">
        <f t="shared" si="272"/>
        <v>0.1444292133892548</v>
      </c>
      <c r="AC1114" s="16">
        <f t="shared" si="272"/>
        <v>0.16549255707087887</v>
      </c>
      <c r="AD1114" s="16">
        <f t="shared" si="272"/>
        <v>0.20484538927984364</v>
      </c>
      <c r="AE1114" s="65">
        <f t="shared" ref="AE1114" si="273">AE$1106/AE$1157*AE1165</f>
        <v>0.16146151141754261</v>
      </c>
      <c r="AF1114" s="16">
        <v>0</v>
      </c>
      <c r="AG1114" s="16">
        <v>0</v>
      </c>
      <c r="AH1114" s="16">
        <v>0</v>
      </c>
      <c r="AI1114" s="16">
        <v>0</v>
      </c>
      <c r="AJ1114" s="16">
        <v>0</v>
      </c>
      <c r="AK1114" s="16">
        <v>0</v>
      </c>
      <c r="AL1114" s="16">
        <v>0</v>
      </c>
      <c r="AM1114" s="16">
        <v>0</v>
      </c>
      <c r="AN1114" s="16">
        <v>0</v>
      </c>
      <c r="AO1114" s="16">
        <v>0</v>
      </c>
      <c r="AP1114" s="16">
        <v>0</v>
      </c>
      <c r="AQ1114" s="16">
        <v>0</v>
      </c>
      <c r="AR1114" s="16">
        <v>0</v>
      </c>
      <c r="AS1114" s="16">
        <v>0</v>
      </c>
      <c r="AT1114" s="16">
        <v>0</v>
      </c>
      <c r="AU1114" s="16">
        <v>0</v>
      </c>
      <c r="AV1114" s="16">
        <v>0</v>
      </c>
      <c r="AW1114" s="16">
        <v>0</v>
      </c>
      <c r="AX1114" s="16">
        <v>0</v>
      </c>
      <c r="AY1114" s="16">
        <v>0</v>
      </c>
      <c r="AZ1114" s="16">
        <v>0</v>
      </c>
      <c r="BA1114" s="16">
        <v>0</v>
      </c>
      <c r="BB1114" s="16">
        <v>0</v>
      </c>
      <c r="BC1114" s="16">
        <v>0</v>
      </c>
      <c r="BD1114" s="16">
        <v>0</v>
      </c>
      <c r="BE1114" s="16">
        <v>0</v>
      </c>
      <c r="BF1114" s="16">
        <v>0</v>
      </c>
      <c r="BG1114" s="16">
        <v>0</v>
      </c>
    </row>
    <row r="1115" spans="1:59" ht="12" customHeight="1" x14ac:dyDescent="0.2">
      <c r="A1115" t="s">
        <v>142</v>
      </c>
      <c r="B1115" t="str">
        <f t="shared" si="210"/>
        <v>CHI</v>
      </c>
      <c r="C1115" t="str">
        <f t="shared" si="211"/>
        <v>RJ</v>
      </c>
      <c r="D1115" s="16">
        <f t="shared" ref="D1115:AD1115" si="274">D$1106/D$1157*D1166</f>
        <v>0.14811809199289605</v>
      </c>
      <c r="E1115" s="16">
        <f t="shared" si="274"/>
        <v>0.14811809199289602</v>
      </c>
      <c r="F1115" s="16">
        <f t="shared" si="274"/>
        <v>0.14811809199289605</v>
      </c>
      <c r="G1115" s="16">
        <f t="shared" si="274"/>
        <v>0.14811809199289605</v>
      </c>
      <c r="H1115" s="16">
        <f t="shared" si="274"/>
        <v>0.14811809199289608</v>
      </c>
      <c r="I1115" s="16">
        <f t="shared" si="274"/>
        <v>0.14811809199289605</v>
      </c>
      <c r="J1115" s="16">
        <f t="shared" si="274"/>
        <v>0.14811809199289608</v>
      </c>
      <c r="K1115" s="16">
        <f t="shared" si="274"/>
        <v>0.14811809199289605</v>
      </c>
      <c r="L1115" s="16">
        <f t="shared" si="274"/>
        <v>0.14811809199289605</v>
      </c>
      <c r="M1115" s="16">
        <f t="shared" si="274"/>
        <v>0.14187508079415234</v>
      </c>
      <c r="N1115" s="16">
        <f t="shared" si="274"/>
        <v>0.1593626158480464</v>
      </c>
      <c r="O1115" s="16">
        <f t="shared" si="274"/>
        <v>0.16096723881960714</v>
      </c>
      <c r="P1115" s="16">
        <f t="shared" si="274"/>
        <v>0.15209078963615791</v>
      </c>
      <c r="Q1115" s="16">
        <f t="shared" si="274"/>
        <v>0.13913033530219168</v>
      </c>
      <c r="R1115" s="16">
        <f t="shared" si="274"/>
        <v>0.14904500136170179</v>
      </c>
      <c r="S1115" s="16">
        <f t="shared" si="274"/>
        <v>0.14582506057697944</v>
      </c>
      <c r="T1115" s="16">
        <f t="shared" si="274"/>
        <v>0.12921185109113342</v>
      </c>
      <c r="U1115" s="16">
        <f t="shared" si="274"/>
        <v>0.12537013146857878</v>
      </c>
      <c r="V1115" s="16">
        <f t="shared" si="274"/>
        <v>0.14504292740691463</v>
      </c>
      <c r="W1115" s="16">
        <f t="shared" si="274"/>
        <v>0.16550143213885984</v>
      </c>
      <c r="X1115" s="16">
        <f t="shared" si="274"/>
        <v>0.16927488526528994</v>
      </c>
      <c r="Y1115" s="16">
        <f t="shared" si="274"/>
        <v>0.13289473439634794</v>
      </c>
      <c r="Z1115" s="16">
        <f t="shared" si="274"/>
        <v>0.16569658483851563</v>
      </c>
      <c r="AA1115" s="16">
        <f t="shared" si="274"/>
        <v>0.16180393129958143</v>
      </c>
      <c r="AB1115" s="16">
        <f t="shared" si="274"/>
        <v>0.14281109784782642</v>
      </c>
      <c r="AC1115" s="16">
        <f t="shared" si="274"/>
        <v>0.14131392641287607</v>
      </c>
      <c r="AD1115" s="16">
        <f t="shared" si="274"/>
        <v>0.16939911260730672</v>
      </c>
      <c r="AE1115" s="65">
        <f t="shared" ref="AE1115" si="275">AE$1106/AE$1157*AE1166</f>
        <v>0.13352234507461067</v>
      </c>
      <c r="AF1115" s="16">
        <v>0</v>
      </c>
      <c r="AG1115" s="16">
        <v>0</v>
      </c>
      <c r="AH1115" s="16">
        <v>0</v>
      </c>
      <c r="AI1115" s="16">
        <v>0</v>
      </c>
      <c r="AJ1115" s="16">
        <v>0</v>
      </c>
      <c r="AK1115" s="16">
        <v>0</v>
      </c>
      <c r="AL1115" s="16">
        <v>0</v>
      </c>
      <c r="AM1115" s="16">
        <v>0</v>
      </c>
      <c r="AN1115" s="16">
        <v>0</v>
      </c>
      <c r="AO1115" s="16">
        <v>0</v>
      </c>
      <c r="AP1115" s="16">
        <v>0</v>
      </c>
      <c r="AQ1115" s="16">
        <v>0</v>
      </c>
      <c r="AR1115" s="16">
        <v>0</v>
      </c>
      <c r="AS1115" s="16">
        <v>0</v>
      </c>
      <c r="AT1115" s="16">
        <v>0</v>
      </c>
      <c r="AU1115" s="16">
        <v>0</v>
      </c>
      <c r="AV1115" s="16">
        <v>0</v>
      </c>
      <c r="AW1115" s="16">
        <v>0</v>
      </c>
      <c r="AX1115" s="16">
        <v>0</v>
      </c>
      <c r="AY1115" s="16">
        <v>0</v>
      </c>
      <c r="AZ1115" s="16">
        <v>0</v>
      </c>
      <c r="BA1115" s="16">
        <v>0</v>
      </c>
      <c r="BB1115" s="16">
        <v>0</v>
      </c>
      <c r="BC1115" s="16">
        <v>0</v>
      </c>
      <c r="BD1115" s="16">
        <v>0</v>
      </c>
      <c r="BE1115" s="16">
        <v>0</v>
      </c>
      <c r="BF1115" s="16">
        <v>0</v>
      </c>
      <c r="BG1115" s="16">
        <v>0</v>
      </c>
    </row>
    <row r="1116" spans="1:59" ht="12" customHeight="1" x14ac:dyDescent="0.2">
      <c r="A1116" t="s">
        <v>143</v>
      </c>
      <c r="B1116" t="str">
        <f t="shared" si="210"/>
        <v>IND</v>
      </c>
      <c r="C1116" t="str">
        <f t="shared" si="211"/>
        <v>RJ</v>
      </c>
      <c r="D1116" s="16">
        <f t="shared" ref="D1116:AD1116" si="276">D$1106/D$1157*D1167</f>
        <v>0.16682032053450108</v>
      </c>
      <c r="E1116" s="16">
        <f t="shared" si="276"/>
        <v>0.16682032053450105</v>
      </c>
      <c r="F1116" s="16">
        <f t="shared" si="276"/>
        <v>0.16682032053450105</v>
      </c>
      <c r="G1116" s="16">
        <f t="shared" si="276"/>
        <v>0.16682032053450108</v>
      </c>
      <c r="H1116" s="16">
        <f t="shared" si="276"/>
        <v>0.1668203205345011</v>
      </c>
      <c r="I1116" s="16">
        <f t="shared" si="276"/>
        <v>0.16682032053450108</v>
      </c>
      <c r="J1116" s="16">
        <f t="shared" si="276"/>
        <v>0.1668203205345011</v>
      </c>
      <c r="K1116" s="16">
        <f t="shared" si="276"/>
        <v>0.1668203205345011</v>
      </c>
      <c r="L1116" s="16">
        <f t="shared" si="276"/>
        <v>0.16682032053450113</v>
      </c>
      <c r="M1116" s="16">
        <f t="shared" si="276"/>
        <v>0.1597890314106522</v>
      </c>
      <c r="N1116" s="16">
        <f t="shared" si="276"/>
        <v>0.17948464160787811</v>
      </c>
      <c r="O1116" s="16">
        <f t="shared" si="276"/>
        <v>0.18129187335689109</v>
      </c>
      <c r="P1116" s="16">
        <f t="shared" si="276"/>
        <v>0.17129463346493898</v>
      </c>
      <c r="Q1116" s="16">
        <f t="shared" si="276"/>
        <v>0.15669771881950384</v>
      </c>
      <c r="R1116" s="16">
        <f t="shared" si="276"/>
        <v>0.16786426672588209</v>
      </c>
      <c r="S1116" s="16">
        <f t="shared" si="276"/>
        <v>0.16423775799502927</v>
      </c>
      <c r="T1116" s="16">
        <f t="shared" si="276"/>
        <v>0.17268834220624815</v>
      </c>
      <c r="U1116" s="16">
        <f t="shared" si="276"/>
        <v>0.18545456465804447</v>
      </c>
      <c r="V1116" s="16">
        <f t="shared" si="276"/>
        <v>0.20555084679266761</v>
      </c>
      <c r="W1116" s="16">
        <f t="shared" si="276"/>
        <v>0.23551981668961516</v>
      </c>
      <c r="X1116" s="16">
        <f t="shared" si="276"/>
        <v>0.23793253806168485</v>
      </c>
      <c r="Y1116" s="16">
        <f t="shared" si="276"/>
        <v>0.19594971684171819</v>
      </c>
      <c r="Z1116" s="16">
        <f t="shared" si="276"/>
        <v>0.2458043383782757</v>
      </c>
      <c r="AA1116" s="16">
        <f t="shared" si="276"/>
        <v>0.23922824004081911</v>
      </c>
      <c r="AB1116" s="16">
        <f t="shared" si="276"/>
        <v>0.20426878890655836</v>
      </c>
      <c r="AC1116" s="16">
        <f t="shared" si="276"/>
        <v>0.17658421891122003</v>
      </c>
      <c r="AD1116" s="16">
        <f t="shared" si="276"/>
        <v>0.21400158098971805</v>
      </c>
      <c r="AE1116" s="65">
        <f t="shared" ref="AE1116" si="277">AE$1106/AE$1157*AE1167</f>
        <v>0.1686785279074059</v>
      </c>
      <c r="AF1116" s="16">
        <v>0</v>
      </c>
      <c r="AG1116" s="16">
        <v>0</v>
      </c>
      <c r="AH1116" s="16">
        <v>0</v>
      </c>
      <c r="AI1116" s="16">
        <v>0</v>
      </c>
      <c r="AJ1116" s="16">
        <v>0</v>
      </c>
      <c r="AK1116" s="16">
        <v>0</v>
      </c>
      <c r="AL1116" s="16">
        <v>0</v>
      </c>
      <c r="AM1116" s="16">
        <v>0</v>
      </c>
      <c r="AN1116" s="16">
        <v>0</v>
      </c>
      <c r="AO1116" s="16">
        <v>0</v>
      </c>
      <c r="AP1116" s="16">
        <v>0</v>
      </c>
      <c r="AQ1116" s="16">
        <v>0</v>
      </c>
      <c r="AR1116" s="16">
        <v>0</v>
      </c>
      <c r="AS1116" s="16">
        <v>0</v>
      </c>
      <c r="AT1116" s="16">
        <v>0</v>
      </c>
      <c r="AU1116" s="16">
        <v>0</v>
      </c>
      <c r="AV1116" s="16">
        <v>0</v>
      </c>
      <c r="AW1116" s="16">
        <v>0</v>
      </c>
      <c r="AX1116" s="16">
        <v>0</v>
      </c>
      <c r="AY1116" s="16">
        <v>0</v>
      </c>
      <c r="AZ1116" s="16">
        <v>0</v>
      </c>
      <c r="BA1116" s="16">
        <v>0</v>
      </c>
      <c r="BB1116" s="16">
        <v>0</v>
      </c>
      <c r="BC1116" s="16">
        <v>0</v>
      </c>
      <c r="BD1116" s="16">
        <v>0</v>
      </c>
      <c r="BE1116" s="16">
        <v>0</v>
      </c>
      <c r="BF1116" s="16">
        <v>0</v>
      </c>
      <c r="BG1116" s="16">
        <v>0</v>
      </c>
    </row>
    <row r="1117" spans="1:59" ht="12" customHeight="1" x14ac:dyDescent="0.2">
      <c r="A1117" t="s">
        <v>144</v>
      </c>
      <c r="B1117" t="str">
        <f t="shared" si="210"/>
        <v>OAS</v>
      </c>
      <c r="C1117" t="str">
        <f t="shared" si="211"/>
        <v>RJ</v>
      </c>
      <c r="D1117" s="16">
        <f t="shared" ref="D1117:AD1117" si="278">D$1106/D$1157*D1168</f>
        <v>0.19281069811951906</v>
      </c>
      <c r="E1117" s="16">
        <f t="shared" si="278"/>
        <v>0.19281069811951906</v>
      </c>
      <c r="F1117" s="16">
        <f t="shared" si="278"/>
        <v>0.19281069811951909</v>
      </c>
      <c r="G1117" s="16">
        <f t="shared" si="278"/>
        <v>0.19281069811951912</v>
      </c>
      <c r="H1117" s="16">
        <f t="shared" si="278"/>
        <v>0.19281069811951915</v>
      </c>
      <c r="I1117" s="16">
        <f t="shared" si="278"/>
        <v>0.19281069811951909</v>
      </c>
      <c r="J1117" s="16">
        <f t="shared" si="278"/>
        <v>0.19281069811951915</v>
      </c>
      <c r="K1117" s="16">
        <f t="shared" si="278"/>
        <v>0.19281069811951912</v>
      </c>
      <c r="L1117" s="16">
        <f t="shared" si="278"/>
        <v>0.19281069811951915</v>
      </c>
      <c r="M1117" s="16">
        <f t="shared" si="278"/>
        <v>0.18468394377505001</v>
      </c>
      <c r="N1117" s="16">
        <f t="shared" si="278"/>
        <v>0.20744810308040068</v>
      </c>
      <c r="O1117" s="16">
        <f t="shared" si="278"/>
        <v>0.20953689906205622</v>
      </c>
      <c r="P1117" s="16">
        <f t="shared" si="278"/>
        <v>0.19798210287979534</v>
      </c>
      <c r="Q1117" s="16">
        <f t="shared" si="278"/>
        <v>0.18111100891378593</v>
      </c>
      <c r="R1117" s="16">
        <f t="shared" si="278"/>
        <v>0.19401728969849744</v>
      </c>
      <c r="S1117" s="16">
        <f t="shared" si="278"/>
        <v>0.18982577587157337</v>
      </c>
      <c r="T1117" s="16">
        <f t="shared" si="278"/>
        <v>0.19993761941690671</v>
      </c>
      <c r="U1117" s="16">
        <f t="shared" si="278"/>
        <v>0.22253277594878065</v>
      </c>
      <c r="V1117" s="16">
        <f t="shared" si="278"/>
        <v>0.26396281516302061</v>
      </c>
      <c r="W1117" s="16">
        <f t="shared" si="278"/>
        <v>0.28067570716172413</v>
      </c>
      <c r="X1117" s="16">
        <f t="shared" si="278"/>
        <v>0.28583812606684739</v>
      </c>
      <c r="Y1117" s="16">
        <f t="shared" si="278"/>
        <v>0.23649805480425154</v>
      </c>
      <c r="Z1117" s="16">
        <f t="shared" si="278"/>
        <v>0.29410361364231957</v>
      </c>
      <c r="AA1117" s="16">
        <f t="shared" si="278"/>
        <v>0.29357284961448082</v>
      </c>
      <c r="AB1117" s="16">
        <f t="shared" si="278"/>
        <v>0.25413274750824183</v>
      </c>
      <c r="AC1117" s="16">
        <f t="shared" si="278"/>
        <v>0.21269715919547849</v>
      </c>
      <c r="AD1117" s="16">
        <f t="shared" si="278"/>
        <v>0.25257665437210247</v>
      </c>
      <c r="AE1117" s="65">
        <f t="shared" ref="AE1117" si="279">AE$1106/AE$1157*AE1168</f>
        <v>0.19908384810162155</v>
      </c>
      <c r="AF1117" s="16">
        <v>0</v>
      </c>
      <c r="AG1117" s="16">
        <v>0</v>
      </c>
      <c r="AH1117" s="16">
        <v>0</v>
      </c>
      <c r="AI1117" s="16">
        <v>0</v>
      </c>
      <c r="AJ1117" s="16">
        <v>0</v>
      </c>
      <c r="AK1117" s="16">
        <v>0</v>
      </c>
      <c r="AL1117" s="16">
        <v>0</v>
      </c>
      <c r="AM1117" s="16">
        <v>0</v>
      </c>
      <c r="AN1117" s="16">
        <v>0</v>
      </c>
      <c r="AO1117" s="16">
        <v>0</v>
      </c>
      <c r="AP1117" s="16">
        <v>0</v>
      </c>
      <c r="AQ1117" s="16">
        <v>0</v>
      </c>
      <c r="AR1117" s="16">
        <v>0</v>
      </c>
      <c r="AS1117" s="16">
        <v>0</v>
      </c>
      <c r="AT1117" s="16">
        <v>0</v>
      </c>
      <c r="AU1117" s="16">
        <v>0</v>
      </c>
      <c r="AV1117" s="16">
        <v>0</v>
      </c>
      <c r="AW1117" s="16">
        <v>0</v>
      </c>
      <c r="AX1117" s="16">
        <v>0</v>
      </c>
      <c r="AY1117" s="16">
        <v>0</v>
      </c>
      <c r="AZ1117" s="16">
        <v>0</v>
      </c>
      <c r="BA1117" s="16">
        <v>0</v>
      </c>
      <c r="BB1117" s="16">
        <v>0</v>
      </c>
      <c r="BC1117" s="16">
        <v>0</v>
      </c>
      <c r="BD1117" s="16">
        <v>0</v>
      </c>
      <c r="BE1117" s="16">
        <v>0</v>
      </c>
      <c r="BF1117" s="16">
        <v>0</v>
      </c>
      <c r="BG1117" s="16">
        <v>0</v>
      </c>
    </row>
    <row r="1118" spans="1:59" ht="12" customHeight="1" x14ac:dyDescent="0.2">
      <c r="A1118" t="s">
        <v>145</v>
      </c>
      <c r="B1118" t="str">
        <f t="shared" si="210"/>
        <v>MID</v>
      </c>
      <c r="C1118" t="str">
        <f t="shared" si="211"/>
        <v>RJ</v>
      </c>
      <c r="D1118" s="16">
        <f t="shared" ref="D1118:AD1118" si="280">D$1106/D$1157*D1169</f>
        <v>0.19013509481089758</v>
      </c>
      <c r="E1118" s="16">
        <f t="shared" si="280"/>
        <v>0.19013509481089755</v>
      </c>
      <c r="F1118" s="16">
        <f t="shared" si="280"/>
        <v>0.19013509481089752</v>
      </c>
      <c r="G1118" s="16">
        <f t="shared" si="280"/>
        <v>0.19013509481089755</v>
      </c>
      <c r="H1118" s="16">
        <f t="shared" si="280"/>
        <v>0.19013509481089755</v>
      </c>
      <c r="I1118" s="16">
        <f t="shared" si="280"/>
        <v>0.19013509481089755</v>
      </c>
      <c r="J1118" s="16">
        <f t="shared" si="280"/>
        <v>0.19013509481089758</v>
      </c>
      <c r="K1118" s="16">
        <f t="shared" si="280"/>
        <v>0.19013509481089755</v>
      </c>
      <c r="L1118" s="16">
        <f t="shared" si="280"/>
        <v>0.19013509481089758</v>
      </c>
      <c r="M1118" s="16">
        <f t="shared" si="280"/>
        <v>0.18212111414042312</v>
      </c>
      <c r="N1118" s="16">
        <f t="shared" si="280"/>
        <v>0.20456937883749002</v>
      </c>
      <c r="O1118" s="16">
        <f t="shared" si="280"/>
        <v>0.20662918893042642</v>
      </c>
      <c r="P1118" s="16">
        <f t="shared" si="280"/>
        <v>0.19523473681204387</v>
      </c>
      <c r="Q1118" s="16">
        <f t="shared" si="280"/>
        <v>0.17859776032642208</v>
      </c>
      <c r="R1118" s="16">
        <f t="shared" si="280"/>
        <v>0.19132494271095993</v>
      </c>
      <c r="S1118" s="16">
        <f t="shared" si="280"/>
        <v>0.18719159385295528</v>
      </c>
      <c r="T1118" s="16">
        <f t="shared" si="280"/>
        <v>0.19128962894043305</v>
      </c>
      <c r="U1118" s="16">
        <f t="shared" si="280"/>
        <v>0.1836012053209633</v>
      </c>
      <c r="V1118" s="16">
        <f t="shared" si="280"/>
        <v>0.19043124720451804</v>
      </c>
      <c r="W1118" s="16">
        <f t="shared" si="280"/>
        <v>0.21984538732925815</v>
      </c>
      <c r="X1118" s="16">
        <f t="shared" si="280"/>
        <v>0.25996137161896055</v>
      </c>
      <c r="Y1118" s="16">
        <f t="shared" si="280"/>
        <v>0.21164725715175994</v>
      </c>
      <c r="Z1118" s="16">
        <f t="shared" si="280"/>
        <v>0.27697167801795269</v>
      </c>
      <c r="AA1118" s="16">
        <f t="shared" si="280"/>
        <v>0.2719065095394767</v>
      </c>
      <c r="AB1118" s="16">
        <f t="shared" si="280"/>
        <v>0.25449958549135737</v>
      </c>
      <c r="AC1118" s="16">
        <f t="shared" si="280"/>
        <v>0.19961694976103381</v>
      </c>
      <c r="AD1118" s="16">
        <f t="shared" si="280"/>
        <v>0.22932473645390578</v>
      </c>
      <c r="AE1118" s="65">
        <f t="shared" ref="AE1118" si="281">AE$1106/AE$1157*AE1169</f>
        <v>0.18075641674655279</v>
      </c>
      <c r="AF1118" s="16">
        <v>0</v>
      </c>
      <c r="AG1118" s="16">
        <v>0</v>
      </c>
      <c r="AH1118" s="16">
        <v>0</v>
      </c>
      <c r="AI1118" s="16">
        <v>0</v>
      </c>
      <c r="AJ1118" s="16">
        <v>0</v>
      </c>
      <c r="AK1118" s="16">
        <v>0</v>
      </c>
      <c r="AL1118" s="16">
        <v>0</v>
      </c>
      <c r="AM1118" s="16">
        <v>0</v>
      </c>
      <c r="AN1118" s="16">
        <v>0</v>
      </c>
      <c r="AO1118" s="16">
        <v>0</v>
      </c>
      <c r="AP1118" s="16">
        <v>0</v>
      </c>
      <c r="AQ1118" s="16">
        <v>0</v>
      </c>
      <c r="AR1118" s="16">
        <v>0</v>
      </c>
      <c r="AS1118" s="16">
        <v>0</v>
      </c>
      <c r="AT1118" s="16">
        <v>0</v>
      </c>
      <c r="AU1118" s="16">
        <v>0</v>
      </c>
      <c r="AV1118" s="16">
        <v>0</v>
      </c>
      <c r="AW1118" s="16">
        <v>0</v>
      </c>
      <c r="AX1118" s="16">
        <v>0</v>
      </c>
      <c r="AY1118" s="16">
        <v>0</v>
      </c>
      <c r="AZ1118" s="16">
        <v>0</v>
      </c>
      <c r="BA1118" s="16">
        <v>0</v>
      </c>
      <c r="BB1118" s="16">
        <v>0</v>
      </c>
      <c r="BC1118" s="16">
        <v>0</v>
      </c>
      <c r="BD1118" s="16">
        <v>0</v>
      </c>
      <c r="BE1118" s="16">
        <v>0</v>
      </c>
      <c r="BF1118" s="16">
        <v>0</v>
      </c>
      <c r="BG1118" s="16">
        <v>0</v>
      </c>
    </row>
    <row r="1119" spans="1:59" ht="12" customHeight="1" x14ac:dyDescent="0.2">
      <c r="A1119" t="s">
        <v>146</v>
      </c>
      <c r="B1119" t="str">
        <f t="shared" si="210"/>
        <v>AFR</v>
      </c>
      <c r="C1119" t="str">
        <f t="shared" si="211"/>
        <v>RJ</v>
      </c>
      <c r="D1119" s="16">
        <f t="shared" ref="D1119:AD1119" si="282">D$1106/D$1157*D1170</f>
        <v>0.21736912064395814</v>
      </c>
      <c r="E1119" s="16">
        <f t="shared" si="282"/>
        <v>0.21736912064395811</v>
      </c>
      <c r="F1119" s="16">
        <f t="shared" si="282"/>
        <v>0.21736912064395814</v>
      </c>
      <c r="G1119" s="16">
        <f t="shared" si="282"/>
        <v>0.21736912064395816</v>
      </c>
      <c r="H1119" s="16">
        <f t="shared" si="282"/>
        <v>0.21736912064395819</v>
      </c>
      <c r="I1119" s="16">
        <f t="shared" si="282"/>
        <v>0.21736912064395814</v>
      </c>
      <c r="J1119" s="16">
        <f t="shared" si="282"/>
        <v>0.21736912064395814</v>
      </c>
      <c r="K1119" s="16">
        <f t="shared" si="282"/>
        <v>0.21736912064395811</v>
      </c>
      <c r="L1119" s="16">
        <f t="shared" si="282"/>
        <v>0.21736912064395816</v>
      </c>
      <c r="M1119" s="16">
        <f t="shared" si="282"/>
        <v>0.20820725637617926</v>
      </c>
      <c r="N1119" s="16">
        <f t="shared" si="282"/>
        <v>0.23387090128106808</v>
      </c>
      <c r="O1119" s="16">
        <f t="shared" si="282"/>
        <v>0.23622574854921941</v>
      </c>
      <c r="P1119" s="16">
        <f t="shared" si="282"/>
        <v>0.22319921055182415</v>
      </c>
      <c r="Q1119" s="16">
        <f t="shared" si="282"/>
        <v>0.20417923450557904</v>
      </c>
      <c r="R1119" s="16">
        <f t="shared" si="282"/>
        <v>0.21872939656773666</v>
      </c>
      <c r="S1119" s="16">
        <f t="shared" si="282"/>
        <v>0.21400400693110611</v>
      </c>
      <c r="T1119" s="16">
        <f t="shared" si="282"/>
        <v>0.21613612266627363</v>
      </c>
      <c r="U1119" s="16">
        <f t="shared" si="282"/>
        <v>0.20220957966209085</v>
      </c>
      <c r="V1119" s="16">
        <f t="shared" si="282"/>
        <v>0.21441067693486002</v>
      </c>
      <c r="W1119" s="16">
        <f t="shared" si="282"/>
        <v>0.2578486635140031</v>
      </c>
      <c r="X1119" s="16">
        <f t="shared" si="282"/>
        <v>0.2713031129270162</v>
      </c>
      <c r="Y1119" s="16">
        <f t="shared" si="282"/>
        <v>0.24311057426832836</v>
      </c>
      <c r="Z1119" s="16">
        <f t="shared" si="282"/>
        <v>0.30944845037610408</v>
      </c>
      <c r="AA1119" s="16">
        <f t="shared" si="282"/>
        <v>0.31888650844186517</v>
      </c>
      <c r="AB1119" s="16">
        <f t="shared" si="282"/>
        <v>0.24226856828920054</v>
      </c>
      <c r="AC1119" s="16">
        <f t="shared" si="282"/>
        <v>0.20971239316914289</v>
      </c>
      <c r="AD1119" s="16">
        <f t="shared" si="282"/>
        <v>0.24298104937663159</v>
      </c>
      <c r="AE1119" s="65">
        <f t="shared" ref="AE1119" si="283">AE$1106/AE$1157*AE1170</f>
        <v>0.19152048096418561</v>
      </c>
      <c r="AF1119" s="16">
        <v>0</v>
      </c>
      <c r="AG1119" s="16">
        <v>0</v>
      </c>
      <c r="AH1119" s="16">
        <v>0</v>
      </c>
      <c r="AI1119" s="16">
        <v>0</v>
      </c>
      <c r="AJ1119" s="16">
        <v>0</v>
      </c>
      <c r="AK1119" s="16">
        <v>0</v>
      </c>
      <c r="AL1119" s="16">
        <v>0</v>
      </c>
      <c r="AM1119" s="16">
        <v>0</v>
      </c>
      <c r="AN1119" s="16">
        <v>0</v>
      </c>
      <c r="AO1119" s="16">
        <v>0</v>
      </c>
      <c r="AP1119" s="16">
        <v>0</v>
      </c>
      <c r="AQ1119" s="16">
        <v>0</v>
      </c>
      <c r="AR1119" s="16">
        <v>0</v>
      </c>
      <c r="AS1119" s="16">
        <v>0</v>
      </c>
      <c r="AT1119" s="16">
        <v>0</v>
      </c>
      <c r="AU1119" s="16">
        <v>0</v>
      </c>
      <c r="AV1119" s="16">
        <v>0</v>
      </c>
      <c r="AW1119" s="16">
        <v>0</v>
      </c>
      <c r="AX1119" s="16">
        <v>0</v>
      </c>
      <c r="AY1119" s="16">
        <v>0</v>
      </c>
      <c r="AZ1119" s="16">
        <v>0</v>
      </c>
      <c r="BA1119" s="16">
        <v>0</v>
      </c>
      <c r="BB1119" s="16">
        <v>0</v>
      </c>
      <c r="BC1119" s="16">
        <v>0</v>
      </c>
      <c r="BD1119" s="16">
        <v>0</v>
      </c>
      <c r="BE1119" s="16">
        <v>0</v>
      </c>
      <c r="BF1119" s="16">
        <v>0</v>
      </c>
      <c r="BG1119" s="16">
        <v>0</v>
      </c>
    </row>
    <row r="1120" spans="1:59" ht="12" customHeight="1" x14ac:dyDescent="0.2">
      <c r="A1120" t="s">
        <v>147</v>
      </c>
      <c r="B1120" t="str">
        <f t="shared" si="210"/>
        <v>BRZ</v>
      </c>
      <c r="C1120" t="str">
        <f t="shared" si="211"/>
        <v>RJ</v>
      </c>
      <c r="D1120" s="16">
        <f t="shared" ref="D1120:AD1120" si="284">D$1106/D$1157*D1171</f>
        <v>0.13918505786844301</v>
      </c>
      <c r="E1120" s="16">
        <f t="shared" si="284"/>
        <v>0.13918505786844299</v>
      </c>
      <c r="F1120" s="16">
        <f t="shared" si="284"/>
        <v>0.13918505786844299</v>
      </c>
      <c r="G1120" s="16">
        <f t="shared" si="284"/>
        <v>0.13918505786844301</v>
      </c>
      <c r="H1120" s="16">
        <f t="shared" si="284"/>
        <v>0.13918505786844304</v>
      </c>
      <c r="I1120" s="16">
        <f t="shared" si="284"/>
        <v>0.13918505786844301</v>
      </c>
      <c r="J1120" s="16">
        <f t="shared" si="284"/>
        <v>0.13918505786844304</v>
      </c>
      <c r="K1120" s="16">
        <f t="shared" si="284"/>
        <v>0.13918505786844301</v>
      </c>
      <c r="L1120" s="16">
        <f t="shared" si="284"/>
        <v>0.13918505786844301</v>
      </c>
      <c r="M1120" s="16">
        <f t="shared" si="284"/>
        <v>0.13331856402370626</v>
      </c>
      <c r="N1120" s="16">
        <f t="shared" si="284"/>
        <v>0.14975142206085545</v>
      </c>
      <c r="O1120" s="16">
        <f t="shared" si="284"/>
        <v>0.15125926987437194</v>
      </c>
      <c r="P1120" s="16">
        <f t="shared" si="284"/>
        <v>0.14291816125866055</v>
      </c>
      <c r="Q1120" s="16">
        <f t="shared" si="284"/>
        <v>0.13073935472528364</v>
      </c>
      <c r="R1120" s="16">
        <f t="shared" si="284"/>
        <v>0.14005606513298582</v>
      </c>
      <c r="S1120" s="16">
        <f t="shared" si="284"/>
        <v>0.1370303196725593</v>
      </c>
      <c r="T1120" s="16">
        <f t="shared" si="284"/>
        <v>0.13373379598065205</v>
      </c>
      <c r="U1120" s="16">
        <f t="shared" si="284"/>
        <v>0.14841103099527944</v>
      </c>
      <c r="V1120" s="16">
        <f t="shared" si="284"/>
        <v>0.16123343095884921</v>
      </c>
      <c r="W1120" s="16">
        <f t="shared" si="284"/>
        <v>0.18908770164006308</v>
      </c>
      <c r="X1120" s="16">
        <f t="shared" si="284"/>
        <v>0.18869897476326986</v>
      </c>
      <c r="Y1120" s="16">
        <f t="shared" si="284"/>
        <v>0.15786616381744398</v>
      </c>
      <c r="Z1120" s="16">
        <f t="shared" si="284"/>
        <v>0.19675825122216187</v>
      </c>
      <c r="AA1120" s="16">
        <f t="shared" si="284"/>
        <v>0.19344998393672741</v>
      </c>
      <c r="AB1120" s="16">
        <f t="shared" si="284"/>
        <v>0.19697440944872399</v>
      </c>
      <c r="AC1120" s="16">
        <f t="shared" si="284"/>
        <v>0.16294406250318538</v>
      </c>
      <c r="AD1120" s="16">
        <f t="shared" si="284"/>
        <v>0.19359852278329595</v>
      </c>
      <c r="AE1120" s="65">
        <f t="shared" ref="AE1120" si="285">AE$1106/AE$1157*AE1171</f>
        <v>0.15259660081531704</v>
      </c>
      <c r="AF1120" s="16">
        <v>0</v>
      </c>
      <c r="AG1120" s="16">
        <v>0</v>
      </c>
      <c r="AH1120" s="16">
        <v>0</v>
      </c>
      <c r="AI1120" s="16">
        <v>0</v>
      </c>
      <c r="AJ1120" s="16">
        <v>0</v>
      </c>
      <c r="AK1120" s="16">
        <v>0</v>
      </c>
      <c r="AL1120" s="16">
        <v>0</v>
      </c>
      <c r="AM1120" s="16">
        <v>0</v>
      </c>
      <c r="AN1120" s="16">
        <v>0</v>
      </c>
      <c r="AO1120" s="16">
        <v>0</v>
      </c>
      <c r="AP1120" s="16">
        <v>0</v>
      </c>
      <c r="AQ1120" s="16">
        <v>0</v>
      </c>
      <c r="AR1120" s="16">
        <v>0</v>
      </c>
      <c r="AS1120" s="16">
        <v>0</v>
      </c>
      <c r="AT1120" s="16">
        <v>0</v>
      </c>
      <c r="AU1120" s="16">
        <v>0</v>
      </c>
      <c r="AV1120" s="16">
        <v>0</v>
      </c>
      <c r="AW1120" s="16">
        <v>0</v>
      </c>
      <c r="AX1120" s="16">
        <v>0</v>
      </c>
      <c r="AY1120" s="16">
        <v>0</v>
      </c>
      <c r="AZ1120" s="16">
        <v>0</v>
      </c>
      <c r="BA1120" s="16">
        <v>0</v>
      </c>
      <c r="BB1120" s="16">
        <v>0</v>
      </c>
      <c r="BC1120" s="16">
        <v>0</v>
      </c>
      <c r="BD1120" s="16">
        <v>0</v>
      </c>
      <c r="BE1120" s="16">
        <v>0</v>
      </c>
      <c r="BF1120" s="16">
        <v>0</v>
      </c>
      <c r="BG1120" s="16">
        <v>0</v>
      </c>
    </row>
    <row r="1121" spans="1:59" ht="12" customHeight="1" x14ac:dyDescent="0.2">
      <c r="A1121" t="s">
        <v>148</v>
      </c>
      <c r="B1121" t="str">
        <f t="shared" si="210"/>
        <v>CSA</v>
      </c>
      <c r="C1121" t="str">
        <f t="shared" si="211"/>
        <v>RJ</v>
      </c>
      <c r="D1121" s="16">
        <f t="shared" ref="D1121:AD1121" si="286">D$1106/D$1157*D1172</f>
        <v>0.17347154442922499</v>
      </c>
      <c r="E1121" s="16">
        <f t="shared" si="286"/>
        <v>0.17347154442922499</v>
      </c>
      <c r="F1121" s="16">
        <f t="shared" si="286"/>
        <v>0.17347154442922499</v>
      </c>
      <c r="G1121" s="16">
        <f t="shared" si="286"/>
        <v>0.17347154442922499</v>
      </c>
      <c r="H1121" s="16">
        <f t="shared" si="286"/>
        <v>0.17347154442922502</v>
      </c>
      <c r="I1121" s="16">
        <f t="shared" si="286"/>
        <v>0.17347154442922502</v>
      </c>
      <c r="J1121" s="16">
        <f t="shared" si="286"/>
        <v>0.17347154442922505</v>
      </c>
      <c r="K1121" s="16">
        <f t="shared" si="286"/>
        <v>0.17347154442922499</v>
      </c>
      <c r="L1121" s="16">
        <f t="shared" si="286"/>
        <v>0.17347154442922502</v>
      </c>
      <c r="M1121" s="16">
        <f t="shared" si="286"/>
        <v>0.16615991368943017</v>
      </c>
      <c r="N1121" s="16">
        <f t="shared" si="286"/>
        <v>0.18664079940192438</v>
      </c>
      <c r="O1121" s="16">
        <f t="shared" si="286"/>
        <v>0.18852008653935665</v>
      </c>
      <c r="P1121" s="16">
        <f t="shared" si="286"/>
        <v>0.17812425083702851</v>
      </c>
      <c r="Q1121" s="16">
        <f t="shared" si="286"/>
        <v>0.16294534865453622</v>
      </c>
      <c r="R1121" s="16">
        <f t="shared" si="286"/>
        <v>0.1745571133667479</v>
      </c>
      <c r="S1121" s="16">
        <f t="shared" si="286"/>
        <v>0.17078601360856824</v>
      </c>
      <c r="T1121" s="16">
        <f t="shared" si="286"/>
        <v>0.17240398988661462</v>
      </c>
      <c r="U1121" s="16">
        <f t="shared" si="286"/>
        <v>0.16418592783292801</v>
      </c>
      <c r="V1121" s="16">
        <f t="shared" si="286"/>
        <v>0.17537448398225744</v>
      </c>
      <c r="W1121" s="16">
        <f t="shared" si="286"/>
        <v>0.21318360994189045</v>
      </c>
      <c r="X1121" s="16">
        <f t="shared" si="286"/>
        <v>0.2233633599188051</v>
      </c>
      <c r="Y1121" s="16">
        <f t="shared" si="286"/>
        <v>0.17487712757533252</v>
      </c>
      <c r="Z1121" s="16">
        <f t="shared" si="286"/>
        <v>0.23068618262114393</v>
      </c>
      <c r="AA1121" s="16">
        <f t="shared" si="286"/>
        <v>0.2311640061489191</v>
      </c>
      <c r="AB1121" s="16">
        <f t="shared" si="286"/>
        <v>0.19244348604807682</v>
      </c>
      <c r="AC1121" s="16">
        <f t="shared" si="286"/>
        <v>0.18590046462893656</v>
      </c>
      <c r="AD1121" s="16">
        <f t="shared" si="286"/>
        <v>0.22111997489984836</v>
      </c>
      <c r="AE1121" s="65">
        <f t="shared" ref="AE1121" si="287">AE$1106/AE$1157*AE1172</f>
        <v>0.17428932853921764</v>
      </c>
      <c r="AF1121" s="16">
        <v>0</v>
      </c>
      <c r="AG1121" s="16">
        <v>0</v>
      </c>
      <c r="AH1121" s="16">
        <v>0</v>
      </c>
      <c r="AI1121" s="16">
        <v>0</v>
      </c>
      <c r="AJ1121" s="16">
        <v>0</v>
      </c>
      <c r="AK1121" s="16">
        <v>0</v>
      </c>
      <c r="AL1121" s="16">
        <v>0</v>
      </c>
      <c r="AM1121" s="16">
        <v>0</v>
      </c>
      <c r="AN1121" s="16">
        <v>0</v>
      </c>
      <c r="AO1121" s="16">
        <v>0</v>
      </c>
      <c r="AP1121" s="16">
        <v>0</v>
      </c>
      <c r="AQ1121" s="16">
        <v>0</v>
      </c>
      <c r="AR1121" s="16">
        <v>0</v>
      </c>
      <c r="AS1121" s="16">
        <v>0</v>
      </c>
      <c r="AT1121" s="16">
        <v>0</v>
      </c>
      <c r="AU1121" s="16">
        <v>0</v>
      </c>
      <c r="AV1121" s="16">
        <v>0</v>
      </c>
      <c r="AW1121" s="16">
        <v>0</v>
      </c>
      <c r="AX1121" s="16">
        <v>0</v>
      </c>
      <c r="AY1121" s="16">
        <v>0</v>
      </c>
      <c r="AZ1121" s="16">
        <v>0</v>
      </c>
      <c r="BA1121" s="16">
        <v>0</v>
      </c>
      <c r="BB1121" s="16">
        <v>0</v>
      </c>
      <c r="BC1121" s="16">
        <v>0</v>
      </c>
      <c r="BD1121" s="16">
        <v>0</v>
      </c>
      <c r="BE1121" s="16">
        <v>0</v>
      </c>
      <c r="BF1121" s="16">
        <v>0</v>
      </c>
      <c r="BG1121" s="16">
        <v>0</v>
      </c>
    </row>
    <row r="1123" spans="1:59" ht="12" customHeight="1" x14ac:dyDescent="0.2">
      <c r="A1123" t="s">
        <v>223</v>
      </c>
      <c r="B1123" t="s">
        <v>221</v>
      </c>
      <c r="C1123" t="s">
        <v>224</v>
      </c>
      <c r="AE1123" s="62" t="s">
        <v>356</v>
      </c>
    </row>
    <row r="1124" spans="1:59" ht="12" customHeight="1" x14ac:dyDescent="0.2">
      <c r="A1124" s="19" t="s">
        <v>225</v>
      </c>
      <c r="D1124">
        <v>1995</v>
      </c>
      <c r="E1124">
        <v>1996</v>
      </c>
      <c r="F1124">
        <v>1997</v>
      </c>
      <c r="G1124">
        <v>1998</v>
      </c>
      <c r="H1124">
        <v>1999</v>
      </c>
      <c r="I1124">
        <v>2000</v>
      </c>
      <c r="J1124">
        <v>2001</v>
      </c>
      <c r="K1124">
        <v>2002</v>
      </c>
      <c r="L1124">
        <v>2003</v>
      </c>
      <c r="M1124">
        <v>2004</v>
      </c>
      <c r="N1124">
        <v>2005</v>
      </c>
      <c r="O1124">
        <v>2006</v>
      </c>
      <c r="P1124">
        <v>2007</v>
      </c>
      <c r="Q1124">
        <v>2008</v>
      </c>
      <c r="R1124">
        <v>2009</v>
      </c>
      <c r="S1124" s="42">
        <v>2010</v>
      </c>
      <c r="T1124" s="43">
        <v>2011</v>
      </c>
      <c r="U1124" s="43">
        <v>2012</v>
      </c>
      <c r="V1124" s="43">
        <v>2013</v>
      </c>
      <c r="W1124" s="43">
        <v>2014</v>
      </c>
      <c r="X1124" s="43">
        <v>2015</v>
      </c>
      <c r="Y1124" s="43">
        <v>2016</v>
      </c>
      <c r="Z1124" s="43">
        <v>2017</v>
      </c>
      <c r="AA1124" s="43">
        <v>2018</v>
      </c>
      <c r="AB1124" s="43">
        <v>2019</v>
      </c>
      <c r="AC1124" s="43">
        <v>2020</v>
      </c>
      <c r="AD1124" s="43">
        <v>2021</v>
      </c>
      <c r="AE1124" s="44">
        <v>2022</v>
      </c>
      <c r="AF1124">
        <v>2023</v>
      </c>
      <c r="AG1124">
        <v>2024</v>
      </c>
      <c r="AH1124">
        <v>2025</v>
      </c>
      <c r="AI1124">
        <v>2026</v>
      </c>
      <c r="AJ1124">
        <v>2027</v>
      </c>
      <c r="AK1124">
        <v>2028</v>
      </c>
      <c r="AL1124">
        <v>2029</v>
      </c>
      <c r="AM1124">
        <v>2030</v>
      </c>
      <c r="AN1124">
        <v>2031</v>
      </c>
      <c r="AO1124">
        <v>2032</v>
      </c>
      <c r="AP1124">
        <v>2033</v>
      </c>
      <c r="AQ1124">
        <v>2034</v>
      </c>
      <c r="AR1124">
        <v>2035</v>
      </c>
      <c r="AS1124">
        <v>2036</v>
      </c>
      <c r="AT1124">
        <v>2037</v>
      </c>
      <c r="AU1124">
        <v>2038</v>
      </c>
      <c r="AV1124">
        <v>2039</v>
      </c>
      <c r="AW1124">
        <v>2040</v>
      </c>
      <c r="AX1124">
        <v>2041</v>
      </c>
      <c r="AY1124">
        <v>2042</v>
      </c>
      <c r="AZ1124">
        <v>2043</v>
      </c>
      <c r="BA1124">
        <v>2044</v>
      </c>
      <c r="BB1124">
        <v>2045</v>
      </c>
      <c r="BC1124">
        <v>2046</v>
      </c>
      <c r="BD1124">
        <v>2047</v>
      </c>
      <c r="BE1124">
        <v>2048</v>
      </c>
      <c r="BF1124">
        <v>2049</v>
      </c>
      <c r="BG1124">
        <v>2050</v>
      </c>
    </row>
    <row r="1125" spans="1:59" ht="12" customHeight="1" x14ac:dyDescent="0.2">
      <c r="A1125" t="s">
        <v>101</v>
      </c>
      <c r="B1125" t="str">
        <f t="shared" ref="B1125:B1172" si="288">LEFT(A1125,3)</f>
        <v>USA</v>
      </c>
      <c r="C1125" t="str">
        <f t="shared" ref="C1125:C1172" si="289">RIGHT(A1125,2)</f>
        <v>NB</v>
      </c>
      <c r="D1125" s="40">
        <v>0.19158122135131503</v>
      </c>
      <c r="E1125" s="40">
        <v>0.19076939219181993</v>
      </c>
      <c r="F1125" s="40">
        <v>0.19153607501706429</v>
      </c>
      <c r="G1125" s="41">
        <f>AVERAGE(F1125,H1125)</f>
        <v>0.19152163136798994</v>
      </c>
      <c r="H1125" s="40">
        <v>0.19150718771891556</v>
      </c>
      <c r="I1125" s="40">
        <v>0.19008953331679981</v>
      </c>
      <c r="J1125" s="40">
        <v>0.17960322476571114</v>
      </c>
      <c r="K1125" s="40">
        <v>0.17361080764312478</v>
      </c>
      <c r="L1125" s="40">
        <v>0.16764818901482928</v>
      </c>
      <c r="M1125" s="40">
        <v>0.1658397506338079</v>
      </c>
      <c r="N1125" s="40">
        <v>0.16192156675811586</v>
      </c>
      <c r="O1125" s="40">
        <v>0.15917260942391268</v>
      </c>
      <c r="P1125" s="40">
        <v>0.15794994408214094</v>
      </c>
      <c r="Q1125" s="40">
        <v>0.15585169510661873</v>
      </c>
      <c r="R1125" s="40">
        <v>0.15424037652642328</v>
      </c>
      <c r="S1125" s="45">
        <v>0.151</v>
      </c>
      <c r="T1125" s="40">
        <v>0.14899999999999999</v>
      </c>
      <c r="U1125" s="40">
        <v>0.14499999999999999</v>
      </c>
      <c r="V1125" s="40">
        <v>0.14299999999999999</v>
      </c>
      <c r="W1125" s="40">
        <v>0.14399999999999999</v>
      </c>
      <c r="X1125" s="40">
        <v>0.14000000000000001</v>
      </c>
      <c r="Y1125" s="40">
        <v>0.14000000000000001</v>
      </c>
      <c r="Z1125" s="40">
        <v>0.13800000000000001</v>
      </c>
      <c r="AA1125" s="40">
        <v>0.13600000000000001</v>
      </c>
      <c r="AB1125" s="40">
        <v>0.13600000000000001</v>
      </c>
      <c r="AC1125" s="40">
        <v>0.13200000000000001</v>
      </c>
      <c r="AD1125" s="40">
        <v>0.128</v>
      </c>
      <c r="AE1125" s="46">
        <v>0.13043368963635094</v>
      </c>
      <c r="AF1125" s="16">
        <v>0</v>
      </c>
      <c r="AG1125" s="16">
        <v>0</v>
      </c>
      <c r="AH1125" s="16">
        <v>0</v>
      </c>
      <c r="AI1125" s="16">
        <v>0</v>
      </c>
      <c r="AJ1125" s="16">
        <v>0</v>
      </c>
      <c r="AK1125" s="16">
        <v>0</v>
      </c>
      <c r="AL1125" s="16">
        <v>0</v>
      </c>
      <c r="AM1125" s="16">
        <v>0</v>
      </c>
      <c r="AN1125" s="16">
        <v>0</v>
      </c>
      <c r="AO1125" s="16">
        <v>0</v>
      </c>
      <c r="AP1125" s="16">
        <v>0</v>
      </c>
      <c r="AQ1125" s="16">
        <v>0</v>
      </c>
      <c r="AR1125" s="16">
        <v>0</v>
      </c>
      <c r="AS1125" s="16">
        <v>0</v>
      </c>
      <c r="AT1125" s="16">
        <v>0</v>
      </c>
      <c r="AU1125" s="16">
        <v>0</v>
      </c>
      <c r="AV1125" s="16">
        <v>0</v>
      </c>
      <c r="AW1125" s="16">
        <v>0</v>
      </c>
      <c r="AX1125" s="16">
        <v>0</v>
      </c>
      <c r="AY1125" s="16">
        <v>0</v>
      </c>
      <c r="AZ1125" s="16">
        <v>0</v>
      </c>
      <c r="BA1125" s="16">
        <v>0</v>
      </c>
      <c r="BB1125" s="16">
        <v>0</v>
      </c>
      <c r="BC1125" s="16">
        <v>0</v>
      </c>
      <c r="BD1125" s="16">
        <v>0</v>
      </c>
      <c r="BE1125" s="16">
        <v>0</v>
      </c>
      <c r="BF1125" s="16">
        <v>0</v>
      </c>
      <c r="BG1125" s="16">
        <v>0</v>
      </c>
    </row>
    <row r="1126" spans="1:59" ht="12" customHeight="1" x14ac:dyDescent="0.2">
      <c r="A1126" t="s">
        <v>102</v>
      </c>
      <c r="B1126" t="str">
        <f t="shared" si="288"/>
        <v>CAN</v>
      </c>
      <c r="C1126" t="str">
        <f t="shared" si="289"/>
        <v>NB</v>
      </c>
      <c r="D1126" s="16">
        <f t="shared" ref="D1126:R1126" si="290">D$1125*E1126/E$1125</f>
        <v>0.20475614903301079</v>
      </c>
      <c r="E1126" s="16">
        <f t="shared" si="290"/>
        <v>0.20388849086067823</v>
      </c>
      <c r="F1126" s="16">
        <f t="shared" si="290"/>
        <v>0.20470789801196115</v>
      </c>
      <c r="G1126" s="16">
        <f t="shared" si="290"/>
        <v>0.20469246108165251</v>
      </c>
      <c r="H1126" s="16">
        <f t="shared" si="290"/>
        <v>0.20467702415134381</v>
      </c>
      <c r="I1126" s="16">
        <f t="shared" si="290"/>
        <v>0.20316187849150574</v>
      </c>
      <c r="J1126" s="16">
        <f t="shared" si="290"/>
        <v>0.19195443268158732</v>
      </c>
      <c r="K1126" s="16">
        <f t="shared" si="290"/>
        <v>0.18554992056518185</v>
      </c>
      <c r="L1126" s="16">
        <f t="shared" si="290"/>
        <v>0.17917725616795752</v>
      </c>
      <c r="M1126" s="16">
        <f t="shared" si="290"/>
        <v>0.17724445254529761</v>
      </c>
      <c r="N1126" s="16">
        <f t="shared" si="290"/>
        <v>0.17305681747370175</v>
      </c>
      <c r="O1126" s="16">
        <f t="shared" si="290"/>
        <v>0.17011881596375555</v>
      </c>
      <c r="P1126" s="16">
        <f t="shared" si="290"/>
        <v>0.16881206864702231</v>
      </c>
      <c r="Q1126" s="16">
        <f t="shared" si="290"/>
        <v>0.16656952432608099</v>
      </c>
      <c r="R1126" s="16">
        <f t="shared" si="290"/>
        <v>0.16484739631677495</v>
      </c>
      <c r="S1126" s="27">
        <v>0.16138418100638335</v>
      </c>
      <c r="T1126" s="16">
        <v>0.14430236260610332</v>
      </c>
      <c r="U1126" s="16">
        <v>0.16260221660984364</v>
      </c>
      <c r="V1126" s="16">
        <v>0.16464575754224051</v>
      </c>
      <c r="W1126" s="16">
        <v>0.14982717906549919</v>
      </c>
      <c r="X1126" s="16">
        <v>0.14167904211479845</v>
      </c>
      <c r="Y1126" s="16">
        <v>0.14818393205135852</v>
      </c>
      <c r="Z1126" s="16">
        <v>0.13910625303046531</v>
      </c>
      <c r="AA1126" s="16">
        <v>0.14260005198053199</v>
      </c>
      <c r="AB1126" s="16">
        <v>0.14870827317703472</v>
      </c>
      <c r="AC1126" s="16">
        <v>0.14465644457836463</v>
      </c>
      <c r="AD1126" s="16">
        <v>0.13603830124863198</v>
      </c>
      <c r="AE1126" s="64">
        <f>AD1126*AE1125/AD1125</f>
        <v>0.1386248247165662</v>
      </c>
      <c r="AF1126" s="16">
        <v>0</v>
      </c>
      <c r="AG1126" s="16">
        <v>0</v>
      </c>
      <c r="AH1126" s="16">
        <v>0</v>
      </c>
      <c r="AI1126" s="16">
        <v>0</v>
      </c>
      <c r="AJ1126" s="16">
        <v>0</v>
      </c>
      <c r="AK1126" s="16">
        <v>0</v>
      </c>
      <c r="AL1126" s="16">
        <v>0</v>
      </c>
      <c r="AM1126" s="16">
        <v>0</v>
      </c>
      <c r="AN1126" s="16">
        <v>0</v>
      </c>
      <c r="AO1126" s="16">
        <v>0</v>
      </c>
      <c r="AP1126" s="16">
        <v>0</v>
      </c>
      <c r="AQ1126" s="16">
        <v>0</v>
      </c>
      <c r="AR1126" s="16">
        <v>0</v>
      </c>
      <c r="AS1126" s="16">
        <v>0</v>
      </c>
      <c r="AT1126" s="16">
        <v>0</v>
      </c>
      <c r="AU1126" s="16">
        <v>0</v>
      </c>
      <c r="AV1126" s="16">
        <v>0</v>
      </c>
      <c r="AW1126" s="16">
        <v>0</v>
      </c>
      <c r="AX1126" s="16">
        <v>0</v>
      </c>
      <c r="AY1126" s="16">
        <v>0</v>
      </c>
      <c r="AZ1126" s="16">
        <v>0</v>
      </c>
      <c r="BA1126" s="16">
        <v>0</v>
      </c>
      <c r="BB1126" s="16">
        <v>0</v>
      </c>
      <c r="BC1126" s="16">
        <v>0</v>
      </c>
      <c r="BD1126" s="16">
        <v>0</v>
      </c>
      <c r="BE1126" s="16">
        <v>0</v>
      </c>
      <c r="BF1126" s="16">
        <v>0</v>
      </c>
      <c r="BG1126" s="16">
        <v>0</v>
      </c>
    </row>
    <row r="1127" spans="1:59" ht="12" customHeight="1" x14ac:dyDescent="0.2">
      <c r="A1127" t="s">
        <v>103</v>
      </c>
      <c r="B1127" t="str">
        <f t="shared" si="288"/>
        <v>MXC</v>
      </c>
      <c r="C1127" t="str">
        <f t="shared" si="289"/>
        <v>NB</v>
      </c>
      <c r="D1127" s="16">
        <f t="shared" ref="D1127:R1127" si="291">D$1125*E1127/E$1125</f>
        <v>0.22287845542597698</v>
      </c>
      <c r="E1127" s="16">
        <f t="shared" si="291"/>
        <v>0.2219340036270909</v>
      </c>
      <c r="F1127" s="16">
        <f t="shared" si="291"/>
        <v>0.2228259338626683</v>
      </c>
      <c r="G1127" s="16">
        <f t="shared" si="291"/>
        <v>0.22280913065944358</v>
      </c>
      <c r="H1127" s="16">
        <f t="shared" si="291"/>
        <v>0.22279232745621882</v>
      </c>
      <c r="I1127" s="16">
        <f t="shared" si="291"/>
        <v>0.22114308114051656</v>
      </c>
      <c r="J1127" s="16">
        <f t="shared" si="291"/>
        <v>0.20894370044703495</v>
      </c>
      <c r="K1127" s="16">
        <f t="shared" si="291"/>
        <v>0.20197234561836369</v>
      </c>
      <c r="L1127" s="16">
        <f t="shared" si="291"/>
        <v>0.1950356572477864</v>
      </c>
      <c r="M1127" s="16">
        <f t="shared" si="291"/>
        <v>0.19293178740995934</v>
      </c>
      <c r="N1127" s="16">
        <f t="shared" si="291"/>
        <v>0.18837351826369567</v>
      </c>
      <c r="O1127" s="16">
        <f t="shared" si="291"/>
        <v>0.18517548371543688</v>
      </c>
      <c r="P1127" s="16">
        <f t="shared" si="291"/>
        <v>0.18375308040808325</v>
      </c>
      <c r="Q1127" s="16">
        <f t="shared" si="291"/>
        <v>0.18131205572171297</v>
      </c>
      <c r="R1127" s="16">
        <f t="shared" si="291"/>
        <v>0.17943750771632896</v>
      </c>
      <c r="S1127" s="27">
        <v>0.17566777438801151</v>
      </c>
      <c r="T1127" s="16">
        <v>0.14972120655273344</v>
      </c>
      <c r="U1127" s="16">
        <v>0.14640225183111982</v>
      </c>
      <c r="V1127" s="16">
        <v>0.13735613868564725</v>
      </c>
      <c r="W1127" s="16">
        <v>0.14012138684374068</v>
      </c>
      <c r="X1127" s="16">
        <v>0.13235718585756834</v>
      </c>
      <c r="Y1127" s="16">
        <v>0.1254919620851728</v>
      </c>
      <c r="Z1127" s="16">
        <v>0.1226177869946215</v>
      </c>
      <c r="AA1127" s="16">
        <v>0.11859825137323227</v>
      </c>
      <c r="AB1127" s="16">
        <v>0.11768877678029571</v>
      </c>
      <c r="AC1127" s="16">
        <v>0.11489194354090441</v>
      </c>
      <c r="AD1127" s="16">
        <v>0.10953387997489034</v>
      </c>
      <c r="AE1127" s="64">
        <f t="shared" ref="AE1127:AE1140" si="292">AD1127*AE1126/AD1126</f>
        <v>0.11161646957273562</v>
      </c>
      <c r="AF1127" s="16">
        <v>0</v>
      </c>
      <c r="AG1127" s="16">
        <v>0</v>
      </c>
      <c r="AH1127" s="16">
        <v>0</v>
      </c>
      <c r="AI1127" s="16">
        <v>0</v>
      </c>
      <c r="AJ1127" s="16">
        <v>0</v>
      </c>
      <c r="AK1127" s="16">
        <v>0</v>
      </c>
      <c r="AL1127" s="16">
        <v>0</v>
      </c>
      <c r="AM1127" s="16">
        <v>0</v>
      </c>
      <c r="AN1127" s="16">
        <v>0</v>
      </c>
      <c r="AO1127" s="16">
        <v>0</v>
      </c>
      <c r="AP1127" s="16">
        <v>0</v>
      </c>
      <c r="AQ1127" s="16">
        <v>0</v>
      </c>
      <c r="AR1127" s="16">
        <v>0</v>
      </c>
      <c r="AS1127" s="16">
        <v>0</v>
      </c>
      <c r="AT1127" s="16">
        <v>0</v>
      </c>
      <c r="AU1127" s="16">
        <v>0</v>
      </c>
      <c r="AV1127" s="16">
        <v>0</v>
      </c>
      <c r="AW1127" s="16">
        <v>0</v>
      </c>
      <c r="AX1127" s="16">
        <v>0</v>
      </c>
      <c r="AY1127" s="16">
        <v>0</v>
      </c>
      <c r="AZ1127" s="16">
        <v>0</v>
      </c>
      <c r="BA1127" s="16">
        <v>0</v>
      </c>
      <c r="BB1127" s="16">
        <v>0</v>
      </c>
      <c r="BC1127" s="16">
        <v>0</v>
      </c>
      <c r="BD1127" s="16">
        <v>0</v>
      </c>
      <c r="BE1127" s="16">
        <v>0</v>
      </c>
      <c r="BF1127" s="16">
        <v>0</v>
      </c>
      <c r="BG1127" s="16">
        <v>0</v>
      </c>
    </row>
    <row r="1128" spans="1:59" ht="12" customHeight="1" x14ac:dyDescent="0.2">
      <c r="A1128" t="s">
        <v>104</v>
      </c>
      <c r="B1128" t="str">
        <f t="shared" si="288"/>
        <v>EUR</v>
      </c>
      <c r="C1128" t="str">
        <f t="shared" si="289"/>
        <v>NB</v>
      </c>
      <c r="D1128" s="16">
        <f t="shared" ref="D1128:R1128" si="293">D$1125*E1128/E$1125</f>
        <v>0.20072490450953812</v>
      </c>
      <c r="E1128" s="16">
        <f t="shared" si="293"/>
        <v>0.19987432881444486</v>
      </c>
      <c r="F1128" s="16">
        <f t="shared" si="293"/>
        <v>0.20067760345587787</v>
      </c>
      <c r="G1128" s="16">
        <f t="shared" si="293"/>
        <v>0.20066247044826485</v>
      </c>
      <c r="H1128" s="16">
        <f t="shared" si="293"/>
        <v>0.2006473374406518</v>
      </c>
      <c r="I1128" s="16">
        <f t="shared" si="293"/>
        <v>0.19916202200897704</v>
      </c>
      <c r="J1128" s="16">
        <f t="shared" si="293"/>
        <v>0.18817522869109229</v>
      </c>
      <c r="K1128" s="16">
        <f t="shared" si="293"/>
        <v>0.18189680878005746</v>
      </c>
      <c r="L1128" s="16">
        <f t="shared" si="293"/>
        <v>0.17564960956945908</v>
      </c>
      <c r="M1128" s="16">
        <f t="shared" si="293"/>
        <v>0.17375485903607435</v>
      </c>
      <c r="N1128" s="16">
        <f t="shared" si="293"/>
        <v>0.16964967023546179</v>
      </c>
      <c r="O1128" s="16">
        <f t="shared" si="293"/>
        <v>0.1667695121776066</v>
      </c>
      <c r="P1128" s="16">
        <f t="shared" si="293"/>
        <v>0.16548849213689912</v>
      </c>
      <c r="Q1128" s="16">
        <f t="shared" si="293"/>
        <v>0.16329009908836226</v>
      </c>
      <c r="R1128" s="16">
        <f t="shared" si="293"/>
        <v>0.16160187638123649</v>
      </c>
      <c r="S1128" s="27">
        <v>0.1582068449462477</v>
      </c>
      <c r="T1128" s="16">
        <v>0.15295988044844031</v>
      </c>
      <c r="U1128" s="16">
        <v>0.14546304530442239</v>
      </c>
      <c r="V1128" s="16">
        <v>0.13969963640108868</v>
      </c>
      <c r="W1128" s="16">
        <v>0.14182866009357392</v>
      </c>
      <c r="X1128" s="16">
        <v>0.13954553186811794</v>
      </c>
      <c r="Y1128" s="16">
        <v>0.13767870518455838</v>
      </c>
      <c r="Z1128" s="16">
        <v>0.13521538293972477</v>
      </c>
      <c r="AA1128" s="16">
        <v>0.13317806138272686</v>
      </c>
      <c r="AB1128" s="16">
        <v>0.12798349252142646</v>
      </c>
      <c r="AC1128" s="16">
        <v>0.12372301169401839</v>
      </c>
      <c r="AD1128" s="16">
        <v>0.12246780534571801</v>
      </c>
      <c r="AE1128" s="64">
        <f t="shared" si="292"/>
        <v>0.12479631025709703</v>
      </c>
      <c r="AF1128" s="16">
        <v>0</v>
      </c>
      <c r="AG1128" s="16">
        <v>0</v>
      </c>
      <c r="AH1128" s="16">
        <v>0</v>
      </c>
      <c r="AI1128" s="16">
        <v>0</v>
      </c>
      <c r="AJ1128" s="16">
        <v>0</v>
      </c>
      <c r="AK1128" s="16">
        <v>0</v>
      </c>
      <c r="AL1128" s="16">
        <v>0</v>
      </c>
      <c r="AM1128" s="16">
        <v>0</v>
      </c>
      <c r="AN1128" s="16">
        <v>0</v>
      </c>
      <c r="AO1128" s="16">
        <v>0</v>
      </c>
      <c r="AP1128" s="16">
        <v>0</v>
      </c>
      <c r="AQ1128" s="16">
        <v>0</v>
      </c>
      <c r="AR1128" s="16">
        <v>0</v>
      </c>
      <c r="AS1128" s="16">
        <v>0</v>
      </c>
      <c r="AT1128" s="16">
        <v>0</v>
      </c>
      <c r="AU1128" s="16">
        <v>0</v>
      </c>
      <c r="AV1128" s="16">
        <v>0</v>
      </c>
      <c r="AW1128" s="16">
        <v>0</v>
      </c>
      <c r="AX1128" s="16">
        <v>0</v>
      </c>
      <c r="AY1128" s="16">
        <v>0</v>
      </c>
      <c r="AZ1128" s="16">
        <v>0</v>
      </c>
      <c r="BA1128" s="16">
        <v>0</v>
      </c>
      <c r="BB1128" s="16">
        <v>0</v>
      </c>
      <c r="BC1128" s="16">
        <v>0</v>
      </c>
      <c r="BD1128" s="16">
        <v>0</v>
      </c>
      <c r="BE1128" s="16">
        <v>0</v>
      </c>
      <c r="BF1128" s="16">
        <v>0</v>
      </c>
      <c r="BG1128" s="16">
        <v>0</v>
      </c>
    </row>
    <row r="1129" spans="1:59" ht="12" customHeight="1" x14ac:dyDescent="0.2">
      <c r="A1129" t="s">
        <v>105</v>
      </c>
      <c r="B1129" t="str">
        <f t="shared" si="288"/>
        <v>JPN</v>
      </c>
      <c r="C1129" t="str">
        <f t="shared" si="289"/>
        <v>NB</v>
      </c>
      <c r="D1129" s="16">
        <f t="shared" ref="D1129:R1129" si="294">D$1125*E1129/E$1125</f>
        <v>0.20177976557831481</v>
      </c>
      <c r="E1129" s="16">
        <f t="shared" si="294"/>
        <v>0.2009247198888828</v>
      </c>
      <c r="F1129" s="16">
        <f t="shared" si="294"/>
        <v>0.20173221594543544</v>
      </c>
      <c r="G1129" s="16">
        <f t="shared" si="294"/>
        <v>0.20171700340997001</v>
      </c>
      <c r="H1129" s="16">
        <f t="shared" si="294"/>
        <v>0.20170179087450454</v>
      </c>
      <c r="I1129" s="16">
        <f t="shared" si="294"/>
        <v>0.2002086697277016</v>
      </c>
      <c r="J1129" s="16">
        <f t="shared" si="294"/>
        <v>0.18916413798134404</v>
      </c>
      <c r="K1129" s="16">
        <f t="shared" si="294"/>
        <v>0.18285272335670472</v>
      </c>
      <c r="L1129" s="16">
        <f t="shared" si="294"/>
        <v>0.17657269350532334</v>
      </c>
      <c r="M1129" s="16">
        <f t="shared" si="294"/>
        <v>0.17466798556990326</v>
      </c>
      <c r="N1129" s="16">
        <f t="shared" si="294"/>
        <v>0.170541222944875</v>
      </c>
      <c r="O1129" s="16">
        <f t="shared" si="294"/>
        <v>0.16764592891465716</v>
      </c>
      <c r="P1129" s="16">
        <f t="shared" si="294"/>
        <v>0.16635817678371617</v>
      </c>
      <c r="Q1129" s="16">
        <f t="shared" si="294"/>
        <v>0.1641482306135254</v>
      </c>
      <c r="R1129" s="16">
        <f t="shared" si="294"/>
        <v>0.16245113586128135</v>
      </c>
      <c r="S1129" s="27">
        <v>0.15903826266173027</v>
      </c>
      <c r="T1129" s="16">
        <v>0.15206493148677142</v>
      </c>
      <c r="U1129" s="16">
        <v>0.14540739456126733</v>
      </c>
      <c r="V1129" s="16">
        <v>0.13924708987523776</v>
      </c>
      <c r="W1129" s="16">
        <v>0.13499499623223724</v>
      </c>
      <c r="X1129" s="16">
        <v>0.12889759150346036</v>
      </c>
      <c r="Y1129" s="16">
        <v>0.12801039661762817</v>
      </c>
      <c r="Z1129" s="16">
        <v>0.12982408510420623</v>
      </c>
      <c r="AA1129" s="16">
        <v>0.12546861795786918</v>
      </c>
      <c r="AB1129" s="16">
        <v>0.12864318140354408</v>
      </c>
      <c r="AC1129" s="16">
        <v>0.1303171438392379</v>
      </c>
      <c r="AD1129" s="16">
        <v>0.1253218758691432</v>
      </c>
      <c r="AE1129" s="64">
        <f t="shared" si="292"/>
        <v>0.12770464579500873</v>
      </c>
      <c r="AF1129" s="16">
        <v>0</v>
      </c>
      <c r="AG1129" s="16">
        <v>0</v>
      </c>
      <c r="AH1129" s="16">
        <v>0</v>
      </c>
      <c r="AI1129" s="16">
        <v>0</v>
      </c>
      <c r="AJ1129" s="16">
        <v>0</v>
      </c>
      <c r="AK1129" s="16">
        <v>0</v>
      </c>
      <c r="AL1129" s="16">
        <v>0</v>
      </c>
      <c r="AM1129" s="16">
        <v>0</v>
      </c>
      <c r="AN1129" s="16">
        <v>0</v>
      </c>
      <c r="AO1129" s="16">
        <v>0</v>
      </c>
      <c r="AP1129" s="16">
        <v>0</v>
      </c>
      <c r="AQ1129" s="16">
        <v>0</v>
      </c>
      <c r="AR1129" s="16">
        <v>0</v>
      </c>
      <c r="AS1129" s="16">
        <v>0</v>
      </c>
      <c r="AT1129" s="16">
        <v>0</v>
      </c>
      <c r="AU1129" s="16">
        <v>0</v>
      </c>
      <c r="AV1129" s="16">
        <v>0</v>
      </c>
      <c r="AW1129" s="16">
        <v>0</v>
      </c>
      <c r="AX1129" s="16">
        <v>0</v>
      </c>
      <c r="AY1129" s="16">
        <v>0</v>
      </c>
      <c r="AZ1129" s="16">
        <v>0</v>
      </c>
      <c r="BA1129" s="16">
        <v>0</v>
      </c>
      <c r="BB1129" s="16">
        <v>0</v>
      </c>
      <c r="BC1129" s="16">
        <v>0</v>
      </c>
      <c r="BD1129" s="16">
        <v>0</v>
      </c>
      <c r="BE1129" s="16">
        <v>0</v>
      </c>
      <c r="BF1129" s="16">
        <v>0</v>
      </c>
      <c r="BG1129" s="16">
        <v>0</v>
      </c>
    </row>
    <row r="1130" spans="1:59" ht="12" customHeight="1" x14ac:dyDescent="0.2">
      <c r="A1130" t="s">
        <v>106</v>
      </c>
      <c r="B1130" t="str">
        <f t="shared" si="288"/>
        <v>ANZ</v>
      </c>
      <c r="C1130" t="str">
        <f t="shared" si="289"/>
        <v>NB</v>
      </c>
      <c r="D1130" s="16">
        <f t="shared" ref="D1130:R1130" si="295">D$1125*E1130/E$1125</f>
        <v>0.20281873808516271</v>
      </c>
      <c r="E1130" s="16">
        <f t="shared" si="295"/>
        <v>0.20195928972948282</v>
      </c>
      <c r="F1130" s="16">
        <f t="shared" si="295"/>
        <v>0.20277094361722209</v>
      </c>
      <c r="G1130" s="16">
        <f t="shared" si="295"/>
        <v>0.20275565275177115</v>
      </c>
      <c r="H1130" s="16">
        <f t="shared" si="295"/>
        <v>0.20274036188632019</v>
      </c>
      <c r="I1130" s="16">
        <f t="shared" si="295"/>
        <v>0.20123955259587969</v>
      </c>
      <c r="J1130" s="16">
        <f t="shared" si="295"/>
        <v>0.19013815209064247</v>
      </c>
      <c r="K1130" s="16">
        <f t="shared" si="295"/>
        <v>0.18379423972642292</v>
      </c>
      <c r="L1130" s="16">
        <f t="shared" si="295"/>
        <v>0.17748187373697999</v>
      </c>
      <c r="M1130" s="16">
        <f t="shared" si="295"/>
        <v>0.17556735838022205</v>
      </c>
      <c r="N1130" s="16">
        <f t="shared" si="295"/>
        <v>0.17141934688072216</v>
      </c>
      <c r="O1130" s="16">
        <f t="shared" si="295"/>
        <v>0.16850914485966578</v>
      </c>
      <c r="P1130" s="16">
        <f t="shared" si="295"/>
        <v>0.1672147620387949</v>
      </c>
      <c r="Q1130" s="16">
        <f t="shared" si="295"/>
        <v>0.1649934367627465</v>
      </c>
      <c r="R1130" s="16">
        <f t="shared" si="295"/>
        <v>0.16328760359818423</v>
      </c>
      <c r="S1130" s="27">
        <v>0.15985715737086434</v>
      </c>
      <c r="T1130" s="16">
        <v>0.17646871948549264</v>
      </c>
      <c r="U1130" s="16">
        <v>0.15994609753117808</v>
      </c>
      <c r="V1130" s="16">
        <v>0.15842675404452899</v>
      </c>
      <c r="W1130" s="16">
        <v>0.16118626933383448</v>
      </c>
      <c r="X1130" s="16">
        <v>0.14578843187013085</v>
      </c>
      <c r="Y1130" s="16">
        <v>0.14930381949038557</v>
      </c>
      <c r="Z1130" s="16">
        <v>0.15448978930782378</v>
      </c>
      <c r="AA1130" s="16">
        <v>0.15325284158247057</v>
      </c>
      <c r="AB1130" s="16">
        <v>0.15817864390071348</v>
      </c>
      <c r="AC1130" s="16">
        <v>0.14192681743865193</v>
      </c>
      <c r="AD1130" s="16">
        <v>0.13998613075820771</v>
      </c>
      <c r="AE1130" s="64">
        <f t="shared" si="292"/>
        <v>0.14264771509929453</v>
      </c>
      <c r="AF1130" s="16">
        <v>0</v>
      </c>
      <c r="AG1130" s="16">
        <v>0</v>
      </c>
      <c r="AH1130" s="16">
        <v>0</v>
      </c>
      <c r="AI1130" s="16">
        <v>0</v>
      </c>
      <c r="AJ1130" s="16">
        <v>0</v>
      </c>
      <c r="AK1130" s="16">
        <v>0</v>
      </c>
      <c r="AL1130" s="16">
        <v>0</v>
      </c>
      <c r="AM1130" s="16">
        <v>0</v>
      </c>
      <c r="AN1130" s="16">
        <v>0</v>
      </c>
      <c r="AO1130" s="16">
        <v>0</v>
      </c>
      <c r="AP1130" s="16">
        <v>0</v>
      </c>
      <c r="AQ1130" s="16">
        <v>0</v>
      </c>
      <c r="AR1130" s="16">
        <v>0</v>
      </c>
      <c r="AS1130" s="16">
        <v>0</v>
      </c>
      <c r="AT1130" s="16">
        <v>0</v>
      </c>
      <c r="AU1130" s="16">
        <v>0</v>
      </c>
      <c r="AV1130" s="16">
        <v>0</v>
      </c>
      <c r="AW1130" s="16">
        <v>0</v>
      </c>
      <c r="AX1130" s="16">
        <v>0</v>
      </c>
      <c r="AY1130" s="16">
        <v>0</v>
      </c>
      <c r="AZ1130" s="16">
        <v>0</v>
      </c>
      <c r="BA1130" s="16">
        <v>0</v>
      </c>
      <c r="BB1130" s="16">
        <v>0</v>
      </c>
      <c r="BC1130" s="16">
        <v>0</v>
      </c>
      <c r="BD1130" s="16">
        <v>0</v>
      </c>
      <c r="BE1130" s="16">
        <v>0</v>
      </c>
      <c r="BF1130" s="16">
        <v>0</v>
      </c>
      <c r="BG1130" s="16">
        <v>0</v>
      </c>
    </row>
    <row r="1131" spans="1:59" ht="12" customHeight="1" x14ac:dyDescent="0.2">
      <c r="A1131" t="s">
        <v>107</v>
      </c>
      <c r="B1131" t="str">
        <f t="shared" si="288"/>
        <v>SKO</v>
      </c>
      <c r="C1131" t="str">
        <f t="shared" si="289"/>
        <v>NB</v>
      </c>
      <c r="D1131" s="16">
        <f t="shared" ref="D1131:R1131" si="296">D$1125*E1131/E$1125</f>
        <v>0.21796396764964715</v>
      </c>
      <c r="E1131" s="16">
        <f t="shared" si="296"/>
        <v>0.21704034108849926</v>
      </c>
      <c r="F1131" s="16">
        <f t="shared" si="296"/>
        <v>0.21791260419101213</v>
      </c>
      <c r="G1131" s="16">
        <f t="shared" si="296"/>
        <v>0.21789617149976306</v>
      </c>
      <c r="H1131" s="16">
        <f t="shared" si="296"/>
        <v>0.21787973880851397</v>
      </c>
      <c r="I1131" s="16">
        <f t="shared" si="296"/>
        <v>0.2162668585060416</v>
      </c>
      <c r="J1131" s="16">
        <f t="shared" si="296"/>
        <v>0.20433647513301578</v>
      </c>
      <c r="K1131" s="16">
        <f t="shared" si="296"/>
        <v>0.19751883923614744</v>
      </c>
      <c r="L1131" s="16">
        <f t="shared" si="296"/>
        <v>0.19073510539919816</v>
      </c>
      <c r="M1131" s="16">
        <f t="shared" si="296"/>
        <v>0.1886776260596417</v>
      </c>
      <c r="N1131" s="16">
        <f t="shared" si="296"/>
        <v>0.18421986711279464</v>
      </c>
      <c r="O1131" s="16">
        <f t="shared" si="296"/>
        <v>0.18109234948222386</v>
      </c>
      <c r="P1131" s="16">
        <f t="shared" si="296"/>
        <v>0.1797013102816146</v>
      </c>
      <c r="Q1131" s="16">
        <f t="shared" si="296"/>
        <v>0.17731411038490358</v>
      </c>
      <c r="R1131" s="16">
        <f t="shared" si="296"/>
        <v>0.17548089631303501</v>
      </c>
      <c r="S1131" s="27">
        <v>0.17179428590625179</v>
      </c>
      <c r="T1131" s="16">
        <v>0.17377248994162853</v>
      </c>
      <c r="U1131" s="16">
        <v>0.16174934048406236</v>
      </c>
      <c r="V1131" s="16">
        <v>0.15148947839340726</v>
      </c>
      <c r="W1131" s="16">
        <v>0.16177727599318614</v>
      </c>
      <c r="X1131" s="16">
        <v>0.16698394472232173</v>
      </c>
      <c r="Y1131" s="16">
        <v>0.16162778100935885</v>
      </c>
      <c r="Z1131" s="16">
        <v>0.1530667616444121</v>
      </c>
      <c r="AA1131" s="16">
        <v>0.14177115583273583</v>
      </c>
      <c r="AB1131" s="16">
        <v>0.14595446229489567</v>
      </c>
      <c r="AC1131" s="16">
        <v>0.13103631975918648</v>
      </c>
      <c r="AD1131" s="16">
        <v>0.12278222591693265</v>
      </c>
      <c r="AE1131" s="64">
        <f t="shared" si="292"/>
        <v>0.12511670896960558</v>
      </c>
      <c r="AF1131" s="16">
        <v>0</v>
      </c>
      <c r="AG1131" s="16">
        <v>0</v>
      </c>
      <c r="AH1131" s="16">
        <v>0</v>
      </c>
      <c r="AI1131" s="16">
        <v>0</v>
      </c>
      <c r="AJ1131" s="16">
        <v>0</v>
      </c>
      <c r="AK1131" s="16">
        <v>0</v>
      </c>
      <c r="AL1131" s="16">
        <v>0</v>
      </c>
      <c r="AM1131" s="16">
        <v>0</v>
      </c>
      <c r="AN1131" s="16">
        <v>0</v>
      </c>
      <c r="AO1131" s="16">
        <v>0</v>
      </c>
      <c r="AP1131" s="16">
        <v>0</v>
      </c>
      <c r="AQ1131" s="16">
        <v>0</v>
      </c>
      <c r="AR1131" s="16">
        <v>0</v>
      </c>
      <c r="AS1131" s="16">
        <v>0</v>
      </c>
      <c r="AT1131" s="16">
        <v>0</v>
      </c>
      <c r="AU1131" s="16">
        <v>0</v>
      </c>
      <c r="AV1131" s="16">
        <v>0</v>
      </c>
      <c r="AW1131" s="16">
        <v>0</v>
      </c>
      <c r="AX1131" s="16">
        <v>0</v>
      </c>
      <c r="AY1131" s="16">
        <v>0</v>
      </c>
      <c r="AZ1131" s="16">
        <v>0</v>
      </c>
      <c r="BA1131" s="16">
        <v>0</v>
      </c>
      <c r="BB1131" s="16">
        <v>0</v>
      </c>
      <c r="BC1131" s="16">
        <v>0</v>
      </c>
      <c r="BD1131" s="16">
        <v>0</v>
      </c>
      <c r="BE1131" s="16">
        <v>0</v>
      </c>
      <c r="BF1131" s="16">
        <v>0</v>
      </c>
      <c r="BG1131" s="16">
        <v>0</v>
      </c>
    </row>
    <row r="1132" spans="1:59" ht="12" customHeight="1" x14ac:dyDescent="0.2">
      <c r="A1132" t="s">
        <v>108</v>
      </c>
      <c r="B1132" t="str">
        <f t="shared" si="288"/>
        <v>RUS</v>
      </c>
      <c r="C1132" t="str">
        <f t="shared" si="289"/>
        <v>NB</v>
      </c>
      <c r="D1132" s="16">
        <f t="shared" ref="D1132:R1132" si="297">D$1125*E1132/E$1125</f>
        <v>0.40935400127049987</v>
      </c>
      <c r="E1132" s="16">
        <f t="shared" si="297"/>
        <v>0.40761935571159108</v>
      </c>
      <c r="F1132" s="16">
        <f t="shared" si="297"/>
        <v>0.40925753653122177</v>
      </c>
      <c r="G1132" s="16">
        <f t="shared" si="297"/>
        <v>0.40922667460488144</v>
      </c>
      <c r="H1132" s="16">
        <f t="shared" si="297"/>
        <v>0.40919581267854105</v>
      </c>
      <c r="I1132" s="16">
        <f t="shared" si="297"/>
        <v>0.40616669271661821</v>
      </c>
      <c r="J1132" s="16">
        <f t="shared" si="297"/>
        <v>0.38376046556310422</v>
      </c>
      <c r="K1132" s="16">
        <f t="shared" si="297"/>
        <v>0.37095639265287716</v>
      </c>
      <c r="L1132" s="16">
        <f t="shared" si="297"/>
        <v>0.35821599055956926</v>
      </c>
      <c r="M1132" s="16">
        <f t="shared" si="297"/>
        <v>0.35435187756299991</v>
      </c>
      <c r="N1132" s="16">
        <f t="shared" si="297"/>
        <v>0.34597984487673328</v>
      </c>
      <c r="O1132" s="16">
        <f t="shared" si="297"/>
        <v>0.34010611322317819</v>
      </c>
      <c r="P1132" s="16">
        <f t="shared" si="297"/>
        <v>0.33749362883489242</v>
      </c>
      <c r="Q1132" s="16">
        <f t="shared" si="297"/>
        <v>0.33301027390201687</v>
      </c>
      <c r="R1132" s="16">
        <f t="shared" si="297"/>
        <v>0.3295673492590272</v>
      </c>
      <c r="S1132" s="27">
        <v>0.32264359604690024</v>
      </c>
      <c r="T1132" s="16">
        <v>0.28875849043646679</v>
      </c>
      <c r="U1132" s="16">
        <v>0.28106816695986442</v>
      </c>
      <c r="V1132" s="16">
        <v>0.24265185189830077</v>
      </c>
      <c r="W1132" s="16">
        <v>0.22128538106354054</v>
      </c>
      <c r="X1132" s="16">
        <v>0.19739893704506067</v>
      </c>
      <c r="Y1132" s="16">
        <v>0.21173049206582614</v>
      </c>
      <c r="Z1132" s="16">
        <v>0.20163498020645354</v>
      </c>
      <c r="AA1132" s="16">
        <v>0.19271761680362196</v>
      </c>
      <c r="AB1132" s="16">
        <v>0.17569631910398148</v>
      </c>
      <c r="AC1132" s="16">
        <v>0.16778299338667357</v>
      </c>
      <c r="AD1132" s="16">
        <v>0.16163501581019454</v>
      </c>
      <c r="AE1132" s="64">
        <f t="shared" si="292"/>
        <v>0.1647082147386999</v>
      </c>
      <c r="AF1132" s="16">
        <v>0</v>
      </c>
      <c r="AG1132" s="16">
        <v>0</v>
      </c>
      <c r="AH1132" s="16">
        <v>0</v>
      </c>
      <c r="AI1132" s="16">
        <v>0</v>
      </c>
      <c r="AJ1132" s="16">
        <v>0</v>
      </c>
      <c r="AK1132" s="16">
        <v>0</v>
      </c>
      <c r="AL1132" s="16">
        <v>0</v>
      </c>
      <c r="AM1132" s="16">
        <v>0</v>
      </c>
      <c r="AN1132" s="16">
        <v>0</v>
      </c>
      <c r="AO1132" s="16">
        <v>0</v>
      </c>
      <c r="AP1132" s="16">
        <v>0</v>
      </c>
      <c r="AQ1132" s="16">
        <v>0</v>
      </c>
      <c r="AR1132" s="16">
        <v>0</v>
      </c>
      <c r="AS1132" s="16">
        <v>0</v>
      </c>
      <c r="AT1132" s="16">
        <v>0</v>
      </c>
      <c r="AU1132" s="16">
        <v>0</v>
      </c>
      <c r="AV1132" s="16">
        <v>0</v>
      </c>
      <c r="AW1132" s="16">
        <v>0</v>
      </c>
      <c r="AX1132" s="16">
        <v>0</v>
      </c>
      <c r="AY1132" s="16">
        <v>0</v>
      </c>
      <c r="AZ1132" s="16">
        <v>0</v>
      </c>
      <c r="BA1132" s="16">
        <v>0</v>
      </c>
      <c r="BB1132" s="16">
        <v>0</v>
      </c>
      <c r="BC1132" s="16">
        <v>0</v>
      </c>
      <c r="BD1132" s="16">
        <v>0</v>
      </c>
      <c r="BE1132" s="16">
        <v>0</v>
      </c>
      <c r="BF1132" s="16">
        <v>0</v>
      </c>
      <c r="BG1132" s="16">
        <v>0</v>
      </c>
    </row>
    <row r="1133" spans="1:59" ht="12" customHeight="1" x14ac:dyDescent="0.2">
      <c r="A1133" t="s">
        <v>109</v>
      </c>
      <c r="B1133" t="str">
        <f t="shared" si="288"/>
        <v>URA</v>
      </c>
      <c r="C1133" t="str">
        <f t="shared" si="289"/>
        <v>NB</v>
      </c>
      <c r="D1133" s="16">
        <f t="shared" ref="D1133:R1133" si="298">D$1125*E1133/E$1125</f>
        <v>0.32899422155700642</v>
      </c>
      <c r="E1133" s="16">
        <f t="shared" si="298"/>
        <v>0.32760010213088797</v>
      </c>
      <c r="F1133" s="16">
        <f t="shared" si="298"/>
        <v>0.32891669369186283</v>
      </c>
      <c r="G1133" s="16">
        <f t="shared" si="298"/>
        <v>0.32889189023226412</v>
      </c>
      <c r="H1133" s="16">
        <f t="shared" si="298"/>
        <v>0.32886708677266541</v>
      </c>
      <c r="I1133" s="16">
        <f t="shared" si="298"/>
        <v>0.32643260961894865</v>
      </c>
      <c r="J1133" s="16">
        <f t="shared" si="298"/>
        <v>0.30842492131610799</v>
      </c>
      <c r="K1133" s="16">
        <f t="shared" si="298"/>
        <v>0.2981344001857778</v>
      </c>
      <c r="L1133" s="16">
        <f t="shared" si="298"/>
        <v>0.28789505073273225</v>
      </c>
      <c r="M1133" s="16">
        <f t="shared" si="298"/>
        <v>0.28478949699838735</v>
      </c>
      <c r="N1133" s="16">
        <f t="shared" si="298"/>
        <v>0.27806096773540345</v>
      </c>
      <c r="O1133" s="16">
        <f t="shared" si="298"/>
        <v>0.27334030110701213</v>
      </c>
      <c r="P1133" s="16">
        <f t="shared" si="298"/>
        <v>0.27124067031071769</v>
      </c>
      <c r="Q1133" s="16">
        <f t="shared" si="298"/>
        <v>0.26763743726174966</v>
      </c>
      <c r="R1133" s="16">
        <f t="shared" si="298"/>
        <v>0.2648703889141476</v>
      </c>
      <c r="S1133" s="27">
        <v>0.25930582916584477</v>
      </c>
      <c r="T1133" s="16">
        <v>0.19603676930589736</v>
      </c>
      <c r="U1133" s="16">
        <v>0.18429727966207779</v>
      </c>
      <c r="V1133" s="16">
        <v>0.12332354733481291</v>
      </c>
      <c r="W1133" s="16">
        <v>0.12057602960053015</v>
      </c>
      <c r="X1133" s="16">
        <v>0.11217682151934491</v>
      </c>
      <c r="Y1133" s="16">
        <v>0.10872063940568912</v>
      </c>
      <c r="Z1133" s="16">
        <v>0.12039363070348864</v>
      </c>
      <c r="AA1133" s="16">
        <v>0.1124884045106771</v>
      </c>
      <c r="AB1133" s="16">
        <v>0.10574815462561542</v>
      </c>
      <c r="AC1133" s="16">
        <v>0.13280371124083781</v>
      </c>
      <c r="AD1133" s="16">
        <v>0.12720098641222363</v>
      </c>
      <c r="AE1133" s="64">
        <f t="shared" si="292"/>
        <v>0.12961948424320052</v>
      </c>
      <c r="AF1133" s="16">
        <v>0</v>
      </c>
      <c r="AG1133" s="16">
        <v>0</v>
      </c>
      <c r="AH1133" s="16">
        <v>0</v>
      </c>
      <c r="AI1133" s="16">
        <v>0</v>
      </c>
      <c r="AJ1133" s="16">
        <v>0</v>
      </c>
      <c r="AK1133" s="16">
        <v>0</v>
      </c>
      <c r="AL1133" s="16">
        <v>0</v>
      </c>
      <c r="AM1133" s="16">
        <v>0</v>
      </c>
      <c r="AN1133" s="16">
        <v>0</v>
      </c>
      <c r="AO1133" s="16">
        <v>0</v>
      </c>
      <c r="AP1133" s="16">
        <v>0</v>
      </c>
      <c r="AQ1133" s="16">
        <v>0</v>
      </c>
      <c r="AR1133" s="16">
        <v>0</v>
      </c>
      <c r="AS1133" s="16">
        <v>0</v>
      </c>
      <c r="AT1133" s="16">
        <v>0</v>
      </c>
      <c r="AU1133" s="16">
        <v>0</v>
      </c>
      <c r="AV1133" s="16">
        <v>0</v>
      </c>
      <c r="AW1133" s="16">
        <v>0</v>
      </c>
      <c r="AX1133" s="16">
        <v>0</v>
      </c>
      <c r="AY1133" s="16">
        <v>0</v>
      </c>
      <c r="AZ1133" s="16">
        <v>0</v>
      </c>
      <c r="BA1133" s="16">
        <v>0</v>
      </c>
      <c r="BB1133" s="16">
        <v>0</v>
      </c>
      <c r="BC1133" s="16">
        <v>0</v>
      </c>
      <c r="BD1133" s="16">
        <v>0</v>
      </c>
      <c r="BE1133" s="16">
        <v>0</v>
      </c>
      <c r="BF1133" s="16">
        <v>0</v>
      </c>
      <c r="BG1133" s="16">
        <v>0</v>
      </c>
    </row>
    <row r="1134" spans="1:59" ht="12" customHeight="1" x14ac:dyDescent="0.2">
      <c r="A1134" t="s">
        <v>110</v>
      </c>
      <c r="B1134" t="str">
        <f t="shared" si="288"/>
        <v>CHI</v>
      </c>
      <c r="C1134" t="str">
        <f t="shared" si="289"/>
        <v>NB</v>
      </c>
      <c r="D1134" s="16">
        <f t="shared" ref="D1134:R1134" si="299">D$1125*E1134/E$1125</f>
        <v>0.15482792425031097</v>
      </c>
      <c r="E1134" s="16">
        <f t="shared" si="299"/>
        <v>0.15417183790362249</v>
      </c>
      <c r="F1134" s="16">
        <f t="shared" si="299"/>
        <v>0.15479143887261973</v>
      </c>
      <c r="G1134" s="16">
        <f t="shared" si="299"/>
        <v>0.15477976611999289</v>
      </c>
      <c r="H1134" s="16">
        <f t="shared" si="299"/>
        <v>0.15476809336736602</v>
      </c>
      <c r="I1134" s="16">
        <f t="shared" si="299"/>
        <v>0.15362240441708316</v>
      </c>
      <c r="J1134" s="16">
        <f t="shared" si="299"/>
        <v>0.14514780876224029</v>
      </c>
      <c r="K1134" s="16">
        <f t="shared" si="299"/>
        <v>0.14030498806307212</v>
      </c>
      <c r="L1134" s="16">
        <f t="shared" si="299"/>
        <v>0.13548624925974059</v>
      </c>
      <c r="M1134" s="16">
        <f t="shared" si="299"/>
        <v>0.13402474505440573</v>
      </c>
      <c r="N1134" s="16">
        <f t="shared" si="299"/>
        <v>0.13085823284603018</v>
      </c>
      <c r="O1134" s="16">
        <f t="shared" si="299"/>
        <v>0.12863664058920418</v>
      </c>
      <c r="P1134" s="16">
        <f t="shared" si="299"/>
        <v>0.12764853363600662</v>
      </c>
      <c r="Q1134" s="16">
        <f t="shared" si="299"/>
        <v>0.12595281663854205</v>
      </c>
      <c r="R1134" s="16">
        <f t="shared" si="299"/>
        <v>0.12465061640556548</v>
      </c>
      <c r="S1134" s="27">
        <v>0.12203187972648592</v>
      </c>
      <c r="T1134" s="16">
        <v>0.114329864117184</v>
      </c>
      <c r="U1134" s="16">
        <v>0.11266244764621369</v>
      </c>
      <c r="V1134" s="16">
        <v>0.11241283080743578</v>
      </c>
      <c r="W1134" s="16">
        <v>0.11543760820244517</v>
      </c>
      <c r="X1134" s="16">
        <v>0.11489730406965341</v>
      </c>
      <c r="Y1134" s="16">
        <v>0.11440383357047461</v>
      </c>
      <c r="Z1134" s="16">
        <v>0.11605083969984117</v>
      </c>
      <c r="AA1134" s="16">
        <v>0.11228555799916713</v>
      </c>
      <c r="AB1134" s="16">
        <v>0.11315493298757061</v>
      </c>
      <c r="AC1134" s="16">
        <v>0.13164850846182849</v>
      </c>
      <c r="AD1134" s="16">
        <v>0.12801239139067863</v>
      </c>
      <c r="AE1134" s="64">
        <f t="shared" si="292"/>
        <v>0.13044631662702233</v>
      </c>
      <c r="AF1134" s="16">
        <v>0</v>
      </c>
      <c r="AG1134" s="16">
        <v>0</v>
      </c>
      <c r="AH1134" s="16">
        <v>0</v>
      </c>
      <c r="AI1134" s="16">
        <v>0</v>
      </c>
      <c r="AJ1134" s="16">
        <v>0</v>
      </c>
      <c r="AK1134" s="16">
        <v>0</v>
      </c>
      <c r="AL1134" s="16">
        <v>0</v>
      </c>
      <c r="AM1134" s="16">
        <v>0</v>
      </c>
      <c r="AN1134" s="16">
        <v>0</v>
      </c>
      <c r="AO1134" s="16">
        <v>0</v>
      </c>
      <c r="AP1134" s="16">
        <v>0</v>
      </c>
      <c r="AQ1134" s="16">
        <v>0</v>
      </c>
      <c r="AR1134" s="16">
        <v>0</v>
      </c>
      <c r="AS1134" s="16">
        <v>0</v>
      </c>
      <c r="AT1134" s="16">
        <v>0</v>
      </c>
      <c r="AU1134" s="16">
        <v>0</v>
      </c>
      <c r="AV1134" s="16">
        <v>0</v>
      </c>
      <c r="AW1134" s="16">
        <v>0</v>
      </c>
      <c r="AX1134" s="16">
        <v>0</v>
      </c>
      <c r="AY1134" s="16">
        <v>0</v>
      </c>
      <c r="AZ1134" s="16">
        <v>0</v>
      </c>
      <c r="BA1134" s="16">
        <v>0</v>
      </c>
      <c r="BB1134" s="16">
        <v>0</v>
      </c>
      <c r="BC1134" s="16">
        <v>0</v>
      </c>
      <c r="BD1134" s="16">
        <v>0</v>
      </c>
      <c r="BE1134" s="16">
        <v>0</v>
      </c>
      <c r="BF1134" s="16">
        <v>0</v>
      </c>
      <c r="BG1134" s="16">
        <v>0</v>
      </c>
    </row>
    <row r="1135" spans="1:59" ht="12" customHeight="1" x14ac:dyDescent="0.2">
      <c r="A1135" t="s">
        <v>111</v>
      </c>
      <c r="B1135" t="str">
        <f t="shared" si="288"/>
        <v>IND</v>
      </c>
      <c r="C1135" t="str">
        <f t="shared" si="289"/>
        <v>NB</v>
      </c>
      <c r="D1135" s="16">
        <f t="shared" ref="D1135:R1135" si="300">D$1125*E1135/E$1125</f>
        <v>0.18302500386232165</v>
      </c>
      <c r="E1135" s="16">
        <f t="shared" si="300"/>
        <v>0.18224943184120132</v>
      </c>
      <c r="F1135" s="16">
        <f t="shared" si="300"/>
        <v>0.18298187381052256</v>
      </c>
      <c r="G1135" s="16">
        <f t="shared" si="300"/>
        <v>0.18296807522990505</v>
      </c>
      <c r="H1135" s="16">
        <f t="shared" si="300"/>
        <v>0.18295427664928748</v>
      </c>
      <c r="I1135" s="16">
        <f t="shared" si="300"/>
        <v>0.18159993617378301</v>
      </c>
      <c r="J1135" s="16">
        <f t="shared" si="300"/>
        <v>0.17158195711755267</v>
      </c>
      <c r="K1135" s="16">
        <f t="shared" si="300"/>
        <v>0.16585716760389357</v>
      </c>
      <c r="L1135" s="16">
        <f t="shared" si="300"/>
        <v>0.16016084575264003</v>
      </c>
      <c r="M1135" s="16">
        <f t="shared" si="300"/>
        <v>0.15843317411897687</v>
      </c>
      <c r="N1135" s="16">
        <f t="shared" si="300"/>
        <v>0.1546899804284701</v>
      </c>
      <c r="O1135" s="16">
        <f t="shared" si="300"/>
        <v>0.15206379440062723</v>
      </c>
      <c r="P1135" s="16">
        <f t="shared" si="300"/>
        <v>0.1508957345703282</v>
      </c>
      <c r="Q1135" s="16">
        <f t="shared" si="300"/>
        <v>0.14889119558607752</v>
      </c>
      <c r="R1135" s="16">
        <f t="shared" si="300"/>
        <v>0.14735184017700587</v>
      </c>
      <c r="S1135" s="27">
        <v>0.14425618225144934</v>
      </c>
      <c r="T1135" s="16">
        <v>0.14206036701939992</v>
      </c>
      <c r="U1135" s="16">
        <v>0.13897184620223599</v>
      </c>
      <c r="V1135" s="16">
        <v>0.13395802157021339</v>
      </c>
      <c r="W1135" s="16">
        <v>0.13799378633994755</v>
      </c>
      <c r="X1135" s="16">
        <v>0.13166748678803133</v>
      </c>
      <c r="Y1135" s="16">
        <v>0.13349570673456676</v>
      </c>
      <c r="Z1135" s="16">
        <v>0.12751888460196834</v>
      </c>
      <c r="AA1135" s="16">
        <v>0.12338891392581512</v>
      </c>
      <c r="AB1135" s="16">
        <v>0.12083798413086998</v>
      </c>
      <c r="AC1135" s="16">
        <v>0.12516815628966141</v>
      </c>
      <c r="AD1135" s="16">
        <v>0.12115211996083002</v>
      </c>
      <c r="AE1135" s="64">
        <f t="shared" si="292"/>
        <v>0.12345560948247546</v>
      </c>
      <c r="AF1135" s="16">
        <v>0</v>
      </c>
      <c r="AG1135" s="16">
        <v>0</v>
      </c>
      <c r="AH1135" s="16">
        <v>0</v>
      </c>
      <c r="AI1135" s="16">
        <v>0</v>
      </c>
      <c r="AJ1135" s="16">
        <v>0</v>
      </c>
      <c r="AK1135" s="16">
        <v>0</v>
      </c>
      <c r="AL1135" s="16">
        <v>0</v>
      </c>
      <c r="AM1135" s="16">
        <v>0</v>
      </c>
      <c r="AN1135" s="16">
        <v>0</v>
      </c>
      <c r="AO1135" s="16">
        <v>0</v>
      </c>
      <c r="AP1135" s="16">
        <v>0</v>
      </c>
      <c r="AQ1135" s="16">
        <v>0</v>
      </c>
      <c r="AR1135" s="16">
        <v>0</v>
      </c>
      <c r="AS1135" s="16">
        <v>0</v>
      </c>
      <c r="AT1135" s="16">
        <v>0</v>
      </c>
      <c r="AU1135" s="16">
        <v>0</v>
      </c>
      <c r="AV1135" s="16">
        <v>0</v>
      </c>
      <c r="AW1135" s="16">
        <v>0</v>
      </c>
      <c r="AX1135" s="16">
        <v>0</v>
      </c>
      <c r="AY1135" s="16">
        <v>0</v>
      </c>
      <c r="AZ1135" s="16">
        <v>0</v>
      </c>
      <c r="BA1135" s="16">
        <v>0</v>
      </c>
      <c r="BB1135" s="16">
        <v>0</v>
      </c>
      <c r="BC1135" s="16">
        <v>0</v>
      </c>
      <c r="BD1135" s="16">
        <v>0</v>
      </c>
      <c r="BE1135" s="16">
        <v>0</v>
      </c>
      <c r="BF1135" s="16">
        <v>0</v>
      </c>
      <c r="BG1135" s="16">
        <v>0</v>
      </c>
    </row>
    <row r="1136" spans="1:59" ht="12" customHeight="1" x14ac:dyDescent="0.2">
      <c r="A1136" t="s">
        <v>112</v>
      </c>
      <c r="B1136" t="str">
        <f t="shared" si="288"/>
        <v>OAS</v>
      </c>
      <c r="C1136" t="str">
        <f t="shared" si="289"/>
        <v>NB</v>
      </c>
      <c r="D1136" s="16">
        <f t="shared" ref="D1136:R1136" si="301">D$1125*E1136/E$1125</f>
        <v>0.21034461793558082</v>
      </c>
      <c r="E1136" s="16">
        <f t="shared" si="301"/>
        <v>0.2094532785173514</v>
      </c>
      <c r="F1136" s="16">
        <f t="shared" si="301"/>
        <v>0.21029504998543319</v>
      </c>
      <c r="G1136" s="16">
        <f t="shared" si="301"/>
        <v>0.21027919173051285</v>
      </c>
      <c r="H1136" s="16">
        <f t="shared" si="301"/>
        <v>0.21026333347559248</v>
      </c>
      <c r="I1136" s="16">
        <f t="shared" si="301"/>
        <v>0.20870683450625502</v>
      </c>
      <c r="J1136" s="16">
        <f t="shared" si="301"/>
        <v>0.1971935006305483</v>
      </c>
      <c r="K1136" s="16">
        <f t="shared" si="301"/>
        <v>0.19061418830927621</v>
      </c>
      <c r="L1136" s="16">
        <f t="shared" si="301"/>
        <v>0.18406759293621258</v>
      </c>
      <c r="M1136" s="16">
        <f t="shared" si="301"/>
        <v>0.1820820367442598</v>
      </c>
      <c r="N1136" s="16">
        <f t="shared" si="301"/>
        <v>0.17778010733530972</v>
      </c>
      <c r="O1136" s="16">
        <f t="shared" si="301"/>
        <v>0.17476191809888217</v>
      </c>
      <c r="P1136" s="16">
        <f t="shared" si="301"/>
        <v>0.17341950534901018</v>
      </c>
      <c r="Q1136" s="16">
        <f t="shared" si="301"/>
        <v>0.17111575461615205</v>
      </c>
      <c r="R1136" s="16">
        <f t="shared" si="301"/>
        <v>0.16934662406811055</v>
      </c>
      <c r="S1136" s="27">
        <v>0.16578888621880411</v>
      </c>
      <c r="T1136" s="16">
        <v>0.16063432808204048</v>
      </c>
      <c r="U1136" s="16">
        <v>0.16453281138161971</v>
      </c>
      <c r="V1136" s="16">
        <v>0.16627316565466982</v>
      </c>
      <c r="W1136" s="16">
        <v>0.15845542536087098</v>
      </c>
      <c r="X1136" s="16">
        <v>0.15233572202454176</v>
      </c>
      <c r="Y1136" s="16">
        <v>0.15172852030576417</v>
      </c>
      <c r="Z1136" s="16">
        <v>0.14892287576437946</v>
      </c>
      <c r="AA1136" s="16">
        <v>0.14655702291126188</v>
      </c>
      <c r="AB1136" s="16">
        <v>0.14851943864594933</v>
      </c>
      <c r="AC1136" s="16">
        <v>0.1455668521677306</v>
      </c>
      <c r="AD1136" s="16">
        <v>0.14171017648880296</v>
      </c>
      <c r="AE1136" s="64">
        <f t="shared" si="292"/>
        <v>0.14440454045666437</v>
      </c>
      <c r="AF1136" s="16">
        <v>0</v>
      </c>
      <c r="AG1136" s="16">
        <v>0</v>
      </c>
      <c r="AH1136" s="16">
        <v>0</v>
      </c>
      <c r="AI1136" s="16">
        <v>0</v>
      </c>
      <c r="AJ1136" s="16">
        <v>0</v>
      </c>
      <c r="AK1136" s="16">
        <v>0</v>
      </c>
      <c r="AL1136" s="16">
        <v>0</v>
      </c>
      <c r="AM1136" s="16">
        <v>0</v>
      </c>
      <c r="AN1136" s="16">
        <v>0</v>
      </c>
      <c r="AO1136" s="16">
        <v>0</v>
      </c>
      <c r="AP1136" s="16">
        <v>0</v>
      </c>
      <c r="AQ1136" s="16">
        <v>0</v>
      </c>
      <c r="AR1136" s="16">
        <v>0</v>
      </c>
      <c r="AS1136" s="16">
        <v>0</v>
      </c>
      <c r="AT1136" s="16">
        <v>0</v>
      </c>
      <c r="AU1136" s="16">
        <v>0</v>
      </c>
      <c r="AV1136" s="16">
        <v>0</v>
      </c>
      <c r="AW1136" s="16">
        <v>0</v>
      </c>
      <c r="AX1136" s="16">
        <v>0</v>
      </c>
      <c r="AY1136" s="16">
        <v>0</v>
      </c>
      <c r="AZ1136" s="16">
        <v>0</v>
      </c>
      <c r="BA1136" s="16">
        <v>0</v>
      </c>
      <c r="BB1136" s="16">
        <v>0</v>
      </c>
      <c r="BC1136" s="16">
        <v>0</v>
      </c>
      <c r="BD1136" s="16">
        <v>0</v>
      </c>
      <c r="BE1136" s="16">
        <v>0</v>
      </c>
      <c r="BF1136" s="16">
        <v>0</v>
      </c>
      <c r="BG1136" s="16">
        <v>0</v>
      </c>
    </row>
    <row r="1137" spans="1:59" ht="12" customHeight="1" x14ac:dyDescent="0.2">
      <c r="A1137" t="s">
        <v>113</v>
      </c>
      <c r="B1137" t="str">
        <f t="shared" si="288"/>
        <v>MID</v>
      </c>
      <c r="C1137" t="str">
        <f t="shared" si="289"/>
        <v>NB</v>
      </c>
      <c r="D1137" s="16">
        <f t="shared" ref="D1137:R1137" si="302">D$1125*E1137/E$1125</f>
        <v>0.25014025582872579</v>
      </c>
      <c r="E1137" s="16">
        <f t="shared" si="302"/>
        <v>0.24908028161928625</v>
      </c>
      <c r="F1137" s="16">
        <f t="shared" si="302"/>
        <v>0.25008130999092626</v>
      </c>
      <c r="G1137" s="16">
        <f t="shared" si="302"/>
        <v>0.25006245147207418</v>
      </c>
      <c r="H1137" s="16">
        <f t="shared" si="302"/>
        <v>0.25004359295322204</v>
      </c>
      <c r="I1137" s="16">
        <f t="shared" si="302"/>
        <v>0.24819261595077527</v>
      </c>
      <c r="J1137" s="16">
        <f t="shared" si="302"/>
        <v>0.23450104490238832</v>
      </c>
      <c r="K1137" s="16">
        <f t="shared" si="302"/>
        <v>0.22667697560424205</v>
      </c>
      <c r="L1137" s="16">
        <f t="shared" si="302"/>
        <v>0.21889181305766908</v>
      </c>
      <c r="M1137" s="16">
        <f t="shared" si="302"/>
        <v>0.21653060439594096</v>
      </c>
      <c r="N1137" s="16">
        <f t="shared" si="302"/>
        <v>0.21141478192578178</v>
      </c>
      <c r="O1137" s="16">
        <f t="shared" si="302"/>
        <v>0.20782557372473948</v>
      </c>
      <c r="P1137" s="16">
        <f t="shared" si="302"/>
        <v>0.20622918646284358</v>
      </c>
      <c r="Q1137" s="16">
        <f t="shared" si="302"/>
        <v>0.20348958321870816</v>
      </c>
      <c r="R1137" s="16">
        <f t="shared" si="302"/>
        <v>0.20138574632368933</v>
      </c>
      <c r="S1137" s="27">
        <v>0.19715491092351947</v>
      </c>
      <c r="T1137" s="16">
        <v>0.19174581848571504</v>
      </c>
      <c r="U1137" s="16">
        <v>0.17785750968577252</v>
      </c>
      <c r="V1137" s="16">
        <v>0.1618822571721642</v>
      </c>
      <c r="W1137" s="16">
        <v>0.16309494328924645</v>
      </c>
      <c r="X1137" s="16">
        <v>0.18101266618294359</v>
      </c>
      <c r="Y1137" s="16">
        <v>0.1775651417022128</v>
      </c>
      <c r="Z1137" s="16">
        <v>0.18486426651980464</v>
      </c>
      <c r="AA1137" s="16">
        <v>0.17482535757173839</v>
      </c>
      <c r="AB1137" s="16">
        <v>0.19411156471794372</v>
      </c>
      <c r="AC1137" s="16">
        <v>0.18613900413877438</v>
      </c>
      <c r="AD1137" s="16">
        <v>0.16969305254976758</v>
      </c>
      <c r="AE1137" s="64">
        <f t="shared" si="292"/>
        <v>0.17291946054469823</v>
      </c>
      <c r="AF1137" s="16">
        <v>0</v>
      </c>
      <c r="AG1137" s="16">
        <v>0</v>
      </c>
      <c r="AH1137" s="16">
        <v>0</v>
      </c>
      <c r="AI1137" s="16">
        <v>0</v>
      </c>
      <c r="AJ1137" s="16">
        <v>0</v>
      </c>
      <c r="AK1137" s="16">
        <v>0</v>
      </c>
      <c r="AL1137" s="16">
        <v>0</v>
      </c>
      <c r="AM1137" s="16">
        <v>0</v>
      </c>
      <c r="AN1137" s="16">
        <v>0</v>
      </c>
      <c r="AO1137" s="16">
        <v>0</v>
      </c>
      <c r="AP1137" s="16">
        <v>0</v>
      </c>
      <c r="AQ1137" s="16">
        <v>0</v>
      </c>
      <c r="AR1137" s="16">
        <v>0</v>
      </c>
      <c r="AS1137" s="16">
        <v>0</v>
      </c>
      <c r="AT1137" s="16">
        <v>0</v>
      </c>
      <c r="AU1137" s="16">
        <v>0</v>
      </c>
      <c r="AV1137" s="16">
        <v>0</v>
      </c>
      <c r="AW1137" s="16">
        <v>0</v>
      </c>
      <c r="AX1137" s="16">
        <v>0</v>
      </c>
      <c r="AY1137" s="16">
        <v>0</v>
      </c>
      <c r="AZ1137" s="16">
        <v>0</v>
      </c>
      <c r="BA1137" s="16">
        <v>0</v>
      </c>
      <c r="BB1137" s="16">
        <v>0</v>
      </c>
      <c r="BC1137" s="16">
        <v>0</v>
      </c>
      <c r="BD1137" s="16">
        <v>0</v>
      </c>
      <c r="BE1137" s="16">
        <v>0</v>
      </c>
      <c r="BF1137" s="16">
        <v>0</v>
      </c>
      <c r="BG1137" s="16">
        <v>0</v>
      </c>
    </row>
    <row r="1138" spans="1:59" ht="12" customHeight="1" x14ac:dyDescent="0.2">
      <c r="A1138" t="s">
        <v>114</v>
      </c>
      <c r="B1138" t="str">
        <f t="shared" si="288"/>
        <v>AFR</v>
      </c>
      <c r="C1138" t="str">
        <f t="shared" si="289"/>
        <v>NB</v>
      </c>
      <c r="D1138" s="16">
        <f t="shared" ref="D1138:R1138" si="303">D$1125*E1138/E$1125</f>
        <v>0.24525996342912268</v>
      </c>
      <c r="E1138" s="16">
        <f t="shared" si="303"/>
        <v>0.24422066955384591</v>
      </c>
      <c r="F1138" s="16">
        <f t="shared" si="303"/>
        <v>0.24520216763781708</v>
      </c>
      <c r="G1138" s="16">
        <f t="shared" si="303"/>
        <v>0.24518367705289038</v>
      </c>
      <c r="H1138" s="16">
        <f t="shared" si="303"/>
        <v>0.24516518646796362</v>
      </c>
      <c r="I1138" s="16">
        <f t="shared" si="303"/>
        <v>0.24335032244128299</v>
      </c>
      <c r="J1138" s="16">
        <f t="shared" si="303"/>
        <v>0.22992587700970127</v>
      </c>
      <c r="K1138" s="16">
        <f t="shared" si="303"/>
        <v>0.22225445705543292</v>
      </c>
      <c r="L1138" s="16">
        <f t="shared" si="303"/>
        <v>0.21462118477330314</v>
      </c>
      <c r="M1138" s="16">
        <f t="shared" si="303"/>
        <v>0.2123060438212587</v>
      </c>
      <c r="N1138" s="16">
        <f t="shared" si="303"/>
        <v>0.20729003219296555</v>
      </c>
      <c r="O1138" s="16">
        <f t="shared" si="303"/>
        <v>0.20377085024757774</v>
      </c>
      <c r="P1138" s="16">
        <f t="shared" si="303"/>
        <v>0.2022056088586052</v>
      </c>
      <c r="Q1138" s="16">
        <f t="shared" si="303"/>
        <v>0.19951945588718176</v>
      </c>
      <c r="R1138" s="16">
        <f t="shared" si="303"/>
        <v>0.1974566653210505</v>
      </c>
      <c r="S1138" s="27">
        <v>0.19330837446685553</v>
      </c>
      <c r="T1138" s="16">
        <v>0.18363838753892367</v>
      </c>
      <c r="U1138" s="16">
        <v>0.16549835360070256</v>
      </c>
      <c r="V1138" s="16">
        <v>0.14922130240760981</v>
      </c>
      <c r="W1138" s="16">
        <v>0.15293049518919585</v>
      </c>
      <c r="X1138" s="16">
        <v>0.1484237924897171</v>
      </c>
      <c r="Y1138" s="16">
        <v>0.15643169535112084</v>
      </c>
      <c r="Z1138" s="16">
        <v>0.15485876178765273</v>
      </c>
      <c r="AA1138" s="16">
        <v>0.15531933200360457</v>
      </c>
      <c r="AB1138" s="16">
        <v>0.14244017438022147</v>
      </c>
      <c r="AC1138" s="16">
        <v>0.14327651837625036</v>
      </c>
      <c r="AD1138" s="16">
        <v>0.13753627533672419</v>
      </c>
      <c r="AE1138" s="64">
        <f t="shared" si="292"/>
        <v>0.14015128008601554</v>
      </c>
      <c r="AF1138" s="16">
        <v>0</v>
      </c>
      <c r="AG1138" s="16">
        <v>0</v>
      </c>
      <c r="AH1138" s="16">
        <v>0</v>
      </c>
      <c r="AI1138" s="16">
        <v>0</v>
      </c>
      <c r="AJ1138" s="16">
        <v>0</v>
      </c>
      <c r="AK1138" s="16">
        <v>0</v>
      </c>
      <c r="AL1138" s="16">
        <v>0</v>
      </c>
      <c r="AM1138" s="16">
        <v>0</v>
      </c>
      <c r="AN1138" s="16">
        <v>0</v>
      </c>
      <c r="AO1138" s="16">
        <v>0</v>
      </c>
      <c r="AP1138" s="16">
        <v>0</v>
      </c>
      <c r="AQ1138" s="16">
        <v>0</v>
      </c>
      <c r="AR1138" s="16">
        <v>0</v>
      </c>
      <c r="AS1138" s="16">
        <v>0</v>
      </c>
      <c r="AT1138" s="16">
        <v>0</v>
      </c>
      <c r="AU1138" s="16">
        <v>0</v>
      </c>
      <c r="AV1138" s="16">
        <v>0</v>
      </c>
      <c r="AW1138" s="16">
        <v>0</v>
      </c>
      <c r="AX1138" s="16">
        <v>0</v>
      </c>
      <c r="AY1138" s="16">
        <v>0</v>
      </c>
      <c r="AZ1138" s="16">
        <v>0</v>
      </c>
      <c r="BA1138" s="16">
        <v>0</v>
      </c>
      <c r="BB1138" s="16">
        <v>0</v>
      </c>
      <c r="BC1138" s="16">
        <v>0</v>
      </c>
      <c r="BD1138" s="16">
        <v>0</v>
      </c>
      <c r="BE1138" s="16">
        <v>0</v>
      </c>
      <c r="BF1138" s="16">
        <v>0</v>
      </c>
      <c r="BG1138" s="16">
        <v>0</v>
      </c>
    </row>
    <row r="1139" spans="1:59" ht="12" customHeight="1" x14ac:dyDescent="0.2">
      <c r="A1139" t="s">
        <v>115</v>
      </c>
      <c r="B1139" t="str">
        <f t="shared" si="288"/>
        <v>BRZ</v>
      </c>
      <c r="C1139" t="str">
        <f t="shared" si="289"/>
        <v>NB</v>
      </c>
      <c r="D1139" s="16">
        <f t="shared" ref="D1139:R1139" si="304">D$1125*E1139/E$1125</f>
        <v>0.19082175522505024</v>
      </c>
      <c r="E1139" s="16">
        <f t="shared" si="304"/>
        <v>0.19001314431806757</v>
      </c>
      <c r="F1139" s="16">
        <f t="shared" si="304"/>
        <v>0.19077678785986205</v>
      </c>
      <c r="G1139" s="16">
        <f t="shared" si="304"/>
        <v>0.19076240146828996</v>
      </c>
      <c r="H1139" s="16">
        <f t="shared" si="304"/>
        <v>0.19074801507671785</v>
      </c>
      <c r="I1139" s="16">
        <f t="shared" si="304"/>
        <v>0.18933598053906253</v>
      </c>
      <c r="J1139" s="16">
        <f t="shared" si="304"/>
        <v>0.17889124180404423</v>
      </c>
      <c r="K1139" s="16">
        <f t="shared" si="304"/>
        <v>0.17292257981667911</v>
      </c>
      <c r="L1139" s="16">
        <f t="shared" si="304"/>
        <v>0.16698359819643732</v>
      </c>
      <c r="M1139" s="16">
        <f t="shared" si="304"/>
        <v>0.1651823288254167</v>
      </c>
      <c r="N1139" s="16">
        <f t="shared" si="304"/>
        <v>0.16127967741114793</v>
      </c>
      <c r="O1139" s="16">
        <f t="shared" si="304"/>
        <v>0.15854161749143636</v>
      </c>
      <c r="P1139" s="16">
        <f t="shared" si="304"/>
        <v>0.15732379903864613</v>
      </c>
      <c r="Q1139" s="16">
        <f t="shared" si="304"/>
        <v>0.15523386794005434</v>
      </c>
      <c r="R1139" s="16">
        <f t="shared" si="304"/>
        <v>0.15362893694770099</v>
      </c>
      <c r="S1139" s="27">
        <v>0.15040140591934273</v>
      </c>
      <c r="T1139" s="16">
        <v>0.14189644401417811</v>
      </c>
      <c r="U1139" s="16">
        <v>0.14911744403738578</v>
      </c>
      <c r="V1139" s="16">
        <v>0.1414740201147654</v>
      </c>
      <c r="W1139" s="16">
        <v>0.14329786136549896</v>
      </c>
      <c r="X1139" s="16">
        <v>0.13729053810189476</v>
      </c>
      <c r="Y1139" s="16">
        <v>0.13576873567547981</v>
      </c>
      <c r="Z1139" s="16">
        <v>0.13523726522942123</v>
      </c>
      <c r="AA1139" s="16">
        <v>0.13064872865076499</v>
      </c>
      <c r="AB1139" s="16">
        <v>0.13195020227955723</v>
      </c>
      <c r="AC1139" s="16">
        <v>0.12650484397160094</v>
      </c>
      <c r="AD1139" s="16">
        <v>0.11565903011514328</v>
      </c>
      <c r="AE1139" s="64">
        <f t="shared" si="292"/>
        <v>0.11785807841937473</v>
      </c>
      <c r="AF1139" s="16">
        <v>0</v>
      </c>
      <c r="AG1139" s="16">
        <v>0</v>
      </c>
      <c r="AH1139" s="16">
        <v>0</v>
      </c>
      <c r="AI1139" s="16">
        <v>0</v>
      </c>
      <c r="AJ1139" s="16">
        <v>0</v>
      </c>
      <c r="AK1139" s="16">
        <v>0</v>
      </c>
      <c r="AL1139" s="16">
        <v>0</v>
      </c>
      <c r="AM1139" s="16">
        <v>0</v>
      </c>
      <c r="AN1139" s="16">
        <v>0</v>
      </c>
      <c r="AO1139" s="16">
        <v>0</v>
      </c>
      <c r="AP1139" s="16">
        <v>0</v>
      </c>
      <c r="AQ1139" s="16">
        <v>0</v>
      </c>
      <c r="AR1139" s="16">
        <v>0</v>
      </c>
      <c r="AS1139" s="16">
        <v>0</v>
      </c>
      <c r="AT1139" s="16">
        <v>0</v>
      </c>
      <c r="AU1139" s="16">
        <v>0</v>
      </c>
      <c r="AV1139" s="16">
        <v>0</v>
      </c>
      <c r="AW1139" s="16">
        <v>0</v>
      </c>
      <c r="AX1139" s="16">
        <v>0</v>
      </c>
      <c r="AY1139" s="16">
        <v>0</v>
      </c>
      <c r="AZ1139" s="16">
        <v>0</v>
      </c>
      <c r="BA1139" s="16">
        <v>0</v>
      </c>
      <c r="BB1139" s="16">
        <v>0</v>
      </c>
      <c r="BC1139" s="16">
        <v>0</v>
      </c>
      <c r="BD1139" s="16">
        <v>0</v>
      </c>
      <c r="BE1139" s="16">
        <v>0</v>
      </c>
      <c r="BF1139" s="16">
        <v>0</v>
      </c>
      <c r="BG1139" s="16">
        <v>0</v>
      </c>
    </row>
    <row r="1140" spans="1:59" ht="12" customHeight="1" x14ac:dyDescent="0.2">
      <c r="A1140" t="s">
        <v>116</v>
      </c>
      <c r="B1140" t="str">
        <f t="shared" si="288"/>
        <v>CSA</v>
      </c>
      <c r="C1140" t="str">
        <f t="shared" si="289"/>
        <v>NB</v>
      </c>
      <c r="D1140" s="16">
        <f t="shared" ref="D1140:R1140" si="305">D$1125*E1140/E$1125</f>
        <v>0.23171111151130369</v>
      </c>
      <c r="E1140" s="16">
        <f t="shared" si="305"/>
        <v>0.23072923116010297</v>
      </c>
      <c r="F1140" s="16">
        <f t="shared" si="305"/>
        <v>0.23165650852247155</v>
      </c>
      <c r="G1140" s="16">
        <f t="shared" si="305"/>
        <v>0.23163903940959246</v>
      </c>
      <c r="H1140" s="16">
        <f t="shared" si="305"/>
        <v>0.23162157029671335</v>
      </c>
      <c r="I1140" s="16">
        <f t="shared" si="305"/>
        <v>0.22990696447607936</v>
      </c>
      <c r="J1140" s="16">
        <f t="shared" si="305"/>
        <v>0.21722412326186885</v>
      </c>
      <c r="K1140" s="16">
        <f t="shared" si="305"/>
        <v>0.20997649417630387</v>
      </c>
      <c r="L1140" s="16">
        <f t="shared" si="305"/>
        <v>0.2027649053779069</v>
      </c>
      <c r="M1140" s="16">
        <f t="shared" si="305"/>
        <v>0.20057765933985314</v>
      </c>
      <c r="N1140" s="16">
        <f t="shared" si="305"/>
        <v>0.19583874633711465</v>
      </c>
      <c r="O1140" s="16">
        <f t="shared" si="305"/>
        <v>0.19251397392511854</v>
      </c>
      <c r="P1140" s="16">
        <f t="shared" si="305"/>
        <v>0.1910352008838466</v>
      </c>
      <c r="Q1140" s="16">
        <f t="shared" si="305"/>
        <v>0.18849743857647433</v>
      </c>
      <c r="R1140" s="16">
        <f t="shared" si="305"/>
        <v>0.18654860237748566</v>
      </c>
      <c r="S1140" s="27">
        <v>0.1826294748066481</v>
      </c>
      <c r="T1140" s="16">
        <v>0.17070638996468099</v>
      </c>
      <c r="U1140" s="16">
        <v>0.1460164691901738</v>
      </c>
      <c r="V1140" s="16">
        <v>0.13572057097825893</v>
      </c>
      <c r="W1140" s="16">
        <v>0.1408048777185007</v>
      </c>
      <c r="X1140" s="16">
        <v>0.13751097052181022</v>
      </c>
      <c r="Y1140" s="16">
        <v>0.13101030525766116</v>
      </c>
      <c r="Z1140" s="16">
        <v>0.13585305128985431</v>
      </c>
      <c r="AA1140" s="16">
        <v>0.12965457383904019</v>
      </c>
      <c r="AB1140" s="16">
        <v>0.12380092857476613</v>
      </c>
      <c r="AC1140" s="16">
        <v>0.13850916234938054</v>
      </c>
      <c r="AD1140" s="16">
        <v>0.12483126813498432</v>
      </c>
      <c r="AE1140" s="64">
        <f t="shared" si="292"/>
        <v>0.12720471003773948</v>
      </c>
      <c r="AF1140" s="16">
        <v>0</v>
      </c>
      <c r="AG1140" s="16">
        <v>0</v>
      </c>
      <c r="AH1140" s="16">
        <v>0</v>
      </c>
      <c r="AI1140" s="16">
        <v>0</v>
      </c>
      <c r="AJ1140" s="16">
        <v>0</v>
      </c>
      <c r="AK1140" s="16">
        <v>0</v>
      </c>
      <c r="AL1140" s="16">
        <v>0</v>
      </c>
      <c r="AM1140" s="16">
        <v>0</v>
      </c>
      <c r="AN1140" s="16">
        <v>0</v>
      </c>
      <c r="AO1140" s="16">
        <v>0</v>
      </c>
      <c r="AP1140" s="16">
        <v>0</v>
      </c>
      <c r="AQ1140" s="16">
        <v>0</v>
      </c>
      <c r="AR1140" s="16">
        <v>0</v>
      </c>
      <c r="AS1140" s="16">
        <v>0</v>
      </c>
      <c r="AT1140" s="16">
        <v>0</v>
      </c>
      <c r="AU1140" s="16">
        <v>0</v>
      </c>
      <c r="AV1140" s="16">
        <v>0</v>
      </c>
      <c r="AW1140" s="16">
        <v>0</v>
      </c>
      <c r="AX1140" s="16">
        <v>0</v>
      </c>
      <c r="AY1140" s="16">
        <v>0</v>
      </c>
      <c r="AZ1140" s="16">
        <v>0</v>
      </c>
      <c r="BA1140" s="16">
        <v>0</v>
      </c>
      <c r="BB1140" s="16">
        <v>0</v>
      </c>
      <c r="BC1140" s="16">
        <v>0</v>
      </c>
      <c r="BD1140" s="16">
        <v>0</v>
      </c>
      <c r="BE1140" s="16">
        <v>0</v>
      </c>
      <c r="BF1140" s="16">
        <v>0</v>
      </c>
      <c r="BG1140" s="16">
        <v>0</v>
      </c>
    </row>
    <row r="1141" spans="1:59" ht="12" customHeight="1" x14ac:dyDescent="0.2">
      <c r="A1141" t="s">
        <v>117</v>
      </c>
      <c r="B1141" t="str">
        <f t="shared" si="288"/>
        <v>USA</v>
      </c>
      <c r="C1141" t="str">
        <f t="shared" si="289"/>
        <v>WB</v>
      </c>
      <c r="D1141" s="40">
        <v>0.15067615334251935</v>
      </c>
      <c r="E1141" s="40">
        <v>0.15019897622844683</v>
      </c>
      <c r="F1141" s="40">
        <v>0.15024760662332065</v>
      </c>
      <c r="G1141" s="40">
        <v>0.14999266058199318</v>
      </c>
      <c r="H1141" s="40">
        <v>0.14660356375233258</v>
      </c>
      <c r="I1141" s="40">
        <v>0.14399621434306484</v>
      </c>
      <c r="J1141" s="40">
        <v>0.1614323707838502</v>
      </c>
      <c r="K1141" s="40">
        <v>0.13526363029466715</v>
      </c>
      <c r="L1141" s="40">
        <v>0.1206416902449676</v>
      </c>
      <c r="M1141" s="40">
        <v>0.1229052183692782</v>
      </c>
      <c r="N1141" s="40">
        <v>0.11639627636090981</v>
      </c>
      <c r="O1141" s="40">
        <v>0.11968426393826977</v>
      </c>
      <c r="P1141" s="40">
        <v>0.11855838028834548</v>
      </c>
      <c r="Q1141" s="40">
        <v>0.11914651117158841</v>
      </c>
      <c r="R1141" s="40">
        <v>0.11715527755095083</v>
      </c>
      <c r="S1141" s="45">
        <v>0.13100000000000001</v>
      </c>
      <c r="T1141" s="40">
        <v>0.13</v>
      </c>
      <c r="U1141" s="40">
        <v>0.127</v>
      </c>
      <c r="V1141" s="40">
        <v>0.13</v>
      </c>
      <c r="W1141" s="40">
        <v>0.11899999999999999</v>
      </c>
      <c r="X1141" s="40">
        <v>0.122</v>
      </c>
      <c r="Y1141" s="40">
        <v>0.123</v>
      </c>
      <c r="Z1141" s="40">
        <v>0.11700000000000001</v>
      </c>
      <c r="AA1141" s="40">
        <v>0.11600000000000001</v>
      </c>
      <c r="AB1141" s="40">
        <v>0.122</v>
      </c>
      <c r="AC1141" s="40">
        <v>0.126</v>
      </c>
      <c r="AD1141" s="40">
        <v>0.13300000000000001</v>
      </c>
      <c r="AE1141" s="46">
        <v>0.12617106034147549</v>
      </c>
      <c r="AF1141" s="16">
        <v>0</v>
      </c>
      <c r="AG1141" s="16">
        <v>0</v>
      </c>
      <c r="AH1141" s="16">
        <v>0</v>
      </c>
      <c r="AI1141" s="16">
        <v>0</v>
      </c>
      <c r="AJ1141" s="16">
        <v>0</v>
      </c>
      <c r="AK1141" s="16">
        <v>0</v>
      </c>
      <c r="AL1141" s="16">
        <v>0</v>
      </c>
      <c r="AM1141" s="16">
        <v>0</v>
      </c>
      <c r="AN1141" s="16">
        <v>0</v>
      </c>
      <c r="AO1141" s="16">
        <v>0</v>
      </c>
      <c r="AP1141" s="16">
        <v>0</v>
      </c>
      <c r="AQ1141" s="16">
        <v>0</v>
      </c>
      <c r="AR1141" s="16">
        <v>0</v>
      </c>
      <c r="AS1141" s="16">
        <v>0</v>
      </c>
      <c r="AT1141" s="16">
        <v>0</v>
      </c>
      <c r="AU1141" s="16">
        <v>0</v>
      </c>
      <c r="AV1141" s="16">
        <v>0</v>
      </c>
      <c r="AW1141" s="16">
        <v>0</v>
      </c>
      <c r="AX1141" s="16">
        <v>0</v>
      </c>
      <c r="AY1141" s="16">
        <v>0</v>
      </c>
      <c r="AZ1141" s="16">
        <v>0</v>
      </c>
      <c r="BA1141" s="16">
        <v>0</v>
      </c>
      <c r="BB1141" s="16">
        <v>0</v>
      </c>
      <c r="BC1141" s="16">
        <v>0</v>
      </c>
      <c r="BD1141" s="16">
        <v>0</v>
      </c>
      <c r="BE1141" s="16">
        <v>0</v>
      </c>
      <c r="BF1141" s="16">
        <v>0</v>
      </c>
      <c r="BG1141" s="16">
        <v>0</v>
      </c>
    </row>
    <row r="1142" spans="1:59" ht="12" customHeight="1" x14ac:dyDescent="0.2">
      <c r="A1142" t="s">
        <v>118</v>
      </c>
      <c r="B1142" t="str">
        <f t="shared" si="288"/>
        <v>CAN</v>
      </c>
      <c r="C1142" t="str">
        <f t="shared" si="289"/>
        <v>WB</v>
      </c>
      <c r="D1142" s="16">
        <f t="shared" ref="D1142:R1142" si="306">E1142*(D$1141/E$1141)</f>
        <v>0.1522217907176959</v>
      </c>
      <c r="E1142" s="16">
        <f t="shared" si="306"/>
        <v>0.15173971871637193</v>
      </c>
      <c r="F1142" s="16">
        <f t="shared" si="306"/>
        <v>0.15178884796228634</v>
      </c>
      <c r="G1142" s="16">
        <f t="shared" si="306"/>
        <v>0.15153128668210794</v>
      </c>
      <c r="H1142" s="16">
        <f t="shared" si="306"/>
        <v>0.14810742446580977</v>
      </c>
      <c r="I1142" s="16">
        <f t="shared" si="306"/>
        <v>0.14547332884217626</v>
      </c>
      <c r="J1142" s="16">
        <f t="shared" si="306"/>
        <v>0.16308834553706592</v>
      </c>
      <c r="K1142" s="16">
        <f t="shared" si="306"/>
        <v>0.1366511658658085</v>
      </c>
      <c r="L1142" s="16">
        <f t="shared" si="306"/>
        <v>0.12187923381978404</v>
      </c>
      <c r="M1142" s="16">
        <f t="shared" si="306"/>
        <v>0.12416598123653798</v>
      </c>
      <c r="N1142" s="16">
        <f t="shared" si="306"/>
        <v>0.11759027044082125</v>
      </c>
      <c r="O1142" s="16">
        <f t="shared" si="306"/>
        <v>0.12091198622517314</v>
      </c>
      <c r="P1142" s="16">
        <f t="shared" si="306"/>
        <v>0.11977455325035026</v>
      </c>
      <c r="Q1142" s="16">
        <f t="shared" si="306"/>
        <v>0.1203687171856354</v>
      </c>
      <c r="R1142" s="16">
        <f t="shared" si="306"/>
        <v>0.11835705747209266</v>
      </c>
      <c r="S1142" s="27">
        <v>0.1323437992121278</v>
      </c>
      <c r="T1142" s="16">
        <v>0.11737651073664529</v>
      </c>
      <c r="U1142" s="16">
        <v>0.13054783651079796</v>
      </c>
      <c r="V1142" s="16">
        <v>0.13608204694242629</v>
      </c>
      <c r="W1142" s="16">
        <v>0.11402004189287947</v>
      </c>
      <c r="X1142" s="16">
        <v>0.11742698971968506</v>
      </c>
      <c r="Y1142" s="16">
        <v>0.12452353287139349</v>
      </c>
      <c r="Z1142" s="16">
        <v>0.11091652575649263</v>
      </c>
      <c r="AA1142" s="16">
        <v>0.11492765416301613</v>
      </c>
      <c r="AB1142" s="16">
        <v>0.12596249624954561</v>
      </c>
      <c r="AC1142" s="16">
        <v>0.12324490282364636</v>
      </c>
      <c r="AD1142" s="16">
        <v>0.12851598236926118</v>
      </c>
      <c r="AE1142" s="64">
        <f>AD1142*AE1141/AD1141</f>
        <v>0.12191727643876731</v>
      </c>
      <c r="AF1142" s="16">
        <v>0</v>
      </c>
      <c r="AG1142" s="16">
        <v>0</v>
      </c>
      <c r="AH1142" s="16">
        <v>0</v>
      </c>
      <c r="AI1142" s="16">
        <v>0</v>
      </c>
      <c r="AJ1142" s="16">
        <v>0</v>
      </c>
      <c r="AK1142" s="16">
        <v>0</v>
      </c>
      <c r="AL1142" s="16">
        <v>0</v>
      </c>
      <c r="AM1142" s="16">
        <v>0</v>
      </c>
      <c r="AN1142" s="16">
        <v>0</v>
      </c>
      <c r="AO1142" s="16">
        <v>0</v>
      </c>
      <c r="AP1142" s="16">
        <v>0</v>
      </c>
      <c r="AQ1142" s="16">
        <v>0</v>
      </c>
      <c r="AR1142" s="16">
        <v>0</v>
      </c>
      <c r="AS1142" s="16">
        <v>0</v>
      </c>
      <c r="AT1142" s="16">
        <v>0</v>
      </c>
      <c r="AU1142" s="16">
        <v>0</v>
      </c>
      <c r="AV1142" s="16">
        <v>0</v>
      </c>
      <c r="AW1142" s="16">
        <v>0</v>
      </c>
      <c r="AX1142" s="16">
        <v>0</v>
      </c>
      <c r="AY1142" s="16">
        <v>0</v>
      </c>
      <c r="AZ1142" s="16">
        <v>0</v>
      </c>
      <c r="BA1142" s="16">
        <v>0</v>
      </c>
      <c r="BB1142" s="16">
        <v>0</v>
      </c>
      <c r="BC1142" s="16">
        <v>0</v>
      </c>
      <c r="BD1142" s="16">
        <v>0</v>
      </c>
      <c r="BE1142" s="16">
        <v>0</v>
      </c>
      <c r="BF1142" s="16">
        <v>0</v>
      </c>
      <c r="BG1142" s="16">
        <v>0</v>
      </c>
    </row>
    <row r="1143" spans="1:59" ht="12" customHeight="1" x14ac:dyDescent="0.2">
      <c r="A1143" t="s">
        <v>119</v>
      </c>
      <c r="B1143" t="str">
        <f t="shared" si="288"/>
        <v>MXC</v>
      </c>
      <c r="C1143" t="str">
        <f t="shared" si="289"/>
        <v>WB</v>
      </c>
      <c r="D1143" s="16">
        <f t="shared" ref="D1143:R1143" si="307">E1143*(D$1141/E$1141)</f>
        <v>0.173717566832399</v>
      </c>
      <c r="E1143" s="16">
        <f t="shared" si="307"/>
        <v>0.17316741974298963</v>
      </c>
      <c r="F1143" s="16">
        <f t="shared" si="307"/>
        <v>0.17322348670305049</v>
      </c>
      <c r="G1143" s="16">
        <f t="shared" si="307"/>
        <v>0.1729295542858067</v>
      </c>
      <c r="H1143" s="16">
        <f t="shared" si="307"/>
        <v>0.16902219640635718</v>
      </c>
      <c r="I1143" s="16">
        <f t="shared" si="307"/>
        <v>0.16601613084646566</v>
      </c>
      <c r="J1143" s="16">
        <f t="shared" si="307"/>
        <v>0.18611862619565869</v>
      </c>
      <c r="K1143" s="16">
        <f t="shared" si="307"/>
        <v>0.15594815911109361</v>
      </c>
      <c r="L1143" s="16">
        <f t="shared" si="307"/>
        <v>0.13909023042460236</v>
      </c>
      <c r="M1143" s="16">
        <f t="shared" si="307"/>
        <v>0.14169989751185591</v>
      </c>
      <c r="N1143" s="16">
        <f t="shared" si="307"/>
        <v>0.13419560739518044</v>
      </c>
      <c r="O1143" s="16">
        <f t="shared" si="307"/>
        <v>0.13798639438464988</v>
      </c>
      <c r="P1143" s="16">
        <f t="shared" si="307"/>
        <v>0.13668834048652162</v>
      </c>
      <c r="Q1143" s="16">
        <f t="shared" si="307"/>
        <v>0.13736640840735378</v>
      </c>
      <c r="R1143" s="16">
        <f t="shared" si="307"/>
        <v>0.13507067512840754</v>
      </c>
      <c r="S1143" s="27">
        <v>0.15103253401560299</v>
      </c>
      <c r="T1143" s="16">
        <v>0.13477080220156942</v>
      </c>
      <c r="U1143" s="16">
        <v>0.13159198083916793</v>
      </c>
      <c r="V1143" s="16">
        <v>0.12887739939314144</v>
      </c>
      <c r="W1143" s="16">
        <v>0.1203478927676566</v>
      </c>
      <c r="X1143" s="16">
        <v>0.11873101376855701</v>
      </c>
      <c r="Y1143" s="16">
        <v>0.1147458268663326</v>
      </c>
      <c r="Z1143" s="16">
        <v>0.10644031153613891</v>
      </c>
      <c r="AA1143" s="16">
        <v>0.10779059746141978</v>
      </c>
      <c r="AB1143" s="16">
        <v>0.11152834050814038</v>
      </c>
      <c r="AC1143" s="16">
        <v>0.10707862015100145</v>
      </c>
      <c r="AD1143" s="16">
        <v>0.11140705935436304</v>
      </c>
      <c r="AE1143" s="64">
        <f t="shared" ref="AE1143:AE1156" si="308">AD1143*AE1142/AD1142</f>
        <v>0.10568681810726076</v>
      </c>
      <c r="AF1143" s="16">
        <v>0</v>
      </c>
      <c r="AG1143" s="16">
        <v>0</v>
      </c>
      <c r="AH1143" s="16">
        <v>0</v>
      </c>
      <c r="AI1143" s="16">
        <v>0</v>
      </c>
      <c r="AJ1143" s="16">
        <v>0</v>
      </c>
      <c r="AK1143" s="16">
        <v>0</v>
      </c>
      <c r="AL1143" s="16">
        <v>0</v>
      </c>
      <c r="AM1143" s="16">
        <v>0</v>
      </c>
      <c r="AN1143" s="16">
        <v>0</v>
      </c>
      <c r="AO1143" s="16">
        <v>0</v>
      </c>
      <c r="AP1143" s="16">
        <v>0</v>
      </c>
      <c r="AQ1143" s="16">
        <v>0</v>
      </c>
      <c r="AR1143" s="16">
        <v>0</v>
      </c>
      <c r="AS1143" s="16">
        <v>0</v>
      </c>
      <c r="AT1143" s="16">
        <v>0</v>
      </c>
      <c r="AU1143" s="16">
        <v>0</v>
      </c>
      <c r="AV1143" s="16">
        <v>0</v>
      </c>
      <c r="AW1143" s="16">
        <v>0</v>
      </c>
      <c r="AX1143" s="16">
        <v>0</v>
      </c>
      <c r="AY1143" s="16">
        <v>0</v>
      </c>
      <c r="AZ1143" s="16">
        <v>0</v>
      </c>
      <c r="BA1143" s="16">
        <v>0</v>
      </c>
      <c r="BB1143" s="16">
        <v>0</v>
      </c>
      <c r="BC1143" s="16">
        <v>0</v>
      </c>
      <c r="BD1143" s="16">
        <v>0</v>
      </c>
      <c r="BE1143" s="16">
        <v>0</v>
      </c>
      <c r="BF1143" s="16">
        <v>0</v>
      </c>
      <c r="BG1143" s="16">
        <v>0</v>
      </c>
    </row>
    <row r="1144" spans="1:59" ht="12" customHeight="1" x14ac:dyDescent="0.2">
      <c r="A1144" t="s">
        <v>120</v>
      </c>
      <c r="B1144" t="str">
        <f t="shared" si="288"/>
        <v>EUR</v>
      </c>
      <c r="C1144" t="str">
        <f t="shared" si="289"/>
        <v>WB</v>
      </c>
      <c r="D1144" s="16">
        <f t="shared" ref="D1144:R1144" si="309">E1144*(D$1141/E$1141)</f>
        <v>0.13222297020113633</v>
      </c>
      <c r="E1144" s="16">
        <f t="shared" si="309"/>
        <v>0.13180423257122584</v>
      </c>
      <c r="F1144" s="16">
        <f t="shared" si="309"/>
        <v>0.13184690724209863</v>
      </c>
      <c r="G1144" s="16">
        <f t="shared" si="309"/>
        <v>0.13162318423034433</v>
      </c>
      <c r="H1144" s="16">
        <f t="shared" si="309"/>
        <v>0.12864914726977555</v>
      </c>
      <c r="I1144" s="16">
        <f t="shared" si="309"/>
        <v>0.1263611177734168</v>
      </c>
      <c r="J1144" s="16">
        <f t="shared" si="309"/>
        <v>0.14166188264130869</v>
      </c>
      <c r="K1144" s="16">
        <f t="shared" si="309"/>
        <v>0.11869800602815314</v>
      </c>
      <c r="L1144" s="16">
        <f t="shared" si="309"/>
        <v>0.10586680281128254</v>
      </c>
      <c r="M1144" s="16">
        <f t="shared" si="309"/>
        <v>0.10785311852940287</v>
      </c>
      <c r="N1144" s="16">
        <f t="shared" si="309"/>
        <v>0.10214132123353603</v>
      </c>
      <c r="O1144" s="16">
        <f t="shared" si="309"/>
        <v>0.10502663170781326</v>
      </c>
      <c r="P1144" s="16">
        <f t="shared" si="309"/>
        <v>0.10403863409179051</v>
      </c>
      <c r="Q1144" s="16">
        <f t="shared" si="309"/>
        <v>0.10455473707507162</v>
      </c>
      <c r="R1144" s="16">
        <f t="shared" si="309"/>
        <v>0.10280736817930114</v>
      </c>
      <c r="S1144" s="27">
        <v>0.11495653898844907</v>
      </c>
      <c r="T1144" s="16">
        <v>0.10923940058463312</v>
      </c>
      <c r="U1144" s="16">
        <v>0.10413258981324608</v>
      </c>
      <c r="V1144" s="16">
        <v>0.10453487731205895</v>
      </c>
      <c r="W1144" s="16">
        <v>9.6557208973434561E-2</v>
      </c>
      <c r="X1144" s="16">
        <v>0.10152377150229014</v>
      </c>
      <c r="Y1144" s="16">
        <v>0.10274116948636706</v>
      </c>
      <c r="Z1144" s="16">
        <v>9.653541927278099E-2</v>
      </c>
      <c r="AA1144" s="16">
        <v>9.6003532167138722E-2</v>
      </c>
      <c r="AB1144" s="16">
        <v>9.7507698537644363E-2</v>
      </c>
      <c r="AC1144" s="16">
        <v>0.10892651083847568</v>
      </c>
      <c r="AD1144" s="16">
        <v>0.11360545239483946</v>
      </c>
      <c r="AE1144" s="64">
        <f t="shared" si="308"/>
        <v>0.10777233375360835</v>
      </c>
      <c r="AF1144" s="16">
        <v>0</v>
      </c>
      <c r="AG1144" s="16">
        <v>0</v>
      </c>
      <c r="AH1144" s="16">
        <v>0</v>
      </c>
      <c r="AI1144" s="16">
        <v>0</v>
      </c>
      <c r="AJ1144" s="16">
        <v>0</v>
      </c>
      <c r="AK1144" s="16">
        <v>0</v>
      </c>
      <c r="AL1144" s="16">
        <v>0</v>
      </c>
      <c r="AM1144" s="16">
        <v>0</v>
      </c>
      <c r="AN1144" s="16">
        <v>0</v>
      </c>
      <c r="AO1144" s="16">
        <v>0</v>
      </c>
      <c r="AP1144" s="16">
        <v>0</v>
      </c>
      <c r="AQ1144" s="16">
        <v>0</v>
      </c>
      <c r="AR1144" s="16">
        <v>0</v>
      </c>
      <c r="AS1144" s="16">
        <v>0</v>
      </c>
      <c r="AT1144" s="16">
        <v>0</v>
      </c>
      <c r="AU1144" s="16">
        <v>0</v>
      </c>
      <c r="AV1144" s="16">
        <v>0</v>
      </c>
      <c r="AW1144" s="16">
        <v>0</v>
      </c>
      <c r="AX1144" s="16">
        <v>0</v>
      </c>
      <c r="AY1144" s="16">
        <v>0</v>
      </c>
      <c r="AZ1144" s="16">
        <v>0</v>
      </c>
      <c r="BA1144" s="16">
        <v>0</v>
      </c>
      <c r="BB1144" s="16">
        <v>0</v>
      </c>
      <c r="BC1144" s="16">
        <v>0</v>
      </c>
      <c r="BD1144" s="16">
        <v>0</v>
      </c>
      <c r="BE1144" s="16">
        <v>0</v>
      </c>
      <c r="BF1144" s="16">
        <v>0</v>
      </c>
      <c r="BG1144" s="16">
        <v>0</v>
      </c>
    </row>
    <row r="1145" spans="1:59" ht="12" customHeight="1" x14ac:dyDescent="0.2">
      <c r="A1145" t="s">
        <v>121</v>
      </c>
      <c r="B1145" t="str">
        <f t="shared" si="288"/>
        <v>JPN</v>
      </c>
      <c r="C1145" t="str">
        <f t="shared" si="289"/>
        <v>WB</v>
      </c>
      <c r="D1145" s="16">
        <f t="shared" ref="D1145:R1145" si="310">E1145*(D$1141/E$1141)</f>
        <v>0.14296930688138482</v>
      </c>
      <c r="E1145" s="16">
        <f t="shared" si="310"/>
        <v>0.14251653662049604</v>
      </c>
      <c r="F1145" s="16">
        <f t="shared" si="310"/>
        <v>0.14256267964773853</v>
      </c>
      <c r="G1145" s="16">
        <f t="shared" si="310"/>
        <v>0.14232077369240206</v>
      </c>
      <c r="H1145" s="16">
        <f t="shared" si="310"/>
        <v>0.1391050237947456</v>
      </c>
      <c r="I1145" s="16">
        <f t="shared" si="310"/>
        <v>0.13663103617579433</v>
      </c>
      <c r="J1145" s="16">
        <f t="shared" si="310"/>
        <v>0.15317536084638586</v>
      </c>
      <c r="K1145" s="16">
        <f t="shared" si="310"/>
        <v>0.12834510996260806</v>
      </c>
      <c r="L1145" s="16">
        <f t="shared" si="310"/>
        <v>0.114471058974496</v>
      </c>
      <c r="M1145" s="16">
        <f t="shared" si="310"/>
        <v>0.11661881122234879</v>
      </c>
      <c r="N1145" s="16">
        <f t="shared" si="310"/>
        <v>0.11044279128273597</v>
      </c>
      <c r="O1145" s="16">
        <f t="shared" si="310"/>
        <v>0.11356260350611522</v>
      </c>
      <c r="P1145" s="16">
        <f t="shared" si="310"/>
        <v>0.11249430702065313</v>
      </c>
      <c r="Q1145" s="16">
        <f t="shared" si="310"/>
        <v>0.11305235594125197</v>
      </c>
      <c r="R1145" s="16">
        <f t="shared" si="310"/>
        <v>0.11116297076472498</v>
      </c>
      <c r="S1145" s="27">
        <v>0.1242995576007731</v>
      </c>
      <c r="T1145" s="16">
        <v>0.12425295374484285</v>
      </c>
      <c r="U1145" s="16">
        <v>0.12200792501651191</v>
      </c>
      <c r="V1145" s="16">
        <v>0.12421362863169065</v>
      </c>
      <c r="W1145" s="16">
        <v>0.11161603108305088</v>
      </c>
      <c r="X1145" s="16">
        <v>0.1126322741807412</v>
      </c>
      <c r="Y1145" s="16">
        <v>0.11373671751934041</v>
      </c>
      <c r="Z1145" s="16">
        <v>0.10994852828740606</v>
      </c>
      <c r="AA1145" s="16">
        <v>0.10759678064094531</v>
      </c>
      <c r="AB1145" s="16">
        <v>0.11463257449537725</v>
      </c>
      <c r="AC1145" s="16">
        <v>0.12435513941982984</v>
      </c>
      <c r="AD1145" s="16">
        <v>0.13368051580560433</v>
      </c>
      <c r="AE1145" s="64">
        <f t="shared" si="308"/>
        <v>0.12681663478337196</v>
      </c>
      <c r="AF1145" s="16">
        <v>0</v>
      </c>
      <c r="AG1145" s="16">
        <v>0</v>
      </c>
      <c r="AH1145" s="16">
        <v>0</v>
      </c>
      <c r="AI1145" s="16">
        <v>0</v>
      </c>
      <c r="AJ1145" s="16">
        <v>0</v>
      </c>
      <c r="AK1145" s="16">
        <v>0</v>
      </c>
      <c r="AL1145" s="16">
        <v>0</v>
      </c>
      <c r="AM1145" s="16">
        <v>0</v>
      </c>
      <c r="AN1145" s="16">
        <v>0</v>
      </c>
      <c r="AO1145" s="16">
        <v>0</v>
      </c>
      <c r="AP1145" s="16">
        <v>0</v>
      </c>
      <c r="AQ1145" s="16">
        <v>0</v>
      </c>
      <c r="AR1145" s="16">
        <v>0</v>
      </c>
      <c r="AS1145" s="16">
        <v>0</v>
      </c>
      <c r="AT1145" s="16">
        <v>0</v>
      </c>
      <c r="AU1145" s="16">
        <v>0</v>
      </c>
      <c r="AV1145" s="16">
        <v>0</v>
      </c>
      <c r="AW1145" s="16">
        <v>0</v>
      </c>
      <c r="AX1145" s="16">
        <v>0</v>
      </c>
      <c r="AY1145" s="16">
        <v>0</v>
      </c>
      <c r="AZ1145" s="16">
        <v>0</v>
      </c>
      <c r="BA1145" s="16">
        <v>0</v>
      </c>
      <c r="BB1145" s="16">
        <v>0</v>
      </c>
      <c r="BC1145" s="16">
        <v>0</v>
      </c>
      <c r="BD1145" s="16">
        <v>0</v>
      </c>
      <c r="BE1145" s="16">
        <v>0</v>
      </c>
      <c r="BF1145" s="16">
        <v>0</v>
      </c>
      <c r="BG1145" s="16">
        <v>0</v>
      </c>
    </row>
    <row r="1146" spans="1:59" ht="12" customHeight="1" x14ac:dyDescent="0.2">
      <c r="A1146" t="s">
        <v>122</v>
      </c>
      <c r="B1146" t="str">
        <f t="shared" si="288"/>
        <v>ANZ</v>
      </c>
      <c r="C1146" t="str">
        <f t="shared" si="289"/>
        <v>WB</v>
      </c>
      <c r="D1146" s="16">
        <f t="shared" ref="D1146:R1146" si="311">E1146*(D$1141/E$1141)</f>
        <v>0.132781816226893</v>
      </c>
      <c r="E1146" s="16">
        <f t="shared" si="311"/>
        <v>0.13236130878452138</v>
      </c>
      <c r="F1146" s="16">
        <f t="shared" si="311"/>
        <v>0.13240416382171163</v>
      </c>
      <c r="G1146" s="16">
        <f t="shared" si="311"/>
        <v>0.13217949523510147</v>
      </c>
      <c r="H1146" s="16">
        <f t="shared" si="311"/>
        <v>0.12919288838041112</v>
      </c>
      <c r="I1146" s="16">
        <f t="shared" si="311"/>
        <v>0.1268951884297515</v>
      </c>
      <c r="J1146" s="16">
        <f t="shared" si="311"/>
        <v>0.1422606226332698</v>
      </c>
      <c r="K1146" s="16">
        <f t="shared" si="311"/>
        <v>0.11919968821569717</v>
      </c>
      <c r="L1146" s="16">
        <f t="shared" si="311"/>
        <v>0.106314253370899</v>
      </c>
      <c r="M1146" s="16">
        <f t="shared" si="311"/>
        <v>0.10830896433716178</v>
      </c>
      <c r="N1146" s="16">
        <f t="shared" si="311"/>
        <v>0.10257302588629089</v>
      </c>
      <c r="O1146" s="16">
        <f t="shared" si="311"/>
        <v>0.10547053124840924</v>
      </c>
      <c r="P1146" s="16">
        <f t="shared" si="311"/>
        <v>0.10447835781830267</v>
      </c>
      <c r="Q1146" s="16">
        <f t="shared" si="311"/>
        <v>0.10499664213286571</v>
      </c>
      <c r="R1146" s="16">
        <f t="shared" si="311"/>
        <v>0.10324188790789374</v>
      </c>
      <c r="S1146" s="27">
        <v>0.11544240770589438</v>
      </c>
      <c r="T1146" s="16">
        <v>0.12570914291108451</v>
      </c>
      <c r="U1146" s="16">
        <v>0.11621014250665664</v>
      </c>
      <c r="V1146" s="16">
        <v>0.12078023479489806</v>
      </c>
      <c r="W1146" s="16">
        <v>0.1098634502580457</v>
      </c>
      <c r="X1146" s="16">
        <v>0.10738377858135699</v>
      </c>
      <c r="Y1146" s="16">
        <v>0.11071090874914498</v>
      </c>
      <c r="Z1146" s="16">
        <v>0.10912444631398865</v>
      </c>
      <c r="AA1146" s="16">
        <v>0.10941501419912462</v>
      </c>
      <c r="AB1146" s="16">
        <v>0.11437472536766206</v>
      </c>
      <c r="AC1146" s="16">
        <v>0.12656890548905655</v>
      </c>
      <c r="AD1146" s="16">
        <v>0.13507913036651084</v>
      </c>
      <c r="AE1146" s="64">
        <f t="shared" si="308"/>
        <v>0.12814343690486521</v>
      </c>
      <c r="AF1146" s="16">
        <v>0</v>
      </c>
      <c r="AG1146" s="16">
        <v>0</v>
      </c>
      <c r="AH1146" s="16">
        <v>0</v>
      </c>
      <c r="AI1146" s="16">
        <v>0</v>
      </c>
      <c r="AJ1146" s="16">
        <v>0</v>
      </c>
      <c r="AK1146" s="16">
        <v>0</v>
      </c>
      <c r="AL1146" s="16">
        <v>0</v>
      </c>
      <c r="AM1146" s="16">
        <v>0</v>
      </c>
      <c r="AN1146" s="16">
        <v>0</v>
      </c>
      <c r="AO1146" s="16">
        <v>0</v>
      </c>
      <c r="AP1146" s="16">
        <v>0</v>
      </c>
      <c r="AQ1146" s="16">
        <v>0</v>
      </c>
      <c r="AR1146" s="16">
        <v>0</v>
      </c>
      <c r="AS1146" s="16">
        <v>0</v>
      </c>
      <c r="AT1146" s="16">
        <v>0</v>
      </c>
      <c r="AU1146" s="16">
        <v>0</v>
      </c>
      <c r="AV1146" s="16">
        <v>0</v>
      </c>
      <c r="AW1146" s="16">
        <v>0</v>
      </c>
      <c r="AX1146" s="16">
        <v>0</v>
      </c>
      <c r="AY1146" s="16">
        <v>0</v>
      </c>
      <c r="AZ1146" s="16">
        <v>0</v>
      </c>
      <c r="BA1146" s="16">
        <v>0</v>
      </c>
      <c r="BB1146" s="16">
        <v>0</v>
      </c>
      <c r="BC1146" s="16">
        <v>0</v>
      </c>
      <c r="BD1146" s="16">
        <v>0</v>
      </c>
      <c r="BE1146" s="16">
        <v>0</v>
      </c>
      <c r="BF1146" s="16">
        <v>0</v>
      </c>
      <c r="BG1146" s="16">
        <v>0</v>
      </c>
    </row>
    <row r="1147" spans="1:59" ht="12" customHeight="1" x14ac:dyDescent="0.2">
      <c r="A1147" t="s">
        <v>123</v>
      </c>
      <c r="B1147" t="str">
        <f t="shared" si="288"/>
        <v>SKO</v>
      </c>
      <c r="C1147" t="str">
        <f t="shared" si="289"/>
        <v>WB</v>
      </c>
      <c r="D1147" s="16">
        <f t="shared" ref="D1147:R1147" si="312">E1147*(D$1141/E$1141)</f>
        <v>0.15186486176819078</v>
      </c>
      <c r="E1147" s="16">
        <f t="shared" si="312"/>
        <v>0.15138392012706167</v>
      </c>
      <c r="F1147" s="16">
        <f t="shared" si="312"/>
        <v>0.15143293417494791</v>
      </c>
      <c r="G1147" s="16">
        <f t="shared" si="312"/>
        <v>0.15117597682326578</v>
      </c>
      <c r="H1147" s="16">
        <f t="shared" si="312"/>
        <v>0.14776014286322678</v>
      </c>
      <c r="I1147" s="16">
        <f t="shared" si="312"/>
        <v>0.14513222365480563</v>
      </c>
      <c r="J1147" s="16">
        <f t="shared" si="312"/>
        <v>0.16270593674017408</v>
      </c>
      <c r="K1147" s="16">
        <f t="shared" si="312"/>
        <v>0.13633074684530447</v>
      </c>
      <c r="L1147" s="16">
        <f t="shared" si="312"/>
        <v>0.12159345195709091</v>
      </c>
      <c r="M1147" s="16">
        <f t="shared" si="312"/>
        <v>0.12387483741909845</v>
      </c>
      <c r="N1147" s="16">
        <f t="shared" si="312"/>
        <v>0.11731454531958481</v>
      </c>
      <c r="O1147" s="16">
        <f t="shared" si="312"/>
        <v>0.12062847236015781</v>
      </c>
      <c r="P1147" s="16">
        <f t="shared" si="312"/>
        <v>0.11949370643290361</v>
      </c>
      <c r="Q1147" s="16">
        <f t="shared" si="312"/>
        <v>0.12008647717534654</v>
      </c>
      <c r="R1147" s="16">
        <f t="shared" si="312"/>
        <v>0.11807953439217844</v>
      </c>
      <c r="S1147" s="27">
        <v>0.13203348008499372</v>
      </c>
      <c r="T1147" s="16">
        <v>0.13028593444827263</v>
      </c>
      <c r="U1147" s="16">
        <v>0.12108436282189131</v>
      </c>
      <c r="V1147" s="16">
        <v>0.11884715695655877</v>
      </c>
      <c r="W1147" s="16">
        <v>0.11418305700276234</v>
      </c>
      <c r="X1147" s="16">
        <v>0.12337975367309365</v>
      </c>
      <c r="Y1147" s="16">
        <v>0.11926707199800834</v>
      </c>
      <c r="Z1147" s="16">
        <v>0.10811940134552243</v>
      </c>
      <c r="AA1147" s="16">
        <v>0.10093450910237516</v>
      </c>
      <c r="AB1147" s="16">
        <v>0.11036851161069768</v>
      </c>
      <c r="AC1147" s="16">
        <v>0.11345587768409417</v>
      </c>
      <c r="AD1147" s="16">
        <v>0.1115782772916625</v>
      </c>
      <c r="AE1147" s="64">
        <f t="shared" si="308"/>
        <v>0.10584924478920477</v>
      </c>
      <c r="AF1147" s="16">
        <v>0</v>
      </c>
      <c r="AG1147" s="16">
        <v>0</v>
      </c>
      <c r="AH1147" s="16">
        <v>0</v>
      </c>
      <c r="AI1147" s="16">
        <v>0</v>
      </c>
      <c r="AJ1147" s="16">
        <v>0</v>
      </c>
      <c r="AK1147" s="16">
        <v>0</v>
      </c>
      <c r="AL1147" s="16">
        <v>0</v>
      </c>
      <c r="AM1147" s="16">
        <v>0</v>
      </c>
      <c r="AN1147" s="16">
        <v>0</v>
      </c>
      <c r="AO1147" s="16">
        <v>0</v>
      </c>
      <c r="AP1147" s="16">
        <v>0</v>
      </c>
      <c r="AQ1147" s="16">
        <v>0</v>
      </c>
      <c r="AR1147" s="16">
        <v>0</v>
      </c>
      <c r="AS1147" s="16">
        <v>0</v>
      </c>
      <c r="AT1147" s="16">
        <v>0</v>
      </c>
      <c r="AU1147" s="16">
        <v>0</v>
      </c>
      <c r="AV1147" s="16">
        <v>0</v>
      </c>
      <c r="AW1147" s="16">
        <v>0</v>
      </c>
      <c r="AX1147" s="16">
        <v>0</v>
      </c>
      <c r="AY1147" s="16">
        <v>0</v>
      </c>
      <c r="AZ1147" s="16">
        <v>0</v>
      </c>
      <c r="BA1147" s="16">
        <v>0</v>
      </c>
      <c r="BB1147" s="16">
        <v>0</v>
      </c>
      <c r="BC1147" s="16">
        <v>0</v>
      </c>
      <c r="BD1147" s="16">
        <v>0</v>
      </c>
      <c r="BE1147" s="16">
        <v>0</v>
      </c>
      <c r="BF1147" s="16">
        <v>0</v>
      </c>
      <c r="BG1147" s="16">
        <v>0</v>
      </c>
    </row>
    <row r="1148" spans="1:59" ht="12" customHeight="1" x14ac:dyDescent="0.2">
      <c r="A1148" t="s">
        <v>124</v>
      </c>
      <c r="B1148" t="str">
        <f t="shared" si="288"/>
        <v>RUS</v>
      </c>
      <c r="C1148" t="str">
        <f t="shared" si="289"/>
        <v>WB</v>
      </c>
      <c r="D1148" s="16">
        <f t="shared" ref="D1148:R1148" si="313">E1148*(D$1141/E$1141)</f>
        <v>0.26389995586856935</v>
      </c>
      <c r="E1148" s="16">
        <f t="shared" si="313"/>
        <v>0.26306420969008165</v>
      </c>
      <c r="F1148" s="16">
        <f t="shared" si="313"/>
        <v>0.26314938281652789</v>
      </c>
      <c r="G1148" s="16">
        <f t="shared" si="313"/>
        <v>0.26270286060606074</v>
      </c>
      <c r="H1148" s="16">
        <f t="shared" si="313"/>
        <v>0.25676706729078663</v>
      </c>
      <c r="I1148" s="16">
        <f t="shared" si="313"/>
        <v>0.25220045619290743</v>
      </c>
      <c r="J1148" s="16">
        <f t="shared" si="313"/>
        <v>0.2827388049174116</v>
      </c>
      <c r="K1148" s="16">
        <f t="shared" si="313"/>
        <v>0.23690587577080147</v>
      </c>
      <c r="L1148" s="16">
        <f t="shared" si="313"/>
        <v>0.21129645285796103</v>
      </c>
      <c r="M1148" s="16">
        <f t="shared" si="313"/>
        <v>0.21526088225744897</v>
      </c>
      <c r="N1148" s="16">
        <f t="shared" si="313"/>
        <v>0.20386087322712304</v>
      </c>
      <c r="O1148" s="16">
        <f t="shared" si="313"/>
        <v>0.2096195799455593</v>
      </c>
      <c r="P1148" s="16">
        <f t="shared" si="313"/>
        <v>0.20764766442384602</v>
      </c>
      <c r="Q1148" s="16">
        <f t="shared" si="313"/>
        <v>0.20867773926110264</v>
      </c>
      <c r="R1148" s="16">
        <f t="shared" si="313"/>
        <v>0.20519021683002675</v>
      </c>
      <c r="S1148" s="27">
        <v>0.22943839122435974</v>
      </c>
      <c r="T1148" s="16">
        <v>0.20225309018952109</v>
      </c>
      <c r="U1148" s="16">
        <v>0.20011330752321169</v>
      </c>
      <c r="V1148" s="16">
        <v>0.19221303398869952</v>
      </c>
      <c r="W1148" s="16">
        <v>0.1589476472388178</v>
      </c>
      <c r="X1148" s="16">
        <v>0.15823718561191397</v>
      </c>
      <c r="Y1148" s="16">
        <v>0.16207590483322296</v>
      </c>
      <c r="Z1148" s="16">
        <v>0.14788035880449418</v>
      </c>
      <c r="AA1148" s="16">
        <v>0.14299826989907088</v>
      </c>
      <c r="AB1148" s="16">
        <v>0.13252591376347875</v>
      </c>
      <c r="AC1148" s="16">
        <v>0.14244196124838299</v>
      </c>
      <c r="AD1148" s="16">
        <v>0.14051282998241524</v>
      </c>
      <c r="AE1148" s="64">
        <f t="shared" si="308"/>
        <v>0.1332981409809233</v>
      </c>
      <c r="AF1148" s="16">
        <v>0</v>
      </c>
      <c r="AG1148" s="16">
        <v>0</v>
      </c>
      <c r="AH1148" s="16">
        <v>0</v>
      </c>
      <c r="AI1148" s="16">
        <v>0</v>
      </c>
      <c r="AJ1148" s="16">
        <v>0</v>
      </c>
      <c r="AK1148" s="16">
        <v>0</v>
      </c>
      <c r="AL1148" s="16">
        <v>0</v>
      </c>
      <c r="AM1148" s="16">
        <v>0</v>
      </c>
      <c r="AN1148" s="16">
        <v>0</v>
      </c>
      <c r="AO1148" s="16">
        <v>0</v>
      </c>
      <c r="AP1148" s="16">
        <v>0</v>
      </c>
      <c r="AQ1148" s="16">
        <v>0</v>
      </c>
      <c r="AR1148" s="16">
        <v>0</v>
      </c>
      <c r="AS1148" s="16">
        <v>0</v>
      </c>
      <c r="AT1148" s="16">
        <v>0</v>
      </c>
      <c r="AU1148" s="16">
        <v>0</v>
      </c>
      <c r="AV1148" s="16">
        <v>0</v>
      </c>
      <c r="AW1148" s="16">
        <v>0</v>
      </c>
      <c r="AX1148" s="16">
        <v>0</v>
      </c>
      <c r="AY1148" s="16">
        <v>0</v>
      </c>
      <c r="AZ1148" s="16">
        <v>0</v>
      </c>
      <c r="BA1148" s="16">
        <v>0</v>
      </c>
      <c r="BB1148" s="16">
        <v>0</v>
      </c>
      <c r="BC1148" s="16">
        <v>0</v>
      </c>
      <c r="BD1148" s="16">
        <v>0</v>
      </c>
      <c r="BE1148" s="16">
        <v>0</v>
      </c>
      <c r="BF1148" s="16">
        <v>0</v>
      </c>
      <c r="BG1148" s="16">
        <v>0</v>
      </c>
    </row>
    <row r="1149" spans="1:59" ht="12" customHeight="1" x14ac:dyDescent="0.2">
      <c r="A1149" t="s">
        <v>125</v>
      </c>
      <c r="B1149" t="str">
        <f t="shared" si="288"/>
        <v>URA</v>
      </c>
      <c r="C1149" t="str">
        <f t="shared" si="289"/>
        <v>WB</v>
      </c>
      <c r="D1149" s="16">
        <f t="shared" ref="D1149:R1149" si="314">E1149*(D$1141/E$1141)</f>
        <v>0.25823020406059866</v>
      </c>
      <c r="E1149" s="16">
        <f t="shared" si="314"/>
        <v>0.25741241344936711</v>
      </c>
      <c r="F1149" s="16">
        <f t="shared" si="314"/>
        <v>0.25749575667597091</v>
      </c>
      <c r="G1149" s="16">
        <f t="shared" si="314"/>
        <v>0.2570588277604392</v>
      </c>
      <c r="H1149" s="16">
        <f t="shared" si="314"/>
        <v>0.25125056184383499</v>
      </c>
      <c r="I1149" s="16">
        <f t="shared" si="314"/>
        <v>0.24678206198452451</v>
      </c>
      <c r="J1149" s="16">
        <f t="shared" si="314"/>
        <v>0.27666431034204181</v>
      </c>
      <c r="K1149" s="16">
        <f t="shared" si="314"/>
        <v>0.23181607758175093</v>
      </c>
      <c r="L1149" s="16">
        <f t="shared" si="314"/>
        <v>0.20675685965618787</v>
      </c>
      <c r="M1149" s="16">
        <f t="shared" si="314"/>
        <v>0.21063611537430346</v>
      </c>
      <c r="N1149" s="16">
        <f t="shared" si="314"/>
        <v>0.19948102954450569</v>
      </c>
      <c r="O1149" s="16">
        <f t="shared" si="314"/>
        <v>0.20511601347670289</v>
      </c>
      <c r="P1149" s="16">
        <f t="shared" si="314"/>
        <v>0.20318646352325051</v>
      </c>
      <c r="Q1149" s="16">
        <f t="shared" si="314"/>
        <v>0.20419440774418454</v>
      </c>
      <c r="R1149" s="16">
        <f t="shared" si="314"/>
        <v>0.20078181289899569</v>
      </c>
      <c r="S1149" s="27">
        <v>0.22450902801480296</v>
      </c>
      <c r="T1149" s="16">
        <v>0.18970472549884587</v>
      </c>
      <c r="U1149" s="16">
        <v>0.17304846377759817</v>
      </c>
      <c r="V1149" s="16">
        <v>0.12635987814971369</v>
      </c>
      <c r="W1149" s="16">
        <v>0.1101928002744457</v>
      </c>
      <c r="X1149" s="16">
        <v>0.10689560290879482</v>
      </c>
      <c r="Y1149" s="16">
        <v>0.10637266613640466</v>
      </c>
      <c r="Z1149" s="16">
        <v>0.11159018122518403</v>
      </c>
      <c r="AA1149" s="16">
        <v>0.10103311890490692</v>
      </c>
      <c r="AB1149" s="16">
        <v>0.1006167564293092</v>
      </c>
      <c r="AC1149" s="16">
        <v>0.14137147094365285</v>
      </c>
      <c r="AD1149" s="16">
        <v>0.13623636519579041</v>
      </c>
      <c r="AE1149" s="64">
        <f t="shared" si="308"/>
        <v>0.12924125303625084</v>
      </c>
      <c r="AF1149" s="16">
        <v>0</v>
      </c>
      <c r="AG1149" s="16">
        <v>0</v>
      </c>
      <c r="AH1149" s="16">
        <v>0</v>
      </c>
      <c r="AI1149" s="16">
        <v>0</v>
      </c>
      <c r="AJ1149" s="16">
        <v>0</v>
      </c>
      <c r="AK1149" s="16">
        <v>0</v>
      </c>
      <c r="AL1149" s="16">
        <v>0</v>
      </c>
      <c r="AM1149" s="16">
        <v>0</v>
      </c>
      <c r="AN1149" s="16">
        <v>0</v>
      </c>
      <c r="AO1149" s="16">
        <v>0</v>
      </c>
      <c r="AP1149" s="16">
        <v>0</v>
      </c>
      <c r="AQ1149" s="16">
        <v>0</v>
      </c>
      <c r="AR1149" s="16">
        <v>0</v>
      </c>
      <c r="AS1149" s="16">
        <v>0</v>
      </c>
      <c r="AT1149" s="16">
        <v>0</v>
      </c>
      <c r="AU1149" s="16">
        <v>0</v>
      </c>
      <c r="AV1149" s="16">
        <v>0</v>
      </c>
      <c r="AW1149" s="16">
        <v>0</v>
      </c>
      <c r="AX1149" s="16">
        <v>0</v>
      </c>
      <c r="AY1149" s="16">
        <v>0</v>
      </c>
      <c r="AZ1149" s="16">
        <v>0</v>
      </c>
      <c r="BA1149" s="16">
        <v>0</v>
      </c>
      <c r="BB1149" s="16">
        <v>0</v>
      </c>
      <c r="BC1149" s="16">
        <v>0</v>
      </c>
      <c r="BD1149" s="16">
        <v>0</v>
      </c>
      <c r="BE1149" s="16">
        <v>0</v>
      </c>
      <c r="BF1149" s="16">
        <v>0</v>
      </c>
      <c r="BG1149" s="16">
        <v>0</v>
      </c>
    </row>
    <row r="1150" spans="1:59" ht="12" customHeight="1" x14ac:dyDescent="0.2">
      <c r="A1150" t="s">
        <v>126</v>
      </c>
      <c r="B1150" t="str">
        <f t="shared" si="288"/>
        <v>CHI</v>
      </c>
      <c r="C1150" t="str">
        <f t="shared" si="289"/>
        <v>WB</v>
      </c>
      <c r="D1150" s="16">
        <f t="shared" ref="D1150:R1150" si="315">E1150*(D$1141/E$1141)</f>
        <v>0.10673968434581368</v>
      </c>
      <c r="E1150" s="16">
        <f t="shared" si="315"/>
        <v>0.1064016498698647</v>
      </c>
      <c r="F1150" s="16">
        <f t="shared" si="315"/>
        <v>0.10643609986665115</v>
      </c>
      <c r="G1150" s="16">
        <f t="shared" si="315"/>
        <v>0.10625549491110353</v>
      </c>
      <c r="H1150" s="16">
        <f t="shared" si="315"/>
        <v>0.10385464303248521</v>
      </c>
      <c r="I1150" s="16">
        <f t="shared" si="315"/>
        <v>0.1020075846443418</v>
      </c>
      <c r="J1150" s="16">
        <f t="shared" si="315"/>
        <v>0.11435943856022261</v>
      </c>
      <c r="K1150" s="16">
        <f t="shared" si="315"/>
        <v>9.582138169071075E-2</v>
      </c>
      <c r="L1150" s="16">
        <f t="shared" si="315"/>
        <v>8.5463131690258196E-2</v>
      </c>
      <c r="M1150" s="16">
        <f t="shared" si="315"/>
        <v>8.7066625488958771E-2</v>
      </c>
      <c r="N1150" s="16">
        <f t="shared" si="315"/>
        <v>8.2455660847333606E-2</v>
      </c>
      <c r="O1150" s="16">
        <f t="shared" si="315"/>
        <v>8.4784886463696099E-2</v>
      </c>
      <c r="P1150" s="16">
        <f t="shared" si="315"/>
        <v>8.3987305275584373E-2</v>
      </c>
      <c r="Q1150" s="16">
        <f t="shared" si="315"/>
        <v>8.4403939915099424E-2</v>
      </c>
      <c r="R1150" s="16">
        <f t="shared" si="315"/>
        <v>8.2993340802959434E-2</v>
      </c>
      <c r="S1150" s="27">
        <v>9.2801006258206323E-2</v>
      </c>
      <c r="T1150" s="16">
        <v>8.5720222464585508E-2</v>
      </c>
      <c r="U1150" s="16">
        <v>8.4256886204136849E-2</v>
      </c>
      <c r="V1150" s="16">
        <v>9.0032095115112828E-2</v>
      </c>
      <c r="W1150" s="16">
        <v>8.4723828953388369E-2</v>
      </c>
      <c r="X1150" s="16">
        <v>8.9949000128262943E-2</v>
      </c>
      <c r="Y1150" s="16">
        <v>9.1543409717475821E-2</v>
      </c>
      <c r="Z1150" s="16">
        <v>8.8832350018390696E-2</v>
      </c>
      <c r="AA1150" s="16">
        <v>8.678251886378105E-2</v>
      </c>
      <c r="AB1150" s="16">
        <v>9.3441041546054704E-2</v>
      </c>
      <c r="AC1150" s="16">
        <v>0.11921177440151003</v>
      </c>
      <c r="AD1150" s="16">
        <v>0.12365223116853981</v>
      </c>
      <c r="AE1150" s="64">
        <f t="shared" si="308"/>
        <v>0.11730325654228504</v>
      </c>
      <c r="AF1150" s="16">
        <v>0</v>
      </c>
      <c r="AG1150" s="16">
        <v>0</v>
      </c>
      <c r="AH1150" s="16">
        <v>0</v>
      </c>
      <c r="AI1150" s="16">
        <v>0</v>
      </c>
      <c r="AJ1150" s="16">
        <v>0</v>
      </c>
      <c r="AK1150" s="16">
        <v>0</v>
      </c>
      <c r="AL1150" s="16">
        <v>0</v>
      </c>
      <c r="AM1150" s="16">
        <v>0</v>
      </c>
      <c r="AN1150" s="16">
        <v>0</v>
      </c>
      <c r="AO1150" s="16">
        <v>0</v>
      </c>
      <c r="AP1150" s="16">
        <v>0</v>
      </c>
      <c r="AQ1150" s="16">
        <v>0</v>
      </c>
      <c r="AR1150" s="16">
        <v>0</v>
      </c>
      <c r="AS1150" s="16">
        <v>0</v>
      </c>
      <c r="AT1150" s="16">
        <v>0</v>
      </c>
      <c r="AU1150" s="16">
        <v>0</v>
      </c>
      <c r="AV1150" s="16">
        <v>0</v>
      </c>
      <c r="AW1150" s="16">
        <v>0</v>
      </c>
      <c r="AX1150" s="16">
        <v>0</v>
      </c>
      <c r="AY1150" s="16">
        <v>0</v>
      </c>
      <c r="AZ1150" s="16">
        <v>0</v>
      </c>
      <c r="BA1150" s="16">
        <v>0</v>
      </c>
      <c r="BB1150" s="16">
        <v>0</v>
      </c>
      <c r="BC1150" s="16">
        <v>0</v>
      </c>
      <c r="BD1150" s="16">
        <v>0</v>
      </c>
      <c r="BE1150" s="16">
        <v>0</v>
      </c>
      <c r="BF1150" s="16">
        <v>0</v>
      </c>
      <c r="BG1150" s="16">
        <v>0</v>
      </c>
    </row>
    <row r="1151" spans="1:59" ht="12" customHeight="1" x14ac:dyDescent="0.2">
      <c r="A1151" t="s">
        <v>127</v>
      </c>
      <c r="B1151" t="str">
        <f t="shared" si="288"/>
        <v>IND</v>
      </c>
      <c r="C1151" t="str">
        <f t="shared" si="289"/>
        <v>WB</v>
      </c>
      <c r="D1151" s="16">
        <f t="shared" ref="D1151:R1151" si="316">E1151*(D$1141/E$1141)</f>
        <v>0.12767716548032179</v>
      </c>
      <c r="E1151" s="16">
        <f t="shared" si="316"/>
        <v>0.1272728239836394</v>
      </c>
      <c r="F1151" s="16">
        <f t="shared" si="316"/>
        <v>0.12731403150610357</v>
      </c>
      <c r="G1151" s="16">
        <f t="shared" si="316"/>
        <v>0.12709800005597008</v>
      </c>
      <c r="H1151" s="16">
        <f t="shared" si="316"/>
        <v>0.12422621001388048</v>
      </c>
      <c r="I1151" s="16">
        <f t="shared" si="316"/>
        <v>0.12201684260830739</v>
      </c>
      <c r="J1151" s="16">
        <f t="shared" si="316"/>
        <v>0.13679156960953565</v>
      </c>
      <c r="K1151" s="16">
        <f t="shared" si="316"/>
        <v>0.11461718742807747</v>
      </c>
      <c r="L1151" s="16">
        <f t="shared" si="316"/>
        <v>0.1022271189404317</v>
      </c>
      <c r="M1151" s="16">
        <f t="shared" si="316"/>
        <v>0.10414514543955533</v>
      </c>
      <c r="N1151" s="16">
        <f t="shared" si="316"/>
        <v>9.862971882778665E-2</v>
      </c>
      <c r="O1151" s="16">
        <f t="shared" si="316"/>
        <v>0.10141583278609519</v>
      </c>
      <c r="P1151" s="16">
        <f t="shared" si="316"/>
        <v>0.10046180237123452</v>
      </c>
      <c r="Q1151" s="16">
        <f t="shared" si="316"/>
        <v>0.10096016181589858</v>
      </c>
      <c r="R1151" s="16">
        <f t="shared" si="316"/>
        <v>9.9272867185312988E-2</v>
      </c>
      <c r="S1151" s="27">
        <v>0.11100435143111874</v>
      </c>
      <c r="T1151" s="16">
        <v>0.10597680075152742</v>
      </c>
      <c r="U1151" s="16">
        <v>0.1045528489787781</v>
      </c>
      <c r="V1151" s="16">
        <v>0.10766281620894828</v>
      </c>
      <c r="W1151" s="16">
        <v>0.10221432294354742</v>
      </c>
      <c r="X1151" s="16">
        <v>0.10572482353536342</v>
      </c>
      <c r="Y1151" s="16">
        <v>0.10638650371509717</v>
      </c>
      <c r="Z1151" s="16">
        <v>9.7931914688267507E-2</v>
      </c>
      <c r="AA1151" s="16">
        <v>9.4007756224490632E-2</v>
      </c>
      <c r="AB1151" s="16">
        <v>9.6986758628817241E-2</v>
      </c>
      <c r="AC1151" s="16">
        <v>0.11406616067764992</v>
      </c>
      <c r="AD1151" s="16">
        <v>0.11946830990802322</v>
      </c>
      <c r="AE1151" s="64">
        <f t="shared" si="308"/>
        <v>0.11333416043834053</v>
      </c>
      <c r="AF1151" s="16">
        <v>0</v>
      </c>
      <c r="AG1151" s="16">
        <v>0</v>
      </c>
      <c r="AH1151" s="16">
        <v>0</v>
      </c>
      <c r="AI1151" s="16">
        <v>0</v>
      </c>
      <c r="AJ1151" s="16">
        <v>0</v>
      </c>
      <c r="AK1151" s="16">
        <v>0</v>
      </c>
      <c r="AL1151" s="16">
        <v>0</v>
      </c>
      <c r="AM1151" s="16">
        <v>0</v>
      </c>
      <c r="AN1151" s="16">
        <v>0</v>
      </c>
      <c r="AO1151" s="16">
        <v>0</v>
      </c>
      <c r="AP1151" s="16">
        <v>0</v>
      </c>
      <c r="AQ1151" s="16">
        <v>0</v>
      </c>
      <c r="AR1151" s="16">
        <v>0</v>
      </c>
      <c r="AS1151" s="16">
        <v>0</v>
      </c>
      <c r="AT1151" s="16">
        <v>0</v>
      </c>
      <c r="AU1151" s="16">
        <v>0</v>
      </c>
      <c r="AV1151" s="16">
        <v>0</v>
      </c>
      <c r="AW1151" s="16">
        <v>0</v>
      </c>
      <c r="AX1151" s="16">
        <v>0</v>
      </c>
      <c r="AY1151" s="16">
        <v>0</v>
      </c>
      <c r="AZ1151" s="16">
        <v>0</v>
      </c>
      <c r="BA1151" s="16">
        <v>0</v>
      </c>
      <c r="BB1151" s="16">
        <v>0</v>
      </c>
      <c r="BC1151" s="16">
        <v>0</v>
      </c>
      <c r="BD1151" s="16">
        <v>0</v>
      </c>
      <c r="BE1151" s="16">
        <v>0</v>
      </c>
      <c r="BF1151" s="16">
        <v>0</v>
      </c>
      <c r="BG1151" s="16">
        <v>0</v>
      </c>
    </row>
    <row r="1152" spans="1:59" ht="12" customHeight="1" x14ac:dyDescent="0.2">
      <c r="A1152" t="s">
        <v>128</v>
      </c>
      <c r="B1152" t="str">
        <f t="shared" si="288"/>
        <v>OAS</v>
      </c>
      <c r="C1152" t="str">
        <f t="shared" si="289"/>
        <v>WB</v>
      </c>
      <c r="D1152" s="16">
        <f t="shared" ref="D1152:R1152" si="317">E1152*(D$1141/E$1141)</f>
        <v>0.13213089792131272</v>
      </c>
      <c r="E1152" s="16">
        <f t="shared" si="317"/>
        <v>0.13171245187559652</v>
      </c>
      <c r="F1152" s="16">
        <f t="shared" si="317"/>
        <v>0.13175509683034486</v>
      </c>
      <c r="G1152" s="16">
        <f t="shared" si="317"/>
        <v>0.13153152960610395</v>
      </c>
      <c r="H1152" s="16">
        <f t="shared" si="317"/>
        <v>0.12855956358950826</v>
      </c>
      <c r="I1152" s="16">
        <f t="shared" si="317"/>
        <v>0.12627312734197543</v>
      </c>
      <c r="J1152" s="16">
        <f t="shared" si="317"/>
        <v>0.14156323765943415</v>
      </c>
      <c r="K1152" s="16">
        <f t="shared" si="317"/>
        <v>0.11861535173587016</v>
      </c>
      <c r="L1152" s="16">
        <f t="shared" si="317"/>
        <v>0.10579308341231847</v>
      </c>
      <c r="M1152" s="16">
        <f t="shared" si="317"/>
        <v>0.10777801597729726</v>
      </c>
      <c r="N1152" s="16">
        <f t="shared" si="317"/>
        <v>0.10207019604026694</v>
      </c>
      <c r="O1152" s="16">
        <f t="shared" si="317"/>
        <v>0.10495349735446433</v>
      </c>
      <c r="P1152" s="16">
        <f t="shared" si="317"/>
        <v>0.10396618772172338</v>
      </c>
      <c r="Q1152" s="16">
        <f t="shared" si="317"/>
        <v>0.10448193132131933</v>
      </c>
      <c r="R1152" s="16">
        <f t="shared" si="317"/>
        <v>0.10273577919021297</v>
      </c>
      <c r="S1152" s="27">
        <v>0.11487649003319418</v>
      </c>
      <c r="T1152" s="16">
        <v>0.11318087127147268</v>
      </c>
      <c r="U1152" s="16">
        <v>0.11556870035171515</v>
      </c>
      <c r="V1152" s="16">
        <v>0.12455209112265028</v>
      </c>
      <c r="W1152" s="16">
        <v>0.11001735426489939</v>
      </c>
      <c r="X1152" s="16">
        <v>0.11359559330852764</v>
      </c>
      <c r="Y1152" s="16">
        <v>0.11442795304353753</v>
      </c>
      <c r="Z1152" s="16">
        <v>0.10717621108258965</v>
      </c>
      <c r="AA1152" s="16">
        <v>0.10691283602065961</v>
      </c>
      <c r="AB1152" s="16">
        <v>0.11508421283894479</v>
      </c>
      <c r="AC1152" s="16">
        <v>0.1254300177818865</v>
      </c>
      <c r="AD1152" s="16">
        <v>0.12946958303025807</v>
      </c>
      <c r="AE1152" s="64">
        <f t="shared" si="308"/>
        <v>0.12282191408192752</v>
      </c>
      <c r="AF1152" s="16">
        <v>0</v>
      </c>
      <c r="AG1152" s="16">
        <v>0</v>
      </c>
      <c r="AH1152" s="16">
        <v>0</v>
      </c>
      <c r="AI1152" s="16">
        <v>0</v>
      </c>
      <c r="AJ1152" s="16">
        <v>0</v>
      </c>
      <c r="AK1152" s="16">
        <v>0</v>
      </c>
      <c r="AL1152" s="16">
        <v>0</v>
      </c>
      <c r="AM1152" s="16">
        <v>0</v>
      </c>
      <c r="AN1152" s="16">
        <v>0</v>
      </c>
      <c r="AO1152" s="16">
        <v>0</v>
      </c>
      <c r="AP1152" s="16">
        <v>0</v>
      </c>
      <c r="AQ1152" s="16">
        <v>0</v>
      </c>
      <c r="AR1152" s="16">
        <v>0</v>
      </c>
      <c r="AS1152" s="16">
        <v>0</v>
      </c>
      <c r="AT1152" s="16">
        <v>0</v>
      </c>
      <c r="AU1152" s="16">
        <v>0</v>
      </c>
      <c r="AV1152" s="16">
        <v>0</v>
      </c>
      <c r="AW1152" s="16">
        <v>0</v>
      </c>
      <c r="AX1152" s="16">
        <v>0</v>
      </c>
      <c r="AY1152" s="16">
        <v>0</v>
      </c>
      <c r="AZ1152" s="16">
        <v>0</v>
      </c>
      <c r="BA1152" s="16">
        <v>0</v>
      </c>
      <c r="BB1152" s="16">
        <v>0</v>
      </c>
      <c r="BC1152" s="16">
        <v>0</v>
      </c>
      <c r="BD1152" s="16">
        <v>0</v>
      </c>
      <c r="BE1152" s="16">
        <v>0</v>
      </c>
      <c r="BF1152" s="16">
        <v>0</v>
      </c>
      <c r="BG1152" s="16">
        <v>0</v>
      </c>
    </row>
    <row r="1153" spans="1:59" ht="12" customHeight="1" x14ac:dyDescent="0.2">
      <c r="A1153" t="s">
        <v>129</v>
      </c>
      <c r="B1153" t="str">
        <f t="shared" si="288"/>
        <v>MID</v>
      </c>
      <c r="C1153" t="str">
        <f t="shared" si="289"/>
        <v>WB</v>
      </c>
      <c r="D1153" s="16">
        <f t="shared" ref="D1153:R1153" si="318">E1153*(D$1141/E$1141)</f>
        <v>0.16758313098695138</v>
      </c>
      <c r="E1153" s="16">
        <f t="shared" si="318"/>
        <v>0.16705241107515609</v>
      </c>
      <c r="F1153" s="16">
        <f t="shared" si="318"/>
        <v>0.1671064981596303</v>
      </c>
      <c r="G1153" s="16">
        <f t="shared" si="318"/>
        <v>0.16682294528885011</v>
      </c>
      <c r="H1153" s="16">
        <f t="shared" si="318"/>
        <v>0.16305356675526497</v>
      </c>
      <c r="I1153" s="16">
        <f t="shared" si="318"/>
        <v>0.16015365347841892</v>
      </c>
      <c r="J1153" s="16">
        <f t="shared" si="318"/>
        <v>0.17954627549527358</v>
      </c>
      <c r="K1153" s="16">
        <f t="shared" si="318"/>
        <v>0.15044120898091112</v>
      </c>
      <c r="L1153" s="16">
        <f t="shared" si="318"/>
        <v>0.13417857922647425</v>
      </c>
      <c r="M1153" s="16">
        <f t="shared" si="318"/>
        <v>0.13669609192993898</v>
      </c>
      <c r="N1153" s="16">
        <f t="shared" si="318"/>
        <v>0.12945679853826822</v>
      </c>
      <c r="O1153" s="16">
        <f t="shared" si="318"/>
        <v>0.13311372261441992</v>
      </c>
      <c r="P1153" s="16">
        <f t="shared" si="318"/>
        <v>0.13186150650061709</v>
      </c>
      <c r="Q1153" s="16">
        <f t="shared" si="318"/>
        <v>0.13251563001424252</v>
      </c>
      <c r="R1153" s="16">
        <f t="shared" si="318"/>
        <v>0.1303009652695542</v>
      </c>
      <c r="S1153" s="27">
        <v>0.14569916786623727</v>
      </c>
      <c r="T1153" s="16">
        <v>0.13680823197487615</v>
      </c>
      <c r="U1153" s="16">
        <v>0.12381182946131446</v>
      </c>
      <c r="V1153" s="16">
        <v>0.11561645246440361</v>
      </c>
      <c r="W1153" s="16">
        <v>0.10489800709932774</v>
      </c>
      <c r="X1153" s="16">
        <v>0.11977203571674881</v>
      </c>
      <c r="Y1153" s="16">
        <v>0.1165044469550023</v>
      </c>
      <c r="Z1153" s="16">
        <v>0.11455394896180957</v>
      </c>
      <c r="AA1153" s="16">
        <v>0.10776947909070347</v>
      </c>
      <c r="AB1153" s="16">
        <v>0.12667132703356049</v>
      </c>
      <c r="AC1153" s="16">
        <v>0.13971438134015804</v>
      </c>
      <c r="AD1153" s="16">
        <v>0.13286080471827719</v>
      </c>
      <c r="AE1153" s="64">
        <f t="shared" si="308"/>
        <v>0.12603901209869728</v>
      </c>
      <c r="AF1153" s="16">
        <v>0</v>
      </c>
      <c r="AG1153" s="16">
        <v>0</v>
      </c>
      <c r="AH1153" s="16">
        <v>0</v>
      </c>
      <c r="AI1153" s="16">
        <v>0</v>
      </c>
      <c r="AJ1153" s="16">
        <v>0</v>
      </c>
      <c r="AK1153" s="16">
        <v>0</v>
      </c>
      <c r="AL1153" s="16">
        <v>0</v>
      </c>
      <c r="AM1153" s="16">
        <v>0</v>
      </c>
      <c r="AN1153" s="16">
        <v>0</v>
      </c>
      <c r="AO1153" s="16">
        <v>0</v>
      </c>
      <c r="AP1153" s="16">
        <v>0</v>
      </c>
      <c r="AQ1153" s="16">
        <v>0</v>
      </c>
      <c r="AR1153" s="16">
        <v>0</v>
      </c>
      <c r="AS1153" s="16">
        <v>0</v>
      </c>
      <c r="AT1153" s="16">
        <v>0</v>
      </c>
      <c r="AU1153" s="16">
        <v>0</v>
      </c>
      <c r="AV1153" s="16">
        <v>0</v>
      </c>
      <c r="AW1153" s="16">
        <v>0</v>
      </c>
      <c r="AX1153" s="16">
        <v>0</v>
      </c>
      <c r="AY1153" s="16">
        <v>0</v>
      </c>
      <c r="AZ1153" s="16">
        <v>0</v>
      </c>
      <c r="BA1153" s="16">
        <v>0</v>
      </c>
      <c r="BB1153" s="16">
        <v>0</v>
      </c>
      <c r="BC1153" s="16">
        <v>0</v>
      </c>
      <c r="BD1153" s="16">
        <v>0</v>
      </c>
      <c r="BE1153" s="16">
        <v>0</v>
      </c>
      <c r="BF1153" s="16">
        <v>0</v>
      </c>
      <c r="BG1153" s="16">
        <v>0</v>
      </c>
    </row>
    <row r="1154" spans="1:59" ht="12" customHeight="1" x14ac:dyDescent="0.2">
      <c r="A1154" t="s">
        <v>130</v>
      </c>
      <c r="B1154" t="str">
        <f t="shared" si="288"/>
        <v>AFR</v>
      </c>
      <c r="C1154" t="str">
        <f t="shared" si="289"/>
        <v>WB</v>
      </c>
      <c r="D1154" s="16">
        <f t="shared" ref="D1154:R1154" si="319">E1154*(D$1141/E$1141)</f>
        <v>0.16847503129980662</v>
      </c>
      <c r="E1154" s="16">
        <f t="shared" si="319"/>
        <v>0.16794148682415111</v>
      </c>
      <c r="F1154" s="16">
        <f t="shared" si="319"/>
        <v>0.1679958617674765</v>
      </c>
      <c r="G1154" s="16">
        <f t="shared" si="319"/>
        <v>0.16771079978958825</v>
      </c>
      <c r="H1154" s="16">
        <f t="shared" si="319"/>
        <v>0.16392136010859779</v>
      </c>
      <c r="I1154" s="16">
        <f t="shared" si="319"/>
        <v>0.16100601309720075</v>
      </c>
      <c r="J1154" s="16">
        <f t="shared" si="319"/>
        <v>0.18050184529721675</v>
      </c>
      <c r="K1154" s="16">
        <f t="shared" si="319"/>
        <v>0.15124187764347977</v>
      </c>
      <c r="L1154" s="16">
        <f t="shared" si="319"/>
        <v>0.13489269595221962</v>
      </c>
      <c r="M1154" s="16">
        <f t="shared" si="319"/>
        <v>0.13742360720215269</v>
      </c>
      <c r="N1154" s="16">
        <f t="shared" si="319"/>
        <v>0.13014578530225526</v>
      </c>
      <c r="O1154" s="16">
        <f t="shared" si="319"/>
        <v>0.13382217202782995</v>
      </c>
      <c r="P1154" s="16">
        <f t="shared" si="319"/>
        <v>0.13256329144883253</v>
      </c>
      <c r="Q1154" s="16">
        <f t="shared" si="319"/>
        <v>0.13322089629714248</v>
      </c>
      <c r="R1154" s="16">
        <f t="shared" si="319"/>
        <v>0.13099444480418765</v>
      </c>
      <c r="S1154" s="27">
        <v>0.14647459873829055</v>
      </c>
      <c r="T1154" s="16">
        <v>0.13949405195907363</v>
      </c>
      <c r="U1154" s="16">
        <v>0.12617300181701394</v>
      </c>
      <c r="V1154" s="16">
        <v>0.11964736094001585</v>
      </c>
      <c r="W1154" s="16">
        <v>0.11132054964185649</v>
      </c>
      <c r="X1154" s="16">
        <v>0.11531330287124503</v>
      </c>
      <c r="Y1154" s="16">
        <v>0.1224333007526606</v>
      </c>
      <c r="Z1154" s="16">
        <v>0.1162329715627238</v>
      </c>
      <c r="AA1154" s="16">
        <v>0.11678450248492647</v>
      </c>
      <c r="AB1154" s="16">
        <v>0.11362083084809384</v>
      </c>
      <c r="AC1154" s="16">
        <v>0.12197930863066649</v>
      </c>
      <c r="AD1154" s="16">
        <v>0.12893231814840136</v>
      </c>
      <c r="AE1154" s="64">
        <f t="shared" si="308"/>
        <v>0.12231223528622753</v>
      </c>
      <c r="AF1154" s="16">
        <v>0</v>
      </c>
      <c r="AG1154" s="16">
        <v>0</v>
      </c>
      <c r="AH1154" s="16">
        <v>0</v>
      </c>
      <c r="AI1154" s="16">
        <v>0</v>
      </c>
      <c r="AJ1154" s="16">
        <v>0</v>
      </c>
      <c r="AK1154" s="16">
        <v>0</v>
      </c>
      <c r="AL1154" s="16">
        <v>0</v>
      </c>
      <c r="AM1154" s="16">
        <v>0</v>
      </c>
      <c r="AN1154" s="16">
        <v>0</v>
      </c>
      <c r="AO1154" s="16">
        <v>0</v>
      </c>
      <c r="AP1154" s="16">
        <v>0</v>
      </c>
      <c r="AQ1154" s="16">
        <v>0</v>
      </c>
      <c r="AR1154" s="16">
        <v>0</v>
      </c>
      <c r="AS1154" s="16">
        <v>0</v>
      </c>
      <c r="AT1154" s="16">
        <v>0</v>
      </c>
      <c r="AU1154" s="16">
        <v>0</v>
      </c>
      <c r="AV1154" s="16">
        <v>0</v>
      </c>
      <c r="AW1154" s="16">
        <v>0</v>
      </c>
      <c r="AX1154" s="16">
        <v>0</v>
      </c>
      <c r="AY1154" s="16">
        <v>0</v>
      </c>
      <c r="AZ1154" s="16">
        <v>0</v>
      </c>
      <c r="BA1154" s="16">
        <v>0</v>
      </c>
      <c r="BB1154" s="16">
        <v>0</v>
      </c>
      <c r="BC1154" s="16">
        <v>0</v>
      </c>
      <c r="BD1154" s="16">
        <v>0</v>
      </c>
      <c r="BE1154" s="16">
        <v>0</v>
      </c>
      <c r="BF1154" s="16">
        <v>0</v>
      </c>
      <c r="BG1154" s="16">
        <v>0</v>
      </c>
    </row>
    <row r="1155" spans="1:59" ht="12" customHeight="1" x14ac:dyDescent="0.2">
      <c r="A1155" t="s">
        <v>131</v>
      </c>
      <c r="B1155" t="str">
        <f t="shared" si="288"/>
        <v>BRZ</v>
      </c>
      <c r="C1155" t="str">
        <f t="shared" si="289"/>
        <v>WB</v>
      </c>
      <c r="D1155" s="16">
        <f t="shared" ref="D1155:R1155" si="320">E1155*(D$1141/E$1141)</f>
        <v>0.1493507840886894</v>
      </c>
      <c r="E1155" s="16">
        <f t="shared" si="320"/>
        <v>0.14887780429357939</v>
      </c>
      <c r="F1155" s="16">
        <f t="shared" si="320"/>
        <v>0.14892600692846109</v>
      </c>
      <c r="G1155" s="16">
        <f t="shared" si="320"/>
        <v>0.14867330342941429</v>
      </c>
      <c r="H1155" s="16">
        <f t="shared" si="320"/>
        <v>0.1453140175860089</v>
      </c>
      <c r="I1155" s="16">
        <f t="shared" si="320"/>
        <v>0.14272960279953564</v>
      </c>
      <c r="J1155" s="16">
        <f t="shared" si="320"/>
        <v>0.16001238828453973</v>
      </c>
      <c r="K1155" s="16">
        <f t="shared" si="320"/>
        <v>0.13407383182439128</v>
      </c>
      <c r="L1155" s="16">
        <f t="shared" si="320"/>
        <v>0.11958050847576429</v>
      </c>
      <c r="M1155" s="16">
        <f t="shared" si="320"/>
        <v>0.12182412627906795</v>
      </c>
      <c r="N1155" s="16">
        <f t="shared" si="320"/>
        <v>0.11537243786671647</v>
      </c>
      <c r="O1155" s="16">
        <f t="shared" si="320"/>
        <v>0.1186315038294391</v>
      </c>
      <c r="P1155" s="16">
        <f t="shared" si="320"/>
        <v>0.11751552361506115</v>
      </c>
      <c r="Q1155" s="16">
        <f t="shared" si="320"/>
        <v>0.11809848121392837</v>
      </c>
      <c r="R1155" s="16">
        <f t="shared" si="320"/>
        <v>0.11612476277243122</v>
      </c>
      <c r="S1155" s="27">
        <v>0.12984770503891849</v>
      </c>
      <c r="T1155" s="16">
        <v>0.11903643734961968</v>
      </c>
      <c r="U1155" s="16">
        <v>0.12015021180731804</v>
      </c>
      <c r="V1155" s="16">
        <v>0.12185241565394273</v>
      </c>
      <c r="W1155" s="16">
        <v>0.11452576562393056</v>
      </c>
      <c r="X1155" s="16">
        <v>0.11735069432101078</v>
      </c>
      <c r="Y1155" s="16">
        <v>0.11495077969690609</v>
      </c>
      <c r="Z1155" s="16">
        <v>0.10995356197618766</v>
      </c>
      <c r="AA1155" s="16">
        <v>0.10748874011616316</v>
      </c>
      <c r="AB1155" s="16">
        <v>0.11290408375017921</v>
      </c>
      <c r="AC1155" s="16">
        <v>0.11272905880923004</v>
      </c>
      <c r="AD1155" s="16">
        <v>0.10890779088937734</v>
      </c>
      <c r="AE1155" s="64">
        <f t="shared" si="308"/>
        <v>0.10331587560872497</v>
      </c>
      <c r="AF1155" s="16">
        <v>0</v>
      </c>
      <c r="AG1155" s="16">
        <v>0</v>
      </c>
      <c r="AH1155" s="16">
        <v>0</v>
      </c>
      <c r="AI1155" s="16">
        <v>0</v>
      </c>
      <c r="AJ1155" s="16">
        <v>0</v>
      </c>
      <c r="AK1155" s="16">
        <v>0</v>
      </c>
      <c r="AL1155" s="16">
        <v>0</v>
      </c>
      <c r="AM1155" s="16">
        <v>0</v>
      </c>
      <c r="AN1155" s="16">
        <v>0</v>
      </c>
      <c r="AO1155" s="16">
        <v>0</v>
      </c>
      <c r="AP1155" s="16">
        <v>0</v>
      </c>
      <c r="AQ1155" s="16">
        <v>0</v>
      </c>
      <c r="AR1155" s="16">
        <v>0</v>
      </c>
      <c r="AS1155" s="16">
        <v>0</v>
      </c>
      <c r="AT1155" s="16">
        <v>0</v>
      </c>
      <c r="AU1155" s="16">
        <v>0</v>
      </c>
      <c r="AV1155" s="16">
        <v>0</v>
      </c>
      <c r="AW1155" s="16">
        <v>0</v>
      </c>
      <c r="AX1155" s="16">
        <v>0</v>
      </c>
      <c r="AY1155" s="16">
        <v>0</v>
      </c>
      <c r="AZ1155" s="16">
        <v>0</v>
      </c>
      <c r="BA1155" s="16">
        <v>0</v>
      </c>
      <c r="BB1155" s="16">
        <v>0</v>
      </c>
      <c r="BC1155" s="16">
        <v>0</v>
      </c>
      <c r="BD1155" s="16">
        <v>0</v>
      </c>
      <c r="BE1155" s="16">
        <v>0</v>
      </c>
      <c r="BF1155" s="16">
        <v>0</v>
      </c>
      <c r="BG1155" s="16">
        <v>0</v>
      </c>
    </row>
    <row r="1156" spans="1:59" ht="12" customHeight="1" x14ac:dyDescent="0.2">
      <c r="A1156" t="s">
        <v>132</v>
      </c>
      <c r="B1156" t="str">
        <f t="shared" si="288"/>
        <v>CSA</v>
      </c>
      <c r="C1156" t="str">
        <f t="shared" si="289"/>
        <v>WB</v>
      </c>
      <c r="D1156" s="16">
        <f t="shared" ref="D1156:R1156" si="321">E1156*(D$1141/E$1141)</f>
        <v>0.16543006677006097</v>
      </c>
      <c r="E1156" s="16">
        <f t="shared" si="321"/>
        <v>0.16490616540882355</v>
      </c>
      <c r="F1156" s="16">
        <f t="shared" si="321"/>
        <v>0.16495955759658895</v>
      </c>
      <c r="G1156" s="16">
        <f t="shared" si="321"/>
        <v>0.16467964773889771</v>
      </c>
      <c r="H1156" s="16">
        <f t="shared" si="321"/>
        <v>0.16095869719441136</v>
      </c>
      <c r="I1156" s="16">
        <f t="shared" si="321"/>
        <v>0.15809604124455096</v>
      </c>
      <c r="J1156" s="16">
        <f t="shared" si="321"/>
        <v>0.17723951192803289</v>
      </c>
      <c r="K1156" s="16">
        <f t="shared" si="321"/>
        <v>0.14850837969257569</v>
      </c>
      <c r="L1156" s="16">
        <f t="shared" si="321"/>
        <v>0.13245468794992202</v>
      </c>
      <c r="M1156" s="16">
        <f t="shared" si="321"/>
        <v>0.13493985630890842</v>
      </c>
      <c r="N1156" s="16">
        <f t="shared" si="321"/>
        <v>0.1277935714644905</v>
      </c>
      <c r="O1156" s="16">
        <f t="shared" si="321"/>
        <v>0.13140351233698752</v>
      </c>
      <c r="P1156" s="16">
        <f t="shared" si="321"/>
        <v>0.13016738436815825</v>
      </c>
      <c r="Q1156" s="16">
        <f t="shared" si="321"/>
        <v>0.13081310387403947</v>
      </c>
      <c r="R1156" s="16">
        <f t="shared" si="321"/>
        <v>0.12862689256249871</v>
      </c>
      <c r="S1156" s="27">
        <v>0.1438272630813342</v>
      </c>
      <c r="T1156" s="16">
        <v>0.13517250199129446</v>
      </c>
      <c r="U1156" s="16">
        <v>0.12303041663716859</v>
      </c>
      <c r="V1156" s="16">
        <v>0.12121301459354347</v>
      </c>
      <c r="W1156" s="16">
        <v>0.11674558585505929</v>
      </c>
      <c r="X1156" s="16">
        <v>0.11987743885615353</v>
      </c>
      <c r="Y1156" s="16">
        <v>0.11581286186266615</v>
      </c>
      <c r="Z1156" s="16">
        <v>0.11478152346937308</v>
      </c>
      <c r="AA1156" s="16">
        <v>0.11157578865009514</v>
      </c>
      <c r="AB1156" s="16">
        <v>0.11445130004860474</v>
      </c>
      <c r="AC1156" s="16">
        <v>0.13488207798967988</v>
      </c>
      <c r="AD1156" s="16">
        <v>0.13260467147388288</v>
      </c>
      <c r="AE1156" s="64">
        <f t="shared" si="308"/>
        <v>0.12579603012099858</v>
      </c>
      <c r="AF1156" s="16">
        <v>0</v>
      </c>
      <c r="AG1156" s="16">
        <v>0</v>
      </c>
      <c r="AH1156" s="16">
        <v>0</v>
      </c>
      <c r="AI1156" s="16">
        <v>0</v>
      </c>
      <c r="AJ1156" s="16">
        <v>0</v>
      </c>
      <c r="AK1156" s="16">
        <v>0</v>
      </c>
      <c r="AL1156" s="16">
        <v>0</v>
      </c>
      <c r="AM1156" s="16">
        <v>0</v>
      </c>
      <c r="AN1156" s="16">
        <v>0</v>
      </c>
      <c r="AO1156" s="16">
        <v>0</v>
      </c>
      <c r="AP1156" s="16">
        <v>0</v>
      </c>
      <c r="AQ1156" s="16">
        <v>0</v>
      </c>
      <c r="AR1156" s="16">
        <v>0</v>
      </c>
      <c r="AS1156" s="16">
        <v>0</v>
      </c>
      <c r="AT1156" s="16">
        <v>0</v>
      </c>
      <c r="AU1156" s="16">
        <v>0</v>
      </c>
      <c r="AV1156" s="16">
        <v>0</v>
      </c>
      <c r="AW1156" s="16">
        <v>0</v>
      </c>
      <c r="AX1156" s="16">
        <v>0</v>
      </c>
      <c r="AY1156" s="16">
        <v>0</v>
      </c>
      <c r="AZ1156" s="16">
        <v>0</v>
      </c>
      <c r="BA1156" s="16">
        <v>0</v>
      </c>
      <c r="BB1156" s="16">
        <v>0</v>
      </c>
      <c r="BC1156" s="16">
        <v>0</v>
      </c>
      <c r="BD1156" s="16">
        <v>0</v>
      </c>
      <c r="BE1156" s="16">
        <v>0</v>
      </c>
      <c r="BF1156" s="16">
        <v>0</v>
      </c>
      <c r="BG1156" s="16">
        <v>0</v>
      </c>
    </row>
    <row r="1157" spans="1:59" ht="12" customHeight="1" x14ac:dyDescent="0.2">
      <c r="A1157" t="s">
        <v>133</v>
      </c>
      <c r="B1157" t="str">
        <f t="shared" si="288"/>
        <v>USA</v>
      </c>
      <c r="C1157" t="str">
        <f t="shared" si="289"/>
        <v>RJ</v>
      </c>
      <c r="D1157" s="47">
        <v>0.29201667577531448</v>
      </c>
      <c r="E1157" s="47">
        <v>0.28537825627433872</v>
      </c>
      <c r="F1157" s="47">
        <v>0.27725345251958089</v>
      </c>
      <c r="G1157" s="47">
        <v>0.29415264406530894</v>
      </c>
      <c r="H1157" s="47">
        <v>0.28188162862896959</v>
      </c>
      <c r="I1157" s="47">
        <v>0.29194254725683055</v>
      </c>
      <c r="J1157" s="47">
        <v>0.28829125455058557</v>
      </c>
      <c r="K1157" s="47">
        <v>0.23425993025926267</v>
      </c>
      <c r="L1157" s="47">
        <v>0.21060607975548973</v>
      </c>
      <c r="M1157" s="47">
        <v>0.22333355380042041</v>
      </c>
      <c r="N1157" s="47">
        <v>0.22775685956891195</v>
      </c>
      <c r="O1157" s="47">
        <v>0.22820579006951289</v>
      </c>
      <c r="P1157" s="47">
        <v>0.2097504106651524</v>
      </c>
      <c r="Q1157" s="47">
        <v>0.19676989191585567</v>
      </c>
      <c r="R1157" s="47">
        <v>0.18980791868222077</v>
      </c>
      <c r="S1157" s="48">
        <v>0.20499999999999999</v>
      </c>
      <c r="T1157" s="47">
        <v>0.22</v>
      </c>
      <c r="U1157" s="47">
        <v>0.23</v>
      </c>
      <c r="V1157" s="47">
        <v>0.22900000000000001</v>
      </c>
      <c r="W1157" s="47">
        <v>0.23400000000000001</v>
      </c>
      <c r="X1157" s="47">
        <v>0.255</v>
      </c>
      <c r="Y1157" s="47">
        <v>0.26</v>
      </c>
      <c r="Z1157" s="47">
        <v>0.252</v>
      </c>
      <c r="AA1157" s="47">
        <v>0.255</v>
      </c>
      <c r="AB1157" s="47">
        <v>0.20899999999999999</v>
      </c>
      <c r="AC1157" s="47">
        <v>0.24399999999999999</v>
      </c>
      <c r="AD1157" s="47">
        <v>0.28999999999999998</v>
      </c>
      <c r="AE1157" s="49">
        <v>0.2886169413746576</v>
      </c>
      <c r="AF1157" s="16">
        <v>0</v>
      </c>
      <c r="AG1157" s="16">
        <v>0</v>
      </c>
      <c r="AH1157" s="16">
        <v>0</v>
      </c>
      <c r="AI1157" s="16">
        <v>0</v>
      </c>
      <c r="AJ1157" s="16">
        <v>0</v>
      </c>
      <c r="AK1157" s="16">
        <v>0</v>
      </c>
      <c r="AL1157" s="16">
        <v>0</v>
      </c>
      <c r="AM1157" s="16">
        <v>0</v>
      </c>
      <c r="AN1157" s="16">
        <v>0</v>
      </c>
      <c r="AO1157" s="16">
        <v>0</v>
      </c>
      <c r="AP1157" s="16">
        <v>0</v>
      </c>
      <c r="AQ1157" s="16">
        <v>0</v>
      </c>
      <c r="AR1157" s="16">
        <v>0</v>
      </c>
      <c r="AS1157" s="16">
        <v>0</v>
      </c>
      <c r="AT1157" s="16">
        <v>0</v>
      </c>
      <c r="AU1157" s="16">
        <v>0</v>
      </c>
      <c r="AV1157" s="16">
        <v>0</v>
      </c>
      <c r="AW1157" s="16">
        <v>0</v>
      </c>
      <c r="AX1157" s="16">
        <v>0</v>
      </c>
      <c r="AY1157" s="16">
        <v>0</v>
      </c>
      <c r="AZ1157" s="16">
        <v>0</v>
      </c>
      <c r="BA1157" s="16">
        <v>0</v>
      </c>
      <c r="BB1157" s="16">
        <v>0</v>
      </c>
      <c r="BC1157" s="16">
        <v>0</v>
      </c>
      <c r="BD1157" s="16">
        <v>0</v>
      </c>
      <c r="BE1157" s="16">
        <v>0</v>
      </c>
      <c r="BF1157" s="16">
        <v>0</v>
      </c>
      <c r="BG1157" s="16">
        <v>0</v>
      </c>
    </row>
    <row r="1158" spans="1:59" ht="12" customHeight="1" x14ac:dyDescent="0.2">
      <c r="A1158" t="s">
        <v>134</v>
      </c>
      <c r="B1158" t="str">
        <f t="shared" si="288"/>
        <v>CAN</v>
      </c>
      <c r="C1158" t="str">
        <f t="shared" si="289"/>
        <v>RJ</v>
      </c>
      <c r="D1158" s="16">
        <f t="shared" ref="D1158:R1158" si="322">E1158*(D$1157/E$1157)</f>
        <v>0.29543926069216553</v>
      </c>
      <c r="E1158" s="16">
        <f t="shared" si="322"/>
        <v>0.28872303551658074</v>
      </c>
      <c r="F1158" s="16">
        <f t="shared" si="322"/>
        <v>0.28050300490291297</v>
      </c>
      <c r="G1158" s="16">
        <f t="shared" si="322"/>
        <v>0.29760026362387276</v>
      </c>
      <c r="H1158" s="16">
        <f t="shared" si="322"/>
        <v>0.28518542560536292</v>
      </c>
      <c r="I1158" s="16">
        <f t="shared" si="322"/>
        <v>0.29536426334950022</v>
      </c>
      <c r="J1158" s="16">
        <f t="shared" si="322"/>
        <v>0.29167017562372349</v>
      </c>
      <c r="K1158" s="16">
        <f t="shared" si="322"/>
        <v>0.23700557655428736</v>
      </c>
      <c r="L1158" s="16">
        <f t="shared" si="322"/>
        <v>0.21307449081473648</v>
      </c>
      <c r="M1158" s="16">
        <f t="shared" si="322"/>
        <v>0.22595113737038128</v>
      </c>
      <c r="N1158" s="16">
        <f t="shared" si="322"/>
        <v>0.23042628654667022</v>
      </c>
      <c r="O1158" s="16">
        <f t="shared" si="322"/>
        <v>0.23088047874253562</v>
      </c>
      <c r="P1158" s="16">
        <f t="shared" si="322"/>
        <v>0.21220879284466265</v>
      </c>
      <c r="Q1158" s="16">
        <f t="shared" si="322"/>
        <v>0.19907613577118877</v>
      </c>
      <c r="R1158" s="16">
        <f t="shared" si="322"/>
        <v>0.19203256464757826</v>
      </c>
      <c r="S1158" s="27">
        <v>0.20740270493488636</v>
      </c>
      <c r="T1158" s="16">
        <v>0.20144291803907272</v>
      </c>
      <c r="U1158" s="16">
        <v>0.23926425720513997</v>
      </c>
      <c r="V1158" s="16">
        <v>0.24484991860098421</v>
      </c>
      <c r="W1158" s="16">
        <v>0.22927313175275774</v>
      </c>
      <c r="X1158" s="16">
        <v>0.25628263931831541</v>
      </c>
      <c r="Y1158" s="16">
        <v>0.27615424338890798</v>
      </c>
      <c r="Z1158" s="16">
        <v>0.25691686103164241</v>
      </c>
      <c r="AA1158" s="16">
        <v>0.27099794686941603</v>
      </c>
      <c r="AB1158" s="16">
        <v>0.23631254339611452</v>
      </c>
      <c r="AC1158" s="16">
        <v>0.28582521319827908</v>
      </c>
      <c r="AD1158" s="16">
        <v>0.31826644975852586</v>
      </c>
      <c r="AE1158" s="64">
        <f>AD1158*AE1157/AD1157</f>
        <v>0.31674858369474784</v>
      </c>
      <c r="AF1158" s="16">
        <v>0</v>
      </c>
      <c r="AG1158" s="16">
        <v>0</v>
      </c>
      <c r="AH1158" s="16">
        <v>0</v>
      </c>
      <c r="AI1158" s="16">
        <v>0</v>
      </c>
      <c r="AJ1158" s="16">
        <v>0</v>
      </c>
      <c r="AK1158" s="16">
        <v>0</v>
      </c>
      <c r="AL1158" s="16">
        <v>0</v>
      </c>
      <c r="AM1158" s="16">
        <v>0</v>
      </c>
      <c r="AN1158" s="16">
        <v>0</v>
      </c>
      <c r="AO1158" s="16">
        <v>0</v>
      </c>
      <c r="AP1158" s="16">
        <v>0</v>
      </c>
      <c r="AQ1158" s="16">
        <v>0</v>
      </c>
      <c r="AR1158" s="16">
        <v>0</v>
      </c>
      <c r="AS1158" s="16">
        <v>0</v>
      </c>
      <c r="AT1158" s="16">
        <v>0</v>
      </c>
      <c r="AU1158" s="16">
        <v>0</v>
      </c>
      <c r="AV1158" s="16">
        <v>0</v>
      </c>
      <c r="AW1158" s="16">
        <v>0</v>
      </c>
      <c r="AX1158" s="16">
        <v>0</v>
      </c>
      <c r="AY1158" s="16">
        <v>0</v>
      </c>
      <c r="AZ1158" s="16">
        <v>0</v>
      </c>
      <c r="BA1158" s="16">
        <v>0</v>
      </c>
      <c r="BB1158" s="16">
        <v>0</v>
      </c>
      <c r="BC1158" s="16">
        <v>0</v>
      </c>
      <c r="BD1158" s="16">
        <v>0</v>
      </c>
      <c r="BE1158" s="16">
        <v>0</v>
      </c>
      <c r="BF1158" s="16">
        <v>0</v>
      </c>
      <c r="BG1158" s="16">
        <v>0</v>
      </c>
    </row>
    <row r="1159" spans="1:59" ht="12" customHeight="1" x14ac:dyDescent="0.2">
      <c r="A1159" t="s">
        <v>135</v>
      </c>
      <c r="B1159" t="str">
        <f t="shared" si="288"/>
        <v>MXC</v>
      </c>
      <c r="C1159" t="str">
        <f t="shared" si="289"/>
        <v>RJ</v>
      </c>
      <c r="D1159" s="16">
        <f t="shared" ref="D1159:R1159" si="323">E1159*(D$1157/E$1157)</f>
        <v>0.3215688688798844</v>
      </c>
      <c r="E1159" s="16">
        <f t="shared" si="323"/>
        <v>0.31425863892671058</v>
      </c>
      <c r="F1159" s="16">
        <f t="shared" si="323"/>
        <v>0.30531160209618802</v>
      </c>
      <c r="G1159" s="16">
        <f t="shared" si="323"/>
        <v>0.32392099793262835</v>
      </c>
      <c r="H1159" s="16">
        <f t="shared" si="323"/>
        <v>0.31040815130017307</v>
      </c>
      <c r="I1159" s="16">
        <f t="shared" si="323"/>
        <v>0.32148723852854466</v>
      </c>
      <c r="J1159" s="16">
        <f t="shared" si="323"/>
        <v>0.31746643368108457</v>
      </c>
      <c r="K1159" s="16">
        <f t="shared" si="323"/>
        <v>0.25796711984802262</v>
      </c>
      <c r="L1159" s="16">
        <f t="shared" si="323"/>
        <v>0.23191949112628252</v>
      </c>
      <c r="M1159" s="16">
        <f t="shared" si="323"/>
        <v>0.24593499014345346</v>
      </c>
      <c r="N1159" s="16">
        <f t="shared" si="323"/>
        <v>0.25080593605401552</v>
      </c>
      <c r="O1159" s="16">
        <f t="shared" si="323"/>
        <v>0.25130029848349195</v>
      </c>
      <c r="P1159" s="16">
        <f t="shared" si="323"/>
        <v>0.23097722801481907</v>
      </c>
      <c r="Q1159" s="16">
        <f t="shared" si="323"/>
        <v>0.2166830760777661</v>
      </c>
      <c r="R1159" s="16">
        <f t="shared" si="323"/>
        <v>0.20901654863727651</v>
      </c>
      <c r="S1159" s="27">
        <v>0.22574607407385935</v>
      </c>
      <c r="T1159" s="16">
        <v>0.20501568342287016</v>
      </c>
      <c r="U1159" s="16">
        <v>0.19786105791370448</v>
      </c>
      <c r="V1159" s="16">
        <v>0.18463894385126853</v>
      </c>
      <c r="W1159" s="16">
        <v>0.18474607789350964</v>
      </c>
      <c r="X1159" s="16">
        <v>0.19559568056471069</v>
      </c>
      <c r="Y1159" s="16">
        <v>0.19437058958282022</v>
      </c>
      <c r="Z1159" s="16">
        <v>0.18257864025076104</v>
      </c>
      <c r="AA1159" s="16">
        <v>0.18239425667954159</v>
      </c>
      <c r="AB1159" s="16">
        <v>0.14995142546639692</v>
      </c>
      <c r="AC1159" s="16">
        <v>0.17233048388500891</v>
      </c>
      <c r="AD1159" s="16">
        <v>0.20257640680007186</v>
      </c>
      <c r="AE1159" s="64">
        <f t="shared" ref="AE1159:AE1172" si="324">AD1159*AE1158/AD1158</f>
        <v>0.20161028594932806</v>
      </c>
      <c r="AF1159" s="16">
        <v>0</v>
      </c>
      <c r="AG1159" s="16">
        <v>0</v>
      </c>
      <c r="AH1159" s="16">
        <v>0</v>
      </c>
      <c r="AI1159" s="16">
        <v>0</v>
      </c>
      <c r="AJ1159" s="16">
        <v>0</v>
      </c>
      <c r="AK1159" s="16">
        <v>0</v>
      </c>
      <c r="AL1159" s="16">
        <v>0</v>
      </c>
      <c r="AM1159" s="16">
        <v>0</v>
      </c>
      <c r="AN1159" s="16">
        <v>0</v>
      </c>
      <c r="AO1159" s="16">
        <v>0</v>
      </c>
      <c r="AP1159" s="16">
        <v>0</v>
      </c>
      <c r="AQ1159" s="16">
        <v>0</v>
      </c>
      <c r="AR1159" s="16">
        <v>0</v>
      </c>
      <c r="AS1159" s="16">
        <v>0</v>
      </c>
      <c r="AT1159" s="16">
        <v>0</v>
      </c>
      <c r="AU1159" s="16">
        <v>0</v>
      </c>
      <c r="AV1159" s="16">
        <v>0</v>
      </c>
      <c r="AW1159" s="16">
        <v>0</v>
      </c>
      <c r="AX1159" s="16">
        <v>0</v>
      </c>
      <c r="AY1159" s="16">
        <v>0</v>
      </c>
      <c r="AZ1159" s="16">
        <v>0</v>
      </c>
      <c r="BA1159" s="16">
        <v>0</v>
      </c>
      <c r="BB1159" s="16">
        <v>0</v>
      </c>
      <c r="BC1159" s="16">
        <v>0</v>
      </c>
      <c r="BD1159" s="16">
        <v>0</v>
      </c>
      <c r="BE1159" s="16">
        <v>0</v>
      </c>
      <c r="BF1159" s="16">
        <v>0</v>
      </c>
      <c r="BG1159" s="16">
        <v>0</v>
      </c>
    </row>
    <row r="1160" spans="1:59" ht="12" customHeight="1" x14ac:dyDescent="0.2">
      <c r="A1160" t="s">
        <v>136</v>
      </c>
      <c r="B1160" t="str">
        <f t="shared" si="288"/>
        <v>EUR</v>
      </c>
      <c r="C1160" t="str">
        <f t="shared" si="289"/>
        <v>RJ</v>
      </c>
      <c r="D1160" s="16">
        <f t="shared" ref="D1160:R1160" si="325">E1160*(D$1157/E$1157)</f>
        <v>0.25936001258109237</v>
      </c>
      <c r="E1160" s="16">
        <f t="shared" si="325"/>
        <v>0.25346397749775212</v>
      </c>
      <c r="F1160" s="16">
        <f t="shared" si="325"/>
        <v>0.2462477827429215</v>
      </c>
      <c r="G1160" s="16">
        <f t="shared" si="325"/>
        <v>0.26125711233094373</v>
      </c>
      <c r="H1160" s="16">
        <f t="shared" si="325"/>
        <v>0.25035838297070495</v>
      </c>
      <c r="I1160" s="16">
        <f t="shared" si="325"/>
        <v>0.25929417396610382</v>
      </c>
      <c r="J1160" s="16">
        <f t="shared" si="325"/>
        <v>0.25605121080410415</v>
      </c>
      <c r="K1160" s="16">
        <f t="shared" si="325"/>
        <v>0.20806229061396744</v>
      </c>
      <c r="L1160" s="16">
        <f t="shared" si="325"/>
        <v>0.18705368571850539</v>
      </c>
      <c r="M1160" s="16">
        <f t="shared" si="325"/>
        <v>0.19835782723595294</v>
      </c>
      <c r="N1160" s="16">
        <f t="shared" si="325"/>
        <v>0.20228646808058981</v>
      </c>
      <c r="O1160" s="16">
        <f t="shared" si="325"/>
        <v>0.20268519400942506</v>
      </c>
      <c r="P1160" s="16">
        <f t="shared" si="325"/>
        <v>0.18629370738697373</v>
      </c>
      <c r="Q1160" s="16">
        <f t="shared" si="325"/>
        <v>0.17476481953429138</v>
      </c>
      <c r="R1160" s="16">
        <f t="shared" si="325"/>
        <v>0.16858141421789741</v>
      </c>
      <c r="S1160" s="27">
        <v>0.18207454227728231</v>
      </c>
      <c r="T1160" s="16">
        <v>0.19098575451859237</v>
      </c>
      <c r="U1160" s="16">
        <v>0.19248219598993149</v>
      </c>
      <c r="V1160" s="16">
        <v>0.18908937882342647</v>
      </c>
      <c r="W1160" s="16">
        <v>0.19809927482506878</v>
      </c>
      <c r="X1160" s="16">
        <v>0.22549391323927362</v>
      </c>
      <c r="Y1160" s="16">
        <v>0.22906196426658823</v>
      </c>
      <c r="Z1160" s="16">
        <v>0.22679940630723805</v>
      </c>
      <c r="AA1160" s="16">
        <v>0.22799747859467182</v>
      </c>
      <c r="AB1160" s="16">
        <v>0.18318305193923037</v>
      </c>
      <c r="AC1160" s="16">
        <v>0.22024506835673102</v>
      </c>
      <c r="AD1160" s="16">
        <v>0.26563452887533606</v>
      </c>
      <c r="AE1160" s="64">
        <f t="shared" si="324"/>
        <v>0.26436767326723337</v>
      </c>
      <c r="AF1160" s="16">
        <v>0</v>
      </c>
      <c r="AG1160" s="16">
        <v>0</v>
      </c>
      <c r="AH1160" s="16">
        <v>0</v>
      </c>
      <c r="AI1160" s="16">
        <v>0</v>
      </c>
      <c r="AJ1160" s="16">
        <v>0</v>
      </c>
      <c r="AK1160" s="16">
        <v>0</v>
      </c>
      <c r="AL1160" s="16">
        <v>0</v>
      </c>
      <c r="AM1160" s="16">
        <v>0</v>
      </c>
      <c r="AN1160" s="16">
        <v>0</v>
      </c>
      <c r="AO1160" s="16">
        <v>0</v>
      </c>
      <c r="AP1160" s="16">
        <v>0</v>
      </c>
      <c r="AQ1160" s="16">
        <v>0</v>
      </c>
      <c r="AR1160" s="16">
        <v>0</v>
      </c>
      <c r="AS1160" s="16">
        <v>0</v>
      </c>
      <c r="AT1160" s="16">
        <v>0</v>
      </c>
      <c r="AU1160" s="16">
        <v>0</v>
      </c>
      <c r="AV1160" s="16">
        <v>0</v>
      </c>
      <c r="AW1160" s="16">
        <v>0</v>
      </c>
      <c r="AX1160" s="16">
        <v>0</v>
      </c>
      <c r="AY1160" s="16">
        <v>0</v>
      </c>
      <c r="AZ1160" s="16">
        <v>0</v>
      </c>
      <c r="BA1160" s="16">
        <v>0</v>
      </c>
      <c r="BB1160" s="16">
        <v>0</v>
      </c>
      <c r="BC1160" s="16">
        <v>0</v>
      </c>
      <c r="BD1160" s="16">
        <v>0</v>
      </c>
      <c r="BE1160" s="16">
        <v>0</v>
      </c>
      <c r="BF1160" s="16">
        <v>0</v>
      </c>
      <c r="BG1160" s="16">
        <v>0</v>
      </c>
    </row>
    <row r="1161" spans="1:59" ht="12" customHeight="1" x14ac:dyDescent="0.2">
      <c r="A1161" t="s">
        <v>137</v>
      </c>
      <c r="B1161" t="str">
        <f t="shared" si="288"/>
        <v>JPN</v>
      </c>
      <c r="C1161" t="str">
        <f t="shared" si="289"/>
        <v>RJ</v>
      </c>
      <c r="D1161" s="16">
        <f t="shared" ref="D1161:R1161" si="326">E1161*(D$1157/E$1157)</f>
        <v>0.30914808020062123</v>
      </c>
      <c r="E1161" s="16">
        <f t="shared" si="326"/>
        <v>0.3021202122240948</v>
      </c>
      <c r="F1161" s="16">
        <f t="shared" si="326"/>
        <v>0.2935187600086645</v>
      </c>
      <c r="G1161" s="16">
        <f t="shared" si="326"/>
        <v>0.3114093568707566</v>
      </c>
      <c r="H1161" s="16">
        <f t="shared" si="326"/>
        <v>0.29841845197060163</v>
      </c>
      <c r="I1161" s="16">
        <f t="shared" si="326"/>
        <v>0.30906960287011753</v>
      </c>
      <c r="J1161" s="16">
        <f t="shared" si="326"/>
        <v>0.30520410399958492</v>
      </c>
      <c r="K1161" s="16">
        <f t="shared" si="326"/>
        <v>0.24800298652569128</v>
      </c>
      <c r="L1161" s="16">
        <f t="shared" si="326"/>
        <v>0.22296146294427646</v>
      </c>
      <c r="M1161" s="16">
        <f t="shared" si="326"/>
        <v>0.23643560498204488</v>
      </c>
      <c r="N1161" s="16">
        <f t="shared" si="326"/>
        <v>0.24111840771185081</v>
      </c>
      <c r="O1161" s="16">
        <f t="shared" si="326"/>
        <v>0.24159367509867316</v>
      </c>
      <c r="P1161" s="16">
        <f t="shared" si="326"/>
        <v>0.22205559530551075</v>
      </c>
      <c r="Q1161" s="16">
        <f t="shared" si="326"/>
        <v>0.20831356348250318</v>
      </c>
      <c r="R1161" s="16">
        <f t="shared" si="326"/>
        <v>0.20094316022086767</v>
      </c>
      <c r="S1161" s="27">
        <v>0.21702649779456454</v>
      </c>
      <c r="T1161" s="16">
        <v>0.22691479814317131</v>
      </c>
      <c r="U1161" s="16">
        <v>0.23209507198334686</v>
      </c>
      <c r="V1161" s="16">
        <v>0.22377203577895574</v>
      </c>
      <c r="W1161" s="16">
        <v>0.22064933835792677</v>
      </c>
      <c r="X1161" s="16">
        <v>0.24381142746478879</v>
      </c>
      <c r="Y1161" s="16">
        <v>0.23757083567521528</v>
      </c>
      <c r="Z1161" s="16">
        <v>0.23227264722368957</v>
      </c>
      <c r="AA1161" s="16">
        <v>0.22744449466828554</v>
      </c>
      <c r="AB1161" s="16">
        <v>0.19632364048032763</v>
      </c>
      <c r="AC1161" s="16">
        <v>0.24560763151579235</v>
      </c>
      <c r="AD1161" s="16">
        <v>0.28247206132829306</v>
      </c>
      <c r="AE1161" s="64">
        <f t="shared" si="324"/>
        <v>0.28112490470471263</v>
      </c>
      <c r="AF1161" s="16">
        <v>0</v>
      </c>
      <c r="AG1161" s="16">
        <v>0</v>
      </c>
      <c r="AH1161" s="16">
        <v>0</v>
      </c>
      <c r="AI1161" s="16">
        <v>0</v>
      </c>
      <c r="AJ1161" s="16">
        <v>0</v>
      </c>
      <c r="AK1161" s="16">
        <v>0</v>
      </c>
      <c r="AL1161" s="16">
        <v>0</v>
      </c>
      <c r="AM1161" s="16">
        <v>0</v>
      </c>
      <c r="AN1161" s="16">
        <v>0</v>
      </c>
      <c r="AO1161" s="16">
        <v>0</v>
      </c>
      <c r="AP1161" s="16">
        <v>0</v>
      </c>
      <c r="AQ1161" s="16">
        <v>0</v>
      </c>
      <c r="AR1161" s="16">
        <v>0</v>
      </c>
      <c r="AS1161" s="16">
        <v>0</v>
      </c>
      <c r="AT1161" s="16">
        <v>0</v>
      </c>
      <c r="AU1161" s="16">
        <v>0</v>
      </c>
      <c r="AV1161" s="16">
        <v>0</v>
      </c>
      <c r="AW1161" s="16">
        <v>0</v>
      </c>
      <c r="AX1161" s="16">
        <v>0</v>
      </c>
      <c r="AY1161" s="16">
        <v>0</v>
      </c>
      <c r="AZ1161" s="16">
        <v>0</v>
      </c>
      <c r="BA1161" s="16">
        <v>0</v>
      </c>
      <c r="BB1161" s="16">
        <v>0</v>
      </c>
      <c r="BC1161" s="16">
        <v>0</v>
      </c>
      <c r="BD1161" s="16">
        <v>0</v>
      </c>
      <c r="BE1161" s="16">
        <v>0</v>
      </c>
      <c r="BF1161" s="16">
        <v>0</v>
      </c>
      <c r="BG1161" s="16">
        <v>0</v>
      </c>
    </row>
    <row r="1162" spans="1:59" ht="12" customHeight="1" x14ac:dyDescent="0.2">
      <c r="A1162" t="s">
        <v>138</v>
      </c>
      <c r="B1162" t="str">
        <f t="shared" si="288"/>
        <v>ANZ</v>
      </c>
      <c r="C1162" t="str">
        <f t="shared" si="289"/>
        <v>RJ</v>
      </c>
      <c r="D1162" s="16">
        <f t="shared" ref="D1162:R1162" si="327">E1162*(D$1157/E$1157)</f>
        <v>0.29591729757842439</v>
      </c>
      <c r="E1162" s="16">
        <f t="shared" si="327"/>
        <v>0.28919020518308408</v>
      </c>
      <c r="F1162" s="16">
        <f t="shared" si="327"/>
        <v>0.28095687411019399</v>
      </c>
      <c r="G1162" s="16">
        <f t="shared" si="327"/>
        <v>0.29808179713109617</v>
      </c>
      <c r="H1162" s="16">
        <f t="shared" si="327"/>
        <v>0.28564687122549953</v>
      </c>
      <c r="I1162" s="16">
        <f t="shared" si="327"/>
        <v>0.29584217888595582</v>
      </c>
      <c r="J1162" s="16">
        <f t="shared" si="327"/>
        <v>0.29214211392414802</v>
      </c>
      <c r="K1162" s="16">
        <f t="shared" si="327"/>
        <v>0.23738906454290665</v>
      </c>
      <c r="L1162" s="16">
        <f t="shared" si="327"/>
        <v>0.21341925699744232</v>
      </c>
      <c r="M1162" s="16">
        <f t="shared" si="327"/>
        <v>0.22631673867165089</v>
      </c>
      <c r="N1162" s="16">
        <f t="shared" si="327"/>
        <v>0.23079912888412699</v>
      </c>
      <c r="O1162" s="16">
        <f t="shared" si="327"/>
        <v>0.23125405598781257</v>
      </c>
      <c r="P1162" s="16">
        <f t="shared" si="327"/>
        <v>0.21255215828069357</v>
      </c>
      <c r="Q1162" s="16">
        <f t="shared" si="327"/>
        <v>0.19939825184963259</v>
      </c>
      <c r="R1162" s="16">
        <f t="shared" si="327"/>
        <v>0.19234328384261468</v>
      </c>
      <c r="S1162" s="27">
        <v>0.2077382938577548</v>
      </c>
      <c r="T1162" s="16">
        <v>0.25250183980360769</v>
      </c>
      <c r="U1162" s="16">
        <v>0.24238879824764192</v>
      </c>
      <c r="V1162" s="16">
        <v>0.23691004581558206</v>
      </c>
      <c r="W1162" s="16">
        <v>0.2518672863992712</v>
      </c>
      <c r="X1162" s="16">
        <v>0.26276536979336085</v>
      </c>
      <c r="Y1162" s="16">
        <v>0.27654791986591576</v>
      </c>
      <c r="Z1162" s="16">
        <v>0.28931483138055036</v>
      </c>
      <c r="AA1162" s="16">
        <v>0.2930580851767226</v>
      </c>
      <c r="AB1162" s="16">
        <v>0.23638104272589955</v>
      </c>
      <c r="AC1162" s="16">
        <v>0.25927607063308122</v>
      </c>
      <c r="AD1162" s="16">
        <v>0.30614027607677108</v>
      </c>
      <c r="AE1162" s="64">
        <f t="shared" si="324"/>
        <v>0.30468024176852054</v>
      </c>
      <c r="AF1162" s="16">
        <v>0</v>
      </c>
      <c r="AG1162" s="16">
        <v>0</v>
      </c>
      <c r="AH1162" s="16">
        <v>0</v>
      </c>
      <c r="AI1162" s="16">
        <v>0</v>
      </c>
      <c r="AJ1162" s="16">
        <v>0</v>
      </c>
      <c r="AK1162" s="16">
        <v>0</v>
      </c>
      <c r="AL1162" s="16">
        <v>0</v>
      </c>
      <c r="AM1162" s="16">
        <v>0</v>
      </c>
      <c r="AN1162" s="16">
        <v>0</v>
      </c>
      <c r="AO1162" s="16">
        <v>0</v>
      </c>
      <c r="AP1162" s="16">
        <v>0</v>
      </c>
      <c r="AQ1162" s="16">
        <v>0</v>
      </c>
      <c r="AR1162" s="16">
        <v>0</v>
      </c>
      <c r="AS1162" s="16">
        <v>0</v>
      </c>
      <c r="AT1162" s="16">
        <v>0</v>
      </c>
      <c r="AU1162" s="16">
        <v>0</v>
      </c>
      <c r="AV1162" s="16">
        <v>0</v>
      </c>
      <c r="AW1162" s="16">
        <v>0</v>
      </c>
      <c r="AX1162" s="16">
        <v>0</v>
      </c>
      <c r="AY1162" s="16">
        <v>0</v>
      </c>
      <c r="AZ1162" s="16">
        <v>0</v>
      </c>
      <c r="BA1162" s="16">
        <v>0</v>
      </c>
      <c r="BB1162" s="16">
        <v>0</v>
      </c>
      <c r="BC1162" s="16">
        <v>0</v>
      </c>
      <c r="BD1162" s="16">
        <v>0</v>
      </c>
      <c r="BE1162" s="16">
        <v>0</v>
      </c>
      <c r="BF1162" s="16">
        <v>0</v>
      </c>
      <c r="BG1162" s="16">
        <v>0</v>
      </c>
    </row>
    <row r="1163" spans="1:59" ht="12" customHeight="1" x14ac:dyDescent="0.2">
      <c r="A1163" t="s">
        <v>139</v>
      </c>
      <c r="B1163" t="str">
        <f t="shared" si="288"/>
        <v>SKO</v>
      </c>
      <c r="C1163" t="str">
        <f t="shared" si="289"/>
        <v>RJ</v>
      </c>
      <c r="D1163" s="16">
        <f t="shared" ref="D1163:R1163" si="328">E1163*(D$1157/E$1157)</f>
        <v>0.29990847180381175</v>
      </c>
      <c r="E1163" s="16">
        <f t="shared" si="328"/>
        <v>0.29309064798452361</v>
      </c>
      <c r="F1163" s="16">
        <f t="shared" si="328"/>
        <v>0.28474627014608078</v>
      </c>
      <c r="G1163" s="16">
        <f t="shared" si="328"/>
        <v>0.30210216496867243</v>
      </c>
      <c r="H1163" s="16">
        <f t="shared" si="328"/>
        <v>0.28949952343382684</v>
      </c>
      <c r="I1163" s="16">
        <f t="shared" si="328"/>
        <v>0.29983233995059971</v>
      </c>
      <c r="J1163" s="16">
        <f t="shared" si="328"/>
        <v>0.29608237049172914</v>
      </c>
      <c r="K1163" s="16">
        <f t="shared" si="328"/>
        <v>0.24059084126750438</v>
      </c>
      <c r="L1163" s="16">
        <f t="shared" si="328"/>
        <v>0.21629774177917013</v>
      </c>
      <c r="M1163" s="16">
        <f t="shared" si="328"/>
        <v>0.22936917778741647</v>
      </c>
      <c r="N1163" s="16">
        <f t="shared" si="328"/>
        <v>0.23391202408147535</v>
      </c>
      <c r="O1163" s="16">
        <f t="shared" si="328"/>
        <v>0.23437308699859771</v>
      </c>
      <c r="P1163" s="16">
        <f t="shared" si="328"/>
        <v>0.21541894809873566</v>
      </c>
      <c r="Q1163" s="16">
        <f t="shared" si="328"/>
        <v>0.20208762881367653</v>
      </c>
      <c r="R1163" s="16">
        <f t="shared" si="328"/>
        <v>0.19493750717183916</v>
      </c>
      <c r="S1163" s="27">
        <v>0.2105401568473669</v>
      </c>
      <c r="T1163" s="16">
        <v>0.23609497110533464</v>
      </c>
      <c r="U1163" s="16">
        <v>0.23801692001974362</v>
      </c>
      <c r="V1163" s="16">
        <v>0.22941757760680084</v>
      </c>
      <c r="W1163" s="16">
        <v>0.25266923500643007</v>
      </c>
      <c r="X1163" s="16">
        <v>0.36821691803339657</v>
      </c>
      <c r="Y1163" s="16">
        <v>0.36730499077866979</v>
      </c>
      <c r="Z1163" s="16">
        <v>0.35975342271516947</v>
      </c>
      <c r="AA1163" s="16">
        <v>0.35729862276817981</v>
      </c>
      <c r="AB1163" s="16">
        <v>0.27345915636448126</v>
      </c>
      <c r="AC1163" s="16">
        <v>0.25415679603886204</v>
      </c>
      <c r="AD1163" s="16">
        <v>0.29200026028110354</v>
      </c>
      <c r="AE1163" s="64">
        <f t="shared" si="324"/>
        <v>0.29060766207908983</v>
      </c>
      <c r="AF1163" s="16">
        <v>0</v>
      </c>
      <c r="AG1163" s="16">
        <v>0</v>
      </c>
      <c r="AH1163" s="16">
        <v>0</v>
      </c>
      <c r="AI1163" s="16">
        <v>0</v>
      </c>
      <c r="AJ1163" s="16">
        <v>0</v>
      </c>
      <c r="AK1163" s="16">
        <v>0</v>
      </c>
      <c r="AL1163" s="16">
        <v>0</v>
      </c>
      <c r="AM1163" s="16">
        <v>0</v>
      </c>
      <c r="AN1163" s="16">
        <v>0</v>
      </c>
      <c r="AO1163" s="16">
        <v>0</v>
      </c>
      <c r="AP1163" s="16">
        <v>0</v>
      </c>
      <c r="AQ1163" s="16">
        <v>0</v>
      </c>
      <c r="AR1163" s="16">
        <v>0</v>
      </c>
      <c r="AS1163" s="16">
        <v>0</v>
      </c>
      <c r="AT1163" s="16">
        <v>0</v>
      </c>
      <c r="AU1163" s="16">
        <v>0</v>
      </c>
      <c r="AV1163" s="16">
        <v>0</v>
      </c>
      <c r="AW1163" s="16">
        <v>0</v>
      </c>
      <c r="AX1163" s="16">
        <v>0</v>
      </c>
      <c r="AY1163" s="16">
        <v>0</v>
      </c>
      <c r="AZ1163" s="16">
        <v>0</v>
      </c>
      <c r="BA1163" s="16">
        <v>0</v>
      </c>
      <c r="BB1163" s="16">
        <v>0</v>
      </c>
      <c r="BC1163" s="16">
        <v>0</v>
      </c>
      <c r="BD1163" s="16">
        <v>0</v>
      </c>
      <c r="BE1163" s="16">
        <v>0</v>
      </c>
      <c r="BF1163" s="16">
        <v>0</v>
      </c>
      <c r="BG1163" s="16">
        <v>0</v>
      </c>
    </row>
    <row r="1164" spans="1:59" ht="12" customHeight="1" x14ac:dyDescent="0.2">
      <c r="A1164" t="s">
        <v>140</v>
      </c>
      <c r="B1164" t="str">
        <f t="shared" si="288"/>
        <v>RUS</v>
      </c>
      <c r="C1164" t="str">
        <f t="shared" si="289"/>
        <v>RJ</v>
      </c>
      <c r="D1164" s="16">
        <f t="shared" ref="D1164:R1164" si="329">E1164*(D$1157/E$1157)</f>
        <v>0.40516258674060707</v>
      </c>
      <c r="E1164" s="16">
        <f t="shared" si="329"/>
        <v>0.3959520195367186</v>
      </c>
      <c r="F1164" s="16">
        <f t="shared" si="329"/>
        <v>0.38467914788547658</v>
      </c>
      <c r="G1164" s="16">
        <f t="shared" si="329"/>
        <v>0.40812616556798859</v>
      </c>
      <c r="H1164" s="16">
        <f t="shared" si="329"/>
        <v>0.39110057501593887</v>
      </c>
      <c r="I1164" s="16">
        <f t="shared" si="329"/>
        <v>0.40505973609955909</v>
      </c>
      <c r="J1164" s="16">
        <f t="shared" si="329"/>
        <v>0.3999936993950402</v>
      </c>
      <c r="K1164" s="16">
        <f t="shared" si="329"/>
        <v>0.32502718915458778</v>
      </c>
      <c r="L1164" s="16">
        <f t="shared" si="329"/>
        <v>0.29220832622136894</v>
      </c>
      <c r="M1164" s="16">
        <f t="shared" si="329"/>
        <v>0.30986723660046578</v>
      </c>
      <c r="N1164" s="16">
        <f t="shared" si="329"/>
        <v>0.31600441353513375</v>
      </c>
      <c r="O1164" s="16">
        <f t="shared" si="329"/>
        <v>0.31662728838434334</v>
      </c>
      <c r="P1164" s="16">
        <f t="shared" si="329"/>
        <v>0.29102111627483218</v>
      </c>
      <c r="Q1164" s="16">
        <f t="shared" si="329"/>
        <v>0.27301111551122303</v>
      </c>
      <c r="R1164" s="16">
        <f t="shared" si="329"/>
        <v>0.26335162919363775</v>
      </c>
      <c r="S1164" s="27">
        <v>0.2844300931147225</v>
      </c>
      <c r="T1164" s="16">
        <v>0.31252416935264454</v>
      </c>
      <c r="U1164" s="16">
        <v>0.34824799065235423</v>
      </c>
      <c r="V1164" s="16">
        <v>0.32598861621869379</v>
      </c>
      <c r="W1164" s="16">
        <v>0.29195472475007889</v>
      </c>
      <c r="X1164" s="16">
        <v>0.28325607517581769</v>
      </c>
      <c r="Y1164" s="16">
        <v>0.31601292132334441</v>
      </c>
      <c r="Z1164" s="16">
        <v>0.30026241938341997</v>
      </c>
      <c r="AA1164" s="16">
        <v>0.29476668315504823</v>
      </c>
      <c r="AB1164" s="16">
        <v>0.21685934996371914</v>
      </c>
      <c r="AC1164" s="16">
        <v>0.24450674764831865</v>
      </c>
      <c r="AD1164" s="16">
        <v>0.29109970797153667</v>
      </c>
      <c r="AE1164" s="64">
        <f t="shared" si="324"/>
        <v>0.28971140465448614</v>
      </c>
      <c r="AF1164" s="16">
        <v>0</v>
      </c>
      <c r="AG1164" s="16">
        <v>0</v>
      </c>
      <c r="AH1164" s="16">
        <v>0</v>
      </c>
      <c r="AI1164" s="16">
        <v>0</v>
      </c>
      <c r="AJ1164" s="16">
        <v>0</v>
      </c>
      <c r="AK1164" s="16">
        <v>0</v>
      </c>
      <c r="AL1164" s="16">
        <v>0</v>
      </c>
      <c r="AM1164" s="16">
        <v>0</v>
      </c>
      <c r="AN1164" s="16">
        <v>0</v>
      </c>
      <c r="AO1164" s="16">
        <v>0</v>
      </c>
      <c r="AP1164" s="16">
        <v>0</v>
      </c>
      <c r="AQ1164" s="16">
        <v>0</v>
      </c>
      <c r="AR1164" s="16">
        <v>0</v>
      </c>
      <c r="AS1164" s="16">
        <v>0</v>
      </c>
      <c r="AT1164" s="16">
        <v>0</v>
      </c>
      <c r="AU1164" s="16">
        <v>0</v>
      </c>
      <c r="AV1164" s="16">
        <v>0</v>
      </c>
      <c r="AW1164" s="16">
        <v>0</v>
      </c>
      <c r="AX1164" s="16">
        <v>0</v>
      </c>
      <c r="AY1164" s="16">
        <v>0</v>
      </c>
      <c r="AZ1164" s="16">
        <v>0</v>
      </c>
      <c r="BA1164" s="16">
        <v>0</v>
      </c>
      <c r="BB1164" s="16">
        <v>0</v>
      </c>
      <c r="BC1164" s="16">
        <v>0</v>
      </c>
      <c r="BD1164" s="16">
        <v>0</v>
      </c>
      <c r="BE1164" s="16">
        <v>0</v>
      </c>
      <c r="BF1164" s="16">
        <v>0</v>
      </c>
      <c r="BG1164" s="16">
        <v>0</v>
      </c>
    </row>
    <row r="1165" spans="1:59" ht="12" customHeight="1" x14ac:dyDescent="0.2">
      <c r="A1165" t="s">
        <v>141</v>
      </c>
      <c r="B1165" t="str">
        <f t="shared" si="288"/>
        <v>URA</v>
      </c>
      <c r="C1165" t="str">
        <f t="shared" si="289"/>
        <v>RJ</v>
      </c>
      <c r="D1165" s="16">
        <f t="shared" ref="D1165:R1165" si="330">E1165*(D$1157/E$1157)</f>
        <v>0.41203239472389791</v>
      </c>
      <c r="E1165" s="16">
        <f t="shared" si="330"/>
        <v>0.40266565607136473</v>
      </c>
      <c r="F1165" s="16">
        <f t="shared" si="330"/>
        <v>0.39120164519306005</v>
      </c>
      <c r="G1165" s="16">
        <f t="shared" si="330"/>
        <v>0.4150462230514893</v>
      </c>
      <c r="H1165" s="16">
        <f t="shared" si="330"/>
        <v>0.3977319519999995</v>
      </c>
      <c r="I1165" s="16">
        <f t="shared" si="330"/>
        <v>0.41192780018008573</v>
      </c>
      <c r="J1165" s="16">
        <f t="shared" si="330"/>
        <v>0.40677586536815197</v>
      </c>
      <c r="K1165" s="16">
        <f t="shared" si="330"/>
        <v>0.33053824681863192</v>
      </c>
      <c r="L1165" s="16">
        <f t="shared" si="330"/>
        <v>0.29716291768157405</v>
      </c>
      <c r="M1165" s="16">
        <f t="shared" si="330"/>
        <v>0.31512124692970928</v>
      </c>
      <c r="N1165" s="16">
        <f t="shared" si="330"/>
        <v>0.32136248388492317</v>
      </c>
      <c r="O1165" s="16">
        <f t="shared" si="330"/>
        <v>0.32199592000200822</v>
      </c>
      <c r="P1165" s="16">
        <f t="shared" si="330"/>
        <v>0.29595557778070425</v>
      </c>
      <c r="Q1165" s="16">
        <f t="shared" si="330"/>
        <v>0.27764020517114002</v>
      </c>
      <c r="R1165" s="16">
        <f t="shared" si="330"/>
        <v>0.26781693567516984</v>
      </c>
      <c r="S1165" s="27">
        <v>0.28925279932776854</v>
      </c>
      <c r="T1165" s="16">
        <v>0.23565234346014227</v>
      </c>
      <c r="U1165" s="16">
        <v>0.22050896505061934</v>
      </c>
      <c r="V1165" s="16">
        <v>0.15812243575571253</v>
      </c>
      <c r="W1165" s="16">
        <v>0.16566478303500284</v>
      </c>
      <c r="X1165" s="16">
        <v>0.17995259094855215</v>
      </c>
      <c r="Y1165" s="16">
        <v>0.18374856151474275</v>
      </c>
      <c r="Z1165" s="16">
        <v>0.19238386853510595</v>
      </c>
      <c r="AA1165" s="16">
        <v>0.181663132183041</v>
      </c>
      <c r="AB1165" s="16">
        <v>0.13464295911816521</v>
      </c>
      <c r="AC1165" s="16">
        <v>0.22462978021936</v>
      </c>
      <c r="AD1165" s="16">
        <v>0.27854793786722204</v>
      </c>
      <c r="AE1165" s="64">
        <f t="shared" si="324"/>
        <v>0.27721949604639939</v>
      </c>
      <c r="AF1165" s="16">
        <v>0</v>
      </c>
      <c r="AG1165" s="16">
        <v>0</v>
      </c>
      <c r="AH1165" s="16">
        <v>0</v>
      </c>
      <c r="AI1165" s="16">
        <v>0</v>
      </c>
      <c r="AJ1165" s="16">
        <v>0</v>
      </c>
      <c r="AK1165" s="16">
        <v>0</v>
      </c>
      <c r="AL1165" s="16">
        <v>0</v>
      </c>
      <c r="AM1165" s="16">
        <v>0</v>
      </c>
      <c r="AN1165" s="16">
        <v>0</v>
      </c>
      <c r="AO1165" s="16">
        <v>0</v>
      </c>
      <c r="AP1165" s="16">
        <v>0</v>
      </c>
      <c r="AQ1165" s="16">
        <v>0</v>
      </c>
      <c r="AR1165" s="16">
        <v>0</v>
      </c>
      <c r="AS1165" s="16">
        <v>0</v>
      </c>
      <c r="AT1165" s="16">
        <v>0</v>
      </c>
      <c r="AU1165" s="16">
        <v>0</v>
      </c>
      <c r="AV1165" s="16">
        <v>0</v>
      </c>
      <c r="AW1165" s="16">
        <v>0</v>
      </c>
      <c r="AX1165" s="16">
        <v>0</v>
      </c>
      <c r="AY1165" s="16">
        <v>0</v>
      </c>
      <c r="AZ1165" s="16">
        <v>0</v>
      </c>
      <c r="BA1165" s="16">
        <v>0</v>
      </c>
      <c r="BB1165" s="16">
        <v>0</v>
      </c>
      <c r="BC1165" s="16">
        <v>0</v>
      </c>
      <c r="BD1165" s="16">
        <v>0</v>
      </c>
      <c r="BE1165" s="16">
        <v>0</v>
      </c>
      <c r="BF1165" s="16">
        <v>0</v>
      </c>
      <c r="BG1165" s="16">
        <v>0</v>
      </c>
    </row>
    <row r="1166" spans="1:59" ht="12" customHeight="1" x14ac:dyDescent="0.2">
      <c r="A1166" t="s">
        <v>142</v>
      </c>
      <c r="B1166" t="str">
        <f t="shared" si="288"/>
        <v>CHI</v>
      </c>
      <c r="C1166" t="str">
        <f t="shared" si="289"/>
        <v>RJ</v>
      </c>
      <c r="D1166" s="16">
        <f t="shared" ref="D1166:R1166" si="331">E1166*(D$1157/E$1157)</f>
        <v>0.22527340388317424</v>
      </c>
      <c r="E1166" s="16">
        <f t="shared" si="331"/>
        <v>0.22015226019020273</v>
      </c>
      <c r="F1166" s="16">
        <f t="shared" si="331"/>
        <v>0.21388445992551727</v>
      </c>
      <c r="G1166" s="16">
        <f t="shared" si="331"/>
        <v>0.22692117569619155</v>
      </c>
      <c r="H1166" s="16">
        <f t="shared" si="331"/>
        <v>0.21745482104672595</v>
      </c>
      <c r="I1166" s="16">
        <f t="shared" si="331"/>
        <v>0.22521621816376508</v>
      </c>
      <c r="J1166" s="16">
        <f t="shared" si="331"/>
        <v>0.22239946417420012</v>
      </c>
      <c r="K1166" s="16">
        <f t="shared" si="331"/>
        <v>0.18071752834945537</v>
      </c>
      <c r="L1166" s="16">
        <f t="shared" si="331"/>
        <v>0.16246999709535459</v>
      </c>
      <c r="M1166" s="16">
        <f t="shared" si="331"/>
        <v>0.1722884822668739</v>
      </c>
      <c r="N1166" s="16">
        <f t="shared" si="331"/>
        <v>0.17570079817054124</v>
      </c>
      <c r="O1166" s="16">
        <f t="shared" si="331"/>
        <v>0.17604712120743232</v>
      </c>
      <c r="P1166" s="16">
        <f t="shared" si="331"/>
        <v>0.16180989955788991</v>
      </c>
      <c r="Q1166" s="16">
        <f t="shared" si="331"/>
        <v>0.15179620552805523</v>
      </c>
      <c r="R1166" s="16">
        <f t="shared" si="331"/>
        <v>0.14642545947760977</v>
      </c>
      <c r="S1166" s="27">
        <v>0.15814524178606729</v>
      </c>
      <c r="T1166" s="16">
        <v>0.14417802346056499</v>
      </c>
      <c r="U1166" s="16">
        <v>0.14045577938889586</v>
      </c>
      <c r="V1166" s="16">
        <v>0.14076623443267924</v>
      </c>
      <c r="W1166" s="16">
        <v>0.14592126467466612</v>
      </c>
      <c r="X1166" s="16">
        <v>0.16334195261594345</v>
      </c>
      <c r="Y1166" s="16">
        <v>0.15916355640525448</v>
      </c>
      <c r="Z1166" s="16">
        <v>0.1573740107870269</v>
      </c>
      <c r="AA1166" s="16">
        <v>0.15624593073396145</v>
      </c>
      <c r="AB1166" s="16">
        <v>0.13313448406952094</v>
      </c>
      <c r="AC1166" s="16">
        <v>0.19181114120113454</v>
      </c>
      <c r="AD1166" s="16">
        <v>0.23034823316838796</v>
      </c>
      <c r="AE1166" s="64">
        <f t="shared" si="324"/>
        <v>0.22924966382109174</v>
      </c>
      <c r="AF1166" s="16">
        <v>0</v>
      </c>
      <c r="AG1166" s="16">
        <v>0</v>
      </c>
      <c r="AH1166" s="16">
        <v>0</v>
      </c>
      <c r="AI1166" s="16">
        <v>0</v>
      </c>
      <c r="AJ1166" s="16">
        <v>0</v>
      </c>
      <c r="AK1166" s="16">
        <v>0</v>
      </c>
      <c r="AL1166" s="16">
        <v>0</v>
      </c>
      <c r="AM1166" s="16">
        <v>0</v>
      </c>
      <c r="AN1166" s="16">
        <v>0</v>
      </c>
      <c r="AO1166" s="16">
        <v>0</v>
      </c>
      <c r="AP1166" s="16">
        <v>0</v>
      </c>
      <c r="AQ1166" s="16">
        <v>0</v>
      </c>
      <c r="AR1166" s="16">
        <v>0</v>
      </c>
      <c r="AS1166" s="16">
        <v>0</v>
      </c>
      <c r="AT1166" s="16">
        <v>0</v>
      </c>
      <c r="AU1166" s="16">
        <v>0</v>
      </c>
      <c r="AV1166" s="16">
        <v>0</v>
      </c>
      <c r="AW1166" s="16">
        <v>0</v>
      </c>
      <c r="AX1166" s="16">
        <v>0</v>
      </c>
      <c r="AY1166" s="16">
        <v>0</v>
      </c>
      <c r="AZ1166" s="16">
        <v>0</v>
      </c>
      <c r="BA1166" s="16">
        <v>0</v>
      </c>
      <c r="BB1166" s="16">
        <v>0</v>
      </c>
      <c r="BC1166" s="16">
        <v>0</v>
      </c>
      <c r="BD1166" s="16">
        <v>0</v>
      </c>
      <c r="BE1166" s="16">
        <v>0</v>
      </c>
      <c r="BF1166" s="16">
        <v>0</v>
      </c>
      <c r="BG1166" s="16">
        <v>0</v>
      </c>
    </row>
    <row r="1167" spans="1:59" ht="12" customHeight="1" x14ac:dyDescent="0.2">
      <c r="A1167" t="s">
        <v>143</v>
      </c>
      <c r="B1167" t="str">
        <f t="shared" si="288"/>
        <v>IND</v>
      </c>
      <c r="C1167" t="str">
        <f t="shared" si="289"/>
        <v>RJ</v>
      </c>
      <c r="D1167" s="16">
        <f t="shared" ref="D1167:R1167" si="332">E1167*(D$1157/E$1157)</f>
        <v>0.25371769875007333</v>
      </c>
      <c r="E1167" s="16">
        <f t="shared" si="332"/>
        <v>0.24794993047227426</v>
      </c>
      <c r="F1167" s="16">
        <f t="shared" si="332"/>
        <v>0.24089072227472869</v>
      </c>
      <c r="G1167" s="16">
        <f t="shared" si="332"/>
        <v>0.25557352755745794</v>
      </c>
      <c r="H1167" s="16">
        <f t="shared" si="332"/>
        <v>0.24491189739689084</v>
      </c>
      <c r="I1167" s="16">
        <f t="shared" si="332"/>
        <v>0.2536532924380997</v>
      </c>
      <c r="J1167" s="16">
        <f t="shared" si="332"/>
        <v>0.25048087914892098</v>
      </c>
      <c r="K1167" s="16">
        <f t="shared" si="332"/>
        <v>0.20353594621584004</v>
      </c>
      <c r="L1167" s="16">
        <f t="shared" si="332"/>
        <v>0.18298437839711323</v>
      </c>
      <c r="M1167" s="16">
        <f t="shared" si="332"/>
        <v>0.19404260107226526</v>
      </c>
      <c r="N1167" s="16">
        <f t="shared" si="332"/>
        <v>0.19788577529329196</v>
      </c>
      <c r="O1167" s="16">
        <f t="shared" si="332"/>
        <v>0.19827582703677124</v>
      </c>
      <c r="P1167" s="16">
        <f t="shared" si="332"/>
        <v>0.18224093320886994</v>
      </c>
      <c r="Q1167" s="16">
        <f t="shared" si="332"/>
        <v>0.17096285350020368</v>
      </c>
      <c r="R1167" s="16">
        <f t="shared" si="332"/>
        <v>0.16491396665869826</v>
      </c>
      <c r="S1167" s="27">
        <v>0.17811355500733311</v>
      </c>
      <c r="T1167" s="16">
        <v>0.19269024972344062</v>
      </c>
      <c r="U1167" s="16">
        <v>0.20777010532849607</v>
      </c>
      <c r="V1167" s="16">
        <v>0.19949003515543345</v>
      </c>
      <c r="W1167" s="16">
        <v>0.2076559040193629</v>
      </c>
      <c r="X1167" s="16">
        <v>0.2295932163649328</v>
      </c>
      <c r="Y1167" s="16">
        <v>0.23468238941743602</v>
      </c>
      <c r="Z1167" s="16">
        <v>0.23345812852534414</v>
      </c>
      <c r="AA1167" s="16">
        <v>0.23101069747074818</v>
      </c>
      <c r="AB1167" s="16">
        <v>0.1904279165444035</v>
      </c>
      <c r="AC1167" s="16">
        <v>0.23968494406214361</v>
      </c>
      <c r="AD1167" s="16">
        <v>0.29099849059124877</v>
      </c>
      <c r="AE1167" s="64">
        <f t="shared" si="324"/>
        <v>0.28961066999685631</v>
      </c>
      <c r="AF1167" s="16">
        <v>0</v>
      </c>
      <c r="AG1167" s="16">
        <v>0</v>
      </c>
      <c r="AH1167" s="16">
        <v>0</v>
      </c>
      <c r="AI1167" s="16">
        <v>0</v>
      </c>
      <c r="AJ1167" s="16">
        <v>0</v>
      </c>
      <c r="AK1167" s="16">
        <v>0</v>
      </c>
      <c r="AL1167" s="16">
        <v>0</v>
      </c>
      <c r="AM1167" s="16">
        <v>0</v>
      </c>
      <c r="AN1167" s="16">
        <v>0</v>
      </c>
      <c r="AO1167" s="16">
        <v>0</v>
      </c>
      <c r="AP1167" s="16">
        <v>0</v>
      </c>
      <c r="AQ1167" s="16">
        <v>0</v>
      </c>
      <c r="AR1167" s="16">
        <v>0</v>
      </c>
      <c r="AS1167" s="16">
        <v>0</v>
      </c>
      <c r="AT1167" s="16">
        <v>0</v>
      </c>
      <c r="AU1167" s="16">
        <v>0</v>
      </c>
      <c r="AV1167" s="16">
        <v>0</v>
      </c>
      <c r="AW1167" s="16">
        <v>0</v>
      </c>
      <c r="AX1167" s="16">
        <v>0</v>
      </c>
      <c r="AY1167" s="16">
        <v>0</v>
      </c>
      <c r="AZ1167" s="16">
        <v>0</v>
      </c>
      <c r="BA1167" s="16">
        <v>0</v>
      </c>
      <c r="BB1167" s="16">
        <v>0</v>
      </c>
      <c r="BC1167" s="16">
        <v>0</v>
      </c>
      <c r="BD1167" s="16">
        <v>0</v>
      </c>
      <c r="BE1167" s="16">
        <v>0</v>
      </c>
      <c r="BF1167" s="16">
        <v>0</v>
      </c>
      <c r="BG1167" s="16">
        <v>0</v>
      </c>
    </row>
    <row r="1168" spans="1:59" ht="12" customHeight="1" x14ac:dyDescent="0.2">
      <c r="A1168" t="s">
        <v>144</v>
      </c>
      <c r="B1168" t="str">
        <f t="shared" si="288"/>
        <v>OAS</v>
      </c>
      <c r="C1168" t="str">
        <f t="shared" si="289"/>
        <v>RJ</v>
      </c>
      <c r="D1168" s="16">
        <f t="shared" ref="D1168:R1168" si="333">E1168*(D$1157/E$1157)</f>
        <v>0.29324656891042328</v>
      </c>
      <c r="E1168" s="16">
        <f t="shared" si="333"/>
        <v>0.28658019023023096</v>
      </c>
      <c r="F1168" s="16">
        <f t="shared" si="333"/>
        <v>0.27842116705860065</v>
      </c>
      <c r="G1168" s="16">
        <f t="shared" si="333"/>
        <v>0.29539153330562207</v>
      </c>
      <c r="H1168" s="16">
        <f t="shared" si="333"/>
        <v>0.28306883576035557</v>
      </c>
      <c r="I1168" s="16">
        <f t="shared" si="333"/>
        <v>0.29317212818320765</v>
      </c>
      <c r="J1168" s="16">
        <f t="shared" si="333"/>
        <v>0.28950545724617582</v>
      </c>
      <c r="K1168" s="16">
        <f t="shared" si="333"/>
        <v>0.23524656802332872</v>
      </c>
      <c r="L1168" s="16">
        <f t="shared" si="333"/>
        <v>0.21149309407073649</v>
      </c>
      <c r="M1168" s="16">
        <f t="shared" si="333"/>
        <v>0.2242741727014792</v>
      </c>
      <c r="N1168" s="16">
        <f t="shared" si="333"/>
        <v>0.22871610820536073</v>
      </c>
      <c r="O1168" s="16">
        <f t="shared" si="333"/>
        <v>0.22916692947654646</v>
      </c>
      <c r="P1168" s="16">
        <f t="shared" si="333"/>
        <v>0.21063382113983994</v>
      </c>
      <c r="Q1168" s="16">
        <f t="shared" si="333"/>
        <v>0.19759863205071579</v>
      </c>
      <c r="R1168" s="16">
        <f t="shared" si="333"/>
        <v>0.1906073369194046</v>
      </c>
      <c r="S1168" s="27">
        <v>0.20586340306432133</v>
      </c>
      <c r="T1168" s="16">
        <v>0.22309571869385894</v>
      </c>
      <c r="U1168" s="16">
        <v>0.24930989637906015</v>
      </c>
      <c r="V1168" s="16">
        <v>0.25617968545618547</v>
      </c>
      <c r="W1168" s="16">
        <v>0.24746948484488918</v>
      </c>
      <c r="X1168" s="16">
        <v>0.27581975654964319</v>
      </c>
      <c r="Y1168" s="16">
        <v>0.28324577084676339</v>
      </c>
      <c r="Z1168" s="16">
        <v>0.27933143770559699</v>
      </c>
      <c r="AA1168" s="16">
        <v>0.28348855777371657</v>
      </c>
      <c r="AB1168" s="16">
        <v>0.23691318626183758</v>
      </c>
      <c r="AC1168" s="16">
        <v>0.28870250704326028</v>
      </c>
      <c r="AD1168" s="16">
        <v>0.34345272049368974</v>
      </c>
      <c r="AE1168" s="64">
        <f t="shared" si="324"/>
        <v>0.34181473688170327</v>
      </c>
      <c r="AF1168" s="16">
        <v>0</v>
      </c>
      <c r="AG1168" s="16">
        <v>0</v>
      </c>
      <c r="AH1168" s="16">
        <v>0</v>
      </c>
      <c r="AI1168" s="16">
        <v>0</v>
      </c>
      <c r="AJ1168" s="16">
        <v>0</v>
      </c>
      <c r="AK1168" s="16">
        <v>0</v>
      </c>
      <c r="AL1168" s="16">
        <v>0</v>
      </c>
      <c r="AM1168" s="16">
        <v>0</v>
      </c>
      <c r="AN1168" s="16">
        <v>0</v>
      </c>
      <c r="AO1168" s="16">
        <v>0</v>
      </c>
      <c r="AP1168" s="16">
        <v>0</v>
      </c>
      <c r="AQ1168" s="16">
        <v>0</v>
      </c>
      <c r="AR1168" s="16">
        <v>0</v>
      </c>
      <c r="AS1168" s="16">
        <v>0</v>
      </c>
      <c r="AT1168" s="16">
        <v>0</v>
      </c>
      <c r="AU1168" s="16">
        <v>0</v>
      </c>
      <c r="AV1168" s="16">
        <v>0</v>
      </c>
      <c r="AW1168" s="16">
        <v>0</v>
      </c>
      <c r="AX1168" s="16">
        <v>0</v>
      </c>
      <c r="AY1168" s="16">
        <v>0</v>
      </c>
      <c r="AZ1168" s="16">
        <v>0</v>
      </c>
      <c r="BA1168" s="16">
        <v>0</v>
      </c>
      <c r="BB1168" s="16">
        <v>0</v>
      </c>
      <c r="BC1168" s="16">
        <v>0</v>
      </c>
      <c r="BD1168" s="16">
        <v>0</v>
      </c>
      <c r="BE1168" s="16">
        <v>0</v>
      </c>
      <c r="BF1168" s="16">
        <v>0</v>
      </c>
      <c r="BG1168" s="16">
        <v>0</v>
      </c>
    </row>
    <row r="1169" spans="1:59" ht="12" customHeight="1" x14ac:dyDescent="0.2">
      <c r="A1169" t="s">
        <v>145</v>
      </c>
      <c r="B1169" t="str">
        <f t="shared" si="288"/>
        <v>MID</v>
      </c>
      <c r="C1169" t="str">
        <f t="shared" si="289"/>
        <v>RJ</v>
      </c>
      <c r="D1169" s="16">
        <f t="shared" ref="D1169:R1169" si="334">E1169*(D$1157/E$1157)</f>
        <v>0.28917723304020998</v>
      </c>
      <c r="E1169" s="16">
        <f t="shared" si="334"/>
        <v>0.2826033626338178</v>
      </c>
      <c r="F1169" s="16">
        <f t="shared" si="334"/>
        <v>0.27455756092555045</v>
      </c>
      <c r="G1169" s="16">
        <f t="shared" si="334"/>
        <v>0.29129243210657241</v>
      </c>
      <c r="H1169" s="16">
        <f t="shared" si="334"/>
        <v>0.27914073466993483</v>
      </c>
      <c r="I1169" s="16">
        <f t="shared" si="334"/>
        <v>0.2891038253150941</v>
      </c>
      <c r="J1169" s="16">
        <f t="shared" si="334"/>
        <v>0.28548803618589985</v>
      </c>
      <c r="K1169" s="16">
        <f t="shared" si="334"/>
        <v>0.23198208891566571</v>
      </c>
      <c r="L1169" s="16">
        <f t="shared" si="334"/>
        <v>0.2085582381329425</v>
      </c>
      <c r="M1169" s="16">
        <f t="shared" si="334"/>
        <v>0.2211619557738351</v>
      </c>
      <c r="N1169" s="16">
        <f t="shared" si="334"/>
        <v>0.22554225124712299</v>
      </c>
      <c r="O1169" s="16">
        <f t="shared" si="334"/>
        <v>0.22598681654342484</v>
      </c>
      <c r="P1169" s="16">
        <f t="shared" si="334"/>
        <v>0.20771088919547234</v>
      </c>
      <c r="Q1169" s="16">
        <f t="shared" si="334"/>
        <v>0.19485658734650407</v>
      </c>
      <c r="R1169" s="16">
        <f t="shared" si="334"/>
        <v>0.18796230930276803</v>
      </c>
      <c r="S1169" s="27">
        <v>0.20300666945080803</v>
      </c>
      <c r="T1169" s="16">
        <v>0.21344606068435984</v>
      </c>
      <c r="U1169" s="16">
        <v>0.20569373333200772</v>
      </c>
      <c r="V1169" s="16">
        <v>0.18481624762091461</v>
      </c>
      <c r="W1169" s="16">
        <v>0.19383588732368884</v>
      </c>
      <c r="X1169" s="16">
        <v>0.25084995909707425</v>
      </c>
      <c r="Y1169" s="16">
        <v>0.25348280580646748</v>
      </c>
      <c r="Z1169" s="16">
        <v>0.26306000142717673</v>
      </c>
      <c r="AA1169" s="16">
        <v>0.26256646123732474</v>
      </c>
      <c r="AB1169" s="16">
        <v>0.23725516798703394</v>
      </c>
      <c r="AC1169" s="16">
        <v>0.27094820665364155</v>
      </c>
      <c r="AD1169" s="16">
        <v>0.31183485586739085</v>
      </c>
      <c r="AE1169" s="64">
        <f t="shared" si="324"/>
        <v>0.31034766315328821</v>
      </c>
      <c r="AF1169" s="16">
        <v>0</v>
      </c>
      <c r="AG1169" s="16">
        <v>0</v>
      </c>
      <c r="AH1169" s="16">
        <v>0</v>
      </c>
      <c r="AI1169" s="16">
        <v>0</v>
      </c>
      <c r="AJ1169" s="16">
        <v>0</v>
      </c>
      <c r="AK1169" s="16">
        <v>0</v>
      </c>
      <c r="AL1169" s="16">
        <v>0</v>
      </c>
      <c r="AM1169" s="16">
        <v>0</v>
      </c>
      <c r="AN1169" s="16">
        <v>0</v>
      </c>
      <c r="AO1169" s="16">
        <v>0</v>
      </c>
      <c r="AP1169" s="16">
        <v>0</v>
      </c>
      <c r="AQ1169" s="16">
        <v>0</v>
      </c>
      <c r="AR1169" s="16">
        <v>0</v>
      </c>
      <c r="AS1169" s="16">
        <v>0</v>
      </c>
      <c r="AT1169" s="16">
        <v>0</v>
      </c>
      <c r="AU1169" s="16">
        <v>0</v>
      </c>
      <c r="AV1169" s="16">
        <v>0</v>
      </c>
      <c r="AW1169" s="16">
        <v>0</v>
      </c>
      <c r="AX1169" s="16">
        <v>0</v>
      </c>
      <c r="AY1169" s="16">
        <v>0</v>
      </c>
      <c r="AZ1169" s="16">
        <v>0</v>
      </c>
      <c r="BA1169" s="16">
        <v>0</v>
      </c>
      <c r="BB1169" s="16">
        <v>0</v>
      </c>
      <c r="BC1169" s="16">
        <v>0</v>
      </c>
      <c r="BD1169" s="16">
        <v>0</v>
      </c>
      <c r="BE1169" s="16">
        <v>0</v>
      </c>
      <c r="BF1169" s="16">
        <v>0</v>
      </c>
      <c r="BG1169" s="16">
        <v>0</v>
      </c>
    </row>
    <row r="1170" spans="1:59" ht="12" customHeight="1" x14ac:dyDescent="0.2">
      <c r="A1170" t="s">
        <v>146</v>
      </c>
      <c r="B1170" t="str">
        <f t="shared" si="288"/>
        <v>AFR</v>
      </c>
      <c r="C1170" t="str">
        <f t="shared" si="289"/>
        <v>RJ</v>
      </c>
      <c r="D1170" s="16">
        <f t="shared" ref="D1170:R1170" si="335">E1170*(D$1157/E$1157)</f>
        <v>0.33059757284009139</v>
      </c>
      <c r="E1170" s="16">
        <f t="shared" si="335"/>
        <v>0.32308209322342202</v>
      </c>
      <c r="F1170" s="16">
        <f t="shared" si="335"/>
        <v>0.31388385002722968</v>
      </c>
      <c r="G1170" s="16">
        <f t="shared" si="335"/>
        <v>0.33301574272871415</v>
      </c>
      <c r="H1170" s="16">
        <f t="shared" si="335"/>
        <v>0.31912349527823475</v>
      </c>
      <c r="I1170" s="16">
        <f t="shared" si="335"/>
        <v>0.33051365054961279</v>
      </c>
      <c r="J1170" s="16">
        <f t="shared" si="335"/>
        <v>0.32637995337903714</v>
      </c>
      <c r="K1170" s="16">
        <f t="shared" si="335"/>
        <v>0.26521007456776263</v>
      </c>
      <c r="L1170" s="16">
        <f t="shared" si="335"/>
        <v>0.2384311053732549</v>
      </c>
      <c r="M1170" s="16">
        <f t="shared" si="335"/>
        <v>0.25284011820263469</v>
      </c>
      <c r="N1170" s="16">
        <f t="shared" si="335"/>
        <v>0.25784782588614397</v>
      </c>
      <c r="O1170" s="16">
        <f t="shared" si="335"/>
        <v>0.2583560685523496</v>
      </c>
      <c r="P1170" s="16">
        <f t="shared" si="335"/>
        <v>0.23746238629695984</v>
      </c>
      <c r="Q1170" s="16">
        <f t="shared" si="335"/>
        <v>0.22276689679681685</v>
      </c>
      <c r="R1170" s="16">
        <f t="shared" si="335"/>
        <v>0.21488511591185019</v>
      </c>
      <c r="S1170" s="27">
        <v>0.23208435700557295</v>
      </c>
      <c r="T1170" s="16">
        <v>0.24117043987300257</v>
      </c>
      <c r="U1170" s="16">
        <v>0.22654123257785844</v>
      </c>
      <c r="V1170" s="16">
        <v>0.20808862695943559</v>
      </c>
      <c r="W1170" s="16">
        <v>0.22734306639151589</v>
      </c>
      <c r="X1170" s="16">
        <v>0.26179418256188014</v>
      </c>
      <c r="Y1170" s="16">
        <v>0.29116536314274194</v>
      </c>
      <c r="Z1170" s="16">
        <v>0.29390553712968143</v>
      </c>
      <c r="AA1170" s="16">
        <v>0.30793268686254333</v>
      </c>
      <c r="AB1170" s="16">
        <v>0.22585290171085345</v>
      </c>
      <c r="AC1170" s="16">
        <v>0.28465116269056639</v>
      </c>
      <c r="AD1170" s="16">
        <v>0.33040465534819896</v>
      </c>
      <c r="AE1170" s="64">
        <f t="shared" si="324"/>
        <v>0.32882890014670735</v>
      </c>
      <c r="AF1170" s="16">
        <v>0</v>
      </c>
      <c r="AG1170" s="16">
        <v>0</v>
      </c>
      <c r="AH1170" s="16">
        <v>0</v>
      </c>
      <c r="AI1170" s="16">
        <v>0</v>
      </c>
      <c r="AJ1170" s="16">
        <v>0</v>
      </c>
      <c r="AK1170" s="16">
        <v>0</v>
      </c>
      <c r="AL1170" s="16">
        <v>0</v>
      </c>
      <c r="AM1170" s="16">
        <v>0</v>
      </c>
      <c r="AN1170" s="16">
        <v>0</v>
      </c>
      <c r="AO1170" s="16">
        <v>0</v>
      </c>
      <c r="AP1170" s="16">
        <v>0</v>
      </c>
      <c r="AQ1170" s="16">
        <v>0</v>
      </c>
      <c r="AR1170" s="16">
        <v>0</v>
      </c>
      <c r="AS1170" s="16">
        <v>0</v>
      </c>
      <c r="AT1170" s="16">
        <v>0</v>
      </c>
      <c r="AU1170" s="16">
        <v>0</v>
      </c>
      <c r="AV1170" s="16">
        <v>0</v>
      </c>
      <c r="AW1170" s="16">
        <v>0</v>
      </c>
      <c r="AX1170" s="16">
        <v>0</v>
      </c>
      <c r="AY1170" s="16">
        <v>0</v>
      </c>
      <c r="AZ1170" s="16">
        <v>0</v>
      </c>
      <c r="BA1170" s="16">
        <v>0</v>
      </c>
      <c r="BB1170" s="16">
        <v>0</v>
      </c>
      <c r="BC1170" s="16">
        <v>0</v>
      </c>
      <c r="BD1170" s="16">
        <v>0</v>
      </c>
      <c r="BE1170" s="16">
        <v>0</v>
      </c>
      <c r="BF1170" s="16">
        <v>0</v>
      </c>
      <c r="BG1170" s="16">
        <v>0</v>
      </c>
    </row>
    <row r="1171" spans="1:59" ht="12" customHeight="1" x14ac:dyDescent="0.2">
      <c r="A1171" t="s">
        <v>147</v>
      </c>
      <c r="B1171" t="str">
        <f t="shared" si="288"/>
        <v>BRZ</v>
      </c>
      <c r="C1171" t="str">
        <f t="shared" si="289"/>
        <v>RJ</v>
      </c>
      <c r="D1171" s="16">
        <f t="shared" ref="D1171:R1171" si="336">E1171*(D$1157/E$1157)</f>
        <v>0.2116871162315847</v>
      </c>
      <c r="E1171" s="16">
        <f t="shared" si="336"/>
        <v>0.206874829821002</v>
      </c>
      <c r="F1171" s="16">
        <f t="shared" si="336"/>
        <v>0.20098504194424532</v>
      </c>
      <c r="G1171" s="16">
        <f t="shared" si="336"/>
        <v>0.21323551057060847</v>
      </c>
      <c r="H1171" s="16">
        <f t="shared" si="336"/>
        <v>0.20434007381496713</v>
      </c>
      <c r="I1171" s="16">
        <f t="shared" si="336"/>
        <v>0.21163337939526633</v>
      </c>
      <c r="J1171" s="16">
        <f t="shared" si="336"/>
        <v>0.20898650444728517</v>
      </c>
      <c r="K1171" s="16">
        <f t="shared" si="336"/>
        <v>0.16981841517623195</v>
      </c>
      <c r="L1171" s="16">
        <f t="shared" si="336"/>
        <v>0.15267139647388428</v>
      </c>
      <c r="M1171" s="16">
        <f t="shared" si="336"/>
        <v>0.16189772668372732</v>
      </c>
      <c r="N1171" s="16">
        <f t="shared" si="336"/>
        <v>0.16510424507811849</v>
      </c>
      <c r="O1171" s="16">
        <f t="shared" si="336"/>
        <v>0.16542968129784225</v>
      </c>
      <c r="P1171" s="16">
        <f t="shared" si="336"/>
        <v>0.15205110956149789</v>
      </c>
      <c r="Q1171" s="16">
        <f t="shared" si="336"/>
        <v>0.14264134358175337</v>
      </c>
      <c r="R1171" s="16">
        <f t="shared" si="336"/>
        <v>0.1375945083857949</v>
      </c>
      <c r="S1171" s="27">
        <v>0.14860746809153058</v>
      </c>
      <c r="T1171" s="16">
        <v>0.14922372995623751</v>
      </c>
      <c r="U1171" s="16">
        <v>0.16626916462615285</v>
      </c>
      <c r="V1171" s="16">
        <v>0.15647934957259124</v>
      </c>
      <c r="W1171" s="16">
        <v>0.1667170863790087</v>
      </c>
      <c r="X1171" s="16">
        <v>0.18208524522792469</v>
      </c>
      <c r="Y1171" s="16">
        <v>0.18907099806002084</v>
      </c>
      <c r="Z1171" s="16">
        <v>0.18687551816744158</v>
      </c>
      <c r="AA1171" s="16">
        <v>0.18680493451485167</v>
      </c>
      <c r="AB1171" s="16">
        <v>0.18362779064129692</v>
      </c>
      <c r="AC1171" s="16">
        <v>0.22117060486571533</v>
      </c>
      <c r="AD1171" s="16">
        <v>0.26325449396255335</v>
      </c>
      <c r="AE1171" s="64">
        <f t="shared" si="324"/>
        <v>0.26199898914001879</v>
      </c>
      <c r="AF1171" s="16">
        <v>0</v>
      </c>
      <c r="AG1171" s="16">
        <v>0</v>
      </c>
      <c r="AH1171" s="16">
        <v>0</v>
      </c>
      <c r="AI1171" s="16">
        <v>0</v>
      </c>
      <c r="AJ1171" s="16">
        <v>0</v>
      </c>
      <c r="AK1171" s="16">
        <v>0</v>
      </c>
      <c r="AL1171" s="16">
        <v>0</v>
      </c>
      <c r="AM1171" s="16">
        <v>0</v>
      </c>
      <c r="AN1171" s="16">
        <v>0</v>
      </c>
      <c r="AO1171" s="16">
        <v>0</v>
      </c>
      <c r="AP1171" s="16">
        <v>0</v>
      </c>
      <c r="AQ1171" s="16">
        <v>0</v>
      </c>
      <c r="AR1171" s="16">
        <v>0</v>
      </c>
      <c r="AS1171" s="16">
        <v>0</v>
      </c>
      <c r="AT1171" s="16">
        <v>0</v>
      </c>
      <c r="AU1171" s="16">
        <v>0</v>
      </c>
      <c r="AV1171" s="16">
        <v>0</v>
      </c>
      <c r="AW1171" s="16">
        <v>0</v>
      </c>
      <c r="AX1171" s="16">
        <v>0</v>
      </c>
      <c r="AY1171" s="16">
        <v>0</v>
      </c>
      <c r="AZ1171" s="16">
        <v>0</v>
      </c>
      <c r="BA1171" s="16">
        <v>0</v>
      </c>
      <c r="BB1171" s="16">
        <v>0</v>
      </c>
      <c r="BC1171" s="16">
        <v>0</v>
      </c>
      <c r="BD1171" s="16">
        <v>0</v>
      </c>
      <c r="BE1171" s="16">
        <v>0</v>
      </c>
      <c r="BF1171" s="16">
        <v>0</v>
      </c>
      <c r="BG1171" s="16">
        <v>0</v>
      </c>
    </row>
    <row r="1172" spans="1:59" ht="12" customHeight="1" x14ac:dyDescent="0.2">
      <c r="A1172" t="s">
        <v>148</v>
      </c>
      <c r="B1172" t="str">
        <f t="shared" si="288"/>
        <v>CSA</v>
      </c>
      <c r="C1172" t="str">
        <f t="shared" si="289"/>
        <v>RJ</v>
      </c>
      <c r="D1172" s="16">
        <f t="shared" ref="D1172:R1172" si="337">E1172*(D$1157/E$1157)</f>
        <v>0.26383357201439694</v>
      </c>
      <c r="E1172" s="16">
        <f t="shared" si="337"/>
        <v>0.25783583943689142</v>
      </c>
      <c r="F1172" s="16">
        <f t="shared" si="337"/>
        <v>0.25049517647357805</v>
      </c>
      <c r="G1172" s="16">
        <f t="shared" si="337"/>
        <v>0.26576339380338382</v>
      </c>
      <c r="H1172" s="16">
        <f t="shared" si="337"/>
        <v>0.25467667820326434</v>
      </c>
      <c r="I1172" s="16">
        <f t="shared" si="337"/>
        <v>0.26376659778503891</v>
      </c>
      <c r="J1172" s="16">
        <f t="shared" si="337"/>
        <v>0.26046769851977936</v>
      </c>
      <c r="K1172" s="16">
        <f t="shared" si="337"/>
        <v>0.21165104361265899</v>
      </c>
      <c r="L1172" s="16">
        <f t="shared" si="337"/>
        <v>0.19028007274691738</v>
      </c>
      <c r="M1172" s="16">
        <f t="shared" si="337"/>
        <v>0.20177919323748236</v>
      </c>
      <c r="N1172" s="16">
        <f t="shared" si="337"/>
        <v>0.20577559706584092</v>
      </c>
      <c r="O1172" s="16">
        <f t="shared" si="337"/>
        <v>0.20618120040080556</v>
      </c>
      <c r="P1172" s="16">
        <f t="shared" si="337"/>
        <v>0.18950698596354576</v>
      </c>
      <c r="Q1172" s="16">
        <f t="shared" si="337"/>
        <v>0.17777924261075909</v>
      </c>
      <c r="R1172" s="16">
        <f t="shared" si="337"/>
        <v>0.171489183107747</v>
      </c>
      <c r="S1172" s="50">
        <v>0.18521504677550163</v>
      </c>
      <c r="T1172" s="51">
        <v>0.1923729618348686</v>
      </c>
      <c r="U1172" s="51">
        <v>0.18394223718464076</v>
      </c>
      <c r="V1172" s="51">
        <v>0.17020344367773499</v>
      </c>
      <c r="W1172" s="51">
        <v>0.18796225246275194</v>
      </c>
      <c r="X1172" s="51">
        <v>0.21553467482678368</v>
      </c>
      <c r="Y1172" s="51">
        <v>0.20944445756452953</v>
      </c>
      <c r="Z1172" s="51">
        <v>0.21909932439234689</v>
      </c>
      <c r="AA1172" s="51">
        <v>0.22322347178360857</v>
      </c>
      <c r="AB1172" s="51">
        <v>0.1794038741642564</v>
      </c>
      <c r="AC1172" s="51">
        <v>0.25233026337486614</v>
      </c>
      <c r="AD1172" s="51">
        <v>0.30067805404915321</v>
      </c>
      <c r="AE1172" s="63">
        <f t="shared" si="324"/>
        <v>0.2992440699936228</v>
      </c>
      <c r="AF1172" s="16">
        <v>0</v>
      </c>
      <c r="AG1172" s="16">
        <v>0</v>
      </c>
      <c r="AH1172" s="16">
        <v>0</v>
      </c>
      <c r="AI1172" s="16">
        <v>0</v>
      </c>
      <c r="AJ1172" s="16">
        <v>0</v>
      </c>
      <c r="AK1172" s="16">
        <v>0</v>
      </c>
      <c r="AL1172" s="16">
        <v>0</v>
      </c>
      <c r="AM1172" s="16">
        <v>0</v>
      </c>
      <c r="AN1172" s="16">
        <v>0</v>
      </c>
      <c r="AO1172" s="16">
        <v>0</v>
      </c>
      <c r="AP1172" s="16">
        <v>0</v>
      </c>
      <c r="AQ1172" s="16">
        <v>0</v>
      </c>
      <c r="AR1172" s="16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>
        <v>0</v>
      </c>
      <c r="AX1172" s="16">
        <v>0</v>
      </c>
      <c r="AY1172" s="16">
        <v>0</v>
      </c>
      <c r="AZ1172" s="16">
        <v>0</v>
      </c>
      <c r="BA1172" s="16">
        <v>0</v>
      </c>
      <c r="BB1172" s="16">
        <v>0</v>
      </c>
      <c r="BC1172" s="16">
        <v>0</v>
      </c>
      <c r="BD1172" s="16">
        <v>0</v>
      </c>
      <c r="BE1172" s="16">
        <v>0</v>
      </c>
      <c r="BF1172" s="16">
        <v>0</v>
      </c>
      <c r="BG1172" s="16">
        <v>0</v>
      </c>
    </row>
    <row r="1173" spans="1:59" ht="12" customHeight="1" x14ac:dyDescent="0.2">
      <c r="A1173" t="s">
        <v>226</v>
      </c>
    </row>
    <row r="1174" spans="1:59" ht="12" customHeight="1" x14ac:dyDescent="0.2">
      <c r="A1174" t="s">
        <v>227</v>
      </c>
    </row>
    <row r="1175" spans="1:59" ht="12" customHeight="1" x14ac:dyDescent="0.2">
      <c r="A1175" t="s">
        <v>228</v>
      </c>
    </row>
    <row r="1178" spans="1:59" ht="12" customHeight="1" x14ac:dyDescent="0.2">
      <c r="A1178" s="52" t="s">
        <v>229</v>
      </c>
      <c r="B1178" s="52"/>
      <c r="C1178" s="52"/>
      <c r="D1178" s="52"/>
    </row>
    <row r="1179" spans="1:59" ht="12" customHeight="1" x14ac:dyDescent="0.2">
      <c r="A1179" t="s">
        <v>230</v>
      </c>
      <c r="B1179" t="s">
        <v>231</v>
      </c>
    </row>
    <row r="1180" spans="1:59" ht="12" customHeight="1" x14ac:dyDescent="0.2">
      <c r="A1180" t="s">
        <v>232</v>
      </c>
      <c r="D1180">
        <v>1995</v>
      </c>
      <c r="E1180">
        <v>1996</v>
      </c>
      <c r="F1180">
        <v>1997</v>
      </c>
      <c r="G1180">
        <v>1998</v>
      </c>
      <c r="H1180">
        <v>1999</v>
      </c>
      <c r="I1180">
        <v>2000</v>
      </c>
      <c r="J1180">
        <v>2001</v>
      </c>
      <c r="K1180">
        <v>2002</v>
      </c>
      <c r="L1180">
        <v>2003</v>
      </c>
      <c r="M1180">
        <v>2004</v>
      </c>
      <c r="N1180">
        <v>2005</v>
      </c>
      <c r="O1180">
        <v>2006</v>
      </c>
      <c r="P1180">
        <v>2007</v>
      </c>
      <c r="Q1180">
        <v>2008</v>
      </c>
      <c r="R1180">
        <v>2009</v>
      </c>
      <c r="S1180">
        <v>2010</v>
      </c>
      <c r="T1180">
        <v>2011</v>
      </c>
      <c r="U1180">
        <v>2012</v>
      </c>
      <c r="V1180">
        <v>2013</v>
      </c>
      <c r="W1180">
        <v>2014</v>
      </c>
      <c r="X1180">
        <v>2015</v>
      </c>
      <c r="Y1180">
        <v>2016</v>
      </c>
      <c r="Z1180">
        <v>2017</v>
      </c>
      <c r="AA1180">
        <v>2018</v>
      </c>
      <c r="AB1180">
        <v>2019</v>
      </c>
      <c r="AC1180">
        <v>2020</v>
      </c>
      <c r="AD1180">
        <v>2021</v>
      </c>
      <c r="AE1180">
        <v>2022</v>
      </c>
      <c r="AF1180">
        <v>2023</v>
      </c>
      <c r="AG1180">
        <v>2024</v>
      </c>
      <c r="AH1180">
        <v>2025</v>
      </c>
      <c r="AI1180">
        <v>2026</v>
      </c>
      <c r="AJ1180">
        <v>2027</v>
      </c>
      <c r="AK1180">
        <v>2028</v>
      </c>
      <c r="AL1180">
        <v>2029</v>
      </c>
      <c r="AM1180">
        <v>2030</v>
      </c>
      <c r="AN1180">
        <v>2031</v>
      </c>
      <c r="AO1180">
        <v>2032</v>
      </c>
      <c r="AP1180">
        <v>2033</v>
      </c>
      <c r="AQ1180">
        <v>2034</v>
      </c>
      <c r="AR1180">
        <v>2035</v>
      </c>
      <c r="AS1180">
        <v>2036</v>
      </c>
      <c r="AT1180">
        <v>2037</v>
      </c>
      <c r="AU1180">
        <v>2038</v>
      </c>
      <c r="AV1180">
        <v>2039</v>
      </c>
      <c r="AW1180">
        <v>2040</v>
      </c>
      <c r="AX1180">
        <v>2041</v>
      </c>
      <c r="AY1180">
        <v>2042</v>
      </c>
      <c r="AZ1180">
        <v>2043</v>
      </c>
      <c r="BA1180">
        <v>2044</v>
      </c>
      <c r="BB1180">
        <v>2045</v>
      </c>
      <c r="BC1180">
        <v>2046</v>
      </c>
      <c r="BD1180">
        <v>2047</v>
      </c>
      <c r="BE1180">
        <v>2048</v>
      </c>
      <c r="BF1180">
        <v>2049</v>
      </c>
      <c r="BG1180">
        <v>2050</v>
      </c>
    </row>
    <row r="1181" spans="1:59" ht="12" customHeight="1" x14ac:dyDescent="0.2">
      <c r="A1181" t="s">
        <v>233</v>
      </c>
      <c r="B1181" t="s">
        <v>234</v>
      </c>
      <c r="C1181" t="s">
        <v>46</v>
      </c>
      <c r="D1181">
        <f t="shared" ref="D1181:L1190" si="338">$M1181</f>
        <v>0.14634460224185511</v>
      </c>
      <c r="E1181">
        <f t="shared" si="338"/>
        <v>0.14634460224185511</v>
      </c>
      <c r="F1181">
        <f t="shared" si="338"/>
        <v>0.14634460224185511</v>
      </c>
      <c r="G1181">
        <f t="shared" si="338"/>
        <v>0.14634460224185511</v>
      </c>
      <c r="H1181">
        <f t="shared" si="338"/>
        <v>0.14634460224185511</v>
      </c>
      <c r="I1181">
        <f t="shared" si="338"/>
        <v>0.14634460224185511</v>
      </c>
      <c r="J1181">
        <f t="shared" si="338"/>
        <v>0.14634460224185511</v>
      </c>
      <c r="K1181">
        <f t="shared" si="338"/>
        <v>0.14634460224185511</v>
      </c>
      <c r="L1181">
        <f t="shared" si="338"/>
        <v>0.14634460224185511</v>
      </c>
      <c r="M1181">
        <v>0.14634460224185511</v>
      </c>
      <c r="N1181">
        <v>0.15651163391241399</v>
      </c>
      <c r="O1181">
        <v>0.15509024192068349</v>
      </c>
      <c r="P1181">
        <v>0.15366884992895299</v>
      </c>
      <c r="Q1181">
        <v>0.15224745793722247</v>
      </c>
      <c r="R1181">
        <v>0.15821053066463808</v>
      </c>
      <c r="S1181">
        <v>0.14072947423558185</v>
      </c>
      <c r="T1181">
        <v>0.12730630852016495</v>
      </c>
      <c r="U1181">
        <v>0.15295736316648614</v>
      </c>
      <c r="V1181">
        <v>0.15831142191184577</v>
      </c>
      <c r="W1181">
        <v>0.15225170363122775</v>
      </c>
      <c r="X1181">
        <v>0.14992171291526388</v>
      </c>
      <c r="Y1181">
        <v>0.14970216268871392</v>
      </c>
      <c r="Z1181">
        <v>0.15090565814608364</v>
      </c>
      <c r="AA1181">
        <v>0.1815635769424592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</row>
    <row r="1182" spans="1:59" ht="12" customHeight="1" x14ac:dyDescent="0.2">
      <c r="A1182" t="s">
        <v>235</v>
      </c>
      <c r="B1182" t="s">
        <v>236</v>
      </c>
      <c r="C1182" t="s">
        <v>46</v>
      </c>
      <c r="D1182">
        <f t="shared" si="338"/>
        <v>0.14634460224185511</v>
      </c>
      <c r="E1182">
        <f t="shared" si="338"/>
        <v>0.14634460224185511</v>
      </c>
      <c r="F1182">
        <f t="shared" si="338"/>
        <v>0.14634460224185511</v>
      </c>
      <c r="G1182">
        <f t="shared" si="338"/>
        <v>0.14634460224185511</v>
      </c>
      <c r="H1182">
        <f t="shared" si="338"/>
        <v>0.14634460224185511</v>
      </c>
      <c r="I1182">
        <f t="shared" si="338"/>
        <v>0.14634460224185511</v>
      </c>
      <c r="J1182">
        <f t="shared" si="338"/>
        <v>0.14634460224185511</v>
      </c>
      <c r="K1182">
        <f t="shared" si="338"/>
        <v>0.14634460224185511</v>
      </c>
      <c r="L1182">
        <f t="shared" si="338"/>
        <v>0.14634460224185511</v>
      </c>
      <c r="M1182">
        <f t="shared" ref="M1182:M1193" si="339">M1181</f>
        <v>0.14634460224185511</v>
      </c>
      <c r="N1182">
        <f t="shared" ref="N1182:N1193" si="340">N1181</f>
        <v>0.15651163391241399</v>
      </c>
      <c r="O1182">
        <f t="shared" ref="O1182:O1193" si="341">O1181</f>
        <v>0.15509024192068349</v>
      </c>
      <c r="P1182">
        <f t="shared" ref="P1182:P1193" si="342">P1181</f>
        <v>0.15366884992895299</v>
      </c>
      <c r="Q1182">
        <f t="shared" ref="Q1182:Q1193" si="343">Q1181</f>
        <v>0.15224745793722247</v>
      </c>
      <c r="R1182">
        <f t="shared" ref="R1182:R1193" si="344">R1181</f>
        <v>0.15821053066463808</v>
      </c>
      <c r="S1182">
        <f t="shared" ref="S1182:S1193" si="345">S1181</f>
        <v>0.14072947423558185</v>
      </c>
      <c r="T1182">
        <f t="shared" ref="T1182:T1193" si="346">T1181</f>
        <v>0.12730630852016495</v>
      </c>
      <c r="U1182">
        <f t="shared" ref="U1182:U1193" si="347">U1181</f>
        <v>0.15295736316648614</v>
      </c>
      <c r="V1182">
        <f t="shared" ref="V1182:V1193" si="348">V1181</f>
        <v>0.15831142191184577</v>
      </c>
      <c r="W1182">
        <f t="shared" ref="W1182:W1193" si="349">W1181</f>
        <v>0.15225170363122775</v>
      </c>
      <c r="X1182">
        <f t="shared" ref="X1182:X1193" si="350">X1181</f>
        <v>0.14992171291526388</v>
      </c>
      <c r="Y1182">
        <f t="shared" ref="Y1182:Y1193" si="351">Y1181</f>
        <v>0.14970216268871392</v>
      </c>
      <c r="Z1182">
        <f t="shared" ref="Z1182:Z1193" si="352">Z1181</f>
        <v>0.15090565814608364</v>
      </c>
      <c r="AA1182">
        <f t="shared" ref="AA1182:AA1193" si="353">AA1181</f>
        <v>0.1815635769424592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</row>
    <row r="1183" spans="1:59" ht="12" customHeight="1" x14ac:dyDescent="0.2">
      <c r="A1183" t="s">
        <v>237</v>
      </c>
      <c r="B1183" t="s">
        <v>238</v>
      </c>
      <c r="C1183" t="s">
        <v>46</v>
      </c>
      <c r="D1183">
        <f t="shared" si="338"/>
        <v>0.14634460224185511</v>
      </c>
      <c r="E1183">
        <f t="shared" si="338"/>
        <v>0.14634460224185511</v>
      </c>
      <c r="F1183">
        <f t="shared" si="338"/>
        <v>0.14634460224185511</v>
      </c>
      <c r="G1183">
        <f t="shared" si="338"/>
        <v>0.14634460224185511</v>
      </c>
      <c r="H1183">
        <f t="shared" si="338"/>
        <v>0.14634460224185511</v>
      </c>
      <c r="I1183">
        <f t="shared" si="338"/>
        <v>0.14634460224185511</v>
      </c>
      <c r="J1183">
        <f t="shared" si="338"/>
        <v>0.14634460224185511</v>
      </c>
      <c r="K1183">
        <f t="shared" si="338"/>
        <v>0.14634460224185511</v>
      </c>
      <c r="L1183">
        <f t="shared" si="338"/>
        <v>0.14634460224185511</v>
      </c>
      <c r="M1183">
        <f t="shared" si="339"/>
        <v>0.14634460224185511</v>
      </c>
      <c r="N1183">
        <f t="shared" si="340"/>
        <v>0.15651163391241399</v>
      </c>
      <c r="O1183">
        <f t="shared" si="341"/>
        <v>0.15509024192068349</v>
      </c>
      <c r="P1183">
        <f t="shared" si="342"/>
        <v>0.15366884992895299</v>
      </c>
      <c r="Q1183">
        <f t="shared" si="343"/>
        <v>0.15224745793722247</v>
      </c>
      <c r="R1183">
        <f t="shared" si="344"/>
        <v>0.15821053066463808</v>
      </c>
      <c r="S1183">
        <f t="shared" si="345"/>
        <v>0.14072947423558185</v>
      </c>
      <c r="T1183">
        <f t="shared" si="346"/>
        <v>0.12730630852016495</v>
      </c>
      <c r="U1183">
        <f t="shared" si="347"/>
        <v>0.15295736316648614</v>
      </c>
      <c r="V1183">
        <f t="shared" si="348"/>
        <v>0.15831142191184577</v>
      </c>
      <c r="W1183">
        <f t="shared" si="349"/>
        <v>0.15225170363122775</v>
      </c>
      <c r="X1183">
        <f t="shared" si="350"/>
        <v>0.14992171291526388</v>
      </c>
      <c r="Y1183">
        <f t="shared" si="351"/>
        <v>0.14970216268871392</v>
      </c>
      <c r="Z1183">
        <f t="shared" si="352"/>
        <v>0.15090565814608364</v>
      </c>
      <c r="AA1183">
        <f t="shared" si="353"/>
        <v>0.1815635769424592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</row>
    <row r="1184" spans="1:59" ht="12" customHeight="1" x14ac:dyDescent="0.2">
      <c r="A1184" t="s">
        <v>239</v>
      </c>
      <c r="B1184" t="s">
        <v>240</v>
      </c>
      <c r="C1184" t="s">
        <v>46</v>
      </c>
      <c r="D1184">
        <f t="shared" si="338"/>
        <v>0.14634460224185511</v>
      </c>
      <c r="E1184">
        <f t="shared" si="338"/>
        <v>0.14634460224185511</v>
      </c>
      <c r="F1184">
        <f t="shared" si="338"/>
        <v>0.14634460224185511</v>
      </c>
      <c r="G1184">
        <f t="shared" si="338"/>
        <v>0.14634460224185511</v>
      </c>
      <c r="H1184">
        <f t="shared" si="338"/>
        <v>0.14634460224185511</v>
      </c>
      <c r="I1184">
        <f t="shared" si="338"/>
        <v>0.14634460224185511</v>
      </c>
      <c r="J1184">
        <f t="shared" si="338"/>
        <v>0.14634460224185511</v>
      </c>
      <c r="K1184">
        <f t="shared" si="338"/>
        <v>0.14634460224185511</v>
      </c>
      <c r="L1184">
        <f t="shared" si="338"/>
        <v>0.14634460224185511</v>
      </c>
      <c r="M1184">
        <f t="shared" si="339"/>
        <v>0.14634460224185511</v>
      </c>
      <c r="N1184">
        <f t="shared" si="340"/>
        <v>0.15651163391241399</v>
      </c>
      <c r="O1184">
        <f t="shared" si="341"/>
        <v>0.15509024192068349</v>
      </c>
      <c r="P1184">
        <f t="shared" si="342"/>
        <v>0.15366884992895299</v>
      </c>
      <c r="Q1184">
        <f t="shared" si="343"/>
        <v>0.15224745793722247</v>
      </c>
      <c r="R1184">
        <f t="shared" si="344"/>
        <v>0.15821053066463808</v>
      </c>
      <c r="S1184">
        <f t="shared" si="345"/>
        <v>0.14072947423558185</v>
      </c>
      <c r="T1184">
        <f t="shared" si="346"/>
        <v>0.12730630852016495</v>
      </c>
      <c r="U1184">
        <f t="shared" si="347"/>
        <v>0.15295736316648614</v>
      </c>
      <c r="V1184">
        <f t="shared" si="348"/>
        <v>0.15831142191184577</v>
      </c>
      <c r="W1184">
        <f t="shared" si="349"/>
        <v>0.15225170363122775</v>
      </c>
      <c r="X1184">
        <f t="shared" si="350"/>
        <v>0.14992171291526388</v>
      </c>
      <c r="Y1184">
        <f t="shared" si="351"/>
        <v>0.14970216268871392</v>
      </c>
      <c r="Z1184">
        <f t="shared" si="352"/>
        <v>0.15090565814608364</v>
      </c>
      <c r="AA1184">
        <f t="shared" si="353"/>
        <v>0.1815635769424592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</row>
    <row r="1185" spans="1:59" ht="12" customHeight="1" x14ac:dyDescent="0.2">
      <c r="A1185" t="s">
        <v>241</v>
      </c>
      <c r="B1185" t="s">
        <v>242</v>
      </c>
      <c r="C1185" t="s">
        <v>46</v>
      </c>
      <c r="D1185">
        <f t="shared" si="338"/>
        <v>0.14634460224185511</v>
      </c>
      <c r="E1185">
        <f t="shared" si="338"/>
        <v>0.14634460224185511</v>
      </c>
      <c r="F1185">
        <f t="shared" si="338"/>
        <v>0.14634460224185511</v>
      </c>
      <c r="G1185">
        <f t="shared" si="338"/>
        <v>0.14634460224185511</v>
      </c>
      <c r="H1185">
        <f t="shared" si="338"/>
        <v>0.14634460224185511</v>
      </c>
      <c r="I1185">
        <f t="shared" si="338"/>
        <v>0.14634460224185511</v>
      </c>
      <c r="J1185">
        <f t="shared" si="338"/>
        <v>0.14634460224185511</v>
      </c>
      <c r="K1185">
        <f t="shared" si="338"/>
        <v>0.14634460224185511</v>
      </c>
      <c r="L1185">
        <f t="shared" si="338"/>
        <v>0.14634460224185511</v>
      </c>
      <c r="M1185">
        <f t="shared" si="339"/>
        <v>0.14634460224185511</v>
      </c>
      <c r="N1185">
        <f t="shared" si="340"/>
        <v>0.15651163391241399</v>
      </c>
      <c r="O1185">
        <f t="shared" si="341"/>
        <v>0.15509024192068349</v>
      </c>
      <c r="P1185">
        <f t="shared" si="342"/>
        <v>0.15366884992895299</v>
      </c>
      <c r="Q1185">
        <f t="shared" si="343"/>
        <v>0.15224745793722247</v>
      </c>
      <c r="R1185">
        <f t="shared" si="344"/>
        <v>0.15821053066463808</v>
      </c>
      <c r="S1185">
        <f t="shared" si="345"/>
        <v>0.14072947423558185</v>
      </c>
      <c r="T1185">
        <f t="shared" si="346"/>
        <v>0.12730630852016495</v>
      </c>
      <c r="U1185">
        <f t="shared" si="347"/>
        <v>0.15295736316648614</v>
      </c>
      <c r="V1185">
        <f t="shared" si="348"/>
        <v>0.15831142191184577</v>
      </c>
      <c r="W1185">
        <f t="shared" si="349"/>
        <v>0.15225170363122775</v>
      </c>
      <c r="X1185">
        <f t="shared" si="350"/>
        <v>0.14992171291526388</v>
      </c>
      <c r="Y1185">
        <f t="shared" si="351"/>
        <v>0.14970216268871392</v>
      </c>
      <c r="Z1185">
        <f t="shared" si="352"/>
        <v>0.15090565814608364</v>
      </c>
      <c r="AA1185">
        <f t="shared" si="353"/>
        <v>0.1815635769424592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</row>
    <row r="1186" spans="1:59" ht="12" customHeight="1" x14ac:dyDescent="0.2">
      <c r="A1186" t="s">
        <v>243</v>
      </c>
      <c r="B1186" t="s">
        <v>244</v>
      </c>
      <c r="C1186" t="s">
        <v>46</v>
      </c>
      <c r="D1186">
        <f t="shared" si="338"/>
        <v>0.14634460224185511</v>
      </c>
      <c r="E1186">
        <f t="shared" si="338"/>
        <v>0.14634460224185511</v>
      </c>
      <c r="F1186">
        <f t="shared" si="338"/>
        <v>0.14634460224185511</v>
      </c>
      <c r="G1186">
        <f t="shared" si="338"/>
        <v>0.14634460224185511</v>
      </c>
      <c r="H1186">
        <f t="shared" si="338"/>
        <v>0.14634460224185511</v>
      </c>
      <c r="I1186">
        <f t="shared" si="338"/>
        <v>0.14634460224185511</v>
      </c>
      <c r="J1186">
        <f t="shared" si="338"/>
        <v>0.14634460224185511</v>
      </c>
      <c r="K1186">
        <f t="shared" si="338"/>
        <v>0.14634460224185511</v>
      </c>
      <c r="L1186">
        <f t="shared" si="338"/>
        <v>0.14634460224185511</v>
      </c>
      <c r="M1186">
        <f t="shared" si="339"/>
        <v>0.14634460224185511</v>
      </c>
      <c r="N1186">
        <f t="shared" si="340"/>
        <v>0.15651163391241399</v>
      </c>
      <c r="O1186">
        <f t="shared" si="341"/>
        <v>0.15509024192068349</v>
      </c>
      <c r="P1186">
        <f t="shared" si="342"/>
        <v>0.15366884992895299</v>
      </c>
      <c r="Q1186">
        <f t="shared" si="343"/>
        <v>0.15224745793722247</v>
      </c>
      <c r="R1186">
        <f t="shared" si="344"/>
        <v>0.15821053066463808</v>
      </c>
      <c r="S1186">
        <f t="shared" si="345"/>
        <v>0.14072947423558185</v>
      </c>
      <c r="T1186">
        <f t="shared" si="346"/>
        <v>0.12730630852016495</v>
      </c>
      <c r="U1186">
        <f t="shared" si="347"/>
        <v>0.15295736316648614</v>
      </c>
      <c r="V1186">
        <f t="shared" si="348"/>
        <v>0.15831142191184577</v>
      </c>
      <c r="W1186">
        <f t="shared" si="349"/>
        <v>0.15225170363122775</v>
      </c>
      <c r="X1186">
        <f t="shared" si="350"/>
        <v>0.14992171291526388</v>
      </c>
      <c r="Y1186">
        <f t="shared" si="351"/>
        <v>0.14970216268871392</v>
      </c>
      <c r="Z1186">
        <f t="shared" si="352"/>
        <v>0.15090565814608364</v>
      </c>
      <c r="AA1186">
        <f t="shared" si="353"/>
        <v>0.1815635769424592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</row>
    <row r="1187" spans="1:59" ht="12" customHeight="1" x14ac:dyDescent="0.2">
      <c r="A1187" t="s">
        <v>245</v>
      </c>
      <c r="B1187" t="s">
        <v>246</v>
      </c>
      <c r="C1187" t="s">
        <v>46</v>
      </c>
      <c r="D1187">
        <f t="shared" si="338"/>
        <v>0.14634460224185511</v>
      </c>
      <c r="E1187">
        <f t="shared" si="338"/>
        <v>0.14634460224185511</v>
      </c>
      <c r="F1187">
        <f t="shared" si="338"/>
        <v>0.14634460224185511</v>
      </c>
      <c r="G1187">
        <f t="shared" si="338"/>
        <v>0.14634460224185511</v>
      </c>
      <c r="H1187">
        <f t="shared" si="338"/>
        <v>0.14634460224185511</v>
      </c>
      <c r="I1187">
        <f t="shared" si="338"/>
        <v>0.14634460224185511</v>
      </c>
      <c r="J1187">
        <f t="shared" si="338"/>
        <v>0.14634460224185511</v>
      </c>
      <c r="K1187">
        <f t="shared" si="338"/>
        <v>0.14634460224185511</v>
      </c>
      <c r="L1187">
        <f t="shared" si="338"/>
        <v>0.14634460224185511</v>
      </c>
      <c r="M1187">
        <f t="shared" si="339"/>
        <v>0.14634460224185511</v>
      </c>
      <c r="N1187">
        <f t="shared" si="340"/>
        <v>0.15651163391241399</v>
      </c>
      <c r="O1187">
        <f t="shared" si="341"/>
        <v>0.15509024192068349</v>
      </c>
      <c r="P1187">
        <f t="shared" si="342"/>
        <v>0.15366884992895299</v>
      </c>
      <c r="Q1187">
        <f t="shared" si="343"/>
        <v>0.15224745793722247</v>
      </c>
      <c r="R1187">
        <f t="shared" si="344"/>
        <v>0.15821053066463808</v>
      </c>
      <c r="S1187">
        <f t="shared" si="345"/>
        <v>0.14072947423558185</v>
      </c>
      <c r="T1187">
        <f t="shared" si="346"/>
        <v>0.12730630852016495</v>
      </c>
      <c r="U1187">
        <f t="shared" si="347"/>
        <v>0.15295736316648614</v>
      </c>
      <c r="V1187">
        <f t="shared" si="348"/>
        <v>0.15831142191184577</v>
      </c>
      <c r="W1187">
        <f t="shared" si="349"/>
        <v>0.15225170363122775</v>
      </c>
      <c r="X1187">
        <f t="shared" si="350"/>
        <v>0.14992171291526388</v>
      </c>
      <c r="Y1187">
        <f t="shared" si="351"/>
        <v>0.14970216268871392</v>
      </c>
      <c r="Z1187">
        <f t="shared" si="352"/>
        <v>0.15090565814608364</v>
      </c>
      <c r="AA1187">
        <f t="shared" si="353"/>
        <v>0.1815635769424592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</row>
    <row r="1188" spans="1:59" ht="12" customHeight="1" x14ac:dyDescent="0.2">
      <c r="A1188" t="s">
        <v>247</v>
      </c>
      <c r="B1188" t="s">
        <v>248</v>
      </c>
      <c r="C1188" t="s">
        <v>46</v>
      </c>
      <c r="D1188">
        <f t="shared" si="338"/>
        <v>0.14634460224185511</v>
      </c>
      <c r="E1188">
        <f t="shared" si="338"/>
        <v>0.14634460224185511</v>
      </c>
      <c r="F1188">
        <f t="shared" si="338"/>
        <v>0.14634460224185511</v>
      </c>
      <c r="G1188">
        <f t="shared" si="338"/>
        <v>0.14634460224185511</v>
      </c>
      <c r="H1188">
        <f t="shared" si="338"/>
        <v>0.14634460224185511</v>
      </c>
      <c r="I1188">
        <f t="shared" si="338"/>
        <v>0.14634460224185511</v>
      </c>
      <c r="J1188">
        <f t="shared" si="338"/>
        <v>0.14634460224185511</v>
      </c>
      <c r="K1188">
        <f t="shared" si="338"/>
        <v>0.14634460224185511</v>
      </c>
      <c r="L1188">
        <f t="shared" si="338"/>
        <v>0.14634460224185511</v>
      </c>
      <c r="M1188">
        <f t="shared" si="339"/>
        <v>0.14634460224185511</v>
      </c>
      <c r="N1188">
        <f t="shared" si="340"/>
        <v>0.15651163391241399</v>
      </c>
      <c r="O1188">
        <f t="shared" si="341"/>
        <v>0.15509024192068349</v>
      </c>
      <c r="P1188">
        <f t="shared" si="342"/>
        <v>0.15366884992895299</v>
      </c>
      <c r="Q1188">
        <f t="shared" si="343"/>
        <v>0.15224745793722247</v>
      </c>
      <c r="R1188">
        <f t="shared" si="344"/>
        <v>0.15821053066463808</v>
      </c>
      <c r="S1188">
        <f t="shared" si="345"/>
        <v>0.14072947423558185</v>
      </c>
      <c r="T1188">
        <f t="shared" si="346"/>
        <v>0.12730630852016495</v>
      </c>
      <c r="U1188">
        <f t="shared" si="347"/>
        <v>0.15295736316648614</v>
      </c>
      <c r="V1188">
        <f t="shared" si="348"/>
        <v>0.15831142191184577</v>
      </c>
      <c r="W1188">
        <f t="shared" si="349"/>
        <v>0.15225170363122775</v>
      </c>
      <c r="X1188">
        <f t="shared" si="350"/>
        <v>0.14992171291526388</v>
      </c>
      <c r="Y1188">
        <f t="shared" si="351"/>
        <v>0.14970216268871392</v>
      </c>
      <c r="Z1188">
        <f t="shared" si="352"/>
        <v>0.15090565814608364</v>
      </c>
      <c r="AA1188">
        <f t="shared" si="353"/>
        <v>0.1815635769424592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</row>
    <row r="1189" spans="1:59" ht="12" customHeight="1" x14ac:dyDescent="0.2">
      <c r="A1189" t="s">
        <v>249</v>
      </c>
      <c r="B1189" t="s">
        <v>250</v>
      </c>
      <c r="C1189" t="s">
        <v>46</v>
      </c>
      <c r="D1189">
        <f t="shared" si="338"/>
        <v>0.14634460224185511</v>
      </c>
      <c r="E1189">
        <f t="shared" si="338"/>
        <v>0.14634460224185511</v>
      </c>
      <c r="F1189">
        <f t="shared" si="338"/>
        <v>0.14634460224185511</v>
      </c>
      <c r="G1189">
        <f t="shared" si="338"/>
        <v>0.14634460224185511</v>
      </c>
      <c r="H1189">
        <f t="shared" si="338"/>
        <v>0.14634460224185511</v>
      </c>
      <c r="I1189">
        <f t="shared" si="338"/>
        <v>0.14634460224185511</v>
      </c>
      <c r="J1189">
        <f t="shared" si="338"/>
        <v>0.14634460224185511</v>
      </c>
      <c r="K1189">
        <f t="shared" si="338"/>
        <v>0.14634460224185511</v>
      </c>
      <c r="L1189">
        <f t="shared" si="338"/>
        <v>0.14634460224185511</v>
      </c>
      <c r="M1189">
        <f t="shared" si="339"/>
        <v>0.14634460224185511</v>
      </c>
      <c r="N1189">
        <f t="shared" si="340"/>
        <v>0.15651163391241399</v>
      </c>
      <c r="O1189">
        <f t="shared" si="341"/>
        <v>0.15509024192068349</v>
      </c>
      <c r="P1189">
        <f t="shared" si="342"/>
        <v>0.15366884992895299</v>
      </c>
      <c r="Q1189">
        <f t="shared" si="343"/>
        <v>0.15224745793722247</v>
      </c>
      <c r="R1189">
        <f t="shared" si="344"/>
        <v>0.15821053066463808</v>
      </c>
      <c r="S1189">
        <f t="shared" si="345"/>
        <v>0.14072947423558185</v>
      </c>
      <c r="T1189">
        <f t="shared" si="346"/>
        <v>0.12730630852016495</v>
      </c>
      <c r="U1189">
        <f t="shared" si="347"/>
        <v>0.15295736316648614</v>
      </c>
      <c r="V1189">
        <f t="shared" si="348"/>
        <v>0.15831142191184577</v>
      </c>
      <c r="W1189">
        <f t="shared" si="349"/>
        <v>0.15225170363122775</v>
      </c>
      <c r="X1189">
        <f t="shared" si="350"/>
        <v>0.14992171291526388</v>
      </c>
      <c r="Y1189">
        <f t="shared" si="351"/>
        <v>0.14970216268871392</v>
      </c>
      <c r="Z1189">
        <f t="shared" si="352"/>
        <v>0.15090565814608364</v>
      </c>
      <c r="AA1189">
        <f t="shared" si="353"/>
        <v>0.1815635769424592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</row>
    <row r="1190" spans="1:59" ht="12" customHeight="1" x14ac:dyDescent="0.2">
      <c r="A1190" t="s">
        <v>251</v>
      </c>
      <c r="B1190" t="s">
        <v>252</v>
      </c>
      <c r="C1190" t="s">
        <v>46</v>
      </c>
      <c r="D1190">
        <f t="shared" si="338"/>
        <v>0.14634460224185511</v>
      </c>
      <c r="E1190">
        <f t="shared" si="338"/>
        <v>0.14634460224185511</v>
      </c>
      <c r="F1190">
        <f t="shared" si="338"/>
        <v>0.14634460224185511</v>
      </c>
      <c r="G1190">
        <f t="shared" si="338"/>
        <v>0.14634460224185511</v>
      </c>
      <c r="H1190">
        <f t="shared" si="338"/>
        <v>0.14634460224185511</v>
      </c>
      <c r="I1190">
        <f t="shared" si="338"/>
        <v>0.14634460224185511</v>
      </c>
      <c r="J1190">
        <f t="shared" si="338"/>
        <v>0.14634460224185511</v>
      </c>
      <c r="K1190">
        <f t="shared" si="338"/>
        <v>0.14634460224185511</v>
      </c>
      <c r="L1190">
        <f t="shared" si="338"/>
        <v>0.14634460224185511</v>
      </c>
      <c r="M1190">
        <f t="shared" si="339"/>
        <v>0.14634460224185511</v>
      </c>
      <c r="N1190">
        <f t="shared" si="340"/>
        <v>0.15651163391241399</v>
      </c>
      <c r="O1190">
        <f t="shared" si="341"/>
        <v>0.15509024192068349</v>
      </c>
      <c r="P1190">
        <f t="shared" si="342"/>
        <v>0.15366884992895299</v>
      </c>
      <c r="Q1190">
        <f t="shared" si="343"/>
        <v>0.15224745793722247</v>
      </c>
      <c r="R1190">
        <f t="shared" si="344"/>
        <v>0.15821053066463808</v>
      </c>
      <c r="S1190">
        <f t="shared" si="345"/>
        <v>0.14072947423558185</v>
      </c>
      <c r="T1190">
        <f t="shared" si="346"/>
        <v>0.12730630852016495</v>
      </c>
      <c r="U1190">
        <f t="shared" si="347"/>
        <v>0.15295736316648614</v>
      </c>
      <c r="V1190">
        <f t="shared" si="348"/>
        <v>0.15831142191184577</v>
      </c>
      <c r="W1190">
        <f t="shared" si="349"/>
        <v>0.15225170363122775</v>
      </c>
      <c r="X1190">
        <f t="shared" si="350"/>
        <v>0.14992171291526388</v>
      </c>
      <c r="Y1190">
        <f t="shared" si="351"/>
        <v>0.14970216268871392</v>
      </c>
      <c r="Z1190">
        <f t="shared" si="352"/>
        <v>0.15090565814608364</v>
      </c>
      <c r="AA1190">
        <f t="shared" si="353"/>
        <v>0.1815635769424592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</row>
    <row r="1191" spans="1:59" ht="12" customHeight="1" x14ac:dyDescent="0.2">
      <c r="A1191" t="s">
        <v>253</v>
      </c>
      <c r="B1191" t="s">
        <v>254</v>
      </c>
      <c r="C1191" t="s">
        <v>46</v>
      </c>
      <c r="D1191">
        <f t="shared" ref="D1191:L1200" si="354">$M1191</f>
        <v>0.14634460224185511</v>
      </c>
      <c r="E1191">
        <f t="shared" si="354"/>
        <v>0.14634460224185511</v>
      </c>
      <c r="F1191">
        <f t="shared" si="354"/>
        <v>0.14634460224185511</v>
      </c>
      <c r="G1191">
        <f t="shared" si="354"/>
        <v>0.14634460224185511</v>
      </c>
      <c r="H1191">
        <f t="shared" si="354"/>
        <v>0.14634460224185511</v>
      </c>
      <c r="I1191">
        <f t="shared" si="354"/>
        <v>0.14634460224185511</v>
      </c>
      <c r="J1191">
        <f t="shared" si="354"/>
        <v>0.14634460224185511</v>
      </c>
      <c r="K1191">
        <f t="shared" si="354"/>
        <v>0.14634460224185511</v>
      </c>
      <c r="L1191">
        <f t="shared" si="354"/>
        <v>0.14634460224185511</v>
      </c>
      <c r="M1191">
        <f t="shared" si="339"/>
        <v>0.14634460224185511</v>
      </c>
      <c r="N1191">
        <f t="shared" si="340"/>
        <v>0.15651163391241399</v>
      </c>
      <c r="O1191">
        <f t="shared" si="341"/>
        <v>0.15509024192068349</v>
      </c>
      <c r="P1191">
        <f t="shared" si="342"/>
        <v>0.15366884992895299</v>
      </c>
      <c r="Q1191">
        <f t="shared" si="343"/>
        <v>0.15224745793722247</v>
      </c>
      <c r="R1191">
        <f t="shared" si="344"/>
        <v>0.15821053066463808</v>
      </c>
      <c r="S1191">
        <f t="shared" si="345"/>
        <v>0.14072947423558185</v>
      </c>
      <c r="T1191">
        <f t="shared" si="346"/>
        <v>0.12730630852016495</v>
      </c>
      <c r="U1191">
        <f t="shared" si="347"/>
        <v>0.15295736316648614</v>
      </c>
      <c r="V1191">
        <f t="shared" si="348"/>
        <v>0.15831142191184577</v>
      </c>
      <c r="W1191">
        <f t="shared" si="349"/>
        <v>0.15225170363122775</v>
      </c>
      <c r="X1191">
        <f t="shared" si="350"/>
        <v>0.14992171291526388</v>
      </c>
      <c r="Y1191">
        <f t="shared" si="351"/>
        <v>0.14970216268871392</v>
      </c>
      <c r="Z1191">
        <f t="shared" si="352"/>
        <v>0.15090565814608364</v>
      </c>
      <c r="AA1191">
        <f t="shared" si="353"/>
        <v>0.1815635769424592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</row>
    <row r="1192" spans="1:59" ht="12" customHeight="1" x14ac:dyDescent="0.2">
      <c r="A1192" t="s">
        <v>255</v>
      </c>
      <c r="B1192" t="s">
        <v>256</v>
      </c>
      <c r="C1192" t="s">
        <v>46</v>
      </c>
      <c r="D1192">
        <f t="shared" si="354"/>
        <v>0.14634460224185511</v>
      </c>
      <c r="E1192">
        <f t="shared" si="354"/>
        <v>0.14634460224185511</v>
      </c>
      <c r="F1192">
        <f t="shared" si="354"/>
        <v>0.14634460224185511</v>
      </c>
      <c r="G1192">
        <f t="shared" si="354"/>
        <v>0.14634460224185511</v>
      </c>
      <c r="H1192">
        <f t="shared" si="354"/>
        <v>0.14634460224185511</v>
      </c>
      <c r="I1192">
        <f t="shared" si="354"/>
        <v>0.14634460224185511</v>
      </c>
      <c r="J1192">
        <f t="shared" si="354"/>
        <v>0.14634460224185511</v>
      </c>
      <c r="K1192">
        <f t="shared" si="354"/>
        <v>0.14634460224185511</v>
      </c>
      <c r="L1192">
        <f t="shared" si="354"/>
        <v>0.14634460224185511</v>
      </c>
      <c r="M1192">
        <f t="shared" si="339"/>
        <v>0.14634460224185511</v>
      </c>
      <c r="N1192">
        <f t="shared" si="340"/>
        <v>0.15651163391241399</v>
      </c>
      <c r="O1192">
        <f t="shared" si="341"/>
        <v>0.15509024192068349</v>
      </c>
      <c r="P1192">
        <f t="shared" si="342"/>
        <v>0.15366884992895299</v>
      </c>
      <c r="Q1192">
        <f t="shared" si="343"/>
        <v>0.15224745793722247</v>
      </c>
      <c r="R1192">
        <f t="shared" si="344"/>
        <v>0.15821053066463808</v>
      </c>
      <c r="S1192">
        <f t="shared" si="345"/>
        <v>0.14072947423558185</v>
      </c>
      <c r="T1192">
        <f t="shared" si="346"/>
        <v>0.12730630852016495</v>
      </c>
      <c r="U1192">
        <f t="shared" si="347"/>
        <v>0.15295736316648614</v>
      </c>
      <c r="V1192">
        <f t="shared" si="348"/>
        <v>0.15831142191184577</v>
      </c>
      <c r="W1192">
        <f t="shared" si="349"/>
        <v>0.15225170363122775</v>
      </c>
      <c r="X1192">
        <f t="shared" si="350"/>
        <v>0.14992171291526388</v>
      </c>
      <c r="Y1192">
        <f t="shared" si="351"/>
        <v>0.14970216268871392</v>
      </c>
      <c r="Z1192">
        <f t="shared" si="352"/>
        <v>0.15090565814608364</v>
      </c>
      <c r="AA1192">
        <f t="shared" si="353"/>
        <v>0.1815635769424592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</row>
    <row r="1193" spans="1:59" ht="12" customHeight="1" x14ac:dyDescent="0.2">
      <c r="A1193" t="s">
        <v>257</v>
      </c>
      <c r="B1193" t="s">
        <v>258</v>
      </c>
      <c r="C1193" t="s">
        <v>46</v>
      </c>
      <c r="D1193">
        <f t="shared" si="354"/>
        <v>0.14634460224185511</v>
      </c>
      <c r="E1193">
        <f t="shared" si="354"/>
        <v>0.14634460224185511</v>
      </c>
      <c r="F1193">
        <f t="shared" si="354"/>
        <v>0.14634460224185511</v>
      </c>
      <c r="G1193">
        <f t="shared" si="354"/>
        <v>0.14634460224185511</v>
      </c>
      <c r="H1193">
        <f t="shared" si="354"/>
        <v>0.14634460224185511</v>
      </c>
      <c r="I1193">
        <f t="shared" si="354"/>
        <v>0.14634460224185511</v>
      </c>
      <c r="J1193">
        <f t="shared" si="354"/>
        <v>0.14634460224185511</v>
      </c>
      <c r="K1193">
        <f t="shared" si="354"/>
        <v>0.14634460224185511</v>
      </c>
      <c r="L1193">
        <f t="shared" si="354"/>
        <v>0.14634460224185511</v>
      </c>
      <c r="M1193">
        <f t="shared" si="339"/>
        <v>0.14634460224185511</v>
      </c>
      <c r="N1193">
        <f t="shared" si="340"/>
        <v>0.15651163391241399</v>
      </c>
      <c r="O1193">
        <f t="shared" si="341"/>
        <v>0.15509024192068349</v>
      </c>
      <c r="P1193">
        <f t="shared" si="342"/>
        <v>0.15366884992895299</v>
      </c>
      <c r="Q1193">
        <f t="shared" si="343"/>
        <v>0.15224745793722247</v>
      </c>
      <c r="R1193">
        <f t="shared" si="344"/>
        <v>0.15821053066463808</v>
      </c>
      <c r="S1193">
        <f t="shared" si="345"/>
        <v>0.14072947423558185</v>
      </c>
      <c r="T1193">
        <f t="shared" si="346"/>
        <v>0.12730630852016495</v>
      </c>
      <c r="U1193">
        <f t="shared" si="347"/>
        <v>0.15295736316648614</v>
      </c>
      <c r="V1193">
        <f t="shared" si="348"/>
        <v>0.15831142191184577</v>
      </c>
      <c r="W1193">
        <f t="shared" si="349"/>
        <v>0.15225170363122775</v>
      </c>
      <c r="X1193">
        <f t="shared" si="350"/>
        <v>0.14992171291526388</v>
      </c>
      <c r="Y1193">
        <f t="shared" si="351"/>
        <v>0.14970216268871392</v>
      </c>
      <c r="Z1193">
        <f t="shared" si="352"/>
        <v>0.15090565814608364</v>
      </c>
      <c r="AA1193">
        <f t="shared" si="353"/>
        <v>0.1815635769424592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</row>
    <row r="1194" spans="1:59" ht="12" customHeight="1" x14ac:dyDescent="0.2">
      <c r="A1194" t="s">
        <v>259</v>
      </c>
      <c r="B1194" t="s">
        <v>234</v>
      </c>
      <c r="C1194" t="s">
        <v>62</v>
      </c>
      <c r="D1194">
        <f t="shared" si="354"/>
        <v>9.3259351879440122E-2</v>
      </c>
      <c r="E1194">
        <f t="shared" si="354"/>
        <v>9.3259351879440122E-2</v>
      </c>
      <c r="F1194">
        <f t="shared" si="354"/>
        <v>9.3259351879440122E-2</v>
      </c>
      <c r="G1194">
        <f t="shared" si="354"/>
        <v>9.3259351879440122E-2</v>
      </c>
      <c r="H1194">
        <f t="shared" si="354"/>
        <v>9.3259351879440122E-2</v>
      </c>
      <c r="I1194">
        <f t="shared" si="354"/>
        <v>9.3259351879440122E-2</v>
      </c>
      <c r="J1194">
        <f t="shared" si="354"/>
        <v>9.3259351879440122E-2</v>
      </c>
      <c r="K1194">
        <f t="shared" si="354"/>
        <v>9.3259351879440122E-2</v>
      </c>
      <c r="L1194">
        <f t="shared" si="354"/>
        <v>9.3259351879440122E-2</v>
      </c>
      <c r="M1194">
        <v>9.3259351879440122E-2</v>
      </c>
      <c r="N1194">
        <v>9.5828202260338322E-2</v>
      </c>
      <c r="O1194">
        <v>9.5284757072750942E-2</v>
      </c>
      <c r="P1194">
        <v>9.4741311885163562E-2</v>
      </c>
      <c r="Q1194">
        <v>9.4197866697576196E-2</v>
      </c>
      <c r="R1194">
        <v>9.7909450129423689E-2</v>
      </c>
      <c r="S1194">
        <v>9.448527209478641E-2</v>
      </c>
      <c r="T1194">
        <v>9.1065211217673997E-2</v>
      </c>
      <c r="U1194">
        <v>9.1183882629248272E-2</v>
      </c>
      <c r="V1194">
        <v>8.2842217506471347E-2</v>
      </c>
      <c r="W1194">
        <v>8.0741878037541626E-2</v>
      </c>
      <c r="X1194">
        <v>8.2395485780876312E-2</v>
      </c>
      <c r="Y1194">
        <v>7.7961862845321611E-2</v>
      </c>
      <c r="Z1194">
        <v>7.2035333303345744E-2</v>
      </c>
      <c r="AA1194">
        <v>9.1801756940057669E-2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</row>
    <row r="1195" spans="1:59" ht="12" customHeight="1" x14ac:dyDescent="0.2">
      <c r="A1195" t="s">
        <v>260</v>
      </c>
      <c r="B1195" t="s">
        <v>236</v>
      </c>
      <c r="C1195" t="s">
        <v>62</v>
      </c>
      <c r="D1195">
        <f t="shared" si="354"/>
        <v>9.3259351879440122E-2</v>
      </c>
      <c r="E1195">
        <f t="shared" si="354"/>
        <v>9.3259351879440122E-2</v>
      </c>
      <c r="F1195">
        <f t="shared" si="354"/>
        <v>9.3259351879440122E-2</v>
      </c>
      <c r="G1195">
        <f t="shared" si="354"/>
        <v>9.3259351879440122E-2</v>
      </c>
      <c r="H1195">
        <f t="shared" si="354"/>
        <v>9.3259351879440122E-2</v>
      </c>
      <c r="I1195">
        <f t="shared" si="354"/>
        <v>9.3259351879440122E-2</v>
      </c>
      <c r="J1195">
        <f t="shared" si="354"/>
        <v>9.3259351879440122E-2</v>
      </c>
      <c r="K1195">
        <f t="shared" si="354"/>
        <v>9.3259351879440122E-2</v>
      </c>
      <c r="L1195">
        <f t="shared" si="354"/>
        <v>9.3259351879440122E-2</v>
      </c>
      <c r="M1195">
        <f t="shared" ref="M1195:M1206" si="355">M1194</f>
        <v>9.3259351879440122E-2</v>
      </c>
      <c r="N1195">
        <f t="shared" ref="N1195:N1206" si="356">N1194</f>
        <v>9.5828202260338322E-2</v>
      </c>
      <c r="O1195">
        <f t="shared" ref="O1195:O1206" si="357">O1194</f>
        <v>9.5284757072750942E-2</v>
      </c>
      <c r="P1195">
        <f t="shared" ref="P1195:P1206" si="358">P1194</f>
        <v>9.4741311885163562E-2</v>
      </c>
      <c r="Q1195">
        <f t="shared" ref="Q1195:Q1206" si="359">Q1194</f>
        <v>9.4197866697576196E-2</v>
      </c>
      <c r="R1195">
        <f t="shared" ref="R1195:R1206" si="360">R1194</f>
        <v>9.7909450129423689E-2</v>
      </c>
      <c r="S1195">
        <f t="shared" ref="S1195:S1206" si="361">S1194</f>
        <v>9.448527209478641E-2</v>
      </c>
      <c r="T1195">
        <f t="shared" ref="T1195:T1206" si="362">T1194</f>
        <v>9.1065211217673997E-2</v>
      </c>
      <c r="U1195">
        <f t="shared" ref="U1195:U1206" si="363">U1194</f>
        <v>9.1183882629248272E-2</v>
      </c>
      <c r="V1195">
        <f t="shared" ref="V1195:V1206" si="364">V1194</f>
        <v>8.2842217506471347E-2</v>
      </c>
      <c r="W1195">
        <f t="shared" ref="W1195:W1206" si="365">W1194</f>
        <v>8.0741878037541626E-2</v>
      </c>
      <c r="X1195">
        <f t="shared" ref="X1195:X1206" si="366">X1194</f>
        <v>8.2395485780876312E-2</v>
      </c>
      <c r="Y1195">
        <f t="shared" ref="Y1195:Y1206" si="367">Y1194</f>
        <v>7.7961862845321611E-2</v>
      </c>
      <c r="Z1195">
        <f t="shared" ref="Z1195:Z1206" si="368">Z1194</f>
        <v>7.2035333303345744E-2</v>
      </c>
      <c r="AA1195">
        <f t="shared" ref="AA1195:AA1206" si="369">AA1194</f>
        <v>9.1801756940057669E-2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</row>
    <row r="1196" spans="1:59" ht="12" customHeight="1" x14ac:dyDescent="0.2">
      <c r="A1196" t="s">
        <v>261</v>
      </c>
      <c r="B1196" t="s">
        <v>238</v>
      </c>
      <c r="C1196" t="s">
        <v>62</v>
      </c>
      <c r="D1196">
        <f t="shared" si="354"/>
        <v>9.3259351879440122E-2</v>
      </c>
      <c r="E1196">
        <f t="shared" si="354"/>
        <v>9.3259351879440122E-2</v>
      </c>
      <c r="F1196">
        <f t="shared" si="354"/>
        <v>9.3259351879440122E-2</v>
      </c>
      <c r="G1196">
        <f t="shared" si="354"/>
        <v>9.3259351879440122E-2</v>
      </c>
      <c r="H1196">
        <f t="shared" si="354"/>
        <v>9.3259351879440122E-2</v>
      </c>
      <c r="I1196">
        <f t="shared" si="354"/>
        <v>9.3259351879440122E-2</v>
      </c>
      <c r="J1196">
        <f t="shared" si="354"/>
        <v>9.3259351879440122E-2</v>
      </c>
      <c r="K1196">
        <f t="shared" si="354"/>
        <v>9.3259351879440122E-2</v>
      </c>
      <c r="L1196">
        <f t="shared" si="354"/>
        <v>9.3259351879440122E-2</v>
      </c>
      <c r="M1196">
        <f t="shared" si="355"/>
        <v>9.3259351879440122E-2</v>
      </c>
      <c r="N1196">
        <f t="shared" si="356"/>
        <v>9.5828202260338322E-2</v>
      </c>
      <c r="O1196">
        <f t="shared" si="357"/>
        <v>9.5284757072750942E-2</v>
      </c>
      <c r="P1196">
        <f t="shared" si="358"/>
        <v>9.4741311885163562E-2</v>
      </c>
      <c r="Q1196">
        <f t="shared" si="359"/>
        <v>9.4197866697576196E-2</v>
      </c>
      <c r="R1196">
        <f t="shared" si="360"/>
        <v>9.7909450129423689E-2</v>
      </c>
      <c r="S1196">
        <f t="shared" si="361"/>
        <v>9.448527209478641E-2</v>
      </c>
      <c r="T1196">
        <f t="shared" si="362"/>
        <v>9.1065211217673997E-2</v>
      </c>
      <c r="U1196">
        <f t="shared" si="363"/>
        <v>9.1183882629248272E-2</v>
      </c>
      <c r="V1196">
        <f t="shared" si="364"/>
        <v>8.2842217506471347E-2</v>
      </c>
      <c r="W1196">
        <f t="shared" si="365"/>
        <v>8.0741878037541626E-2</v>
      </c>
      <c r="X1196">
        <f t="shared" si="366"/>
        <v>8.2395485780876312E-2</v>
      </c>
      <c r="Y1196">
        <f t="shared" si="367"/>
        <v>7.7961862845321611E-2</v>
      </c>
      <c r="Z1196">
        <f t="shared" si="368"/>
        <v>7.2035333303345744E-2</v>
      </c>
      <c r="AA1196">
        <f t="shared" si="369"/>
        <v>9.1801756940057669E-2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</row>
    <row r="1197" spans="1:59" ht="12" customHeight="1" x14ac:dyDescent="0.2">
      <c r="A1197" t="s">
        <v>262</v>
      </c>
      <c r="B1197" t="s">
        <v>240</v>
      </c>
      <c r="C1197" t="s">
        <v>62</v>
      </c>
      <c r="D1197">
        <f t="shared" si="354"/>
        <v>9.3259351879440122E-2</v>
      </c>
      <c r="E1197">
        <f t="shared" si="354"/>
        <v>9.3259351879440122E-2</v>
      </c>
      <c r="F1197">
        <f t="shared" si="354"/>
        <v>9.3259351879440122E-2</v>
      </c>
      <c r="G1197">
        <f t="shared" si="354"/>
        <v>9.3259351879440122E-2</v>
      </c>
      <c r="H1197">
        <f t="shared" si="354"/>
        <v>9.3259351879440122E-2</v>
      </c>
      <c r="I1197">
        <f t="shared" si="354"/>
        <v>9.3259351879440122E-2</v>
      </c>
      <c r="J1197">
        <f t="shared" si="354"/>
        <v>9.3259351879440122E-2</v>
      </c>
      <c r="K1197">
        <f t="shared" si="354"/>
        <v>9.3259351879440122E-2</v>
      </c>
      <c r="L1197">
        <f t="shared" si="354"/>
        <v>9.3259351879440122E-2</v>
      </c>
      <c r="M1197">
        <f t="shared" si="355"/>
        <v>9.3259351879440122E-2</v>
      </c>
      <c r="N1197">
        <f t="shared" si="356"/>
        <v>9.5828202260338322E-2</v>
      </c>
      <c r="O1197">
        <f t="shared" si="357"/>
        <v>9.5284757072750942E-2</v>
      </c>
      <c r="P1197">
        <f t="shared" si="358"/>
        <v>9.4741311885163562E-2</v>
      </c>
      <c r="Q1197">
        <f t="shared" si="359"/>
        <v>9.4197866697576196E-2</v>
      </c>
      <c r="R1197">
        <f t="shared" si="360"/>
        <v>9.7909450129423689E-2</v>
      </c>
      <c r="S1197">
        <f t="shared" si="361"/>
        <v>9.448527209478641E-2</v>
      </c>
      <c r="T1197">
        <f t="shared" si="362"/>
        <v>9.1065211217673997E-2</v>
      </c>
      <c r="U1197">
        <f t="shared" si="363"/>
        <v>9.1183882629248272E-2</v>
      </c>
      <c r="V1197">
        <f t="shared" si="364"/>
        <v>8.2842217506471347E-2</v>
      </c>
      <c r="W1197">
        <f t="shared" si="365"/>
        <v>8.0741878037541626E-2</v>
      </c>
      <c r="X1197">
        <f t="shared" si="366"/>
        <v>8.2395485780876312E-2</v>
      </c>
      <c r="Y1197">
        <f t="shared" si="367"/>
        <v>7.7961862845321611E-2</v>
      </c>
      <c r="Z1197">
        <f t="shared" si="368"/>
        <v>7.2035333303345744E-2</v>
      </c>
      <c r="AA1197">
        <f t="shared" si="369"/>
        <v>9.1801756940057669E-2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</row>
    <row r="1198" spans="1:59" ht="12" customHeight="1" x14ac:dyDescent="0.2">
      <c r="A1198" t="s">
        <v>263</v>
      </c>
      <c r="B1198" t="s">
        <v>242</v>
      </c>
      <c r="C1198" t="s">
        <v>62</v>
      </c>
      <c r="D1198">
        <f t="shared" si="354"/>
        <v>9.3259351879440122E-2</v>
      </c>
      <c r="E1198">
        <f t="shared" si="354"/>
        <v>9.3259351879440122E-2</v>
      </c>
      <c r="F1198">
        <f t="shared" si="354"/>
        <v>9.3259351879440122E-2</v>
      </c>
      <c r="G1198">
        <f t="shared" si="354"/>
        <v>9.3259351879440122E-2</v>
      </c>
      <c r="H1198">
        <f t="shared" si="354"/>
        <v>9.3259351879440122E-2</v>
      </c>
      <c r="I1198">
        <f t="shared" si="354"/>
        <v>9.3259351879440122E-2</v>
      </c>
      <c r="J1198">
        <f t="shared" si="354"/>
        <v>9.3259351879440122E-2</v>
      </c>
      <c r="K1198">
        <f t="shared" si="354"/>
        <v>9.3259351879440122E-2</v>
      </c>
      <c r="L1198">
        <f t="shared" si="354"/>
        <v>9.3259351879440122E-2</v>
      </c>
      <c r="M1198">
        <f t="shared" si="355"/>
        <v>9.3259351879440122E-2</v>
      </c>
      <c r="N1198">
        <f t="shared" si="356"/>
        <v>9.5828202260338322E-2</v>
      </c>
      <c r="O1198">
        <f t="shared" si="357"/>
        <v>9.5284757072750942E-2</v>
      </c>
      <c r="P1198">
        <f t="shared" si="358"/>
        <v>9.4741311885163562E-2</v>
      </c>
      <c r="Q1198">
        <f t="shared" si="359"/>
        <v>9.4197866697576196E-2</v>
      </c>
      <c r="R1198">
        <f t="shared" si="360"/>
        <v>9.7909450129423689E-2</v>
      </c>
      <c r="S1198">
        <f t="shared" si="361"/>
        <v>9.448527209478641E-2</v>
      </c>
      <c r="T1198">
        <f t="shared" si="362"/>
        <v>9.1065211217673997E-2</v>
      </c>
      <c r="U1198">
        <f t="shared" si="363"/>
        <v>9.1183882629248272E-2</v>
      </c>
      <c r="V1198">
        <f t="shared" si="364"/>
        <v>8.2842217506471347E-2</v>
      </c>
      <c r="W1198">
        <f t="shared" si="365"/>
        <v>8.0741878037541626E-2</v>
      </c>
      <c r="X1198">
        <f t="shared" si="366"/>
        <v>8.2395485780876312E-2</v>
      </c>
      <c r="Y1198">
        <f t="shared" si="367"/>
        <v>7.7961862845321611E-2</v>
      </c>
      <c r="Z1198">
        <f t="shared" si="368"/>
        <v>7.2035333303345744E-2</v>
      </c>
      <c r="AA1198">
        <f t="shared" si="369"/>
        <v>9.1801756940057669E-2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</row>
    <row r="1199" spans="1:59" ht="12" customHeight="1" x14ac:dyDescent="0.2">
      <c r="A1199" t="s">
        <v>264</v>
      </c>
      <c r="B1199" t="s">
        <v>244</v>
      </c>
      <c r="C1199" t="s">
        <v>62</v>
      </c>
      <c r="D1199">
        <f t="shared" si="354"/>
        <v>9.3259351879440122E-2</v>
      </c>
      <c r="E1199">
        <f t="shared" si="354"/>
        <v>9.3259351879440122E-2</v>
      </c>
      <c r="F1199">
        <f t="shared" si="354"/>
        <v>9.3259351879440122E-2</v>
      </c>
      <c r="G1199">
        <f t="shared" si="354"/>
        <v>9.3259351879440122E-2</v>
      </c>
      <c r="H1199">
        <f t="shared" si="354"/>
        <v>9.3259351879440122E-2</v>
      </c>
      <c r="I1199">
        <f t="shared" si="354"/>
        <v>9.3259351879440122E-2</v>
      </c>
      <c r="J1199">
        <f t="shared" si="354"/>
        <v>9.3259351879440122E-2</v>
      </c>
      <c r="K1199">
        <f t="shared" si="354"/>
        <v>9.3259351879440122E-2</v>
      </c>
      <c r="L1199">
        <f t="shared" si="354"/>
        <v>9.3259351879440122E-2</v>
      </c>
      <c r="M1199">
        <f t="shared" si="355"/>
        <v>9.3259351879440122E-2</v>
      </c>
      <c r="N1199">
        <f t="shared" si="356"/>
        <v>9.5828202260338322E-2</v>
      </c>
      <c r="O1199">
        <f t="shared" si="357"/>
        <v>9.5284757072750942E-2</v>
      </c>
      <c r="P1199">
        <f t="shared" si="358"/>
        <v>9.4741311885163562E-2</v>
      </c>
      <c r="Q1199">
        <f t="shared" si="359"/>
        <v>9.4197866697576196E-2</v>
      </c>
      <c r="R1199">
        <f t="shared" si="360"/>
        <v>9.7909450129423689E-2</v>
      </c>
      <c r="S1199">
        <f t="shared" si="361"/>
        <v>9.448527209478641E-2</v>
      </c>
      <c r="T1199">
        <f t="shared" si="362"/>
        <v>9.1065211217673997E-2</v>
      </c>
      <c r="U1199">
        <f t="shared" si="363"/>
        <v>9.1183882629248272E-2</v>
      </c>
      <c r="V1199">
        <f t="shared" si="364"/>
        <v>8.2842217506471347E-2</v>
      </c>
      <c r="W1199">
        <f t="shared" si="365"/>
        <v>8.0741878037541626E-2</v>
      </c>
      <c r="X1199">
        <f t="shared" si="366"/>
        <v>8.2395485780876312E-2</v>
      </c>
      <c r="Y1199">
        <f t="shared" si="367"/>
        <v>7.7961862845321611E-2</v>
      </c>
      <c r="Z1199">
        <f t="shared" si="368"/>
        <v>7.2035333303345744E-2</v>
      </c>
      <c r="AA1199">
        <f t="shared" si="369"/>
        <v>9.1801756940057669E-2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</row>
    <row r="1200" spans="1:59" ht="12" customHeight="1" x14ac:dyDescent="0.2">
      <c r="A1200" t="s">
        <v>265</v>
      </c>
      <c r="B1200" t="s">
        <v>246</v>
      </c>
      <c r="C1200" t="s">
        <v>62</v>
      </c>
      <c r="D1200">
        <f t="shared" si="354"/>
        <v>9.3259351879440122E-2</v>
      </c>
      <c r="E1200">
        <f t="shared" si="354"/>
        <v>9.3259351879440122E-2</v>
      </c>
      <c r="F1200">
        <f t="shared" si="354"/>
        <v>9.3259351879440122E-2</v>
      </c>
      <c r="G1200">
        <f t="shared" si="354"/>
        <v>9.3259351879440122E-2</v>
      </c>
      <c r="H1200">
        <f t="shared" si="354"/>
        <v>9.3259351879440122E-2</v>
      </c>
      <c r="I1200">
        <f t="shared" si="354"/>
        <v>9.3259351879440122E-2</v>
      </c>
      <c r="J1200">
        <f t="shared" si="354"/>
        <v>9.3259351879440122E-2</v>
      </c>
      <c r="K1200">
        <f t="shared" si="354"/>
        <v>9.3259351879440122E-2</v>
      </c>
      <c r="L1200">
        <f t="shared" si="354"/>
        <v>9.3259351879440122E-2</v>
      </c>
      <c r="M1200">
        <f t="shared" si="355"/>
        <v>9.3259351879440122E-2</v>
      </c>
      <c r="N1200">
        <f t="shared" si="356"/>
        <v>9.5828202260338322E-2</v>
      </c>
      <c r="O1200">
        <f t="shared" si="357"/>
        <v>9.5284757072750942E-2</v>
      </c>
      <c r="P1200">
        <f t="shared" si="358"/>
        <v>9.4741311885163562E-2</v>
      </c>
      <c r="Q1200">
        <f t="shared" si="359"/>
        <v>9.4197866697576196E-2</v>
      </c>
      <c r="R1200">
        <f t="shared" si="360"/>
        <v>9.7909450129423689E-2</v>
      </c>
      <c r="S1200">
        <f t="shared" si="361"/>
        <v>9.448527209478641E-2</v>
      </c>
      <c r="T1200">
        <f t="shared" si="362"/>
        <v>9.1065211217673997E-2</v>
      </c>
      <c r="U1200">
        <f t="shared" si="363"/>
        <v>9.1183882629248272E-2</v>
      </c>
      <c r="V1200">
        <f t="shared" si="364"/>
        <v>8.2842217506471347E-2</v>
      </c>
      <c r="W1200">
        <f t="shared" si="365"/>
        <v>8.0741878037541626E-2</v>
      </c>
      <c r="X1200">
        <f t="shared" si="366"/>
        <v>8.2395485780876312E-2</v>
      </c>
      <c r="Y1200">
        <f t="shared" si="367"/>
        <v>7.7961862845321611E-2</v>
      </c>
      <c r="Z1200">
        <f t="shared" si="368"/>
        <v>7.2035333303345744E-2</v>
      </c>
      <c r="AA1200">
        <f t="shared" si="369"/>
        <v>9.1801756940057669E-2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</row>
    <row r="1201" spans="1:59" ht="12" customHeight="1" x14ac:dyDescent="0.2">
      <c r="A1201" t="s">
        <v>266</v>
      </c>
      <c r="B1201" t="s">
        <v>248</v>
      </c>
      <c r="C1201" t="s">
        <v>62</v>
      </c>
      <c r="D1201">
        <f t="shared" ref="D1201:L1210" si="370">$M1201</f>
        <v>9.3259351879440122E-2</v>
      </c>
      <c r="E1201">
        <f t="shared" si="370"/>
        <v>9.3259351879440122E-2</v>
      </c>
      <c r="F1201">
        <f t="shared" si="370"/>
        <v>9.3259351879440122E-2</v>
      </c>
      <c r="G1201">
        <f t="shared" si="370"/>
        <v>9.3259351879440122E-2</v>
      </c>
      <c r="H1201">
        <f t="shared" si="370"/>
        <v>9.3259351879440122E-2</v>
      </c>
      <c r="I1201">
        <f t="shared" si="370"/>
        <v>9.3259351879440122E-2</v>
      </c>
      <c r="J1201">
        <f t="shared" si="370"/>
        <v>9.3259351879440122E-2</v>
      </c>
      <c r="K1201">
        <f t="shared" si="370"/>
        <v>9.3259351879440122E-2</v>
      </c>
      <c r="L1201">
        <f t="shared" si="370"/>
        <v>9.3259351879440122E-2</v>
      </c>
      <c r="M1201">
        <f t="shared" si="355"/>
        <v>9.3259351879440122E-2</v>
      </c>
      <c r="N1201">
        <f t="shared" si="356"/>
        <v>9.5828202260338322E-2</v>
      </c>
      <c r="O1201">
        <f t="shared" si="357"/>
        <v>9.5284757072750942E-2</v>
      </c>
      <c r="P1201">
        <f t="shared" si="358"/>
        <v>9.4741311885163562E-2</v>
      </c>
      <c r="Q1201">
        <f t="shared" si="359"/>
        <v>9.4197866697576196E-2</v>
      </c>
      <c r="R1201">
        <f t="shared" si="360"/>
        <v>9.7909450129423689E-2</v>
      </c>
      <c r="S1201">
        <f t="shared" si="361"/>
        <v>9.448527209478641E-2</v>
      </c>
      <c r="T1201">
        <f t="shared" si="362"/>
        <v>9.1065211217673997E-2</v>
      </c>
      <c r="U1201">
        <f t="shared" si="363"/>
        <v>9.1183882629248272E-2</v>
      </c>
      <c r="V1201">
        <f t="shared" si="364"/>
        <v>8.2842217506471347E-2</v>
      </c>
      <c r="W1201">
        <f t="shared" si="365"/>
        <v>8.0741878037541626E-2</v>
      </c>
      <c r="X1201">
        <f t="shared" si="366"/>
        <v>8.2395485780876312E-2</v>
      </c>
      <c r="Y1201">
        <f t="shared" si="367"/>
        <v>7.7961862845321611E-2</v>
      </c>
      <c r="Z1201">
        <f t="shared" si="368"/>
        <v>7.2035333303345744E-2</v>
      </c>
      <c r="AA1201">
        <f t="shared" si="369"/>
        <v>9.1801756940057669E-2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</row>
    <row r="1202" spans="1:59" ht="12" customHeight="1" x14ac:dyDescent="0.2">
      <c r="A1202" t="s">
        <v>267</v>
      </c>
      <c r="B1202" t="s">
        <v>250</v>
      </c>
      <c r="C1202" t="s">
        <v>62</v>
      </c>
      <c r="D1202">
        <f t="shared" si="370"/>
        <v>9.3259351879440122E-2</v>
      </c>
      <c r="E1202">
        <f t="shared" si="370"/>
        <v>9.3259351879440122E-2</v>
      </c>
      <c r="F1202">
        <f t="shared" si="370"/>
        <v>9.3259351879440122E-2</v>
      </c>
      <c r="G1202">
        <f t="shared" si="370"/>
        <v>9.3259351879440122E-2</v>
      </c>
      <c r="H1202">
        <f t="shared" si="370"/>
        <v>9.3259351879440122E-2</v>
      </c>
      <c r="I1202">
        <f t="shared" si="370"/>
        <v>9.3259351879440122E-2</v>
      </c>
      <c r="J1202">
        <f t="shared" si="370"/>
        <v>9.3259351879440122E-2</v>
      </c>
      <c r="K1202">
        <f t="shared" si="370"/>
        <v>9.3259351879440122E-2</v>
      </c>
      <c r="L1202">
        <f t="shared" si="370"/>
        <v>9.3259351879440122E-2</v>
      </c>
      <c r="M1202">
        <f t="shared" si="355"/>
        <v>9.3259351879440122E-2</v>
      </c>
      <c r="N1202">
        <f t="shared" si="356"/>
        <v>9.5828202260338322E-2</v>
      </c>
      <c r="O1202">
        <f t="shared" si="357"/>
        <v>9.5284757072750942E-2</v>
      </c>
      <c r="P1202">
        <f t="shared" si="358"/>
        <v>9.4741311885163562E-2</v>
      </c>
      <c r="Q1202">
        <f t="shared" si="359"/>
        <v>9.4197866697576196E-2</v>
      </c>
      <c r="R1202">
        <f t="shared" si="360"/>
        <v>9.7909450129423689E-2</v>
      </c>
      <c r="S1202">
        <f t="shared" si="361"/>
        <v>9.448527209478641E-2</v>
      </c>
      <c r="T1202">
        <f t="shared" si="362"/>
        <v>9.1065211217673997E-2</v>
      </c>
      <c r="U1202">
        <f t="shared" si="363"/>
        <v>9.1183882629248272E-2</v>
      </c>
      <c r="V1202">
        <f t="shared" si="364"/>
        <v>8.2842217506471347E-2</v>
      </c>
      <c r="W1202">
        <f t="shared" si="365"/>
        <v>8.0741878037541626E-2</v>
      </c>
      <c r="X1202">
        <f t="shared" si="366"/>
        <v>8.2395485780876312E-2</v>
      </c>
      <c r="Y1202">
        <f t="shared" si="367"/>
        <v>7.7961862845321611E-2</v>
      </c>
      <c r="Z1202">
        <f t="shared" si="368"/>
        <v>7.2035333303345744E-2</v>
      </c>
      <c r="AA1202">
        <f t="shared" si="369"/>
        <v>9.1801756940057669E-2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</row>
    <row r="1203" spans="1:59" ht="12" customHeight="1" x14ac:dyDescent="0.2">
      <c r="A1203" t="s">
        <v>268</v>
      </c>
      <c r="B1203" t="s">
        <v>252</v>
      </c>
      <c r="C1203" t="s">
        <v>62</v>
      </c>
      <c r="D1203">
        <f t="shared" si="370"/>
        <v>9.3259351879440122E-2</v>
      </c>
      <c r="E1203">
        <f t="shared" si="370"/>
        <v>9.3259351879440122E-2</v>
      </c>
      <c r="F1203">
        <f t="shared" si="370"/>
        <v>9.3259351879440122E-2</v>
      </c>
      <c r="G1203">
        <f t="shared" si="370"/>
        <v>9.3259351879440122E-2</v>
      </c>
      <c r="H1203">
        <f t="shared" si="370"/>
        <v>9.3259351879440122E-2</v>
      </c>
      <c r="I1203">
        <f t="shared" si="370"/>
        <v>9.3259351879440122E-2</v>
      </c>
      <c r="J1203">
        <f t="shared" si="370"/>
        <v>9.3259351879440122E-2</v>
      </c>
      <c r="K1203">
        <f t="shared" si="370"/>
        <v>9.3259351879440122E-2</v>
      </c>
      <c r="L1203">
        <f t="shared" si="370"/>
        <v>9.3259351879440122E-2</v>
      </c>
      <c r="M1203">
        <f t="shared" si="355"/>
        <v>9.3259351879440122E-2</v>
      </c>
      <c r="N1203">
        <f t="shared" si="356"/>
        <v>9.5828202260338322E-2</v>
      </c>
      <c r="O1203">
        <f t="shared" si="357"/>
        <v>9.5284757072750942E-2</v>
      </c>
      <c r="P1203">
        <f t="shared" si="358"/>
        <v>9.4741311885163562E-2</v>
      </c>
      <c r="Q1203">
        <f t="shared" si="359"/>
        <v>9.4197866697576196E-2</v>
      </c>
      <c r="R1203">
        <f t="shared" si="360"/>
        <v>9.7909450129423689E-2</v>
      </c>
      <c r="S1203">
        <f t="shared" si="361"/>
        <v>9.448527209478641E-2</v>
      </c>
      <c r="T1203">
        <f t="shared" si="362"/>
        <v>9.1065211217673997E-2</v>
      </c>
      <c r="U1203">
        <f t="shared" si="363"/>
        <v>9.1183882629248272E-2</v>
      </c>
      <c r="V1203">
        <f t="shared" si="364"/>
        <v>8.2842217506471347E-2</v>
      </c>
      <c r="W1203">
        <f t="shared" si="365"/>
        <v>8.0741878037541626E-2</v>
      </c>
      <c r="X1203">
        <f t="shared" si="366"/>
        <v>8.2395485780876312E-2</v>
      </c>
      <c r="Y1203">
        <f t="shared" si="367"/>
        <v>7.7961862845321611E-2</v>
      </c>
      <c r="Z1203">
        <f t="shared" si="368"/>
        <v>7.2035333303345744E-2</v>
      </c>
      <c r="AA1203">
        <f t="shared" si="369"/>
        <v>9.1801756940057669E-2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</row>
    <row r="1204" spans="1:59" ht="12" customHeight="1" x14ac:dyDescent="0.2">
      <c r="A1204" t="s">
        <v>269</v>
      </c>
      <c r="B1204" t="s">
        <v>254</v>
      </c>
      <c r="C1204" t="s">
        <v>62</v>
      </c>
      <c r="D1204">
        <f t="shared" si="370"/>
        <v>9.3259351879440122E-2</v>
      </c>
      <c r="E1204">
        <f t="shared" si="370"/>
        <v>9.3259351879440122E-2</v>
      </c>
      <c r="F1204">
        <f t="shared" si="370"/>
        <v>9.3259351879440122E-2</v>
      </c>
      <c r="G1204">
        <f t="shared" si="370"/>
        <v>9.3259351879440122E-2</v>
      </c>
      <c r="H1204">
        <f t="shared" si="370"/>
        <v>9.3259351879440122E-2</v>
      </c>
      <c r="I1204">
        <f t="shared" si="370"/>
        <v>9.3259351879440122E-2</v>
      </c>
      <c r="J1204">
        <f t="shared" si="370"/>
        <v>9.3259351879440122E-2</v>
      </c>
      <c r="K1204">
        <f t="shared" si="370"/>
        <v>9.3259351879440122E-2</v>
      </c>
      <c r="L1204">
        <f t="shared" si="370"/>
        <v>9.3259351879440122E-2</v>
      </c>
      <c r="M1204">
        <f t="shared" si="355"/>
        <v>9.3259351879440122E-2</v>
      </c>
      <c r="N1204">
        <f t="shared" si="356"/>
        <v>9.5828202260338322E-2</v>
      </c>
      <c r="O1204">
        <f t="shared" si="357"/>
        <v>9.5284757072750942E-2</v>
      </c>
      <c r="P1204">
        <f t="shared" si="358"/>
        <v>9.4741311885163562E-2</v>
      </c>
      <c r="Q1204">
        <f t="shared" si="359"/>
        <v>9.4197866697576196E-2</v>
      </c>
      <c r="R1204">
        <f t="shared" si="360"/>
        <v>9.7909450129423689E-2</v>
      </c>
      <c r="S1204">
        <f t="shared" si="361"/>
        <v>9.448527209478641E-2</v>
      </c>
      <c r="T1204">
        <f t="shared" si="362"/>
        <v>9.1065211217673997E-2</v>
      </c>
      <c r="U1204">
        <f t="shared" si="363"/>
        <v>9.1183882629248272E-2</v>
      </c>
      <c r="V1204">
        <f t="shared" si="364"/>
        <v>8.2842217506471347E-2</v>
      </c>
      <c r="W1204">
        <f t="shared" si="365"/>
        <v>8.0741878037541626E-2</v>
      </c>
      <c r="X1204">
        <f t="shared" si="366"/>
        <v>8.2395485780876312E-2</v>
      </c>
      <c r="Y1204">
        <f t="shared" si="367"/>
        <v>7.7961862845321611E-2</v>
      </c>
      <c r="Z1204">
        <f t="shared" si="368"/>
        <v>7.2035333303345744E-2</v>
      </c>
      <c r="AA1204">
        <f t="shared" si="369"/>
        <v>9.1801756940057669E-2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</row>
    <row r="1205" spans="1:59" ht="12" customHeight="1" x14ac:dyDescent="0.2">
      <c r="A1205" t="s">
        <v>270</v>
      </c>
      <c r="B1205" t="s">
        <v>256</v>
      </c>
      <c r="C1205" t="s">
        <v>62</v>
      </c>
      <c r="D1205">
        <f t="shared" si="370"/>
        <v>9.3259351879440122E-2</v>
      </c>
      <c r="E1205">
        <f t="shared" si="370"/>
        <v>9.3259351879440122E-2</v>
      </c>
      <c r="F1205">
        <f t="shared" si="370"/>
        <v>9.3259351879440122E-2</v>
      </c>
      <c r="G1205">
        <f t="shared" si="370"/>
        <v>9.3259351879440122E-2</v>
      </c>
      <c r="H1205">
        <f t="shared" si="370"/>
        <v>9.3259351879440122E-2</v>
      </c>
      <c r="I1205">
        <f t="shared" si="370"/>
        <v>9.3259351879440122E-2</v>
      </c>
      <c r="J1205">
        <f t="shared" si="370"/>
        <v>9.3259351879440122E-2</v>
      </c>
      <c r="K1205">
        <f t="shared" si="370"/>
        <v>9.3259351879440122E-2</v>
      </c>
      <c r="L1205">
        <f t="shared" si="370"/>
        <v>9.3259351879440122E-2</v>
      </c>
      <c r="M1205">
        <f t="shared" si="355"/>
        <v>9.3259351879440122E-2</v>
      </c>
      <c r="N1205">
        <f t="shared" si="356"/>
        <v>9.5828202260338322E-2</v>
      </c>
      <c r="O1205">
        <f t="shared" si="357"/>
        <v>9.5284757072750942E-2</v>
      </c>
      <c r="P1205">
        <f t="shared" si="358"/>
        <v>9.4741311885163562E-2</v>
      </c>
      <c r="Q1205">
        <f t="shared" si="359"/>
        <v>9.4197866697576196E-2</v>
      </c>
      <c r="R1205">
        <f t="shared" si="360"/>
        <v>9.7909450129423689E-2</v>
      </c>
      <c r="S1205">
        <f t="shared" si="361"/>
        <v>9.448527209478641E-2</v>
      </c>
      <c r="T1205">
        <f t="shared" si="362"/>
        <v>9.1065211217673997E-2</v>
      </c>
      <c r="U1205">
        <f t="shared" si="363"/>
        <v>9.1183882629248272E-2</v>
      </c>
      <c r="V1205">
        <f t="shared" si="364"/>
        <v>8.2842217506471347E-2</v>
      </c>
      <c r="W1205">
        <f t="shared" si="365"/>
        <v>8.0741878037541626E-2</v>
      </c>
      <c r="X1205">
        <f t="shared" si="366"/>
        <v>8.2395485780876312E-2</v>
      </c>
      <c r="Y1205">
        <f t="shared" si="367"/>
        <v>7.7961862845321611E-2</v>
      </c>
      <c r="Z1205">
        <f t="shared" si="368"/>
        <v>7.2035333303345744E-2</v>
      </c>
      <c r="AA1205">
        <f t="shared" si="369"/>
        <v>9.1801756940057669E-2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</row>
    <row r="1206" spans="1:59" ht="12" customHeight="1" x14ac:dyDescent="0.2">
      <c r="A1206" t="s">
        <v>271</v>
      </c>
      <c r="B1206" t="s">
        <v>258</v>
      </c>
      <c r="C1206" t="s">
        <v>62</v>
      </c>
      <c r="D1206">
        <f t="shared" si="370"/>
        <v>9.3259351879440122E-2</v>
      </c>
      <c r="E1206">
        <f t="shared" si="370"/>
        <v>9.3259351879440122E-2</v>
      </c>
      <c r="F1206">
        <f t="shared" si="370"/>
        <v>9.3259351879440122E-2</v>
      </c>
      <c r="G1206">
        <f t="shared" si="370"/>
        <v>9.3259351879440122E-2</v>
      </c>
      <c r="H1206">
        <f t="shared" si="370"/>
        <v>9.3259351879440122E-2</v>
      </c>
      <c r="I1206">
        <f t="shared" si="370"/>
        <v>9.3259351879440122E-2</v>
      </c>
      <c r="J1206">
        <f t="shared" si="370"/>
        <v>9.3259351879440122E-2</v>
      </c>
      <c r="K1206">
        <f t="shared" si="370"/>
        <v>9.3259351879440122E-2</v>
      </c>
      <c r="L1206">
        <f t="shared" si="370"/>
        <v>9.3259351879440122E-2</v>
      </c>
      <c r="M1206">
        <f t="shared" si="355"/>
        <v>9.3259351879440122E-2</v>
      </c>
      <c r="N1206">
        <f t="shared" si="356"/>
        <v>9.5828202260338322E-2</v>
      </c>
      <c r="O1206">
        <f t="shared" si="357"/>
        <v>9.5284757072750942E-2</v>
      </c>
      <c r="P1206">
        <f t="shared" si="358"/>
        <v>9.4741311885163562E-2</v>
      </c>
      <c r="Q1206">
        <f t="shared" si="359"/>
        <v>9.4197866697576196E-2</v>
      </c>
      <c r="R1206">
        <f t="shared" si="360"/>
        <v>9.7909450129423689E-2</v>
      </c>
      <c r="S1206">
        <f t="shared" si="361"/>
        <v>9.448527209478641E-2</v>
      </c>
      <c r="T1206">
        <f t="shared" si="362"/>
        <v>9.1065211217673997E-2</v>
      </c>
      <c r="U1206">
        <f t="shared" si="363"/>
        <v>9.1183882629248272E-2</v>
      </c>
      <c r="V1206">
        <f t="shared" si="364"/>
        <v>8.2842217506471347E-2</v>
      </c>
      <c r="W1206">
        <f t="shared" si="365"/>
        <v>8.0741878037541626E-2</v>
      </c>
      <c r="X1206">
        <f t="shared" si="366"/>
        <v>8.2395485780876312E-2</v>
      </c>
      <c r="Y1206">
        <f t="shared" si="367"/>
        <v>7.7961862845321611E-2</v>
      </c>
      <c r="Z1206">
        <f t="shared" si="368"/>
        <v>7.2035333303345744E-2</v>
      </c>
      <c r="AA1206">
        <f t="shared" si="369"/>
        <v>9.1801756940057669E-2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</row>
    <row r="1207" spans="1:59" ht="12" customHeight="1" x14ac:dyDescent="0.2">
      <c r="A1207" t="s">
        <v>272</v>
      </c>
      <c r="B1207" t="s">
        <v>234</v>
      </c>
      <c r="C1207" t="s">
        <v>63</v>
      </c>
      <c r="D1207">
        <f t="shared" si="370"/>
        <v>9.3259351879440122E-2</v>
      </c>
      <c r="E1207">
        <f t="shared" si="370"/>
        <v>9.3259351879440122E-2</v>
      </c>
      <c r="F1207">
        <f t="shared" si="370"/>
        <v>9.3259351879440122E-2</v>
      </c>
      <c r="G1207">
        <f t="shared" si="370"/>
        <v>9.3259351879440122E-2</v>
      </c>
      <c r="H1207">
        <f t="shared" si="370"/>
        <v>9.3259351879440122E-2</v>
      </c>
      <c r="I1207">
        <f t="shared" si="370"/>
        <v>9.3259351879440122E-2</v>
      </c>
      <c r="J1207">
        <f t="shared" si="370"/>
        <v>9.3259351879440122E-2</v>
      </c>
      <c r="K1207">
        <f t="shared" si="370"/>
        <v>9.3259351879440122E-2</v>
      </c>
      <c r="L1207">
        <f t="shared" si="370"/>
        <v>9.3259351879440122E-2</v>
      </c>
      <c r="M1207">
        <v>9.3259351879440122E-2</v>
      </c>
      <c r="N1207">
        <v>9.5828202260338322E-2</v>
      </c>
      <c r="O1207">
        <v>9.5284757072750942E-2</v>
      </c>
      <c r="P1207">
        <v>9.4741311885163562E-2</v>
      </c>
      <c r="Q1207">
        <v>9.4197866697576196E-2</v>
      </c>
      <c r="R1207">
        <v>9.7909450129423689E-2</v>
      </c>
      <c r="S1207">
        <v>9.448527209478641E-2</v>
      </c>
      <c r="T1207">
        <v>9.1065211217673997E-2</v>
      </c>
      <c r="U1207">
        <v>9.1183882629248272E-2</v>
      </c>
      <c r="V1207">
        <v>8.2842217506471347E-2</v>
      </c>
      <c r="W1207">
        <v>8.0741878037541626E-2</v>
      </c>
      <c r="X1207">
        <v>8.2395485780876312E-2</v>
      </c>
      <c r="Y1207">
        <v>7.7961862845321611E-2</v>
      </c>
      <c r="Z1207">
        <v>7.2035333303345744E-2</v>
      </c>
      <c r="AA1207">
        <v>9.1801756940057669E-2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</row>
    <row r="1208" spans="1:59" ht="12" customHeight="1" x14ac:dyDescent="0.2">
      <c r="A1208" t="s">
        <v>273</v>
      </c>
      <c r="B1208" t="s">
        <v>236</v>
      </c>
      <c r="C1208" t="s">
        <v>63</v>
      </c>
      <c r="D1208">
        <f t="shared" si="370"/>
        <v>9.3259351879440122E-2</v>
      </c>
      <c r="E1208">
        <f t="shared" si="370"/>
        <v>9.3259351879440122E-2</v>
      </c>
      <c r="F1208">
        <f t="shared" si="370"/>
        <v>9.3259351879440122E-2</v>
      </c>
      <c r="G1208">
        <f t="shared" si="370"/>
        <v>9.3259351879440122E-2</v>
      </c>
      <c r="H1208">
        <f t="shared" si="370"/>
        <v>9.3259351879440122E-2</v>
      </c>
      <c r="I1208">
        <f t="shared" si="370"/>
        <v>9.3259351879440122E-2</v>
      </c>
      <c r="J1208">
        <f t="shared" si="370"/>
        <v>9.3259351879440122E-2</v>
      </c>
      <c r="K1208">
        <f t="shared" si="370"/>
        <v>9.3259351879440122E-2</v>
      </c>
      <c r="L1208">
        <f t="shared" si="370"/>
        <v>9.3259351879440122E-2</v>
      </c>
      <c r="M1208">
        <f t="shared" ref="M1208:M1219" si="371">M1207</f>
        <v>9.3259351879440122E-2</v>
      </c>
      <c r="N1208">
        <f t="shared" ref="N1208:N1219" si="372">N1207</f>
        <v>9.5828202260338322E-2</v>
      </c>
      <c r="O1208">
        <f t="shared" ref="O1208:O1219" si="373">O1207</f>
        <v>9.5284757072750942E-2</v>
      </c>
      <c r="P1208">
        <f t="shared" ref="P1208:P1219" si="374">P1207</f>
        <v>9.4741311885163562E-2</v>
      </c>
      <c r="Q1208">
        <f t="shared" ref="Q1208:Q1219" si="375">Q1207</f>
        <v>9.4197866697576196E-2</v>
      </c>
      <c r="R1208">
        <f t="shared" ref="R1208:R1219" si="376">R1207</f>
        <v>9.7909450129423689E-2</v>
      </c>
      <c r="S1208">
        <f t="shared" ref="S1208:S1219" si="377">S1207</f>
        <v>9.448527209478641E-2</v>
      </c>
      <c r="T1208">
        <f t="shared" ref="T1208:T1219" si="378">T1207</f>
        <v>9.1065211217673997E-2</v>
      </c>
      <c r="U1208">
        <f t="shared" ref="U1208:U1219" si="379">U1207</f>
        <v>9.1183882629248272E-2</v>
      </c>
      <c r="V1208">
        <f t="shared" ref="V1208:V1219" si="380">V1207</f>
        <v>8.2842217506471347E-2</v>
      </c>
      <c r="W1208">
        <f t="shared" ref="W1208:W1219" si="381">W1207</f>
        <v>8.0741878037541626E-2</v>
      </c>
      <c r="X1208">
        <f t="shared" ref="X1208:X1219" si="382">X1207</f>
        <v>8.2395485780876312E-2</v>
      </c>
      <c r="Y1208">
        <f t="shared" ref="Y1208:Y1219" si="383">Y1207</f>
        <v>7.7961862845321611E-2</v>
      </c>
      <c r="Z1208">
        <f t="shared" ref="Z1208:Z1219" si="384">Z1207</f>
        <v>7.2035333303345744E-2</v>
      </c>
      <c r="AA1208">
        <f t="shared" ref="AA1208:AA1219" si="385">AA1207</f>
        <v>9.1801756940057669E-2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</row>
    <row r="1209" spans="1:59" ht="12" customHeight="1" x14ac:dyDescent="0.2">
      <c r="A1209" t="s">
        <v>274</v>
      </c>
      <c r="B1209" t="s">
        <v>238</v>
      </c>
      <c r="C1209" t="s">
        <v>63</v>
      </c>
      <c r="D1209">
        <f t="shared" si="370"/>
        <v>9.3259351879440122E-2</v>
      </c>
      <c r="E1209">
        <f t="shared" si="370"/>
        <v>9.3259351879440122E-2</v>
      </c>
      <c r="F1209">
        <f t="shared" si="370"/>
        <v>9.3259351879440122E-2</v>
      </c>
      <c r="G1209">
        <f t="shared" si="370"/>
        <v>9.3259351879440122E-2</v>
      </c>
      <c r="H1209">
        <f t="shared" si="370"/>
        <v>9.3259351879440122E-2</v>
      </c>
      <c r="I1209">
        <f t="shared" si="370"/>
        <v>9.3259351879440122E-2</v>
      </c>
      <c r="J1209">
        <f t="shared" si="370"/>
        <v>9.3259351879440122E-2</v>
      </c>
      <c r="K1209">
        <f t="shared" si="370"/>
        <v>9.3259351879440122E-2</v>
      </c>
      <c r="L1209">
        <f t="shared" si="370"/>
        <v>9.3259351879440122E-2</v>
      </c>
      <c r="M1209">
        <f t="shared" si="371"/>
        <v>9.3259351879440122E-2</v>
      </c>
      <c r="N1209">
        <f t="shared" si="372"/>
        <v>9.5828202260338322E-2</v>
      </c>
      <c r="O1209">
        <f t="shared" si="373"/>
        <v>9.5284757072750942E-2</v>
      </c>
      <c r="P1209">
        <f t="shared" si="374"/>
        <v>9.4741311885163562E-2</v>
      </c>
      <c r="Q1209">
        <f t="shared" si="375"/>
        <v>9.4197866697576196E-2</v>
      </c>
      <c r="R1209">
        <f t="shared" si="376"/>
        <v>9.7909450129423689E-2</v>
      </c>
      <c r="S1209">
        <f t="shared" si="377"/>
        <v>9.448527209478641E-2</v>
      </c>
      <c r="T1209">
        <f t="shared" si="378"/>
        <v>9.1065211217673997E-2</v>
      </c>
      <c r="U1209">
        <f t="shared" si="379"/>
        <v>9.1183882629248272E-2</v>
      </c>
      <c r="V1209">
        <f t="shared" si="380"/>
        <v>8.2842217506471347E-2</v>
      </c>
      <c r="W1209">
        <f t="shared" si="381"/>
        <v>8.0741878037541626E-2</v>
      </c>
      <c r="X1209">
        <f t="shared" si="382"/>
        <v>8.2395485780876312E-2</v>
      </c>
      <c r="Y1209">
        <f t="shared" si="383"/>
        <v>7.7961862845321611E-2</v>
      </c>
      <c r="Z1209">
        <f t="shared" si="384"/>
        <v>7.2035333303345744E-2</v>
      </c>
      <c r="AA1209">
        <f t="shared" si="385"/>
        <v>9.1801756940057669E-2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ht="12" customHeight="1" x14ac:dyDescent="0.2">
      <c r="A1210" t="s">
        <v>275</v>
      </c>
      <c r="B1210" t="s">
        <v>240</v>
      </c>
      <c r="C1210" t="s">
        <v>63</v>
      </c>
      <c r="D1210">
        <f t="shared" si="370"/>
        <v>9.3259351879440122E-2</v>
      </c>
      <c r="E1210">
        <f t="shared" si="370"/>
        <v>9.3259351879440122E-2</v>
      </c>
      <c r="F1210">
        <f t="shared" si="370"/>
        <v>9.3259351879440122E-2</v>
      </c>
      <c r="G1210">
        <f t="shared" si="370"/>
        <v>9.3259351879440122E-2</v>
      </c>
      <c r="H1210">
        <f t="shared" si="370"/>
        <v>9.3259351879440122E-2</v>
      </c>
      <c r="I1210">
        <f t="shared" si="370"/>
        <v>9.3259351879440122E-2</v>
      </c>
      <c r="J1210">
        <f t="shared" si="370"/>
        <v>9.3259351879440122E-2</v>
      </c>
      <c r="K1210">
        <f t="shared" si="370"/>
        <v>9.3259351879440122E-2</v>
      </c>
      <c r="L1210">
        <f t="shared" si="370"/>
        <v>9.3259351879440122E-2</v>
      </c>
      <c r="M1210">
        <f t="shared" si="371"/>
        <v>9.3259351879440122E-2</v>
      </c>
      <c r="N1210">
        <f t="shared" si="372"/>
        <v>9.5828202260338322E-2</v>
      </c>
      <c r="O1210">
        <f t="shared" si="373"/>
        <v>9.5284757072750942E-2</v>
      </c>
      <c r="P1210">
        <f t="shared" si="374"/>
        <v>9.4741311885163562E-2</v>
      </c>
      <c r="Q1210">
        <f t="shared" si="375"/>
        <v>9.4197866697576196E-2</v>
      </c>
      <c r="R1210">
        <f t="shared" si="376"/>
        <v>9.7909450129423689E-2</v>
      </c>
      <c r="S1210">
        <f t="shared" si="377"/>
        <v>9.448527209478641E-2</v>
      </c>
      <c r="T1210">
        <f t="shared" si="378"/>
        <v>9.1065211217673997E-2</v>
      </c>
      <c r="U1210">
        <f t="shared" si="379"/>
        <v>9.1183882629248272E-2</v>
      </c>
      <c r="V1210">
        <f t="shared" si="380"/>
        <v>8.2842217506471347E-2</v>
      </c>
      <c r="W1210">
        <f t="shared" si="381"/>
        <v>8.0741878037541626E-2</v>
      </c>
      <c r="X1210">
        <f t="shared" si="382"/>
        <v>8.2395485780876312E-2</v>
      </c>
      <c r="Y1210">
        <f t="shared" si="383"/>
        <v>7.7961862845321611E-2</v>
      </c>
      <c r="Z1210">
        <f t="shared" si="384"/>
        <v>7.2035333303345744E-2</v>
      </c>
      <c r="AA1210">
        <f t="shared" si="385"/>
        <v>9.1801756940057669E-2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</row>
    <row r="1211" spans="1:59" ht="12" customHeight="1" x14ac:dyDescent="0.2">
      <c r="A1211" t="s">
        <v>276</v>
      </c>
      <c r="B1211" t="s">
        <v>242</v>
      </c>
      <c r="C1211" t="s">
        <v>63</v>
      </c>
      <c r="D1211">
        <f t="shared" ref="D1211:L1219" si="386">$M1211</f>
        <v>9.3259351879440122E-2</v>
      </c>
      <c r="E1211">
        <f t="shared" si="386"/>
        <v>9.3259351879440122E-2</v>
      </c>
      <c r="F1211">
        <f t="shared" si="386"/>
        <v>9.3259351879440122E-2</v>
      </c>
      <c r="G1211">
        <f t="shared" si="386"/>
        <v>9.3259351879440122E-2</v>
      </c>
      <c r="H1211">
        <f t="shared" si="386"/>
        <v>9.3259351879440122E-2</v>
      </c>
      <c r="I1211">
        <f t="shared" si="386"/>
        <v>9.3259351879440122E-2</v>
      </c>
      <c r="J1211">
        <f t="shared" si="386"/>
        <v>9.3259351879440122E-2</v>
      </c>
      <c r="K1211">
        <f t="shared" si="386"/>
        <v>9.3259351879440122E-2</v>
      </c>
      <c r="L1211">
        <f t="shared" si="386"/>
        <v>9.3259351879440122E-2</v>
      </c>
      <c r="M1211">
        <f t="shared" si="371"/>
        <v>9.3259351879440122E-2</v>
      </c>
      <c r="N1211">
        <f t="shared" si="372"/>
        <v>9.5828202260338322E-2</v>
      </c>
      <c r="O1211">
        <f t="shared" si="373"/>
        <v>9.5284757072750942E-2</v>
      </c>
      <c r="P1211">
        <f t="shared" si="374"/>
        <v>9.4741311885163562E-2</v>
      </c>
      <c r="Q1211">
        <f t="shared" si="375"/>
        <v>9.4197866697576196E-2</v>
      </c>
      <c r="R1211">
        <f t="shared" si="376"/>
        <v>9.7909450129423689E-2</v>
      </c>
      <c r="S1211">
        <f t="shared" si="377"/>
        <v>9.448527209478641E-2</v>
      </c>
      <c r="T1211">
        <f t="shared" si="378"/>
        <v>9.1065211217673997E-2</v>
      </c>
      <c r="U1211">
        <f t="shared" si="379"/>
        <v>9.1183882629248272E-2</v>
      </c>
      <c r="V1211">
        <f t="shared" si="380"/>
        <v>8.2842217506471347E-2</v>
      </c>
      <c r="W1211">
        <f t="shared" si="381"/>
        <v>8.0741878037541626E-2</v>
      </c>
      <c r="X1211">
        <f t="shared" si="382"/>
        <v>8.2395485780876312E-2</v>
      </c>
      <c r="Y1211">
        <f t="shared" si="383"/>
        <v>7.7961862845321611E-2</v>
      </c>
      <c r="Z1211">
        <f t="shared" si="384"/>
        <v>7.2035333303345744E-2</v>
      </c>
      <c r="AA1211">
        <f t="shared" si="385"/>
        <v>9.1801756940057669E-2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</row>
    <row r="1212" spans="1:59" ht="12" customHeight="1" x14ac:dyDescent="0.2">
      <c r="A1212" t="s">
        <v>277</v>
      </c>
      <c r="B1212" t="s">
        <v>244</v>
      </c>
      <c r="C1212" t="s">
        <v>63</v>
      </c>
      <c r="D1212">
        <f t="shared" si="386"/>
        <v>9.3259351879440122E-2</v>
      </c>
      <c r="E1212">
        <f t="shared" si="386"/>
        <v>9.3259351879440122E-2</v>
      </c>
      <c r="F1212">
        <f t="shared" si="386"/>
        <v>9.3259351879440122E-2</v>
      </c>
      <c r="G1212">
        <f t="shared" si="386"/>
        <v>9.3259351879440122E-2</v>
      </c>
      <c r="H1212">
        <f t="shared" si="386"/>
        <v>9.3259351879440122E-2</v>
      </c>
      <c r="I1212">
        <f t="shared" si="386"/>
        <v>9.3259351879440122E-2</v>
      </c>
      <c r="J1212">
        <f t="shared" si="386"/>
        <v>9.3259351879440122E-2</v>
      </c>
      <c r="K1212">
        <f t="shared" si="386"/>
        <v>9.3259351879440122E-2</v>
      </c>
      <c r="L1212">
        <f t="shared" si="386"/>
        <v>9.3259351879440122E-2</v>
      </c>
      <c r="M1212">
        <f t="shared" si="371"/>
        <v>9.3259351879440122E-2</v>
      </c>
      <c r="N1212">
        <f t="shared" si="372"/>
        <v>9.5828202260338322E-2</v>
      </c>
      <c r="O1212">
        <f t="shared" si="373"/>
        <v>9.5284757072750942E-2</v>
      </c>
      <c r="P1212">
        <f t="shared" si="374"/>
        <v>9.4741311885163562E-2</v>
      </c>
      <c r="Q1212">
        <f t="shared" si="375"/>
        <v>9.4197866697576196E-2</v>
      </c>
      <c r="R1212">
        <f t="shared" si="376"/>
        <v>9.7909450129423689E-2</v>
      </c>
      <c r="S1212">
        <f t="shared" si="377"/>
        <v>9.448527209478641E-2</v>
      </c>
      <c r="T1212">
        <f t="shared" si="378"/>
        <v>9.1065211217673997E-2</v>
      </c>
      <c r="U1212">
        <f t="shared" si="379"/>
        <v>9.1183882629248272E-2</v>
      </c>
      <c r="V1212">
        <f t="shared" si="380"/>
        <v>8.2842217506471347E-2</v>
      </c>
      <c r="W1212">
        <f t="shared" si="381"/>
        <v>8.0741878037541626E-2</v>
      </c>
      <c r="X1212">
        <f t="shared" si="382"/>
        <v>8.2395485780876312E-2</v>
      </c>
      <c r="Y1212">
        <f t="shared" si="383"/>
        <v>7.7961862845321611E-2</v>
      </c>
      <c r="Z1212">
        <f t="shared" si="384"/>
        <v>7.2035333303345744E-2</v>
      </c>
      <c r="AA1212">
        <f t="shared" si="385"/>
        <v>9.1801756940057669E-2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</row>
    <row r="1213" spans="1:59" ht="12" customHeight="1" x14ac:dyDescent="0.2">
      <c r="A1213" t="s">
        <v>278</v>
      </c>
      <c r="B1213" t="s">
        <v>246</v>
      </c>
      <c r="C1213" t="s">
        <v>63</v>
      </c>
      <c r="D1213">
        <f t="shared" si="386"/>
        <v>9.3259351879440122E-2</v>
      </c>
      <c r="E1213">
        <f t="shared" si="386"/>
        <v>9.3259351879440122E-2</v>
      </c>
      <c r="F1213">
        <f t="shared" si="386"/>
        <v>9.3259351879440122E-2</v>
      </c>
      <c r="G1213">
        <f t="shared" si="386"/>
        <v>9.3259351879440122E-2</v>
      </c>
      <c r="H1213">
        <f t="shared" si="386"/>
        <v>9.3259351879440122E-2</v>
      </c>
      <c r="I1213">
        <f t="shared" si="386"/>
        <v>9.3259351879440122E-2</v>
      </c>
      <c r="J1213">
        <f t="shared" si="386"/>
        <v>9.3259351879440122E-2</v>
      </c>
      <c r="K1213">
        <f t="shared" si="386"/>
        <v>9.3259351879440122E-2</v>
      </c>
      <c r="L1213">
        <f t="shared" si="386"/>
        <v>9.3259351879440122E-2</v>
      </c>
      <c r="M1213">
        <f t="shared" si="371"/>
        <v>9.3259351879440122E-2</v>
      </c>
      <c r="N1213">
        <f t="shared" si="372"/>
        <v>9.5828202260338322E-2</v>
      </c>
      <c r="O1213">
        <f t="shared" si="373"/>
        <v>9.5284757072750942E-2</v>
      </c>
      <c r="P1213">
        <f t="shared" si="374"/>
        <v>9.4741311885163562E-2</v>
      </c>
      <c r="Q1213">
        <f t="shared" si="375"/>
        <v>9.4197866697576196E-2</v>
      </c>
      <c r="R1213">
        <f t="shared" si="376"/>
        <v>9.7909450129423689E-2</v>
      </c>
      <c r="S1213">
        <f t="shared" si="377"/>
        <v>9.448527209478641E-2</v>
      </c>
      <c r="T1213">
        <f t="shared" si="378"/>
        <v>9.1065211217673997E-2</v>
      </c>
      <c r="U1213">
        <f t="shared" si="379"/>
        <v>9.1183882629248272E-2</v>
      </c>
      <c r="V1213">
        <f t="shared" si="380"/>
        <v>8.2842217506471347E-2</v>
      </c>
      <c r="W1213">
        <f t="shared" si="381"/>
        <v>8.0741878037541626E-2</v>
      </c>
      <c r="X1213">
        <f t="shared" si="382"/>
        <v>8.2395485780876312E-2</v>
      </c>
      <c r="Y1213">
        <f t="shared" si="383"/>
        <v>7.7961862845321611E-2</v>
      </c>
      <c r="Z1213">
        <f t="shared" si="384"/>
        <v>7.2035333303345744E-2</v>
      </c>
      <c r="AA1213">
        <f t="shared" si="385"/>
        <v>9.1801756940057669E-2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</row>
    <row r="1214" spans="1:59" ht="12" customHeight="1" x14ac:dyDescent="0.2">
      <c r="A1214" t="s">
        <v>279</v>
      </c>
      <c r="B1214" t="s">
        <v>248</v>
      </c>
      <c r="C1214" t="s">
        <v>63</v>
      </c>
      <c r="D1214">
        <f t="shared" si="386"/>
        <v>9.3259351879440122E-2</v>
      </c>
      <c r="E1214">
        <f t="shared" si="386"/>
        <v>9.3259351879440122E-2</v>
      </c>
      <c r="F1214">
        <f t="shared" si="386"/>
        <v>9.3259351879440122E-2</v>
      </c>
      <c r="G1214">
        <f t="shared" si="386"/>
        <v>9.3259351879440122E-2</v>
      </c>
      <c r="H1214">
        <f t="shared" si="386"/>
        <v>9.3259351879440122E-2</v>
      </c>
      <c r="I1214">
        <f t="shared" si="386"/>
        <v>9.3259351879440122E-2</v>
      </c>
      <c r="J1214">
        <f t="shared" si="386"/>
        <v>9.3259351879440122E-2</v>
      </c>
      <c r="K1214">
        <f t="shared" si="386"/>
        <v>9.3259351879440122E-2</v>
      </c>
      <c r="L1214">
        <f t="shared" si="386"/>
        <v>9.3259351879440122E-2</v>
      </c>
      <c r="M1214">
        <f t="shared" si="371"/>
        <v>9.3259351879440122E-2</v>
      </c>
      <c r="N1214">
        <f t="shared" si="372"/>
        <v>9.5828202260338322E-2</v>
      </c>
      <c r="O1214">
        <f t="shared" si="373"/>
        <v>9.5284757072750942E-2</v>
      </c>
      <c r="P1214">
        <f t="shared" si="374"/>
        <v>9.4741311885163562E-2</v>
      </c>
      <c r="Q1214">
        <f t="shared" si="375"/>
        <v>9.4197866697576196E-2</v>
      </c>
      <c r="R1214">
        <f t="shared" si="376"/>
        <v>9.7909450129423689E-2</v>
      </c>
      <c r="S1214">
        <f t="shared" si="377"/>
        <v>9.448527209478641E-2</v>
      </c>
      <c r="T1214">
        <f t="shared" si="378"/>
        <v>9.1065211217673997E-2</v>
      </c>
      <c r="U1214">
        <f t="shared" si="379"/>
        <v>9.1183882629248272E-2</v>
      </c>
      <c r="V1214">
        <f t="shared" si="380"/>
        <v>8.2842217506471347E-2</v>
      </c>
      <c r="W1214">
        <f t="shared" si="381"/>
        <v>8.0741878037541626E-2</v>
      </c>
      <c r="X1214">
        <f t="shared" si="382"/>
        <v>8.2395485780876312E-2</v>
      </c>
      <c r="Y1214">
        <f t="shared" si="383"/>
        <v>7.7961862845321611E-2</v>
      </c>
      <c r="Z1214">
        <f t="shared" si="384"/>
        <v>7.2035333303345744E-2</v>
      </c>
      <c r="AA1214">
        <f t="shared" si="385"/>
        <v>9.1801756940057669E-2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</row>
    <row r="1215" spans="1:59" ht="12" customHeight="1" x14ac:dyDescent="0.2">
      <c r="A1215" t="s">
        <v>280</v>
      </c>
      <c r="B1215" t="s">
        <v>250</v>
      </c>
      <c r="C1215" t="s">
        <v>63</v>
      </c>
      <c r="D1215">
        <f t="shared" si="386"/>
        <v>9.3259351879440122E-2</v>
      </c>
      <c r="E1215">
        <f t="shared" si="386"/>
        <v>9.3259351879440122E-2</v>
      </c>
      <c r="F1215">
        <f t="shared" si="386"/>
        <v>9.3259351879440122E-2</v>
      </c>
      <c r="G1215">
        <f t="shared" si="386"/>
        <v>9.3259351879440122E-2</v>
      </c>
      <c r="H1215">
        <f t="shared" si="386"/>
        <v>9.3259351879440122E-2</v>
      </c>
      <c r="I1215">
        <f t="shared" si="386"/>
        <v>9.3259351879440122E-2</v>
      </c>
      <c r="J1215">
        <f t="shared" si="386"/>
        <v>9.3259351879440122E-2</v>
      </c>
      <c r="K1215">
        <f t="shared" si="386"/>
        <v>9.3259351879440122E-2</v>
      </c>
      <c r="L1215">
        <f t="shared" si="386"/>
        <v>9.3259351879440122E-2</v>
      </c>
      <c r="M1215">
        <f t="shared" si="371"/>
        <v>9.3259351879440122E-2</v>
      </c>
      <c r="N1215">
        <f t="shared" si="372"/>
        <v>9.5828202260338322E-2</v>
      </c>
      <c r="O1215">
        <f t="shared" si="373"/>
        <v>9.5284757072750942E-2</v>
      </c>
      <c r="P1215">
        <f t="shared" si="374"/>
        <v>9.4741311885163562E-2</v>
      </c>
      <c r="Q1215">
        <f t="shared" si="375"/>
        <v>9.4197866697576196E-2</v>
      </c>
      <c r="R1215">
        <f t="shared" si="376"/>
        <v>9.7909450129423689E-2</v>
      </c>
      <c r="S1215">
        <f t="shared" si="377"/>
        <v>9.448527209478641E-2</v>
      </c>
      <c r="T1215">
        <f t="shared" si="378"/>
        <v>9.1065211217673997E-2</v>
      </c>
      <c r="U1215">
        <f t="shared" si="379"/>
        <v>9.1183882629248272E-2</v>
      </c>
      <c r="V1215">
        <f t="shared" si="380"/>
        <v>8.2842217506471347E-2</v>
      </c>
      <c r="W1215">
        <f t="shared" si="381"/>
        <v>8.0741878037541626E-2</v>
      </c>
      <c r="X1215">
        <f t="shared" si="382"/>
        <v>8.2395485780876312E-2</v>
      </c>
      <c r="Y1215">
        <f t="shared" si="383"/>
        <v>7.7961862845321611E-2</v>
      </c>
      <c r="Z1215">
        <f t="shared" si="384"/>
        <v>7.2035333303345744E-2</v>
      </c>
      <c r="AA1215">
        <f t="shared" si="385"/>
        <v>9.1801756940057669E-2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</row>
    <row r="1216" spans="1:59" ht="12" customHeight="1" x14ac:dyDescent="0.2">
      <c r="A1216" t="s">
        <v>281</v>
      </c>
      <c r="B1216" t="s">
        <v>252</v>
      </c>
      <c r="C1216" t="s">
        <v>63</v>
      </c>
      <c r="D1216">
        <f t="shared" si="386"/>
        <v>9.3259351879440122E-2</v>
      </c>
      <c r="E1216">
        <f t="shared" si="386"/>
        <v>9.3259351879440122E-2</v>
      </c>
      <c r="F1216">
        <f t="shared" si="386"/>
        <v>9.3259351879440122E-2</v>
      </c>
      <c r="G1216">
        <f t="shared" si="386"/>
        <v>9.3259351879440122E-2</v>
      </c>
      <c r="H1216">
        <f t="shared" si="386"/>
        <v>9.3259351879440122E-2</v>
      </c>
      <c r="I1216">
        <f t="shared" si="386"/>
        <v>9.3259351879440122E-2</v>
      </c>
      <c r="J1216">
        <f t="shared" si="386"/>
        <v>9.3259351879440122E-2</v>
      </c>
      <c r="K1216">
        <f t="shared" si="386"/>
        <v>9.3259351879440122E-2</v>
      </c>
      <c r="L1216">
        <f t="shared" si="386"/>
        <v>9.3259351879440122E-2</v>
      </c>
      <c r="M1216">
        <f t="shared" si="371"/>
        <v>9.3259351879440122E-2</v>
      </c>
      <c r="N1216">
        <f t="shared" si="372"/>
        <v>9.5828202260338322E-2</v>
      </c>
      <c r="O1216">
        <f t="shared" si="373"/>
        <v>9.5284757072750942E-2</v>
      </c>
      <c r="P1216">
        <f t="shared" si="374"/>
        <v>9.4741311885163562E-2</v>
      </c>
      <c r="Q1216">
        <f t="shared" si="375"/>
        <v>9.4197866697576196E-2</v>
      </c>
      <c r="R1216">
        <f t="shared" si="376"/>
        <v>9.7909450129423689E-2</v>
      </c>
      <c r="S1216">
        <f t="shared" si="377"/>
        <v>9.448527209478641E-2</v>
      </c>
      <c r="T1216">
        <f t="shared" si="378"/>
        <v>9.1065211217673997E-2</v>
      </c>
      <c r="U1216">
        <f t="shared" si="379"/>
        <v>9.1183882629248272E-2</v>
      </c>
      <c r="V1216">
        <f t="shared" si="380"/>
        <v>8.2842217506471347E-2</v>
      </c>
      <c r="W1216">
        <f t="shared" si="381"/>
        <v>8.0741878037541626E-2</v>
      </c>
      <c r="X1216">
        <f t="shared" si="382"/>
        <v>8.2395485780876312E-2</v>
      </c>
      <c r="Y1216">
        <f t="shared" si="383"/>
        <v>7.7961862845321611E-2</v>
      </c>
      <c r="Z1216">
        <f t="shared" si="384"/>
        <v>7.2035333303345744E-2</v>
      </c>
      <c r="AA1216">
        <f t="shared" si="385"/>
        <v>9.1801756940057669E-2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</row>
    <row r="1217" spans="1:59" ht="12" customHeight="1" x14ac:dyDescent="0.2">
      <c r="A1217" t="s">
        <v>282</v>
      </c>
      <c r="B1217" t="s">
        <v>254</v>
      </c>
      <c r="C1217" t="s">
        <v>63</v>
      </c>
      <c r="D1217">
        <f t="shared" si="386"/>
        <v>9.3259351879440122E-2</v>
      </c>
      <c r="E1217">
        <f t="shared" si="386"/>
        <v>9.3259351879440122E-2</v>
      </c>
      <c r="F1217">
        <f t="shared" si="386"/>
        <v>9.3259351879440122E-2</v>
      </c>
      <c r="G1217">
        <f t="shared" si="386"/>
        <v>9.3259351879440122E-2</v>
      </c>
      <c r="H1217">
        <f t="shared" si="386"/>
        <v>9.3259351879440122E-2</v>
      </c>
      <c r="I1217">
        <f t="shared" si="386"/>
        <v>9.3259351879440122E-2</v>
      </c>
      <c r="J1217">
        <f t="shared" si="386"/>
        <v>9.3259351879440122E-2</v>
      </c>
      <c r="K1217">
        <f t="shared" si="386"/>
        <v>9.3259351879440122E-2</v>
      </c>
      <c r="L1217">
        <f t="shared" si="386"/>
        <v>9.3259351879440122E-2</v>
      </c>
      <c r="M1217">
        <f t="shared" si="371"/>
        <v>9.3259351879440122E-2</v>
      </c>
      <c r="N1217">
        <f t="shared" si="372"/>
        <v>9.5828202260338322E-2</v>
      </c>
      <c r="O1217">
        <f t="shared" si="373"/>
        <v>9.5284757072750942E-2</v>
      </c>
      <c r="P1217">
        <f t="shared" si="374"/>
        <v>9.4741311885163562E-2</v>
      </c>
      <c r="Q1217">
        <f t="shared" si="375"/>
        <v>9.4197866697576196E-2</v>
      </c>
      <c r="R1217">
        <f t="shared" si="376"/>
        <v>9.7909450129423689E-2</v>
      </c>
      <c r="S1217">
        <f t="shared" si="377"/>
        <v>9.448527209478641E-2</v>
      </c>
      <c r="T1217">
        <f t="shared" si="378"/>
        <v>9.1065211217673997E-2</v>
      </c>
      <c r="U1217">
        <f t="shared" si="379"/>
        <v>9.1183882629248272E-2</v>
      </c>
      <c r="V1217">
        <f t="shared" si="380"/>
        <v>8.2842217506471347E-2</v>
      </c>
      <c r="W1217">
        <f t="shared" si="381"/>
        <v>8.0741878037541626E-2</v>
      </c>
      <c r="X1217">
        <f t="shared" si="382"/>
        <v>8.2395485780876312E-2</v>
      </c>
      <c r="Y1217">
        <f t="shared" si="383"/>
        <v>7.7961862845321611E-2</v>
      </c>
      <c r="Z1217">
        <f t="shared" si="384"/>
        <v>7.2035333303345744E-2</v>
      </c>
      <c r="AA1217">
        <f t="shared" si="385"/>
        <v>9.1801756940057669E-2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</row>
    <row r="1218" spans="1:59" ht="12" customHeight="1" x14ac:dyDescent="0.2">
      <c r="A1218" t="s">
        <v>283</v>
      </c>
      <c r="B1218" t="s">
        <v>256</v>
      </c>
      <c r="C1218" t="s">
        <v>63</v>
      </c>
      <c r="D1218">
        <f t="shared" si="386"/>
        <v>9.3259351879440122E-2</v>
      </c>
      <c r="E1218">
        <f t="shared" si="386"/>
        <v>9.3259351879440122E-2</v>
      </c>
      <c r="F1218">
        <f t="shared" si="386"/>
        <v>9.3259351879440122E-2</v>
      </c>
      <c r="G1218">
        <f t="shared" si="386"/>
        <v>9.3259351879440122E-2</v>
      </c>
      <c r="H1218">
        <f t="shared" si="386"/>
        <v>9.3259351879440122E-2</v>
      </c>
      <c r="I1218">
        <f t="shared" si="386"/>
        <v>9.3259351879440122E-2</v>
      </c>
      <c r="J1218">
        <f t="shared" si="386"/>
        <v>9.3259351879440122E-2</v>
      </c>
      <c r="K1218">
        <f t="shared" si="386"/>
        <v>9.3259351879440122E-2</v>
      </c>
      <c r="L1218">
        <f t="shared" si="386"/>
        <v>9.3259351879440122E-2</v>
      </c>
      <c r="M1218">
        <f t="shared" si="371"/>
        <v>9.3259351879440122E-2</v>
      </c>
      <c r="N1218">
        <f t="shared" si="372"/>
        <v>9.5828202260338322E-2</v>
      </c>
      <c r="O1218">
        <f t="shared" si="373"/>
        <v>9.5284757072750942E-2</v>
      </c>
      <c r="P1218">
        <f t="shared" si="374"/>
        <v>9.4741311885163562E-2</v>
      </c>
      <c r="Q1218">
        <f t="shared" si="375"/>
        <v>9.4197866697576196E-2</v>
      </c>
      <c r="R1218">
        <f t="shared" si="376"/>
        <v>9.7909450129423689E-2</v>
      </c>
      <c r="S1218">
        <f t="shared" si="377"/>
        <v>9.448527209478641E-2</v>
      </c>
      <c r="T1218">
        <f t="shared" si="378"/>
        <v>9.1065211217673997E-2</v>
      </c>
      <c r="U1218">
        <f t="shared" si="379"/>
        <v>9.1183882629248272E-2</v>
      </c>
      <c r="V1218">
        <f t="shared" si="380"/>
        <v>8.2842217506471347E-2</v>
      </c>
      <c r="W1218">
        <f t="shared" si="381"/>
        <v>8.0741878037541626E-2</v>
      </c>
      <c r="X1218">
        <f t="shared" si="382"/>
        <v>8.2395485780876312E-2</v>
      </c>
      <c r="Y1218">
        <f t="shared" si="383"/>
        <v>7.7961862845321611E-2</v>
      </c>
      <c r="Z1218">
        <f t="shared" si="384"/>
        <v>7.2035333303345744E-2</v>
      </c>
      <c r="AA1218">
        <f t="shared" si="385"/>
        <v>9.1801756940057669E-2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</row>
    <row r="1219" spans="1:59" ht="12" customHeight="1" x14ac:dyDescent="0.2">
      <c r="A1219" t="s">
        <v>284</v>
      </c>
      <c r="B1219" t="s">
        <v>258</v>
      </c>
      <c r="C1219" t="s">
        <v>63</v>
      </c>
      <c r="D1219">
        <f t="shared" si="386"/>
        <v>9.3259351879440122E-2</v>
      </c>
      <c r="E1219">
        <f t="shared" si="386"/>
        <v>9.3259351879440122E-2</v>
      </c>
      <c r="F1219">
        <f t="shared" si="386"/>
        <v>9.3259351879440122E-2</v>
      </c>
      <c r="G1219">
        <f t="shared" si="386"/>
        <v>9.3259351879440122E-2</v>
      </c>
      <c r="H1219">
        <f t="shared" si="386"/>
        <v>9.3259351879440122E-2</v>
      </c>
      <c r="I1219">
        <f t="shared" si="386"/>
        <v>9.3259351879440122E-2</v>
      </c>
      <c r="J1219">
        <f t="shared" si="386"/>
        <v>9.3259351879440122E-2</v>
      </c>
      <c r="K1219">
        <f t="shared" si="386"/>
        <v>9.3259351879440122E-2</v>
      </c>
      <c r="L1219">
        <f t="shared" si="386"/>
        <v>9.3259351879440122E-2</v>
      </c>
      <c r="M1219">
        <f t="shared" si="371"/>
        <v>9.3259351879440122E-2</v>
      </c>
      <c r="N1219">
        <f t="shared" si="372"/>
        <v>9.5828202260338322E-2</v>
      </c>
      <c r="O1219">
        <f t="shared" si="373"/>
        <v>9.5284757072750942E-2</v>
      </c>
      <c r="P1219">
        <f t="shared" si="374"/>
        <v>9.4741311885163562E-2</v>
      </c>
      <c r="Q1219">
        <f t="shared" si="375"/>
        <v>9.4197866697576196E-2</v>
      </c>
      <c r="R1219">
        <f t="shared" si="376"/>
        <v>9.7909450129423689E-2</v>
      </c>
      <c r="S1219">
        <f t="shared" si="377"/>
        <v>9.448527209478641E-2</v>
      </c>
      <c r="T1219">
        <f t="shared" si="378"/>
        <v>9.1065211217673997E-2</v>
      </c>
      <c r="U1219">
        <f t="shared" si="379"/>
        <v>9.1183882629248272E-2</v>
      </c>
      <c r="V1219">
        <f t="shared" si="380"/>
        <v>8.2842217506471347E-2</v>
      </c>
      <c r="W1219">
        <f t="shared" si="381"/>
        <v>8.0741878037541626E-2</v>
      </c>
      <c r="X1219">
        <f t="shared" si="382"/>
        <v>8.2395485780876312E-2</v>
      </c>
      <c r="Y1219">
        <f t="shared" si="383"/>
        <v>7.7961862845321611E-2</v>
      </c>
      <c r="Z1219">
        <f t="shared" si="384"/>
        <v>7.2035333303345744E-2</v>
      </c>
      <c r="AA1219">
        <f t="shared" si="385"/>
        <v>9.1801756940057669E-2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</row>
    <row r="1221" spans="1:59" ht="12" customHeight="1" x14ac:dyDescent="0.2">
      <c r="A1221" t="s">
        <v>285</v>
      </c>
      <c r="B1221" t="s">
        <v>231</v>
      </c>
    </row>
    <row r="1222" spans="1:59" ht="12" customHeight="1" x14ac:dyDescent="0.2">
      <c r="A1222" t="s">
        <v>286</v>
      </c>
      <c r="D1222">
        <v>1995</v>
      </c>
      <c r="E1222">
        <v>1996</v>
      </c>
      <c r="F1222">
        <v>1997</v>
      </c>
      <c r="G1222">
        <v>1998</v>
      </c>
      <c r="H1222">
        <v>1999</v>
      </c>
      <c r="I1222">
        <v>2000</v>
      </c>
      <c r="J1222">
        <v>2001</v>
      </c>
      <c r="K1222">
        <v>2002</v>
      </c>
      <c r="L1222">
        <v>2003</v>
      </c>
      <c r="M1222">
        <v>2004</v>
      </c>
      <c r="N1222">
        <v>2005</v>
      </c>
      <c r="O1222">
        <v>2006</v>
      </c>
      <c r="P1222">
        <v>2007</v>
      </c>
      <c r="Q1222">
        <v>2008</v>
      </c>
      <c r="R1222">
        <v>2009</v>
      </c>
      <c r="S1222">
        <v>2010</v>
      </c>
      <c r="T1222">
        <v>2011</v>
      </c>
      <c r="U1222">
        <v>2012</v>
      </c>
      <c r="V1222">
        <v>2013</v>
      </c>
      <c r="W1222">
        <v>2014</v>
      </c>
      <c r="X1222">
        <v>2015</v>
      </c>
      <c r="Y1222">
        <v>2016</v>
      </c>
      <c r="Z1222">
        <v>2017</v>
      </c>
      <c r="AA1222">
        <v>2018</v>
      </c>
      <c r="AB1222">
        <v>2019</v>
      </c>
      <c r="AC1222">
        <v>2020</v>
      </c>
      <c r="AD1222">
        <v>2021</v>
      </c>
      <c r="AE1222">
        <v>2022</v>
      </c>
      <c r="AF1222">
        <v>2023</v>
      </c>
      <c r="AG1222">
        <v>2024</v>
      </c>
      <c r="AH1222">
        <v>2025</v>
      </c>
      <c r="AI1222">
        <v>2026</v>
      </c>
      <c r="AJ1222">
        <v>2027</v>
      </c>
      <c r="AK1222">
        <v>2028</v>
      </c>
      <c r="AL1222">
        <v>2029</v>
      </c>
      <c r="AM1222">
        <v>2030</v>
      </c>
      <c r="AN1222">
        <v>2031</v>
      </c>
      <c r="AO1222">
        <v>2032</v>
      </c>
      <c r="AP1222">
        <v>2033</v>
      </c>
      <c r="AQ1222">
        <v>2034</v>
      </c>
      <c r="AR1222">
        <v>2035</v>
      </c>
      <c r="AS1222">
        <v>2036</v>
      </c>
      <c r="AT1222">
        <v>2037</v>
      </c>
      <c r="AU1222">
        <v>2038</v>
      </c>
      <c r="AV1222">
        <v>2039</v>
      </c>
      <c r="AW1222">
        <v>2040</v>
      </c>
      <c r="AX1222">
        <v>2041</v>
      </c>
      <c r="AY1222">
        <v>2042</v>
      </c>
      <c r="AZ1222">
        <v>2043</v>
      </c>
      <c r="BA1222">
        <v>2044</v>
      </c>
      <c r="BB1222">
        <v>2045</v>
      </c>
      <c r="BC1222">
        <v>2046</v>
      </c>
      <c r="BD1222">
        <v>2047</v>
      </c>
      <c r="BE1222">
        <v>2048</v>
      </c>
      <c r="BF1222">
        <v>2049</v>
      </c>
      <c r="BG1222">
        <v>2050</v>
      </c>
    </row>
    <row r="1223" spans="1:59" ht="12" customHeight="1" x14ac:dyDescent="0.2">
      <c r="A1223" t="s">
        <v>233</v>
      </c>
      <c r="B1223" t="s">
        <v>234</v>
      </c>
      <c r="C1223" t="s">
        <v>46</v>
      </c>
      <c r="D1223">
        <f t="shared" ref="D1223:L1232" si="387">$M1223</f>
        <v>0.19558034617437131</v>
      </c>
      <c r="E1223">
        <f t="shared" si="387"/>
        <v>0.19558034617437131</v>
      </c>
      <c r="F1223">
        <f t="shared" si="387"/>
        <v>0.19558034617437131</v>
      </c>
      <c r="G1223">
        <f t="shared" si="387"/>
        <v>0.19558034617437131</v>
      </c>
      <c r="H1223">
        <f t="shared" si="387"/>
        <v>0.19558034617437131</v>
      </c>
      <c r="I1223">
        <f t="shared" si="387"/>
        <v>0.19558034617437131</v>
      </c>
      <c r="J1223">
        <f t="shared" si="387"/>
        <v>0.19558034617437131</v>
      </c>
      <c r="K1223">
        <f t="shared" si="387"/>
        <v>0.19558034617437131</v>
      </c>
      <c r="L1223">
        <f t="shared" si="387"/>
        <v>0.19558034617437131</v>
      </c>
      <c r="M1223">
        <v>0.19558034617437131</v>
      </c>
      <c r="N1223">
        <v>0.20892976381542053</v>
      </c>
      <c r="O1223">
        <v>0.21300095265671085</v>
      </c>
      <c r="P1223">
        <v>0.21707214149800116</v>
      </c>
      <c r="Q1223">
        <v>0.22114333033929146</v>
      </c>
      <c r="R1223">
        <v>0.21054109792054362</v>
      </c>
      <c r="S1223">
        <v>0.18773663608960436</v>
      </c>
      <c r="T1223">
        <v>0.20312499014898092</v>
      </c>
      <c r="U1223">
        <v>0.20388226898312273</v>
      </c>
      <c r="V1223">
        <v>0.18554592751670593</v>
      </c>
      <c r="W1223">
        <v>0.19183453666284245</v>
      </c>
      <c r="X1223">
        <v>0.18860107024241177</v>
      </c>
      <c r="Y1223">
        <v>0.19081200237097118</v>
      </c>
      <c r="Z1223">
        <v>0.18389263479628956</v>
      </c>
      <c r="AA1223">
        <v>0.17163522748884613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</row>
    <row r="1224" spans="1:59" ht="12" customHeight="1" x14ac:dyDescent="0.2">
      <c r="A1224" t="s">
        <v>235</v>
      </c>
      <c r="B1224" t="s">
        <v>236</v>
      </c>
      <c r="C1224" t="s">
        <v>46</v>
      </c>
      <c r="D1224">
        <f t="shared" si="387"/>
        <v>0.19558034617437131</v>
      </c>
      <c r="E1224">
        <f t="shared" si="387"/>
        <v>0.19558034617437131</v>
      </c>
      <c r="F1224">
        <f t="shared" si="387"/>
        <v>0.19558034617437131</v>
      </c>
      <c r="G1224">
        <f t="shared" si="387"/>
        <v>0.19558034617437131</v>
      </c>
      <c r="H1224">
        <f t="shared" si="387"/>
        <v>0.19558034617437131</v>
      </c>
      <c r="I1224">
        <f t="shared" si="387"/>
        <v>0.19558034617437131</v>
      </c>
      <c r="J1224">
        <f t="shared" si="387"/>
        <v>0.19558034617437131</v>
      </c>
      <c r="K1224">
        <f t="shared" si="387"/>
        <v>0.19558034617437131</v>
      </c>
      <c r="L1224">
        <f t="shared" si="387"/>
        <v>0.19558034617437131</v>
      </c>
      <c r="M1224">
        <f t="shared" ref="M1224:M1235" si="388">M1223</f>
        <v>0.19558034617437131</v>
      </c>
      <c r="N1224">
        <f t="shared" ref="N1224:N1235" si="389">N1223</f>
        <v>0.20892976381542053</v>
      </c>
      <c r="O1224">
        <f t="shared" ref="O1224:O1235" si="390">O1223</f>
        <v>0.21300095265671085</v>
      </c>
      <c r="P1224">
        <f t="shared" ref="P1224:P1235" si="391">P1223</f>
        <v>0.21707214149800116</v>
      </c>
      <c r="Q1224">
        <f t="shared" ref="Q1224:Q1235" si="392">Q1223</f>
        <v>0.22114333033929146</v>
      </c>
      <c r="R1224">
        <f t="shared" ref="R1224:R1235" si="393">R1223</f>
        <v>0.21054109792054362</v>
      </c>
      <c r="S1224">
        <f t="shared" ref="S1224:S1235" si="394">S1223</f>
        <v>0.18773663608960436</v>
      </c>
      <c r="T1224">
        <f t="shared" ref="T1224:T1235" si="395">T1223</f>
        <v>0.20312499014898092</v>
      </c>
      <c r="U1224">
        <f t="shared" ref="U1224:U1235" si="396">U1223</f>
        <v>0.20388226898312273</v>
      </c>
      <c r="V1224">
        <f t="shared" ref="V1224:V1235" si="397">V1223</f>
        <v>0.18554592751670593</v>
      </c>
      <c r="W1224">
        <f t="shared" ref="W1224:W1235" si="398">W1223</f>
        <v>0.19183453666284245</v>
      </c>
      <c r="X1224">
        <f t="shared" ref="X1224:X1235" si="399">X1223</f>
        <v>0.18860107024241177</v>
      </c>
      <c r="Y1224">
        <f t="shared" ref="Y1224:Y1235" si="400">Y1223</f>
        <v>0.19081200237097118</v>
      </c>
      <c r="Z1224">
        <f t="shared" ref="Z1224:Z1235" si="401">Z1223</f>
        <v>0.18389263479628956</v>
      </c>
      <c r="AA1224">
        <f t="shared" ref="AA1224:AA1235" si="402">AA1223</f>
        <v>0.17163522748884613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</row>
    <row r="1225" spans="1:59" ht="12" customHeight="1" x14ac:dyDescent="0.2">
      <c r="A1225" t="s">
        <v>237</v>
      </c>
      <c r="B1225" t="s">
        <v>238</v>
      </c>
      <c r="C1225" t="s">
        <v>46</v>
      </c>
      <c r="D1225">
        <f t="shared" si="387"/>
        <v>0.19558034617437131</v>
      </c>
      <c r="E1225">
        <f t="shared" si="387"/>
        <v>0.19558034617437131</v>
      </c>
      <c r="F1225">
        <f t="shared" si="387"/>
        <v>0.19558034617437131</v>
      </c>
      <c r="G1225">
        <f t="shared" si="387"/>
        <v>0.19558034617437131</v>
      </c>
      <c r="H1225">
        <f t="shared" si="387"/>
        <v>0.19558034617437131</v>
      </c>
      <c r="I1225">
        <f t="shared" si="387"/>
        <v>0.19558034617437131</v>
      </c>
      <c r="J1225">
        <f t="shared" si="387"/>
        <v>0.19558034617437131</v>
      </c>
      <c r="K1225">
        <f t="shared" si="387"/>
        <v>0.19558034617437131</v>
      </c>
      <c r="L1225">
        <f t="shared" si="387"/>
        <v>0.19558034617437131</v>
      </c>
      <c r="M1225">
        <f t="shared" si="388"/>
        <v>0.19558034617437131</v>
      </c>
      <c r="N1225">
        <f t="shared" si="389"/>
        <v>0.20892976381542053</v>
      </c>
      <c r="O1225">
        <f t="shared" si="390"/>
        <v>0.21300095265671085</v>
      </c>
      <c r="P1225">
        <f t="shared" si="391"/>
        <v>0.21707214149800116</v>
      </c>
      <c r="Q1225">
        <f t="shared" si="392"/>
        <v>0.22114333033929146</v>
      </c>
      <c r="R1225">
        <f t="shared" si="393"/>
        <v>0.21054109792054362</v>
      </c>
      <c r="S1225">
        <f t="shared" si="394"/>
        <v>0.18773663608960436</v>
      </c>
      <c r="T1225">
        <f t="shared" si="395"/>
        <v>0.20312499014898092</v>
      </c>
      <c r="U1225">
        <f t="shared" si="396"/>
        <v>0.20388226898312273</v>
      </c>
      <c r="V1225">
        <f t="shared" si="397"/>
        <v>0.18554592751670593</v>
      </c>
      <c r="W1225">
        <f t="shared" si="398"/>
        <v>0.19183453666284245</v>
      </c>
      <c r="X1225">
        <f t="shared" si="399"/>
        <v>0.18860107024241177</v>
      </c>
      <c r="Y1225">
        <f t="shared" si="400"/>
        <v>0.19081200237097118</v>
      </c>
      <c r="Z1225">
        <f t="shared" si="401"/>
        <v>0.18389263479628956</v>
      </c>
      <c r="AA1225">
        <f t="shared" si="402"/>
        <v>0.17163522748884613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</row>
    <row r="1226" spans="1:59" ht="12" customHeight="1" x14ac:dyDescent="0.2">
      <c r="A1226" t="s">
        <v>239</v>
      </c>
      <c r="B1226" t="s">
        <v>240</v>
      </c>
      <c r="C1226" t="s">
        <v>46</v>
      </c>
      <c r="D1226">
        <f t="shared" si="387"/>
        <v>0.19558034617437131</v>
      </c>
      <c r="E1226">
        <f t="shared" si="387"/>
        <v>0.19558034617437131</v>
      </c>
      <c r="F1226">
        <f t="shared" si="387"/>
        <v>0.19558034617437131</v>
      </c>
      <c r="G1226">
        <f t="shared" si="387"/>
        <v>0.19558034617437131</v>
      </c>
      <c r="H1226">
        <f t="shared" si="387"/>
        <v>0.19558034617437131</v>
      </c>
      <c r="I1226">
        <f t="shared" si="387"/>
        <v>0.19558034617437131</v>
      </c>
      <c r="J1226">
        <f t="shared" si="387"/>
        <v>0.19558034617437131</v>
      </c>
      <c r="K1226">
        <f t="shared" si="387"/>
        <v>0.19558034617437131</v>
      </c>
      <c r="L1226">
        <f t="shared" si="387"/>
        <v>0.19558034617437131</v>
      </c>
      <c r="M1226">
        <f t="shared" si="388"/>
        <v>0.19558034617437131</v>
      </c>
      <c r="N1226">
        <f t="shared" si="389"/>
        <v>0.20892976381542053</v>
      </c>
      <c r="O1226">
        <f t="shared" si="390"/>
        <v>0.21300095265671085</v>
      </c>
      <c r="P1226">
        <f t="shared" si="391"/>
        <v>0.21707214149800116</v>
      </c>
      <c r="Q1226">
        <f t="shared" si="392"/>
        <v>0.22114333033929146</v>
      </c>
      <c r="R1226">
        <f t="shared" si="393"/>
        <v>0.21054109792054362</v>
      </c>
      <c r="S1226">
        <f t="shared" si="394"/>
        <v>0.18773663608960436</v>
      </c>
      <c r="T1226">
        <f t="shared" si="395"/>
        <v>0.20312499014898092</v>
      </c>
      <c r="U1226">
        <f t="shared" si="396"/>
        <v>0.20388226898312273</v>
      </c>
      <c r="V1226">
        <f t="shared" si="397"/>
        <v>0.18554592751670593</v>
      </c>
      <c r="W1226">
        <f t="shared" si="398"/>
        <v>0.19183453666284245</v>
      </c>
      <c r="X1226">
        <f t="shared" si="399"/>
        <v>0.18860107024241177</v>
      </c>
      <c r="Y1226">
        <f t="shared" si="400"/>
        <v>0.19081200237097118</v>
      </c>
      <c r="Z1226">
        <f t="shared" si="401"/>
        <v>0.18389263479628956</v>
      </c>
      <c r="AA1226">
        <f t="shared" si="402"/>
        <v>0.17163522748884613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</row>
    <row r="1227" spans="1:59" ht="12" customHeight="1" x14ac:dyDescent="0.2">
      <c r="A1227" t="s">
        <v>241</v>
      </c>
      <c r="B1227" t="s">
        <v>242</v>
      </c>
      <c r="C1227" t="s">
        <v>46</v>
      </c>
      <c r="D1227">
        <f t="shared" si="387"/>
        <v>0.19558034617437131</v>
      </c>
      <c r="E1227">
        <f t="shared" si="387"/>
        <v>0.19558034617437131</v>
      </c>
      <c r="F1227">
        <f t="shared" si="387"/>
        <v>0.19558034617437131</v>
      </c>
      <c r="G1227">
        <f t="shared" si="387"/>
        <v>0.19558034617437131</v>
      </c>
      <c r="H1227">
        <f t="shared" si="387"/>
        <v>0.19558034617437131</v>
      </c>
      <c r="I1227">
        <f t="shared" si="387"/>
        <v>0.19558034617437131</v>
      </c>
      <c r="J1227">
        <f t="shared" si="387"/>
        <v>0.19558034617437131</v>
      </c>
      <c r="K1227">
        <f t="shared" si="387"/>
        <v>0.19558034617437131</v>
      </c>
      <c r="L1227">
        <f t="shared" si="387"/>
        <v>0.19558034617437131</v>
      </c>
      <c r="M1227">
        <f t="shared" si="388"/>
        <v>0.19558034617437131</v>
      </c>
      <c r="N1227">
        <f t="shared" si="389"/>
        <v>0.20892976381542053</v>
      </c>
      <c r="O1227">
        <f t="shared" si="390"/>
        <v>0.21300095265671085</v>
      </c>
      <c r="P1227">
        <f t="shared" si="391"/>
        <v>0.21707214149800116</v>
      </c>
      <c r="Q1227">
        <f t="shared" si="392"/>
        <v>0.22114333033929146</v>
      </c>
      <c r="R1227">
        <f t="shared" si="393"/>
        <v>0.21054109792054362</v>
      </c>
      <c r="S1227">
        <f t="shared" si="394"/>
        <v>0.18773663608960436</v>
      </c>
      <c r="T1227">
        <f t="shared" si="395"/>
        <v>0.20312499014898092</v>
      </c>
      <c r="U1227">
        <f t="shared" si="396"/>
        <v>0.20388226898312273</v>
      </c>
      <c r="V1227">
        <f t="shared" si="397"/>
        <v>0.18554592751670593</v>
      </c>
      <c r="W1227">
        <f t="shared" si="398"/>
        <v>0.19183453666284245</v>
      </c>
      <c r="X1227">
        <f t="shared" si="399"/>
        <v>0.18860107024241177</v>
      </c>
      <c r="Y1227">
        <f t="shared" si="400"/>
        <v>0.19081200237097118</v>
      </c>
      <c r="Z1227">
        <f t="shared" si="401"/>
        <v>0.18389263479628956</v>
      </c>
      <c r="AA1227">
        <f t="shared" si="402"/>
        <v>0.17163522748884613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</row>
    <row r="1228" spans="1:59" ht="12" customHeight="1" x14ac:dyDescent="0.2">
      <c r="A1228" t="s">
        <v>243</v>
      </c>
      <c r="B1228" t="s">
        <v>244</v>
      </c>
      <c r="C1228" t="s">
        <v>46</v>
      </c>
      <c r="D1228">
        <f t="shared" si="387"/>
        <v>0.19558034617437131</v>
      </c>
      <c r="E1228">
        <f t="shared" si="387"/>
        <v>0.19558034617437131</v>
      </c>
      <c r="F1228">
        <f t="shared" si="387"/>
        <v>0.19558034617437131</v>
      </c>
      <c r="G1228">
        <f t="shared" si="387"/>
        <v>0.19558034617437131</v>
      </c>
      <c r="H1228">
        <f t="shared" si="387"/>
        <v>0.19558034617437131</v>
      </c>
      <c r="I1228">
        <f t="shared" si="387"/>
        <v>0.19558034617437131</v>
      </c>
      <c r="J1228">
        <f t="shared" si="387"/>
        <v>0.19558034617437131</v>
      </c>
      <c r="K1228">
        <f t="shared" si="387"/>
        <v>0.19558034617437131</v>
      </c>
      <c r="L1228">
        <f t="shared" si="387"/>
        <v>0.19558034617437131</v>
      </c>
      <c r="M1228">
        <f t="shared" si="388"/>
        <v>0.19558034617437131</v>
      </c>
      <c r="N1228">
        <f t="shared" si="389"/>
        <v>0.20892976381542053</v>
      </c>
      <c r="O1228">
        <f t="shared" si="390"/>
        <v>0.21300095265671085</v>
      </c>
      <c r="P1228">
        <f t="shared" si="391"/>
        <v>0.21707214149800116</v>
      </c>
      <c r="Q1228">
        <f t="shared" si="392"/>
        <v>0.22114333033929146</v>
      </c>
      <c r="R1228">
        <f t="shared" si="393"/>
        <v>0.21054109792054362</v>
      </c>
      <c r="S1228">
        <f t="shared" si="394"/>
        <v>0.18773663608960436</v>
      </c>
      <c r="T1228">
        <f t="shared" si="395"/>
        <v>0.20312499014898092</v>
      </c>
      <c r="U1228">
        <f t="shared" si="396"/>
        <v>0.20388226898312273</v>
      </c>
      <c r="V1228">
        <f t="shared" si="397"/>
        <v>0.18554592751670593</v>
      </c>
      <c r="W1228">
        <f t="shared" si="398"/>
        <v>0.19183453666284245</v>
      </c>
      <c r="X1228">
        <f t="shared" si="399"/>
        <v>0.18860107024241177</v>
      </c>
      <c r="Y1228">
        <f t="shared" si="400"/>
        <v>0.19081200237097118</v>
      </c>
      <c r="Z1228">
        <f t="shared" si="401"/>
        <v>0.18389263479628956</v>
      </c>
      <c r="AA1228">
        <f t="shared" si="402"/>
        <v>0.17163522748884613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</row>
    <row r="1229" spans="1:59" ht="12" customHeight="1" x14ac:dyDescent="0.2">
      <c r="A1229" t="s">
        <v>245</v>
      </c>
      <c r="B1229" t="s">
        <v>246</v>
      </c>
      <c r="C1229" t="s">
        <v>46</v>
      </c>
      <c r="D1229">
        <f t="shared" si="387"/>
        <v>0.19558034617437131</v>
      </c>
      <c r="E1229">
        <f t="shared" si="387"/>
        <v>0.19558034617437131</v>
      </c>
      <c r="F1229">
        <f t="shared" si="387"/>
        <v>0.19558034617437131</v>
      </c>
      <c r="G1229">
        <f t="shared" si="387"/>
        <v>0.19558034617437131</v>
      </c>
      <c r="H1229">
        <f t="shared" si="387"/>
        <v>0.19558034617437131</v>
      </c>
      <c r="I1229">
        <f t="shared" si="387"/>
        <v>0.19558034617437131</v>
      </c>
      <c r="J1229">
        <f t="shared" si="387"/>
        <v>0.19558034617437131</v>
      </c>
      <c r="K1229">
        <f t="shared" si="387"/>
        <v>0.19558034617437131</v>
      </c>
      <c r="L1229">
        <f t="shared" si="387"/>
        <v>0.19558034617437131</v>
      </c>
      <c r="M1229">
        <f t="shared" si="388"/>
        <v>0.19558034617437131</v>
      </c>
      <c r="N1229">
        <f t="shared" si="389"/>
        <v>0.20892976381542053</v>
      </c>
      <c r="O1229">
        <f t="shared" si="390"/>
        <v>0.21300095265671085</v>
      </c>
      <c r="P1229">
        <f t="shared" si="391"/>
        <v>0.21707214149800116</v>
      </c>
      <c r="Q1229">
        <f t="shared" si="392"/>
        <v>0.22114333033929146</v>
      </c>
      <c r="R1229">
        <f t="shared" si="393"/>
        <v>0.21054109792054362</v>
      </c>
      <c r="S1229">
        <f t="shared" si="394"/>
        <v>0.18773663608960436</v>
      </c>
      <c r="T1229">
        <f t="shared" si="395"/>
        <v>0.20312499014898092</v>
      </c>
      <c r="U1229">
        <f t="shared" si="396"/>
        <v>0.20388226898312273</v>
      </c>
      <c r="V1229">
        <f t="shared" si="397"/>
        <v>0.18554592751670593</v>
      </c>
      <c r="W1229">
        <f t="shared" si="398"/>
        <v>0.19183453666284245</v>
      </c>
      <c r="X1229">
        <f t="shared" si="399"/>
        <v>0.18860107024241177</v>
      </c>
      <c r="Y1229">
        <f t="shared" si="400"/>
        <v>0.19081200237097118</v>
      </c>
      <c r="Z1229">
        <f t="shared" si="401"/>
        <v>0.18389263479628956</v>
      </c>
      <c r="AA1229">
        <f t="shared" si="402"/>
        <v>0.17163522748884613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</row>
    <row r="1230" spans="1:59" ht="12" customHeight="1" x14ac:dyDescent="0.2">
      <c r="A1230" t="s">
        <v>247</v>
      </c>
      <c r="B1230" t="s">
        <v>248</v>
      </c>
      <c r="C1230" t="s">
        <v>46</v>
      </c>
      <c r="D1230">
        <f t="shared" si="387"/>
        <v>0.19558034617437131</v>
      </c>
      <c r="E1230">
        <f t="shared" si="387"/>
        <v>0.19558034617437131</v>
      </c>
      <c r="F1230">
        <f t="shared" si="387"/>
        <v>0.19558034617437131</v>
      </c>
      <c r="G1230">
        <f t="shared" si="387"/>
        <v>0.19558034617437131</v>
      </c>
      <c r="H1230">
        <f t="shared" si="387"/>
        <v>0.19558034617437131</v>
      </c>
      <c r="I1230">
        <f t="shared" si="387"/>
        <v>0.19558034617437131</v>
      </c>
      <c r="J1230">
        <f t="shared" si="387"/>
        <v>0.19558034617437131</v>
      </c>
      <c r="K1230">
        <f t="shared" si="387"/>
        <v>0.19558034617437131</v>
      </c>
      <c r="L1230">
        <f t="shared" si="387"/>
        <v>0.19558034617437131</v>
      </c>
      <c r="M1230">
        <f t="shared" si="388"/>
        <v>0.19558034617437131</v>
      </c>
      <c r="N1230">
        <f t="shared" si="389"/>
        <v>0.20892976381542053</v>
      </c>
      <c r="O1230">
        <f t="shared" si="390"/>
        <v>0.21300095265671085</v>
      </c>
      <c r="P1230">
        <f t="shared" si="391"/>
        <v>0.21707214149800116</v>
      </c>
      <c r="Q1230">
        <f t="shared" si="392"/>
        <v>0.22114333033929146</v>
      </c>
      <c r="R1230">
        <f t="shared" si="393"/>
        <v>0.21054109792054362</v>
      </c>
      <c r="S1230">
        <f t="shared" si="394"/>
        <v>0.18773663608960436</v>
      </c>
      <c r="T1230">
        <f t="shared" si="395"/>
        <v>0.20312499014898092</v>
      </c>
      <c r="U1230">
        <f t="shared" si="396"/>
        <v>0.20388226898312273</v>
      </c>
      <c r="V1230">
        <f t="shared" si="397"/>
        <v>0.18554592751670593</v>
      </c>
      <c r="W1230">
        <f t="shared" si="398"/>
        <v>0.19183453666284245</v>
      </c>
      <c r="X1230">
        <f t="shared" si="399"/>
        <v>0.18860107024241177</v>
      </c>
      <c r="Y1230">
        <f t="shared" si="400"/>
        <v>0.19081200237097118</v>
      </c>
      <c r="Z1230">
        <f t="shared" si="401"/>
        <v>0.18389263479628956</v>
      </c>
      <c r="AA1230">
        <f t="shared" si="402"/>
        <v>0.17163522748884613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</row>
    <row r="1231" spans="1:59" ht="12" customHeight="1" x14ac:dyDescent="0.2">
      <c r="A1231" t="s">
        <v>249</v>
      </c>
      <c r="B1231" t="s">
        <v>250</v>
      </c>
      <c r="C1231" t="s">
        <v>46</v>
      </c>
      <c r="D1231">
        <f t="shared" si="387"/>
        <v>0.19558034617437131</v>
      </c>
      <c r="E1231">
        <f t="shared" si="387"/>
        <v>0.19558034617437131</v>
      </c>
      <c r="F1231">
        <f t="shared" si="387"/>
        <v>0.19558034617437131</v>
      </c>
      <c r="G1231">
        <f t="shared" si="387"/>
        <v>0.19558034617437131</v>
      </c>
      <c r="H1231">
        <f t="shared" si="387"/>
        <v>0.19558034617437131</v>
      </c>
      <c r="I1231">
        <f t="shared" si="387"/>
        <v>0.19558034617437131</v>
      </c>
      <c r="J1231">
        <f t="shared" si="387"/>
        <v>0.19558034617437131</v>
      </c>
      <c r="K1231">
        <f t="shared" si="387"/>
        <v>0.19558034617437131</v>
      </c>
      <c r="L1231">
        <f t="shared" si="387"/>
        <v>0.19558034617437131</v>
      </c>
      <c r="M1231">
        <f t="shared" si="388"/>
        <v>0.19558034617437131</v>
      </c>
      <c r="N1231">
        <f t="shared" si="389"/>
        <v>0.20892976381542053</v>
      </c>
      <c r="O1231">
        <f t="shared" si="390"/>
        <v>0.21300095265671085</v>
      </c>
      <c r="P1231">
        <f t="shared" si="391"/>
        <v>0.21707214149800116</v>
      </c>
      <c r="Q1231">
        <f t="shared" si="392"/>
        <v>0.22114333033929146</v>
      </c>
      <c r="R1231">
        <f t="shared" si="393"/>
        <v>0.21054109792054362</v>
      </c>
      <c r="S1231">
        <f t="shared" si="394"/>
        <v>0.18773663608960436</v>
      </c>
      <c r="T1231">
        <f t="shared" si="395"/>
        <v>0.20312499014898092</v>
      </c>
      <c r="U1231">
        <f t="shared" si="396"/>
        <v>0.20388226898312273</v>
      </c>
      <c r="V1231">
        <f t="shared" si="397"/>
        <v>0.18554592751670593</v>
      </c>
      <c r="W1231">
        <f t="shared" si="398"/>
        <v>0.19183453666284245</v>
      </c>
      <c r="X1231">
        <f t="shared" si="399"/>
        <v>0.18860107024241177</v>
      </c>
      <c r="Y1231">
        <f t="shared" si="400"/>
        <v>0.19081200237097118</v>
      </c>
      <c r="Z1231">
        <f t="shared" si="401"/>
        <v>0.18389263479628956</v>
      </c>
      <c r="AA1231">
        <f t="shared" si="402"/>
        <v>0.17163522748884613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</row>
    <row r="1232" spans="1:59" ht="12" customHeight="1" x14ac:dyDescent="0.2">
      <c r="A1232" t="s">
        <v>251</v>
      </c>
      <c r="B1232" t="s">
        <v>252</v>
      </c>
      <c r="C1232" t="s">
        <v>46</v>
      </c>
      <c r="D1232">
        <f t="shared" si="387"/>
        <v>0.19558034617437131</v>
      </c>
      <c r="E1232">
        <f t="shared" si="387"/>
        <v>0.19558034617437131</v>
      </c>
      <c r="F1232">
        <f t="shared" si="387"/>
        <v>0.19558034617437131</v>
      </c>
      <c r="G1232">
        <f t="shared" si="387"/>
        <v>0.19558034617437131</v>
      </c>
      <c r="H1232">
        <f t="shared" si="387"/>
        <v>0.19558034617437131</v>
      </c>
      <c r="I1232">
        <f t="shared" si="387"/>
        <v>0.19558034617437131</v>
      </c>
      <c r="J1232">
        <f t="shared" si="387"/>
        <v>0.19558034617437131</v>
      </c>
      <c r="K1232">
        <f t="shared" si="387"/>
        <v>0.19558034617437131</v>
      </c>
      <c r="L1232">
        <f t="shared" si="387"/>
        <v>0.19558034617437131</v>
      </c>
      <c r="M1232">
        <f t="shared" si="388"/>
        <v>0.19558034617437131</v>
      </c>
      <c r="N1232">
        <f t="shared" si="389"/>
        <v>0.20892976381542053</v>
      </c>
      <c r="O1232">
        <f t="shared" si="390"/>
        <v>0.21300095265671085</v>
      </c>
      <c r="P1232">
        <f t="shared" si="391"/>
        <v>0.21707214149800116</v>
      </c>
      <c r="Q1232">
        <f t="shared" si="392"/>
        <v>0.22114333033929146</v>
      </c>
      <c r="R1232">
        <f t="shared" si="393"/>
        <v>0.21054109792054362</v>
      </c>
      <c r="S1232">
        <f t="shared" si="394"/>
        <v>0.18773663608960436</v>
      </c>
      <c r="T1232">
        <f t="shared" si="395"/>
        <v>0.20312499014898092</v>
      </c>
      <c r="U1232">
        <f t="shared" si="396"/>
        <v>0.20388226898312273</v>
      </c>
      <c r="V1232">
        <f t="shared" si="397"/>
        <v>0.18554592751670593</v>
      </c>
      <c r="W1232">
        <f t="shared" si="398"/>
        <v>0.19183453666284245</v>
      </c>
      <c r="X1232">
        <f t="shared" si="399"/>
        <v>0.18860107024241177</v>
      </c>
      <c r="Y1232">
        <f t="shared" si="400"/>
        <v>0.19081200237097118</v>
      </c>
      <c r="Z1232">
        <f t="shared" si="401"/>
        <v>0.18389263479628956</v>
      </c>
      <c r="AA1232">
        <f t="shared" si="402"/>
        <v>0.17163522748884613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</row>
    <row r="1233" spans="1:59" ht="12" customHeight="1" x14ac:dyDescent="0.2">
      <c r="A1233" t="s">
        <v>253</v>
      </c>
      <c r="B1233" t="s">
        <v>254</v>
      </c>
      <c r="C1233" t="s">
        <v>46</v>
      </c>
      <c r="D1233">
        <f t="shared" ref="D1233:L1242" si="403">$M1233</f>
        <v>0.19558034617437131</v>
      </c>
      <c r="E1233">
        <f t="shared" si="403"/>
        <v>0.19558034617437131</v>
      </c>
      <c r="F1233">
        <f t="shared" si="403"/>
        <v>0.19558034617437131</v>
      </c>
      <c r="G1233">
        <f t="shared" si="403"/>
        <v>0.19558034617437131</v>
      </c>
      <c r="H1233">
        <f t="shared" si="403"/>
        <v>0.19558034617437131</v>
      </c>
      <c r="I1233">
        <f t="shared" si="403"/>
        <v>0.19558034617437131</v>
      </c>
      <c r="J1233">
        <f t="shared" si="403"/>
        <v>0.19558034617437131</v>
      </c>
      <c r="K1233">
        <f t="shared" si="403"/>
        <v>0.19558034617437131</v>
      </c>
      <c r="L1233">
        <f t="shared" si="403"/>
        <v>0.19558034617437131</v>
      </c>
      <c r="M1233">
        <f t="shared" si="388"/>
        <v>0.19558034617437131</v>
      </c>
      <c r="N1233">
        <f t="shared" si="389"/>
        <v>0.20892976381542053</v>
      </c>
      <c r="O1233">
        <f t="shared" si="390"/>
        <v>0.21300095265671085</v>
      </c>
      <c r="P1233">
        <f t="shared" si="391"/>
        <v>0.21707214149800116</v>
      </c>
      <c r="Q1233">
        <f t="shared" si="392"/>
        <v>0.22114333033929146</v>
      </c>
      <c r="R1233">
        <f t="shared" si="393"/>
        <v>0.21054109792054362</v>
      </c>
      <c r="S1233">
        <f t="shared" si="394"/>
        <v>0.18773663608960436</v>
      </c>
      <c r="T1233">
        <f t="shared" si="395"/>
        <v>0.20312499014898092</v>
      </c>
      <c r="U1233">
        <f t="shared" si="396"/>
        <v>0.20388226898312273</v>
      </c>
      <c r="V1233">
        <f t="shared" si="397"/>
        <v>0.18554592751670593</v>
      </c>
      <c r="W1233">
        <f t="shared" si="398"/>
        <v>0.19183453666284245</v>
      </c>
      <c r="X1233">
        <f t="shared" si="399"/>
        <v>0.18860107024241177</v>
      </c>
      <c r="Y1233">
        <f t="shared" si="400"/>
        <v>0.19081200237097118</v>
      </c>
      <c r="Z1233">
        <f t="shared" si="401"/>
        <v>0.18389263479628956</v>
      </c>
      <c r="AA1233">
        <f t="shared" si="402"/>
        <v>0.17163522748884613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</row>
    <row r="1234" spans="1:59" ht="12" customHeight="1" x14ac:dyDescent="0.2">
      <c r="A1234" t="s">
        <v>255</v>
      </c>
      <c r="B1234" t="s">
        <v>256</v>
      </c>
      <c r="C1234" t="s">
        <v>46</v>
      </c>
      <c r="D1234">
        <f t="shared" si="403"/>
        <v>0.19558034617437131</v>
      </c>
      <c r="E1234">
        <f t="shared" si="403"/>
        <v>0.19558034617437131</v>
      </c>
      <c r="F1234">
        <f t="shared" si="403"/>
        <v>0.19558034617437131</v>
      </c>
      <c r="G1234">
        <f t="shared" si="403"/>
        <v>0.19558034617437131</v>
      </c>
      <c r="H1234">
        <f t="shared" si="403"/>
        <v>0.19558034617437131</v>
      </c>
      <c r="I1234">
        <f t="shared" si="403"/>
        <v>0.19558034617437131</v>
      </c>
      <c r="J1234">
        <f t="shared" si="403"/>
        <v>0.19558034617437131</v>
      </c>
      <c r="K1234">
        <f t="shared" si="403"/>
        <v>0.19558034617437131</v>
      </c>
      <c r="L1234">
        <f t="shared" si="403"/>
        <v>0.19558034617437131</v>
      </c>
      <c r="M1234">
        <f t="shared" si="388"/>
        <v>0.19558034617437131</v>
      </c>
      <c r="N1234">
        <f t="shared" si="389"/>
        <v>0.20892976381542053</v>
      </c>
      <c r="O1234">
        <f t="shared" si="390"/>
        <v>0.21300095265671085</v>
      </c>
      <c r="P1234">
        <f t="shared" si="391"/>
        <v>0.21707214149800116</v>
      </c>
      <c r="Q1234">
        <f t="shared" si="392"/>
        <v>0.22114333033929146</v>
      </c>
      <c r="R1234">
        <f t="shared" si="393"/>
        <v>0.21054109792054362</v>
      </c>
      <c r="S1234">
        <f t="shared" si="394"/>
        <v>0.18773663608960436</v>
      </c>
      <c r="T1234">
        <f t="shared" si="395"/>
        <v>0.20312499014898092</v>
      </c>
      <c r="U1234">
        <f t="shared" si="396"/>
        <v>0.20388226898312273</v>
      </c>
      <c r="V1234">
        <f t="shared" si="397"/>
        <v>0.18554592751670593</v>
      </c>
      <c r="W1234">
        <f t="shared" si="398"/>
        <v>0.19183453666284245</v>
      </c>
      <c r="X1234">
        <f t="shared" si="399"/>
        <v>0.18860107024241177</v>
      </c>
      <c r="Y1234">
        <f t="shared" si="400"/>
        <v>0.19081200237097118</v>
      </c>
      <c r="Z1234">
        <f t="shared" si="401"/>
        <v>0.18389263479628956</v>
      </c>
      <c r="AA1234">
        <f t="shared" si="402"/>
        <v>0.17163522748884613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</row>
    <row r="1235" spans="1:59" ht="12" customHeight="1" x14ac:dyDescent="0.2">
      <c r="A1235" t="s">
        <v>257</v>
      </c>
      <c r="B1235" t="s">
        <v>258</v>
      </c>
      <c r="C1235" t="s">
        <v>46</v>
      </c>
      <c r="D1235">
        <f t="shared" si="403"/>
        <v>0.19558034617437131</v>
      </c>
      <c r="E1235">
        <f t="shared" si="403"/>
        <v>0.19558034617437131</v>
      </c>
      <c r="F1235">
        <f t="shared" si="403"/>
        <v>0.19558034617437131</v>
      </c>
      <c r="G1235">
        <f t="shared" si="403"/>
        <v>0.19558034617437131</v>
      </c>
      <c r="H1235">
        <f t="shared" si="403"/>
        <v>0.19558034617437131</v>
      </c>
      <c r="I1235">
        <f t="shared" si="403"/>
        <v>0.19558034617437131</v>
      </c>
      <c r="J1235">
        <f t="shared" si="403"/>
        <v>0.19558034617437131</v>
      </c>
      <c r="K1235">
        <f t="shared" si="403"/>
        <v>0.19558034617437131</v>
      </c>
      <c r="L1235">
        <f t="shared" si="403"/>
        <v>0.19558034617437131</v>
      </c>
      <c r="M1235">
        <f t="shared" si="388"/>
        <v>0.19558034617437131</v>
      </c>
      <c r="N1235">
        <f t="shared" si="389"/>
        <v>0.20892976381542053</v>
      </c>
      <c r="O1235">
        <f t="shared" si="390"/>
        <v>0.21300095265671085</v>
      </c>
      <c r="P1235">
        <f t="shared" si="391"/>
        <v>0.21707214149800116</v>
      </c>
      <c r="Q1235">
        <f t="shared" si="392"/>
        <v>0.22114333033929146</v>
      </c>
      <c r="R1235">
        <f t="shared" si="393"/>
        <v>0.21054109792054362</v>
      </c>
      <c r="S1235">
        <f t="shared" si="394"/>
        <v>0.18773663608960436</v>
      </c>
      <c r="T1235">
        <f t="shared" si="395"/>
        <v>0.20312499014898092</v>
      </c>
      <c r="U1235">
        <f t="shared" si="396"/>
        <v>0.20388226898312273</v>
      </c>
      <c r="V1235">
        <f t="shared" si="397"/>
        <v>0.18554592751670593</v>
      </c>
      <c r="W1235">
        <f t="shared" si="398"/>
        <v>0.19183453666284245</v>
      </c>
      <c r="X1235">
        <f t="shared" si="399"/>
        <v>0.18860107024241177</v>
      </c>
      <c r="Y1235">
        <f t="shared" si="400"/>
        <v>0.19081200237097118</v>
      </c>
      <c r="Z1235">
        <f t="shared" si="401"/>
        <v>0.18389263479628956</v>
      </c>
      <c r="AA1235">
        <f t="shared" si="402"/>
        <v>0.17163522748884613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</row>
    <row r="1236" spans="1:59" ht="12" customHeight="1" x14ac:dyDescent="0.2">
      <c r="A1236" t="s">
        <v>259</v>
      </c>
      <c r="B1236" t="s">
        <v>234</v>
      </c>
      <c r="C1236" t="s">
        <v>62</v>
      </c>
      <c r="D1236">
        <f t="shared" si="403"/>
        <v>0.11079977346216821</v>
      </c>
      <c r="E1236">
        <f t="shared" si="403"/>
        <v>0.11079977346216821</v>
      </c>
      <c r="F1236">
        <f t="shared" si="403"/>
        <v>0.11079977346216821</v>
      </c>
      <c r="G1236">
        <f t="shared" si="403"/>
        <v>0.11079977346216821</v>
      </c>
      <c r="H1236">
        <f t="shared" si="403"/>
        <v>0.11079977346216821</v>
      </c>
      <c r="I1236">
        <f t="shared" si="403"/>
        <v>0.11079977346216821</v>
      </c>
      <c r="J1236">
        <f t="shared" si="403"/>
        <v>0.11079977346216821</v>
      </c>
      <c r="K1236">
        <f t="shared" si="403"/>
        <v>0.11079977346216821</v>
      </c>
      <c r="L1236">
        <f t="shared" si="403"/>
        <v>0.11079977346216821</v>
      </c>
      <c r="M1236">
        <v>0.11079977346216821</v>
      </c>
      <c r="N1236">
        <v>0.10392711788617867</v>
      </c>
      <c r="O1236">
        <v>0.10681911203090974</v>
      </c>
      <c r="P1236">
        <v>0.10971110617564081</v>
      </c>
      <c r="Q1236">
        <v>0.11260310032037187</v>
      </c>
      <c r="R1236">
        <v>0.10549679382410589</v>
      </c>
      <c r="S1236">
        <v>0.10501719363094851</v>
      </c>
      <c r="T1236">
        <v>0.10189545589336514</v>
      </c>
      <c r="U1236">
        <v>0.10879759399450641</v>
      </c>
      <c r="V1236">
        <v>0.10360235320128636</v>
      </c>
      <c r="W1236">
        <v>0.1029175726285355</v>
      </c>
      <c r="X1236">
        <v>0.10484139467417007</v>
      </c>
      <c r="Y1236">
        <v>0.10567546181300083</v>
      </c>
      <c r="Z1236">
        <v>0.1046744100833446</v>
      </c>
      <c r="AA1236">
        <v>0.11192348409347148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</row>
    <row r="1237" spans="1:59" ht="12" customHeight="1" x14ac:dyDescent="0.2">
      <c r="A1237" t="s">
        <v>260</v>
      </c>
      <c r="B1237" t="s">
        <v>236</v>
      </c>
      <c r="C1237" t="s">
        <v>62</v>
      </c>
      <c r="D1237">
        <f t="shared" si="403"/>
        <v>0.11079977346216821</v>
      </c>
      <c r="E1237">
        <f t="shared" si="403"/>
        <v>0.11079977346216821</v>
      </c>
      <c r="F1237">
        <f t="shared" si="403"/>
        <v>0.11079977346216821</v>
      </c>
      <c r="G1237">
        <f t="shared" si="403"/>
        <v>0.11079977346216821</v>
      </c>
      <c r="H1237">
        <f t="shared" si="403"/>
        <v>0.11079977346216821</v>
      </c>
      <c r="I1237">
        <f t="shared" si="403"/>
        <v>0.11079977346216821</v>
      </c>
      <c r="J1237">
        <f t="shared" si="403"/>
        <v>0.11079977346216821</v>
      </c>
      <c r="K1237">
        <f t="shared" si="403"/>
        <v>0.11079977346216821</v>
      </c>
      <c r="L1237">
        <f t="shared" si="403"/>
        <v>0.11079977346216821</v>
      </c>
      <c r="M1237">
        <f t="shared" ref="M1237:M1248" si="404">M1236</f>
        <v>0.11079977346216821</v>
      </c>
      <c r="N1237">
        <f t="shared" ref="N1237:N1248" si="405">N1236</f>
        <v>0.10392711788617867</v>
      </c>
      <c r="O1237">
        <f t="shared" ref="O1237:O1248" si="406">O1236</f>
        <v>0.10681911203090974</v>
      </c>
      <c r="P1237">
        <f t="shared" ref="P1237:P1248" si="407">P1236</f>
        <v>0.10971110617564081</v>
      </c>
      <c r="Q1237">
        <f t="shared" ref="Q1237:Q1248" si="408">Q1236</f>
        <v>0.11260310032037187</v>
      </c>
      <c r="R1237">
        <f t="shared" ref="R1237:R1248" si="409">R1236</f>
        <v>0.10549679382410589</v>
      </c>
      <c r="S1237">
        <f t="shared" ref="S1237:S1248" si="410">S1236</f>
        <v>0.10501719363094851</v>
      </c>
      <c r="T1237">
        <f t="shared" ref="T1237:T1248" si="411">T1236</f>
        <v>0.10189545589336514</v>
      </c>
      <c r="U1237">
        <f t="shared" ref="U1237:U1248" si="412">U1236</f>
        <v>0.10879759399450641</v>
      </c>
      <c r="V1237">
        <f t="shared" ref="V1237:V1248" si="413">V1236</f>
        <v>0.10360235320128636</v>
      </c>
      <c r="W1237">
        <f t="shared" ref="W1237:W1248" si="414">W1236</f>
        <v>0.1029175726285355</v>
      </c>
      <c r="X1237">
        <f t="shared" ref="X1237:X1248" si="415">X1236</f>
        <v>0.10484139467417007</v>
      </c>
      <c r="Y1237">
        <f t="shared" ref="Y1237:Y1248" si="416">Y1236</f>
        <v>0.10567546181300083</v>
      </c>
      <c r="Z1237">
        <f t="shared" ref="Z1237:Z1248" si="417">Z1236</f>
        <v>0.1046744100833446</v>
      </c>
      <c r="AA1237">
        <f t="shared" ref="AA1237:AA1248" si="418">AA1236</f>
        <v>0.11192348409347148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</row>
    <row r="1238" spans="1:59" ht="12" customHeight="1" x14ac:dyDescent="0.2">
      <c r="A1238" t="s">
        <v>261</v>
      </c>
      <c r="B1238" t="s">
        <v>238</v>
      </c>
      <c r="C1238" t="s">
        <v>62</v>
      </c>
      <c r="D1238">
        <f t="shared" si="403"/>
        <v>0.11079977346216821</v>
      </c>
      <c r="E1238">
        <f t="shared" si="403"/>
        <v>0.11079977346216821</v>
      </c>
      <c r="F1238">
        <f t="shared" si="403"/>
        <v>0.11079977346216821</v>
      </c>
      <c r="G1238">
        <f t="shared" si="403"/>
        <v>0.11079977346216821</v>
      </c>
      <c r="H1238">
        <f t="shared" si="403"/>
        <v>0.11079977346216821</v>
      </c>
      <c r="I1238">
        <f t="shared" si="403"/>
        <v>0.11079977346216821</v>
      </c>
      <c r="J1238">
        <f t="shared" si="403"/>
        <v>0.11079977346216821</v>
      </c>
      <c r="K1238">
        <f t="shared" si="403"/>
        <v>0.11079977346216821</v>
      </c>
      <c r="L1238">
        <f t="shared" si="403"/>
        <v>0.11079977346216821</v>
      </c>
      <c r="M1238">
        <f t="shared" si="404"/>
        <v>0.11079977346216821</v>
      </c>
      <c r="N1238">
        <f t="shared" si="405"/>
        <v>0.10392711788617867</v>
      </c>
      <c r="O1238">
        <f t="shared" si="406"/>
        <v>0.10681911203090974</v>
      </c>
      <c r="P1238">
        <f t="shared" si="407"/>
        <v>0.10971110617564081</v>
      </c>
      <c r="Q1238">
        <f t="shared" si="408"/>
        <v>0.11260310032037187</v>
      </c>
      <c r="R1238">
        <f t="shared" si="409"/>
        <v>0.10549679382410589</v>
      </c>
      <c r="S1238">
        <f t="shared" si="410"/>
        <v>0.10501719363094851</v>
      </c>
      <c r="T1238">
        <f t="shared" si="411"/>
        <v>0.10189545589336514</v>
      </c>
      <c r="U1238">
        <f t="shared" si="412"/>
        <v>0.10879759399450641</v>
      </c>
      <c r="V1238">
        <f t="shared" si="413"/>
        <v>0.10360235320128636</v>
      </c>
      <c r="W1238">
        <f t="shared" si="414"/>
        <v>0.1029175726285355</v>
      </c>
      <c r="X1238">
        <f t="shared" si="415"/>
        <v>0.10484139467417007</v>
      </c>
      <c r="Y1238">
        <f t="shared" si="416"/>
        <v>0.10567546181300083</v>
      </c>
      <c r="Z1238">
        <f t="shared" si="417"/>
        <v>0.1046744100833446</v>
      </c>
      <c r="AA1238">
        <f t="shared" si="418"/>
        <v>0.11192348409347148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</row>
    <row r="1239" spans="1:59" ht="12" customHeight="1" x14ac:dyDescent="0.2">
      <c r="A1239" t="s">
        <v>262</v>
      </c>
      <c r="B1239" t="s">
        <v>240</v>
      </c>
      <c r="C1239" t="s">
        <v>62</v>
      </c>
      <c r="D1239">
        <f t="shared" si="403"/>
        <v>0.11079977346216821</v>
      </c>
      <c r="E1239">
        <f t="shared" si="403"/>
        <v>0.11079977346216821</v>
      </c>
      <c r="F1239">
        <f t="shared" si="403"/>
        <v>0.11079977346216821</v>
      </c>
      <c r="G1239">
        <f t="shared" si="403"/>
        <v>0.11079977346216821</v>
      </c>
      <c r="H1239">
        <f t="shared" si="403"/>
        <v>0.11079977346216821</v>
      </c>
      <c r="I1239">
        <f t="shared" si="403"/>
        <v>0.11079977346216821</v>
      </c>
      <c r="J1239">
        <f t="shared" si="403"/>
        <v>0.11079977346216821</v>
      </c>
      <c r="K1239">
        <f t="shared" si="403"/>
        <v>0.11079977346216821</v>
      </c>
      <c r="L1239">
        <f t="shared" si="403"/>
        <v>0.11079977346216821</v>
      </c>
      <c r="M1239">
        <f t="shared" si="404"/>
        <v>0.11079977346216821</v>
      </c>
      <c r="N1239">
        <f t="shared" si="405"/>
        <v>0.10392711788617867</v>
      </c>
      <c r="O1239">
        <f t="shared" si="406"/>
        <v>0.10681911203090974</v>
      </c>
      <c r="P1239">
        <f t="shared" si="407"/>
        <v>0.10971110617564081</v>
      </c>
      <c r="Q1239">
        <f t="shared" si="408"/>
        <v>0.11260310032037187</v>
      </c>
      <c r="R1239">
        <f t="shared" si="409"/>
        <v>0.10549679382410589</v>
      </c>
      <c r="S1239">
        <f t="shared" si="410"/>
        <v>0.10501719363094851</v>
      </c>
      <c r="T1239">
        <f t="shared" si="411"/>
        <v>0.10189545589336514</v>
      </c>
      <c r="U1239">
        <f t="shared" si="412"/>
        <v>0.10879759399450641</v>
      </c>
      <c r="V1239">
        <f t="shared" si="413"/>
        <v>0.10360235320128636</v>
      </c>
      <c r="W1239">
        <f t="shared" si="414"/>
        <v>0.1029175726285355</v>
      </c>
      <c r="X1239">
        <f t="shared" si="415"/>
        <v>0.10484139467417007</v>
      </c>
      <c r="Y1239">
        <f t="shared" si="416"/>
        <v>0.10567546181300083</v>
      </c>
      <c r="Z1239">
        <f t="shared" si="417"/>
        <v>0.1046744100833446</v>
      </c>
      <c r="AA1239">
        <f t="shared" si="418"/>
        <v>0.11192348409347148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</row>
    <row r="1240" spans="1:59" ht="12" customHeight="1" x14ac:dyDescent="0.2">
      <c r="A1240" t="s">
        <v>263</v>
      </c>
      <c r="B1240" t="s">
        <v>242</v>
      </c>
      <c r="C1240" t="s">
        <v>62</v>
      </c>
      <c r="D1240">
        <f t="shared" si="403"/>
        <v>0.11079977346216821</v>
      </c>
      <c r="E1240">
        <f t="shared" si="403"/>
        <v>0.11079977346216821</v>
      </c>
      <c r="F1240">
        <f t="shared" si="403"/>
        <v>0.11079977346216821</v>
      </c>
      <c r="G1240">
        <f t="shared" si="403"/>
        <v>0.11079977346216821</v>
      </c>
      <c r="H1240">
        <f t="shared" si="403"/>
        <v>0.11079977346216821</v>
      </c>
      <c r="I1240">
        <f t="shared" si="403"/>
        <v>0.11079977346216821</v>
      </c>
      <c r="J1240">
        <f t="shared" si="403"/>
        <v>0.11079977346216821</v>
      </c>
      <c r="K1240">
        <f t="shared" si="403"/>
        <v>0.11079977346216821</v>
      </c>
      <c r="L1240">
        <f t="shared" si="403"/>
        <v>0.11079977346216821</v>
      </c>
      <c r="M1240">
        <f t="shared" si="404"/>
        <v>0.11079977346216821</v>
      </c>
      <c r="N1240">
        <f t="shared" si="405"/>
        <v>0.10392711788617867</v>
      </c>
      <c r="O1240">
        <f t="shared" si="406"/>
        <v>0.10681911203090974</v>
      </c>
      <c r="P1240">
        <f t="shared" si="407"/>
        <v>0.10971110617564081</v>
      </c>
      <c r="Q1240">
        <f t="shared" si="408"/>
        <v>0.11260310032037187</v>
      </c>
      <c r="R1240">
        <f t="shared" si="409"/>
        <v>0.10549679382410589</v>
      </c>
      <c r="S1240">
        <f t="shared" si="410"/>
        <v>0.10501719363094851</v>
      </c>
      <c r="T1240">
        <f t="shared" si="411"/>
        <v>0.10189545589336514</v>
      </c>
      <c r="U1240">
        <f t="shared" si="412"/>
        <v>0.10879759399450641</v>
      </c>
      <c r="V1240">
        <f t="shared" si="413"/>
        <v>0.10360235320128636</v>
      </c>
      <c r="W1240">
        <f t="shared" si="414"/>
        <v>0.1029175726285355</v>
      </c>
      <c r="X1240">
        <f t="shared" si="415"/>
        <v>0.10484139467417007</v>
      </c>
      <c r="Y1240">
        <f t="shared" si="416"/>
        <v>0.10567546181300083</v>
      </c>
      <c r="Z1240">
        <f t="shared" si="417"/>
        <v>0.1046744100833446</v>
      </c>
      <c r="AA1240">
        <f t="shared" si="418"/>
        <v>0.11192348409347148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</row>
    <row r="1241" spans="1:59" ht="12" customHeight="1" x14ac:dyDescent="0.2">
      <c r="A1241" t="s">
        <v>264</v>
      </c>
      <c r="B1241" t="s">
        <v>244</v>
      </c>
      <c r="C1241" t="s">
        <v>62</v>
      </c>
      <c r="D1241">
        <f t="shared" si="403"/>
        <v>0.11079977346216821</v>
      </c>
      <c r="E1241">
        <f t="shared" si="403"/>
        <v>0.11079977346216821</v>
      </c>
      <c r="F1241">
        <f t="shared" si="403"/>
        <v>0.11079977346216821</v>
      </c>
      <c r="G1241">
        <f t="shared" si="403"/>
        <v>0.11079977346216821</v>
      </c>
      <c r="H1241">
        <f t="shared" si="403"/>
        <v>0.11079977346216821</v>
      </c>
      <c r="I1241">
        <f t="shared" si="403"/>
        <v>0.11079977346216821</v>
      </c>
      <c r="J1241">
        <f t="shared" si="403"/>
        <v>0.11079977346216821</v>
      </c>
      <c r="K1241">
        <f t="shared" si="403"/>
        <v>0.11079977346216821</v>
      </c>
      <c r="L1241">
        <f t="shared" si="403"/>
        <v>0.11079977346216821</v>
      </c>
      <c r="M1241">
        <f t="shared" si="404"/>
        <v>0.11079977346216821</v>
      </c>
      <c r="N1241">
        <f t="shared" si="405"/>
        <v>0.10392711788617867</v>
      </c>
      <c r="O1241">
        <f t="shared" si="406"/>
        <v>0.10681911203090974</v>
      </c>
      <c r="P1241">
        <f t="shared" si="407"/>
        <v>0.10971110617564081</v>
      </c>
      <c r="Q1241">
        <f t="shared" si="408"/>
        <v>0.11260310032037187</v>
      </c>
      <c r="R1241">
        <f t="shared" si="409"/>
        <v>0.10549679382410589</v>
      </c>
      <c r="S1241">
        <f t="shared" si="410"/>
        <v>0.10501719363094851</v>
      </c>
      <c r="T1241">
        <f t="shared" si="411"/>
        <v>0.10189545589336514</v>
      </c>
      <c r="U1241">
        <f t="shared" si="412"/>
        <v>0.10879759399450641</v>
      </c>
      <c r="V1241">
        <f t="shared" si="413"/>
        <v>0.10360235320128636</v>
      </c>
      <c r="W1241">
        <f t="shared" si="414"/>
        <v>0.1029175726285355</v>
      </c>
      <c r="X1241">
        <f t="shared" si="415"/>
        <v>0.10484139467417007</v>
      </c>
      <c r="Y1241">
        <f t="shared" si="416"/>
        <v>0.10567546181300083</v>
      </c>
      <c r="Z1241">
        <f t="shared" si="417"/>
        <v>0.1046744100833446</v>
      </c>
      <c r="AA1241">
        <f t="shared" si="418"/>
        <v>0.11192348409347148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</row>
    <row r="1242" spans="1:59" ht="12" customHeight="1" x14ac:dyDescent="0.2">
      <c r="A1242" t="s">
        <v>265</v>
      </c>
      <c r="B1242" t="s">
        <v>246</v>
      </c>
      <c r="C1242" t="s">
        <v>62</v>
      </c>
      <c r="D1242">
        <f t="shared" si="403"/>
        <v>0.11079977346216821</v>
      </c>
      <c r="E1242">
        <f t="shared" si="403"/>
        <v>0.11079977346216821</v>
      </c>
      <c r="F1242">
        <f t="shared" si="403"/>
        <v>0.11079977346216821</v>
      </c>
      <c r="G1242">
        <f t="shared" si="403"/>
        <v>0.11079977346216821</v>
      </c>
      <c r="H1242">
        <f t="shared" si="403"/>
        <v>0.11079977346216821</v>
      </c>
      <c r="I1242">
        <f t="shared" si="403"/>
        <v>0.11079977346216821</v>
      </c>
      <c r="J1242">
        <f t="shared" si="403"/>
        <v>0.11079977346216821</v>
      </c>
      <c r="K1242">
        <f t="shared" si="403"/>
        <v>0.11079977346216821</v>
      </c>
      <c r="L1242">
        <f t="shared" si="403"/>
        <v>0.11079977346216821</v>
      </c>
      <c r="M1242">
        <f t="shared" si="404"/>
        <v>0.11079977346216821</v>
      </c>
      <c r="N1242">
        <f t="shared" si="405"/>
        <v>0.10392711788617867</v>
      </c>
      <c r="O1242">
        <f t="shared" si="406"/>
        <v>0.10681911203090974</v>
      </c>
      <c r="P1242">
        <f t="shared" si="407"/>
        <v>0.10971110617564081</v>
      </c>
      <c r="Q1242">
        <f t="shared" si="408"/>
        <v>0.11260310032037187</v>
      </c>
      <c r="R1242">
        <f t="shared" si="409"/>
        <v>0.10549679382410589</v>
      </c>
      <c r="S1242">
        <f t="shared" si="410"/>
        <v>0.10501719363094851</v>
      </c>
      <c r="T1242">
        <f t="shared" si="411"/>
        <v>0.10189545589336514</v>
      </c>
      <c r="U1242">
        <f t="shared" si="412"/>
        <v>0.10879759399450641</v>
      </c>
      <c r="V1242">
        <f t="shared" si="413"/>
        <v>0.10360235320128636</v>
      </c>
      <c r="W1242">
        <f t="shared" si="414"/>
        <v>0.1029175726285355</v>
      </c>
      <c r="X1242">
        <f t="shared" si="415"/>
        <v>0.10484139467417007</v>
      </c>
      <c r="Y1242">
        <f t="shared" si="416"/>
        <v>0.10567546181300083</v>
      </c>
      <c r="Z1242">
        <f t="shared" si="417"/>
        <v>0.1046744100833446</v>
      </c>
      <c r="AA1242">
        <f t="shared" si="418"/>
        <v>0.11192348409347148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</row>
    <row r="1243" spans="1:59" ht="12" customHeight="1" x14ac:dyDescent="0.2">
      <c r="A1243" t="s">
        <v>266</v>
      </c>
      <c r="B1243" t="s">
        <v>248</v>
      </c>
      <c r="C1243" t="s">
        <v>62</v>
      </c>
      <c r="D1243">
        <f t="shared" ref="D1243:L1252" si="419">$M1243</f>
        <v>0.11079977346216821</v>
      </c>
      <c r="E1243">
        <f t="shared" si="419"/>
        <v>0.11079977346216821</v>
      </c>
      <c r="F1243">
        <f t="shared" si="419"/>
        <v>0.11079977346216821</v>
      </c>
      <c r="G1243">
        <f t="shared" si="419"/>
        <v>0.11079977346216821</v>
      </c>
      <c r="H1243">
        <f t="shared" si="419"/>
        <v>0.11079977346216821</v>
      </c>
      <c r="I1243">
        <f t="shared" si="419"/>
        <v>0.11079977346216821</v>
      </c>
      <c r="J1243">
        <f t="shared" si="419"/>
        <v>0.11079977346216821</v>
      </c>
      <c r="K1243">
        <f t="shared" si="419"/>
        <v>0.11079977346216821</v>
      </c>
      <c r="L1243">
        <f t="shared" si="419"/>
        <v>0.11079977346216821</v>
      </c>
      <c r="M1243">
        <f t="shared" si="404"/>
        <v>0.11079977346216821</v>
      </c>
      <c r="N1243">
        <f t="shared" si="405"/>
        <v>0.10392711788617867</v>
      </c>
      <c r="O1243">
        <f t="shared" si="406"/>
        <v>0.10681911203090974</v>
      </c>
      <c r="P1243">
        <f t="shared" si="407"/>
        <v>0.10971110617564081</v>
      </c>
      <c r="Q1243">
        <f t="shared" si="408"/>
        <v>0.11260310032037187</v>
      </c>
      <c r="R1243">
        <f t="shared" si="409"/>
        <v>0.10549679382410589</v>
      </c>
      <c r="S1243">
        <f t="shared" si="410"/>
        <v>0.10501719363094851</v>
      </c>
      <c r="T1243">
        <f t="shared" si="411"/>
        <v>0.10189545589336514</v>
      </c>
      <c r="U1243">
        <f t="shared" si="412"/>
        <v>0.10879759399450641</v>
      </c>
      <c r="V1243">
        <f t="shared" si="413"/>
        <v>0.10360235320128636</v>
      </c>
      <c r="W1243">
        <f t="shared" si="414"/>
        <v>0.1029175726285355</v>
      </c>
      <c r="X1243">
        <f t="shared" si="415"/>
        <v>0.10484139467417007</v>
      </c>
      <c r="Y1243">
        <f t="shared" si="416"/>
        <v>0.10567546181300083</v>
      </c>
      <c r="Z1243">
        <f t="shared" si="417"/>
        <v>0.1046744100833446</v>
      </c>
      <c r="AA1243">
        <f t="shared" si="418"/>
        <v>0.11192348409347148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</row>
    <row r="1244" spans="1:59" ht="12" customHeight="1" x14ac:dyDescent="0.2">
      <c r="A1244" t="s">
        <v>267</v>
      </c>
      <c r="B1244" t="s">
        <v>250</v>
      </c>
      <c r="C1244" t="s">
        <v>62</v>
      </c>
      <c r="D1244">
        <f t="shared" si="419"/>
        <v>0.11079977346216821</v>
      </c>
      <c r="E1244">
        <f t="shared" si="419"/>
        <v>0.11079977346216821</v>
      </c>
      <c r="F1244">
        <f t="shared" si="419"/>
        <v>0.11079977346216821</v>
      </c>
      <c r="G1244">
        <f t="shared" si="419"/>
        <v>0.11079977346216821</v>
      </c>
      <c r="H1244">
        <f t="shared" si="419"/>
        <v>0.11079977346216821</v>
      </c>
      <c r="I1244">
        <f t="shared" si="419"/>
        <v>0.11079977346216821</v>
      </c>
      <c r="J1244">
        <f t="shared" si="419"/>
        <v>0.11079977346216821</v>
      </c>
      <c r="K1244">
        <f t="shared" si="419"/>
        <v>0.11079977346216821</v>
      </c>
      <c r="L1244">
        <f t="shared" si="419"/>
        <v>0.11079977346216821</v>
      </c>
      <c r="M1244">
        <f t="shared" si="404"/>
        <v>0.11079977346216821</v>
      </c>
      <c r="N1244">
        <f t="shared" si="405"/>
        <v>0.10392711788617867</v>
      </c>
      <c r="O1244">
        <f t="shared" si="406"/>
        <v>0.10681911203090974</v>
      </c>
      <c r="P1244">
        <f t="shared" si="407"/>
        <v>0.10971110617564081</v>
      </c>
      <c r="Q1244">
        <f t="shared" si="408"/>
        <v>0.11260310032037187</v>
      </c>
      <c r="R1244">
        <f t="shared" si="409"/>
        <v>0.10549679382410589</v>
      </c>
      <c r="S1244">
        <f t="shared" si="410"/>
        <v>0.10501719363094851</v>
      </c>
      <c r="T1244">
        <f t="shared" si="411"/>
        <v>0.10189545589336514</v>
      </c>
      <c r="U1244">
        <f t="shared" si="412"/>
        <v>0.10879759399450641</v>
      </c>
      <c r="V1244">
        <f t="shared" si="413"/>
        <v>0.10360235320128636</v>
      </c>
      <c r="W1244">
        <f t="shared" si="414"/>
        <v>0.1029175726285355</v>
      </c>
      <c r="X1244">
        <f t="shared" si="415"/>
        <v>0.10484139467417007</v>
      </c>
      <c r="Y1244">
        <f t="shared" si="416"/>
        <v>0.10567546181300083</v>
      </c>
      <c r="Z1244">
        <f t="shared" si="417"/>
        <v>0.1046744100833446</v>
      </c>
      <c r="AA1244">
        <f t="shared" si="418"/>
        <v>0.11192348409347148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</row>
    <row r="1245" spans="1:59" ht="12" customHeight="1" x14ac:dyDescent="0.2">
      <c r="A1245" t="s">
        <v>268</v>
      </c>
      <c r="B1245" t="s">
        <v>252</v>
      </c>
      <c r="C1245" t="s">
        <v>62</v>
      </c>
      <c r="D1245">
        <f t="shared" si="419"/>
        <v>0.11079977346216821</v>
      </c>
      <c r="E1245">
        <f t="shared" si="419"/>
        <v>0.11079977346216821</v>
      </c>
      <c r="F1245">
        <f t="shared" si="419"/>
        <v>0.11079977346216821</v>
      </c>
      <c r="G1245">
        <f t="shared" si="419"/>
        <v>0.11079977346216821</v>
      </c>
      <c r="H1245">
        <f t="shared" si="419"/>
        <v>0.11079977346216821</v>
      </c>
      <c r="I1245">
        <f t="shared" si="419"/>
        <v>0.11079977346216821</v>
      </c>
      <c r="J1245">
        <f t="shared" si="419"/>
        <v>0.11079977346216821</v>
      </c>
      <c r="K1245">
        <f t="shared" si="419"/>
        <v>0.11079977346216821</v>
      </c>
      <c r="L1245">
        <f t="shared" si="419"/>
        <v>0.11079977346216821</v>
      </c>
      <c r="M1245">
        <f t="shared" si="404"/>
        <v>0.11079977346216821</v>
      </c>
      <c r="N1245">
        <f t="shared" si="405"/>
        <v>0.10392711788617867</v>
      </c>
      <c r="O1245">
        <f t="shared" si="406"/>
        <v>0.10681911203090974</v>
      </c>
      <c r="P1245">
        <f t="shared" si="407"/>
        <v>0.10971110617564081</v>
      </c>
      <c r="Q1245">
        <f t="shared" si="408"/>
        <v>0.11260310032037187</v>
      </c>
      <c r="R1245">
        <f t="shared" si="409"/>
        <v>0.10549679382410589</v>
      </c>
      <c r="S1245">
        <f t="shared" si="410"/>
        <v>0.10501719363094851</v>
      </c>
      <c r="T1245">
        <f t="shared" si="411"/>
        <v>0.10189545589336514</v>
      </c>
      <c r="U1245">
        <f t="shared" si="412"/>
        <v>0.10879759399450641</v>
      </c>
      <c r="V1245">
        <f t="shared" si="413"/>
        <v>0.10360235320128636</v>
      </c>
      <c r="W1245">
        <f t="shared" si="414"/>
        <v>0.1029175726285355</v>
      </c>
      <c r="X1245">
        <f t="shared" si="415"/>
        <v>0.10484139467417007</v>
      </c>
      <c r="Y1245">
        <f t="shared" si="416"/>
        <v>0.10567546181300083</v>
      </c>
      <c r="Z1245">
        <f t="shared" si="417"/>
        <v>0.1046744100833446</v>
      </c>
      <c r="AA1245">
        <f t="shared" si="418"/>
        <v>0.11192348409347148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</row>
    <row r="1246" spans="1:59" ht="12" customHeight="1" x14ac:dyDescent="0.2">
      <c r="A1246" t="s">
        <v>269</v>
      </c>
      <c r="B1246" t="s">
        <v>254</v>
      </c>
      <c r="C1246" t="s">
        <v>62</v>
      </c>
      <c r="D1246">
        <f t="shared" si="419"/>
        <v>0.11079977346216821</v>
      </c>
      <c r="E1246">
        <f t="shared" si="419"/>
        <v>0.11079977346216821</v>
      </c>
      <c r="F1246">
        <f t="shared" si="419"/>
        <v>0.11079977346216821</v>
      </c>
      <c r="G1246">
        <f t="shared" si="419"/>
        <v>0.11079977346216821</v>
      </c>
      <c r="H1246">
        <f t="shared" si="419"/>
        <v>0.11079977346216821</v>
      </c>
      <c r="I1246">
        <f t="shared" si="419"/>
        <v>0.11079977346216821</v>
      </c>
      <c r="J1246">
        <f t="shared" si="419"/>
        <v>0.11079977346216821</v>
      </c>
      <c r="K1246">
        <f t="shared" si="419"/>
        <v>0.11079977346216821</v>
      </c>
      <c r="L1246">
        <f t="shared" si="419"/>
        <v>0.11079977346216821</v>
      </c>
      <c r="M1246">
        <f t="shared" si="404"/>
        <v>0.11079977346216821</v>
      </c>
      <c r="N1246">
        <f t="shared" si="405"/>
        <v>0.10392711788617867</v>
      </c>
      <c r="O1246">
        <f t="shared" si="406"/>
        <v>0.10681911203090974</v>
      </c>
      <c r="P1246">
        <f t="shared" si="407"/>
        <v>0.10971110617564081</v>
      </c>
      <c r="Q1246">
        <f t="shared" si="408"/>
        <v>0.11260310032037187</v>
      </c>
      <c r="R1246">
        <f t="shared" si="409"/>
        <v>0.10549679382410589</v>
      </c>
      <c r="S1246">
        <f t="shared" si="410"/>
        <v>0.10501719363094851</v>
      </c>
      <c r="T1246">
        <f t="shared" si="411"/>
        <v>0.10189545589336514</v>
      </c>
      <c r="U1246">
        <f t="shared" si="412"/>
        <v>0.10879759399450641</v>
      </c>
      <c r="V1246">
        <f t="shared" si="413"/>
        <v>0.10360235320128636</v>
      </c>
      <c r="W1246">
        <f t="shared" si="414"/>
        <v>0.1029175726285355</v>
      </c>
      <c r="X1246">
        <f t="shared" si="415"/>
        <v>0.10484139467417007</v>
      </c>
      <c r="Y1246">
        <f t="shared" si="416"/>
        <v>0.10567546181300083</v>
      </c>
      <c r="Z1246">
        <f t="shared" si="417"/>
        <v>0.1046744100833446</v>
      </c>
      <c r="AA1246">
        <f t="shared" si="418"/>
        <v>0.11192348409347148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</row>
    <row r="1247" spans="1:59" ht="12" customHeight="1" x14ac:dyDescent="0.2">
      <c r="A1247" t="s">
        <v>270</v>
      </c>
      <c r="B1247" t="s">
        <v>256</v>
      </c>
      <c r="C1247" t="s">
        <v>62</v>
      </c>
      <c r="D1247">
        <f t="shared" si="419"/>
        <v>0.11079977346216821</v>
      </c>
      <c r="E1247">
        <f t="shared" si="419"/>
        <v>0.11079977346216821</v>
      </c>
      <c r="F1247">
        <f t="shared" si="419"/>
        <v>0.11079977346216821</v>
      </c>
      <c r="G1247">
        <f t="shared" si="419"/>
        <v>0.11079977346216821</v>
      </c>
      <c r="H1247">
        <f t="shared" si="419"/>
        <v>0.11079977346216821</v>
      </c>
      <c r="I1247">
        <f t="shared" si="419"/>
        <v>0.11079977346216821</v>
      </c>
      <c r="J1247">
        <f t="shared" si="419"/>
        <v>0.11079977346216821</v>
      </c>
      <c r="K1247">
        <f t="shared" si="419"/>
        <v>0.11079977346216821</v>
      </c>
      <c r="L1247">
        <f t="shared" si="419"/>
        <v>0.11079977346216821</v>
      </c>
      <c r="M1247">
        <f t="shared" si="404"/>
        <v>0.11079977346216821</v>
      </c>
      <c r="N1247">
        <f t="shared" si="405"/>
        <v>0.10392711788617867</v>
      </c>
      <c r="O1247">
        <f t="shared" si="406"/>
        <v>0.10681911203090974</v>
      </c>
      <c r="P1247">
        <f t="shared" si="407"/>
        <v>0.10971110617564081</v>
      </c>
      <c r="Q1247">
        <f t="shared" si="408"/>
        <v>0.11260310032037187</v>
      </c>
      <c r="R1247">
        <f t="shared" si="409"/>
        <v>0.10549679382410589</v>
      </c>
      <c r="S1247">
        <f t="shared" si="410"/>
        <v>0.10501719363094851</v>
      </c>
      <c r="T1247">
        <f t="shared" si="411"/>
        <v>0.10189545589336514</v>
      </c>
      <c r="U1247">
        <f t="shared" si="412"/>
        <v>0.10879759399450641</v>
      </c>
      <c r="V1247">
        <f t="shared" si="413"/>
        <v>0.10360235320128636</v>
      </c>
      <c r="W1247">
        <f t="shared" si="414"/>
        <v>0.1029175726285355</v>
      </c>
      <c r="X1247">
        <f t="shared" si="415"/>
        <v>0.10484139467417007</v>
      </c>
      <c r="Y1247">
        <f t="shared" si="416"/>
        <v>0.10567546181300083</v>
      </c>
      <c r="Z1247">
        <f t="shared" si="417"/>
        <v>0.1046744100833446</v>
      </c>
      <c r="AA1247">
        <f t="shared" si="418"/>
        <v>0.11192348409347148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</row>
    <row r="1248" spans="1:59" ht="12" customHeight="1" x14ac:dyDescent="0.2">
      <c r="A1248" t="s">
        <v>271</v>
      </c>
      <c r="B1248" t="s">
        <v>258</v>
      </c>
      <c r="C1248" t="s">
        <v>62</v>
      </c>
      <c r="D1248">
        <f t="shared" si="419"/>
        <v>0.11079977346216821</v>
      </c>
      <c r="E1248">
        <f t="shared" si="419"/>
        <v>0.11079977346216821</v>
      </c>
      <c r="F1248">
        <f t="shared" si="419"/>
        <v>0.11079977346216821</v>
      </c>
      <c r="G1248">
        <f t="shared" si="419"/>
        <v>0.11079977346216821</v>
      </c>
      <c r="H1248">
        <f t="shared" si="419"/>
        <v>0.11079977346216821</v>
      </c>
      <c r="I1248">
        <f t="shared" si="419"/>
        <v>0.11079977346216821</v>
      </c>
      <c r="J1248">
        <f t="shared" si="419"/>
        <v>0.11079977346216821</v>
      </c>
      <c r="K1248">
        <f t="shared" si="419"/>
        <v>0.11079977346216821</v>
      </c>
      <c r="L1248">
        <f t="shared" si="419"/>
        <v>0.11079977346216821</v>
      </c>
      <c r="M1248">
        <f t="shared" si="404"/>
        <v>0.11079977346216821</v>
      </c>
      <c r="N1248">
        <f t="shared" si="405"/>
        <v>0.10392711788617867</v>
      </c>
      <c r="O1248">
        <f t="shared" si="406"/>
        <v>0.10681911203090974</v>
      </c>
      <c r="P1248">
        <f t="shared" si="407"/>
        <v>0.10971110617564081</v>
      </c>
      <c r="Q1248">
        <f t="shared" si="408"/>
        <v>0.11260310032037187</v>
      </c>
      <c r="R1248">
        <f t="shared" si="409"/>
        <v>0.10549679382410589</v>
      </c>
      <c r="S1248">
        <f t="shared" si="410"/>
        <v>0.10501719363094851</v>
      </c>
      <c r="T1248">
        <f t="shared" si="411"/>
        <v>0.10189545589336514</v>
      </c>
      <c r="U1248">
        <f t="shared" si="412"/>
        <v>0.10879759399450641</v>
      </c>
      <c r="V1248">
        <f t="shared" si="413"/>
        <v>0.10360235320128636</v>
      </c>
      <c r="W1248">
        <f t="shared" si="414"/>
        <v>0.1029175726285355</v>
      </c>
      <c r="X1248">
        <f t="shared" si="415"/>
        <v>0.10484139467417007</v>
      </c>
      <c r="Y1248">
        <f t="shared" si="416"/>
        <v>0.10567546181300083</v>
      </c>
      <c r="Z1248">
        <f t="shared" si="417"/>
        <v>0.1046744100833446</v>
      </c>
      <c r="AA1248">
        <f t="shared" si="418"/>
        <v>0.11192348409347148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</row>
    <row r="1249" spans="1:59" ht="12" customHeight="1" x14ac:dyDescent="0.2">
      <c r="A1249" t="s">
        <v>272</v>
      </c>
      <c r="B1249" t="s">
        <v>234</v>
      </c>
      <c r="C1249" t="s">
        <v>63</v>
      </c>
      <c r="D1249">
        <f t="shared" si="419"/>
        <v>0.11966876036160704</v>
      </c>
      <c r="E1249">
        <f t="shared" si="419"/>
        <v>0.11966876036160704</v>
      </c>
      <c r="F1249">
        <f t="shared" si="419"/>
        <v>0.11966876036160704</v>
      </c>
      <c r="G1249">
        <f t="shared" si="419"/>
        <v>0.11966876036160704</v>
      </c>
      <c r="H1249">
        <f t="shared" si="419"/>
        <v>0.11966876036160704</v>
      </c>
      <c r="I1249">
        <f t="shared" si="419"/>
        <v>0.11966876036160704</v>
      </c>
      <c r="J1249">
        <f t="shared" si="419"/>
        <v>0.11966876036160704</v>
      </c>
      <c r="K1249">
        <f t="shared" si="419"/>
        <v>0.11966876036160704</v>
      </c>
      <c r="L1249">
        <f t="shared" si="419"/>
        <v>0.11966876036160704</v>
      </c>
      <c r="M1249">
        <v>0.11966876036160704</v>
      </c>
      <c r="N1249">
        <v>0.51828334723160696</v>
      </c>
      <c r="O1249">
        <v>0.41073114879537326</v>
      </c>
      <c r="P1249">
        <v>0.30317895035913955</v>
      </c>
      <c r="Q1249">
        <v>0.19562675192290577</v>
      </c>
      <c r="R1249">
        <v>1.6106217386793054</v>
      </c>
      <c r="S1249">
        <v>1.2749231082683927</v>
      </c>
      <c r="T1249">
        <v>1.1551748201622858</v>
      </c>
      <c r="U1249">
        <v>0.81536348425491512</v>
      </c>
      <c r="V1249">
        <v>0.52570153680711551</v>
      </c>
      <c r="W1249">
        <v>0.51318138877141262</v>
      </c>
      <c r="X1249">
        <v>0.53648697781045407</v>
      </c>
      <c r="Y1249">
        <v>0.5647183544087464</v>
      </c>
      <c r="Z1249">
        <v>0.59893501049099418</v>
      </c>
      <c r="AA1249">
        <v>0.76849865866690914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</row>
    <row r="1250" spans="1:59" ht="12" customHeight="1" x14ac:dyDescent="0.2">
      <c r="A1250" t="s">
        <v>273</v>
      </c>
      <c r="B1250" t="s">
        <v>236</v>
      </c>
      <c r="C1250" t="s">
        <v>63</v>
      </c>
      <c r="D1250">
        <f t="shared" si="419"/>
        <v>0.11966876036160704</v>
      </c>
      <c r="E1250">
        <f t="shared" si="419"/>
        <v>0.11966876036160704</v>
      </c>
      <c r="F1250">
        <f t="shared" si="419"/>
        <v>0.11966876036160704</v>
      </c>
      <c r="G1250">
        <f t="shared" si="419"/>
        <v>0.11966876036160704</v>
      </c>
      <c r="H1250">
        <f t="shared" si="419"/>
        <v>0.11966876036160704</v>
      </c>
      <c r="I1250">
        <f t="shared" si="419"/>
        <v>0.11966876036160704</v>
      </c>
      <c r="J1250">
        <f t="shared" si="419"/>
        <v>0.11966876036160704</v>
      </c>
      <c r="K1250">
        <f t="shared" si="419"/>
        <v>0.11966876036160704</v>
      </c>
      <c r="L1250">
        <f t="shared" si="419"/>
        <v>0.11966876036160704</v>
      </c>
      <c r="M1250">
        <f t="shared" ref="M1250:M1261" si="420">M1249</f>
        <v>0.11966876036160704</v>
      </c>
      <c r="N1250">
        <f t="shared" ref="N1250:N1261" si="421">N1249</f>
        <v>0.51828334723160696</v>
      </c>
      <c r="O1250">
        <f t="shared" ref="O1250:O1261" si="422">O1249</f>
        <v>0.41073114879537326</v>
      </c>
      <c r="P1250">
        <f t="shared" ref="P1250:P1261" si="423">P1249</f>
        <v>0.30317895035913955</v>
      </c>
      <c r="Q1250">
        <f t="shared" ref="Q1250:Q1261" si="424">Q1249</f>
        <v>0.19562675192290577</v>
      </c>
      <c r="R1250">
        <f t="shared" ref="R1250:R1261" si="425">R1249</f>
        <v>1.6106217386793054</v>
      </c>
      <c r="S1250">
        <f t="shared" ref="S1250:S1261" si="426">S1249</f>
        <v>1.2749231082683927</v>
      </c>
      <c r="T1250">
        <f t="shared" ref="T1250:T1261" si="427">T1249</f>
        <v>1.1551748201622858</v>
      </c>
      <c r="U1250">
        <f t="shared" ref="U1250:U1261" si="428">U1249</f>
        <v>0.81536348425491512</v>
      </c>
      <c r="V1250">
        <f t="shared" ref="V1250:V1261" si="429">V1249</f>
        <v>0.52570153680711551</v>
      </c>
      <c r="W1250">
        <f t="shared" ref="W1250:W1261" si="430">W1249</f>
        <v>0.51318138877141262</v>
      </c>
      <c r="X1250">
        <f t="shared" ref="X1250:X1261" si="431">X1249</f>
        <v>0.53648697781045407</v>
      </c>
      <c r="Y1250">
        <f t="shared" ref="Y1250:Y1261" si="432">Y1249</f>
        <v>0.5647183544087464</v>
      </c>
      <c r="Z1250">
        <f t="shared" ref="Z1250:Z1261" si="433">Z1249</f>
        <v>0.59893501049099418</v>
      </c>
      <c r="AA1250">
        <f t="shared" ref="AA1250:AA1261" si="434">AA1249</f>
        <v>0.76849865866690914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</row>
    <row r="1251" spans="1:59" ht="12" customHeight="1" x14ac:dyDescent="0.2">
      <c r="A1251" t="s">
        <v>274</v>
      </c>
      <c r="B1251" t="s">
        <v>238</v>
      </c>
      <c r="C1251" t="s">
        <v>63</v>
      </c>
      <c r="D1251">
        <f t="shared" si="419"/>
        <v>0.11966876036160704</v>
      </c>
      <c r="E1251">
        <f t="shared" si="419"/>
        <v>0.11966876036160704</v>
      </c>
      <c r="F1251">
        <f t="shared" si="419"/>
        <v>0.11966876036160704</v>
      </c>
      <c r="G1251">
        <f t="shared" si="419"/>
        <v>0.11966876036160704</v>
      </c>
      <c r="H1251">
        <f t="shared" si="419"/>
        <v>0.11966876036160704</v>
      </c>
      <c r="I1251">
        <f t="shared" si="419"/>
        <v>0.11966876036160704</v>
      </c>
      <c r="J1251">
        <f t="shared" si="419"/>
        <v>0.11966876036160704</v>
      </c>
      <c r="K1251">
        <f t="shared" si="419"/>
        <v>0.11966876036160704</v>
      </c>
      <c r="L1251">
        <f t="shared" si="419"/>
        <v>0.11966876036160704</v>
      </c>
      <c r="M1251">
        <f t="shared" si="420"/>
        <v>0.11966876036160704</v>
      </c>
      <c r="N1251">
        <f t="shared" si="421"/>
        <v>0.51828334723160696</v>
      </c>
      <c r="O1251">
        <f t="shared" si="422"/>
        <v>0.41073114879537326</v>
      </c>
      <c r="P1251">
        <f t="shared" si="423"/>
        <v>0.30317895035913955</v>
      </c>
      <c r="Q1251">
        <f t="shared" si="424"/>
        <v>0.19562675192290577</v>
      </c>
      <c r="R1251">
        <f t="shared" si="425"/>
        <v>1.6106217386793054</v>
      </c>
      <c r="S1251">
        <f t="shared" si="426"/>
        <v>1.2749231082683927</v>
      </c>
      <c r="T1251">
        <f t="shared" si="427"/>
        <v>1.1551748201622858</v>
      </c>
      <c r="U1251">
        <f t="shared" si="428"/>
        <v>0.81536348425491512</v>
      </c>
      <c r="V1251">
        <f t="shared" si="429"/>
        <v>0.52570153680711551</v>
      </c>
      <c r="W1251">
        <f t="shared" si="430"/>
        <v>0.51318138877141262</v>
      </c>
      <c r="X1251">
        <f t="shared" si="431"/>
        <v>0.53648697781045407</v>
      </c>
      <c r="Y1251">
        <f t="shared" si="432"/>
        <v>0.5647183544087464</v>
      </c>
      <c r="Z1251">
        <f t="shared" si="433"/>
        <v>0.59893501049099418</v>
      </c>
      <c r="AA1251">
        <f t="shared" si="434"/>
        <v>0.76849865866690914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</row>
    <row r="1252" spans="1:59" ht="12" customHeight="1" x14ac:dyDescent="0.2">
      <c r="A1252" t="s">
        <v>275</v>
      </c>
      <c r="B1252" t="s">
        <v>240</v>
      </c>
      <c r="C1252" t="s">
        <v>63</v>
      </c>
      <c r="D1252">
        <f t="shared" si="419"/>
        <v>0.11966876036160704</v>
      </c>
      <c r="E1252">
        <f t="shared" si="419"/>
        <v>0.11966876036160704</v>
      </c>
      <c r="F1252">
        <f t="shared" si="419"/>
        <v>0.11966876036160704</v>
      </c>
      <c r="G1252">
        <f t="shared" si="419"/>
        <v>0.11966876036160704</v>
      </c>
      <c r="H1252">
        <f t="shared" si="419"/>
        <v>0.11966876036160704</v>
      </c>
      <c r="I1252">
        <f t="shared" si="419"/>
        <v>0.11966876036160704</v>
      </c>
      <c r="J1252">
        <f t="shared" si="419"/>
        <v>0.11966876036160704</v>
      </c>
      <c r="K1252">
        <f t="shared" si="419"/>
        <v>0.11966876036160704</v>
      </c>
      <c r="L1252">
        <f t="shared" si="419"/>
        <v>0.11966876036160704</v>
      </c>
      <c r="M1252">
        <f t="shared" si="420"/>
        <v>0.11966876036160704</v>
      </c>
      <c r="N1252">
        <f t="shared" si="421"/>
        <v>0.51828334723160696</v>
      </c>
      <c r="O1252">
        <f t="shared" si="422"/>
        <v>0.41073114879537326</v>
      </c>
      <c r="P1252">
        <f t="shared" si="423"/>
        <v>0.30317895035913955</v>
      </c>
      <c r="Q1252">
        <f t="shared" si="424"/>
        <v>0.19562675192290577</v>
      </c>
      <c r="R1252">
        <f t="shared" si="425"/>
        <v>1.6106217386793054</v>
      </c>
      <c r="S1252">
        <f t="shared" si="426"/>
        <v>1.2749231082683927</v>
      </c>
      <c r="T1252">
        <f t="shared" si="427"/>
        <v>1.1551748201622858</v>
      </c>
      <c r="U1252">
        <f t="shared" si="428"/>
        <v>0.81536348425491512</v>
      </c>
      <c r="V1252">
        <f t="shared" si="429"/>
        <v>0.52570153680711551</v>
      </c>
      <c r="W1252">
        <f t="shared" si="430"/>
        <v>0.51318138877141262</v>
      </c>
      <c r="X1252">
        <f t="shared" si="431"/>
        <v>0.53648697781045407</v>
      </c>
      <c r="Y1252">
        <f t="shared" si="432"/>
        <v>0.5647183544087464</v>
      </c>
      <c r="Z1252">
        <f t="shared" si="433"/>
        <v>0.59893501049099418</v>
      </c>
      <c r="AA1252">
        <f t="shared" si="434"/>
        <v>0.76849865866690914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</row>
    <row r="1253" spans="1:59" ht="12" customHeight="1" x14ac:dyDescent="0.2">
      <c r="A1253" t="s">
        <v>276</v>
      </c>
      <c r="B1253" t="s">
        <v>242</v>
      </c>
      <c r="C1253" t="s">
        <v>63</v>
      </c>
      <c r="D1253">
        <f t="shared" ref="D1253:L1261" si="435">$M1253</f>
        <v>0.11966876036160704</v>
      </c>
      <c r="E1253">
        <f t="shared" si="435"/>
        <v>0.11966876036160704</v>
      </c>
      <c r="F1253">
        <f t="shared" si="435"/>
        <v>0.11966876036160704</v>
      </c>
      <c r="G1253">
        <f t="shared" si="435"/>
        <v>0.11966876036160704</v>
      </c>
      <c r="H1253">
        <f t="shared" si="435"/>
        <v>0.11966876036160704</v>
      </c>
      <c r="I1253">
        <f t="shared" si="435"/>
        <v>0.11966876036160704</v>
      </c>
      <c r="J1253">
        <f t="shared" si="435"/>
        <v>0.11966876036160704</v>
      </c>
      <c r="K1253">
        <f t="shared" si="435"/>
        <v>0.11966876036160704</v>
      </c>
      <c r="L1253">
        <f t="shared" si="435"/>
        <v>0.11966876036160704</v>
      </c>
      <c r="M1253">
        <f t="shared" si="420"/>
        <v>0.11966876036160704</v>
      </c>
      <c r="N1253">
        <f t="shared" si="421"/>
        <v>0.51828334723160696</v>
      </c>
      <c r="O1253">
        <f t="shared" si="422"/>
        <v>0.41073114879537326</v>
      </c>
      <c r="P1253">
        <f t="shared" si="423"/>
        <v>0.30317895035913955</v>
      </c>
      <c r="Q1253">
        <f t="shared" si="424"/>
        <v>0.19562675192290577</v>
      </c>
      <c r="R1253">
        <f t="shared" si="425"/>
        <v>1.6106217386793054</v>
      </c>
      <c r="S1253">
        <f t="shared" si="426"/>
        <v>1.2749231082683927</v>
      </c>
      <c r="T1253">
        <f t="shared" si="427"/>
        <v>1.1551748201622858</v>
      </c>
      <c r="U1253">
        <f t="shared" si="428"/>
        <v>0.81536348425491512</v>
      </c>
      <c r="V1253">
        <f t="shared" si="429"/>
        <v>0.52570153680711551</v>
      </c>
      <c r="W1253">
        <f t="shared" si="430"/>
        <v>0.51318138877141262</v>
      </c>
      <c r="X1253">
        <f t="shared" si="431"/>
        <v>0.53648697781045407</v>
      </c>
      <c r="Y1253">
        <f t="shared" si="432"/>
        <v>0.5647183544087464</v>
      </c>
      <c r="Z1253">
        <f t="shared" si="433"/>
        <v>0.59893501049099418</v>
      </c>
      <c r="AA1253">
        <f t="shared" si="434"/>
        <v>0.76849865866690914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</row>
    <row r="1254" spans="1:59" ht="12" customHeight="1" x14ac:dyDescent="0.2">
      <c r="A1254" t="s">
        <v>277</v>
      </c>
      <c r="B1254" t="s">
        <v>244</v>
      </c>
      <c r="C1254" t="s">
        <v>63</v>
      </c>
      <c r="D1254">
        <f t="shared" si="435"/>
        <v>0.11966876036160704</v>
      </c>
      <c r="E1254">
        <f t="shared" si="435"/>
        <v>0.11966876036160704</v>
      </c>
      <c r="F1254">
        <f t="shared" si="435"/>
        <v>0.11966876036160704</v>
      </c>
      <c r="G1254">
        <f t="shared" si="435"/>
        <v>0.11966876036160704</v>
      </c>
      <c r="H1254">
        <f t="shared" si="435"/>
        <v>0.11966876036160704</v>
      </c>
      <c r="I1254">
        <f t="shared" si="435"/>
        <v>0.11966876036160704</v>
      </c>
      <c r="J1254">
        <f t="shared" si="435"/>
        <v>0.11966876036160704</v>
      </c>
      <c r="K1254">
        <f t="shared" si="435"/>
        <v>0.11966876036160704</v>
      </c>
      <c r="L1254">
        <f t="shared" si="435"/>
        <v>0.11966876036160704</v>
      </c>
      <c r="M1254">
        <f t="shared" si="420"/>
        <v>0.11966876036160704</v>
      </c>
      <c r="N1254">
        <f t="shared" si="421"/>
        <v>0.51828334723160696</v>
      </c>
      <c r="O1254">
        <f t="shared" si="422"/>
        <v>0.41073114879537326</v>
      </c>
      <c r="P1254">
        <f t="shared" si="423"/>
        <v>0.30317895035913955</v>
      </c>
      <c r="Q1254">
        <f t="shared" si="424"/>
        <v>0.19562675192290577</v>
      </c>
      <c r="R1254">
        <f t="shared" si="425"/>
        <v>1.6106217386793054</v>
      </c>
      <c r="S1254">
        <f t="shared" si="426"/>
        <v>1.2749231082683927</v>
      </c>
      <c r="T1254">
        <f t="shared" si="427"/>
        <v>1.1551748201622858</v>
      </c>
      <c r="U1254">
        <f t="shared" si="428"/>
        <v>0.81536348425491512</v>
      </c>
      <c r="V1254">
        <f t="shared" si="429"/>
        <v>0.52570153680711551</v>
      </c>
      <c r="W1254">
        <f t="shared" si="430"/>
        <v>0.51318138877141262</v>
      </c>
      <c r="X1254">
        <f t="shared" si="431"/>
        <v>0.53648697781045407</v>
      </c>
      <c r="Y1254">
        <f t="shared" si="432"/>
        <v>0.5647183544087464</v>
      </c>
      <c r="Z1254">
        <f t="shared" si="433"/>
        <v>0.59893501049099418</v>
      </c>
      <c r="AA1254">
        <f t="shared" si="434"/>
        <v>0.76849865866690914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</row>
    <row r="1255" spans="1:59" ht="12" customHeight="1" x14ac:dyDescent="0.2">
      <c r="A1255" t="s">
        <v>278</v>
      </c>
      <c r="B1255" t="s">
        <v>246</v>
      </c>
      <c r="C1255" t="s">
        <v>63</v>
      </c>
      <c r="D1255">
        <f t="shared" si="435"/>
        <v>0.11966876036160704</v>
      </c>
      <c r="E1255">
        <f t="shared" si="435"/>
        <v>0.11966876036160704</v>
      </c>
      <c r="F1255">
        <f t="shared" si="435"/>
        <v>0.11966876036160704</v>
      </c>
      <c r="G1255">
        <f t="shared" si="435"/>
        <v>0.11966876036160704</v>
      </c>
      <c r="H1255">
        <f t="shared" si="435"/>
        <v>0.11966876036160704</v>
      </c>
      <c r="I1255">
        <f t="shared" si="435"/>
        <v>0.11966876036160704</v>
      </c>
      <c r="J1255">
        <f t="shared" si="435"/>
        <v>0.11966876036160704</v>
      </c>
      <c r="K1255">
        <f t="shared" si="435"/>
        <v>0.11966876036160704</v>
      </c>
      <c r="L1255">
        <f t="shared" si="435"/>
        <v>0.11966876036160704</v>
      </c>
      <c r="M1255">
        <f t="shared" si="420"/>
        <v>0.11966876036160704</v>
      </c>
      <c r="N1255">
        <f t="shared" si="421"/>
        <v>0.51828334723160696</v>
      </c>
      <c r="O1255">
        <f t="shared" si="422"/>
        <v>0.41073114879537326</v>
      </c>
      <c r="P1255">
        <f t="shared" si="423"/>
        <v>0.30317895035913955</v>
      </c>
      <c r="Q1255">
        <f t="shared" si="424"/>
        <v>0.19562675192290577</v>
      </c>
      <c r="R1255">
        <f t="shared" si="425"/>
        <v>1.6106217386793054</v>
      </c>
      <c r="S1255">
        <f t="shared" si="426"/>
        <v>1.2749231082683927</v>
      </c>
      <c r="T1255">
        <f t="shared" si="427"/>
        <v>1.1551748201622858</v>
      </c>
      <c r="U1255">
        <f t="shared" si="428"/>
        <v>0.81536348425491512</v>
      </c>
      <c r="V1255">
        <f t="shared" si="429"/>
        <v>0.52570153680711551</v>
      </c>
      <c r="W1255">
        <f t="shared" si="430"/>
        <v>0.51318138877141262</v>
      </c>
      <c r="X1255">
        <f t="shared" si="431"/>
        <v>0.53648697781045407</v>
      </c>
      <c r="Y1255">
        <f t="shared" si="432"/>
        <v>0.5647183544087464</v>
      </c>
      <c r="Z1255">
        <f t="shared" si="433"/>
        <v>0.59893501049099418</v>
      </c>
      <c r="AA1255">
        <f t="shared" si="434"/>
        <v>0.76849865866690914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</row>
    <row r="1256" spans="1:59" ht="12" customHeight="1" x14ac:dyDescent="0.2">
      <c r="A1256" t="s">
        <v>279</v>
      </c>
      <c r="B1256" t="s">
        <v>248</v>
      </c>
      <c r="C1256" t="s">
        <v>63</v>
      </c>
      <c r="D1256">
        <f t="shared" si="435"/>
        <v>0.11966876036160704</v>
      </c>
      <c r="E1256">
        <f t="shared" si="435"/>
        <v>0.11966876036160704</v>
      </c>
      <c r="F1256">
        <f t="shared" si="435"/>
        <v>0.11966876036160704</v>
      </c>
      <c r="G1256">
        <f t="shared" si="435"/>
        <v>0.11966876036160704</v>
      </c>
      <c r="H1256">
        <f t="shared" si="435"/>
        <v>0.11966876036160704</v>
      </c>
      <c r="I1256">
        <f t="shared" si="435"/>
        <v>0.11966876036160704</v>
      </c>
      <c r="J1256">
        <f t="shared" si="435"/>
        <v>0.11966876036160704</v>
      </c>
      <c r="K1256">
        <f t="shared" si="435"/>
        <v>0.11966876036160704</v>
      </c>
      <c r="L1256">
        <f t="shared" si="435"/>
        <v>0.11966876036160704</v>
      </c>
      <c r="M1256">
        <f t="shared" si="420"/>
        <v>0.11966876036160704</v>
      </c>
      <c r="N1256">
        <f t="shared" si="421"/>
        <v>0.51828334723160696</v>
      </c>
      <c r="O1256">
        <f t="shared" si="422"/>
        <v>0.41073114879537326</v>
      </c>
      <c r="P1256">
        <f t="shared" si="423"/>
        <v>0.30317895035913955</v>
      </c>
      <c r="Q1256">
        <f t="shared" si="424"/>
        <v>0.19562675192290577</v>
      </c>
      <c r="R1256">
        <f t="shared" si="425"/>
        <v>1.6106217386793054</v>
      </c>
      <c r="S1256">
        <f t="shared" si="426"/>
        <v>1.2749231082683927</v>
      </c>
      <c r="T1256">
        <f t="shared" si="427"/>
        <v>1.1551748201622858</v>
      </c>
      <c r="U1256">
        <f t="shared" si="428"/>
        <v>0.81536348425491512</v>
      </c>
      <c r="V1256">
        <f t="shared" si="429"/>
        <v>0.52570153680711551</v>
      </c>
      <c r="W1256">
        <f t="shared" si="430"/>
        <v>0.51318138877141262</v>
      </c>
      <c r="X1256">
        <f t="shared" si="431"/>
        <v>0.53648697781045407</v>
      </c>
      <c r="Y1256">
        <f t="shared" si="432"/>
        <v>0.5647183544087464</v>
      </c>
      <c r="Z1256">
        <f t="shared" si="433"/>
        <v>0.59893501049099418</v>
      </c>
      <c r="AA1256">
        <f t="shared" si="434"/>
        <v>0.76849865866690914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</row>
    <row r="1257" spans="1:59" ht="12" customHeight="1" x14ac:dyDescent="0.2">
      <c r="A1257" t="s">
        <v>280</v>
      </c>
      <c r="B1257" t="s">
        <v>250</v>
      </c>
      <c r="C1257" t="s">
        <v>63</v>
      </c>
      <c r="D1257">
        <f t="shared" si="435"/>
        <v>0.11966876036160704</v>
      </c>
      <c r="E1257">
        <f t="shared" si="435"/>
        <v>0.11966876036160704</v>
      </c>
      <c r="F1257">
        <f t="shared" si="435"/>
        <v>0.11966876036160704</v>
      </c>
      <c r="G1257">
        <f t="shared" si="435"/>
        <v>0.11966876036160704</v>
      </c>
      <c r="H1257">
        <f t="shared" si="435"/>
        <v>0.11966876036160704</v>
      </c>
      <c r="I1257">
        <f t="shared" si="435"/>
        <v>0.11966876036160704</v>
      </c>
      <c r="J1257">
        <f t="shared" si="435"/>
        <v>0.11966876036160704</v>
      </c>
      <c r="K1257">
        <f t="shared" si="435"/>
        <v>0.11966876036160704</v>
      </c>
      <c r="L1257">
        <f t="shared" si="435"/>
        <v>0.11966876036160704</v>
      </c>
      <c r="M1257">
        <f t="shared" si="420"/>
        <v>0.11966876036160704</v>
      </c>
      <c r="N1257">
        <f t="shared" si="421"/>
        <v>0.51828334723160696</v>
      </c>
      <c r="O1257">
        <f t="shared" si="422"/>
        <v>0.41073114879537326</v>
      </c>
      <c r="P1257">
        <f t="shared" si="423"/>
        <v>0.30317895035913955</v>
      </c>
      <c r="Q1257">
        <f t="shared" si="424"/>
        <v>0.19562675192290577</v>
      </c>
      <c r="R1257">
        <f t="shared" si="425"/>
        <v>1.6106217386793054</v>
      </c>
      <c r="S1257">
        <f t="shared" si="426"/>
        <v>1.2749231082683927</v>
      </c>
      <c r="T1257">
        <f t="shared" si="427"/>
        <v>1.1551748201622858</v>
      </c>
      <c r="U1257">
        <f t="shared" si="428"/>
        <v>0.81536348425491512</v>
      </c>
      <c r="V1257">
        <f t="shared" si="429"/>
        <v>0.52570153680711551</v>
      </c>
      <c r="W1257">
        <f t="shared" si="430"/>
        <v>0.51318138877141262</v>
      </c>
      <c r="X1257">
        <f t="shared" si="431"/>
        <v>0.53648697781045407</v>
      </c>
      <c r="Y1257">
        <f t="shared" si="432"/>
        <v>0.5647183544087464</v>
      </c>
      <c r="Z1257">
        <f t="shared" si="433"/>
        <v>0.59893501049099418</v>
      </c>
      <c r="AA1257">
        <f t="shared" si="434"/>
        <v>0.76849865866690914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</row>
    <row r="1258" spans="1:59" ht="12" customHeight="1" x14ac:dyDescent="0.2">
      <c r="A1258" t="s">
        <v>281</v>
      </c>
      <c r="B1258" t="s">
        <v>252</v>
      </c>
      <c r="C1258" t="s">
        <v>63</v>
      </c>
      <c r="D1258">
        <f t="shared" si="435"/>
        <v>0.11966876036160704</v>
      </c>
      <c r="E1258">
        <f t="shared" si="435"/>
        <v>0.11966876036160704</v>
      </c>
      <c r="F1258">
        <f t="shared" si="435"/>
        <v>0.11966876036160704</v>
      </c>
      <c r="G1258">
        <f t="shared" si="435"/>
        <v>0.11966876036160704</v>
      </c>
      <c r="H1258">
        <f t="shared" si="435"/>
        <v>0.11966876036160704</v>
      </c>
      <c r="I1258">
        <f t="shared" si="435"/>
        <v>0.11966876036160704</v>
      </c>
      <c r="J1258">
        <f t="shared" si="435"/>
        <v>0.11966876036160704</v>
      </c>
      <c r="K1258">
        <f t="shared" si="435"/>
        <v>0.11966876036160704</v>
      </c>
      <c r="L1258">
        <f t="shared" si="435"/>
        <v>0.11966876036160704</v>
      </c>
      <c r="M1258">
        <f t="shared" si="420"/>
        <v>0.11966876036160704</v>
      </c>
      <c r="N1258">
        <f t="shared" si="421"/>
        <v>0.51828334723160696</v>
      </c>
      <c r="O1258">
        <f t="shared" si="422"/>
        <v>0.41073114879537326</v>
      </c>
      <c r="P1258">
        <f t="shared" si="423"/>
        <v>0.30317895035913955</v>
      </c>
      <c r="Q1258">
        <f t="shared" si="424"/>
        <v>0.19562675192290577</v>
      </c>
      <c r="R1258">
        <f t="shared" si="425"/>
        <v>1.6106217386793054</v>
      </c>
      <c r="S1258">
        <f t="shared" si="426"/>
        <v>1.2749231082683927</v>
      </c>
      <c r="T1258">
        <f t="shared" si="427"/>
        <v>1.1551748201622858</v>
      </c>
      <c r="U1258">
        <f t="shared" si="428"/>
        <v>0.81536348425491512</v>
      </c>
      <c r="V1258">
        <f t="shared" si="429"/>
        <v>0.52570153680711551</v>
      </c>
      <c r="W1258">
        <f t="shared" si="430"/>
        <v>0.51318138877141262</v>
      </c>
      <c r="X1258">
        <f t="shared" si="431"/>
        <v>0.53648697781045407</v>
      </c>
      <c r="Y1258">
        <f t="shared" si="432"/>
        <v>0.5647183544087464</v>
      </c>
      <c r="Z1258">
        <f t="shared" si="433"/>
        <v>0.59893501049099418</v>
      </c>
      <c r="AA1258">
        <f t="shared" si="434"/>
        <v>0.76849865866690914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</row>
    <row r="1259" spans="1:59" ht="12" customHeight="1" x14ac:dyDescent="0.2">
      <c r="A1259" t="s">
        <v>282</v>
      </c>
      <c r="B1259" t="s">
        <v>254</v>
      </c>
      <c r="C1259" t="s">
        <v>63</v>
      </c>
      <c r="D1259">
        <f t="shared" si="435"/>
        <v>0.11966876036160704</v>
      </c>
      <c r="E1259">
        <f t="shared" si="435"/>
        <v>0.11966876036160704</v>
      </c>
      <c r="F1259">
        <f t="shared" si="435"/>
        <v>0.11966876036160704</v>
      </c>
      <c r="G1259">
        <f t="shared" si="435"/>
        <v>0.11966876036160704</v>
      </c>
      <c r="H1259">
        <f t="shared" si="435"/>
        <v>0.11966876036160704</v>
      </c>
      <c r="I1259">
        <f t="shared" si="435"/>
        <v>0.11966876036160704</v>
      </c>
      <c r="J1259">
        <f t="shared" si="435"/>
        <v>0.11966876036160704</v>
      </c>
      <c r="K1259">
        <f t="shared" si="435"/>
        <v>0.11966876036160704</v>
      </c>
      <c r="L1259">
        <f t="shared" si="435"/>
        <v>0.11966876036160704</v>
      </c>
      <c r="M1259">
        <f t="shared" si="420"/>
        <v>0.11966876036160704</v>
      </c>
      <c r="N1259">
        <f t="shared" si="421"/>
        <v>0.51828334723160696</v>
      </c>
      <c r="O1259">
        <f t="shared" si="422"/>
        <v>0.41073114879537326</v>
      </c>
      <c r="P1259">
        <f t="shared" si="423"/>
        <v>0.30317895035913955</v>
      </c>
      <c r="Q1259">
        <f t="shared" si="424"/>
        <v>0.19562675192290577</v>
      </c>
      <c r="R1259">
        <f t="shared" si="425"/>
        <v>1.6106217386793054</v>
      </c>
      <c r="S1259">
        <f t="shared" si="426"/>
        <v>1.2749231082683927</v>
      </c>
      <c r="T1259">
        <f t="shared" si="427"/>
        <v>1.1551748201622858</v>
      </c>
      <c r="U1259">
        <f t="shared" si="428"/>
        <v>0.81536348425491512</v>
      </c>
      <c r="V1259">
        <f t="shared" si="429"/>
        <v>0.52570153680711551</v>
      </c>
      <c r="W1259">
        <f t="shared" si="430"/>
        <v>0.51318138877141262</v>
      </c>
      <c r="X1259">
        <f t="shared" si="431"/>
        <v>0.53648697781045407</v>
      </c>
      <c r="Y1259">
        <f t="shared" si="432"/>
        <v>0.5647183544087464</v>
      </c>
      <c r="Z1259">
        <f t="shared" si="433"/>
        <v>0.59893501049099418</v>
      </c>
      <c r="AA1259">
        <f t="shared" si="434"/>
        <v>0.76849865866690914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</row>
    <row r="1260" spans="1:59" ht="12" customHeight="1" x14ac:dyDescent="0.2">
      <c r="A1260" t="s">
        <v>283</v>
      </c>
      <c r="B1260" t="s">
        <v>256</v>
      </c>
      <c r="C1260" t="s">
        <v>63</v>
      </c>
      <c r="D1260">
        <f t="shared" si="435"/>
        <v>0.11966876036160704</v>
      </c>
      <c r="E1260">
        <f t="shared" si="435"/>
        <v>0.11966876036160704</v>
      </c>
      <c r="F1260">
        <f t="shared" si="435"/>
        <v>0.11966876036160704</v>
      </c>
      <c r="G1260">
        <f t="shared" si="435"/>
        <v>0.11966876036160704</v>
      </c>
      <c r="H1260">
        <f t="shared" si="435"/>
        <v>0.11966876036160704</v>
      </c>
      <c r="I1260">
        <f t="shared" si="435"/>
        <v>0.11966876036160704</v>
      </c>
      <c r="J1260">
        <f t="shared" si="435"/>
        <v>0.11966876036160704</v>
      </c>
      <c r="K1260">
        <f t="shared" si="435"/>
        <v>0.11966876036160704</v>
      </c>
      <c r="L1260">
        <f t="shared" si="435"/>
        <v>0.11966876036160704</v>
      </c>
      <c r="M1260">
        <f t="shared" si="420"/>
        <v>0.11966876036160704</v>
      </c>
      <c r="N1260">
        <f t="shared" si="421"/>
        <v>0.51828334723160696</v>
      </c>
      <c r="O1260">
        <f t="shared" si="422"/>
        <v>0.41073114879537326</v>
      </c>
      <c r="P1260">
        <f t="shared" si="423"/>
        <v>0.30317895035913955</v>
      </c>
      <c r="Q1260">
        <f t="shared" si="424"/>
        <v>0.19562675192290577</v>
      </c>
      <c r="R1260">
        <f t="shared" si="425"/>
        <v>1.6106217386793054</v>
      </c>
      <c r="S1260">
        <f t="shared" si="426"/>
        <v>1.2749231082683927</v>
      </c>
      <c r="T1260">
        <f t="shared" si="427"/>
        <v>1.1551748201622858</v>
      </c>
      <c r="U1260">
        <f t="shared" si="428"/>
        <v>0.81536348425491512</v>
      </c>
      <c r="V1260">
        <f t="shared" si="429"/>
        <v>0.52570153680711551</v>
      </c>
      <c r="W1260">
        <f t="shared" si="430"/>
        <v>0.51318138877141262</v>
      </c>
      <c r="X1260">
        <f t="shared" si="431"/>
        <v>0.53648697781045407</v>
      </c>
      <c r="Y1260">
        <f t="shared" si="432"/>
        <v>0.5647183544087464</v>
      </c>
      <c r="Z1260">
        <f t="shared" si="433"/>
        <v>0.59893501049099418</v>
      </c>
      <c r="AA1260">
        <f t="shared" si="434"/>
        <v>0.76849865866690914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</row>
    <row r="1261" spans="1:59" ht="12" customHeight="1" x14ac:dyDescent="0.2">
      <c r="A1261" t="s">
        <v>284</v>
      </c>
      <c r="B1261" t="s">
        <v>258</v>
      </c>
      <c r="C1261" t="s">
        <v>63</v>
      </c>
      <c r="D1261">
        <f t="shared" si="435"/>
        <v>0.11966876036160704</v>
      </c>
      <c r="E1261">
        <f t="shared" si="435"/>
        <v>0.11966876036160704</v>
      </c>
      <c r="F1261">
        <f t="shared" si="435"/>
        <v>0.11966876036160704</v>
      </c>
      <c r="G1261">
        <f t="shared" si="435"/>
        <v>0.11966876036160704</v>
      </c>
      <c r="H1261">
        <f t="shared" si="435"/>
        <v>0.11966876036160704</v>
      </c>
      <c r="I1261">
        <f t="shared" si="435"/>
        <v>0.11966876036160704</v>
      </c>
      <c r="J1261">
        <f t="shared" si="435"/>
        <v>0.11966876036160704</v>
      </c>
      <c r="K1261">
        <f t="shared" si="435"/>
        <v>0.11966876036160704</v>
      </c>
      <c r="L1261">
        <f t="shared" si="435"/>
        <v>0.11966876036160704</v>
      </c>
      <c r="M1261">
        <f t="shared" si="420"/>
        <v>0.11966876036160704</v>
      </c>
      <c r="N1261">
        <f t="shared" si="421"/>
        <v>0.51828334723160696</v>
      </c>
      <c r="O1261">
        <f t="shared" si="422"/>
        <v>0.41073114879537326</v>
      </c>
      <c r="P1261">
        <f t="shared" si="423"/>
        <v>0.30317895035913955</v>
      </c>
      <c r="Q1261">
        <f t="shared" si="424"/>
        <v>0.19562675192290577</v>
      </c>
      <c r="R1261">
        <f t="shared" si="425"/>
        <v>1.6106217386793054</v>
      </c>
      <c r="S1261">
        <f t="shared" si="426"/>
        <v>1.2749231082683927</v>
      </c>
      <c r="T1261">
        <f t="shared" si="427"/>
        <v>1.1551748201622858</v>
      </c>
      <c r="U1261">
        <f t="shared" si="428"/>
        <v>0.81536348425491512</v>
      </c>
      <c r="V1261">
        <f t="shared" si="429"/>
        <v>0.52570153680711551</v>
      </c>
      <c r="W1261">
        <f t="shared" si="430"/>
        <v>0.51318138877141262</v>
      </c>
      <c r="X1261">
        <f t="shared" si="431"/>
        <v>0.53648697781045407</v>
      </c>
      <c r="Y1261">
        <f t="shared" si="432"/>
        <v>0.5647183544087464</v>
      </c>
      <c r="Z1261">
        <f t="shared" si="433"/>
        <v>0.59893501049099418</v>
      </c>
      <c r="AA1261">
        <f t="shared" si="434"/>
        <v>0.76849865866690914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</row>
    <row r="1262" spans="1:59" ht="12" customHeight="1" x14ac:dyDescent="0.2">
      <c r="A1262" t="s">
        <v>287</v>
      </c>
    </row>
    <row r="1264" spans="1:59" ht="12" customHeight="1" x14ac:dyDescent="0.2">
      <c r="A1264" t="s">
        <v>288</v>
      </c>
      <c r="B1264" t="s">
        <v>289</v>
      </c>
      <c r="C1264" t="s">
        <v>290</v>
      </c>
      <c r="D1264" t="s">
        <v>291</v>
      </c>
      <c r="E1264" t="s">
        <v>292</v>
      </c>
      <c r="F1264" t="s">
        <v>293</v>
      </c>
      <c r="G1264" t="s">
        <v>294</v>
      </c>
    </row>
    <row r="1265" spans="1:52" ht="12" customHeight="1" x14ac:dyDescent="0.2">
      <c r="A1265" t="s">
        <v>295</v>
      </c>
      <c r="B1265">
        <v>-2.5999999999999999E-2</v>
      </c>
      <c r="C1265">
        <v>4.0000000000000001E-3</v>
      </c>
      <c r="D1265">
        <v>-2.5999999999999999E-2</v>
      </c>
      <c r="E1265">
        <v>-8.0000000000000002E-3</v>
      </c>
      <c r="F1265">
        <v>-5.0000000000000001E-3</v>
      </c>
      <c r="G1265">
        <v>-1.0999999999999999E-2</v>
      </c>
    </row>
    <row r="1266" spans="1:52" ht="12" customHeight="1" x14ac:dyDescent="0.2">
      <c r="A1266" t="s">
        <v>296</v>
      </c>
      <c r="B1266">
        <v>-2.8000000000000001E-2</v>
      </c>
      <c r="C1266">
        <v>4.0000000000000001E-3</v>
      </c>
      <c r="D1266">
        <v>-2.8000000000000001E-2</v>
      </c>
      <c r="E1266">
        <v>-8.0000000000000002E-3</v>
      </c>
      <c r="F1266">
        <v>-6.0000000000000001E-3</v>
      </c>
      <c r="G1266">
        <v>-1.4999999999999999E-2</v>
      </c>
      <c r="H1266" t="s">
        <v>297</v>
      </c>
    </row>
    <row r="1267" spans="1:52" ht="12" customHeight="1" x14ac:dyDescent="0.2">
      <c r="A1267" t="s">
        <v>298</v>
      </c>
      <c r="B1267">
        <v>-0.02</v>
      </c>
      <c r="C1267">
        <v>-2E-3</v>
      </c>
      <c r="D1267">
        <v>-1.9E-2</v>
      </c>
      <c r="E1267">
        <v>-0.01</v>
      </c>
      <c r="F1267">
        <v>-5.0000000000000001E-3</v>
      </c>
      <c r="G1267">
        <v>-0.01</v>
      </c>
      <c r="H1267" t="s">
        <v>299</v>
      </c>
    </row>
    <row r="1268" spans="1:52" ht="12" customHeight="1" x14ac:dyDescent="0.2">
      <c r="A1268" t="s">
        <v>300</v>
      </c>
      <c r="B1268">
        <v>1960</v>
      </c>
      <c r="C1268">
        <v>1970</v>
      </c>
      <c r="D1268">
        <v>1980</v>
      </c>
      <c r="E1268">
        <v>1990</v>
      </c>
      <c r="F1268">
        <v>2000</v>
      </c>
      <c r="G1268">
        <v>2010</v>
      </c>
    </row>
    <row r="1270" spans="1:52" ht="12" customHeight="1" x14ac:dyDescent="0.2">
      <c r="A1270" t="s">
        <v>301</v>
      </c>
      <c r="C1270" s="53">
        <f>-G1267*0.8</f>
        <v>8.0000000000000002E-3</v>
      </c>
      <c r="Q1270" s="36"/>
    </row>
    <row r="1271" spans="1:52" ht="12" customHeight="1" x14ac:dyDescent="0.2">
      <c r="Q1271" s="36"/>
    </row>
    <row r="1272" spans="1:52" ht="12" customHeight="1" x14ac:dyDescent="0.2">
      <c r="A1272" s="54" t="s">
        <v>302</v>
      </c>
    </row>
    <row r="1273" spans="1:52" ht="12" customHeight="1" x14ac:dyDescent="0.2">
      <c r="A1273" s="55" t="s">
        <v>303</v>
      </c>
    </row>
    <row r="1274" spans="1:52" ht="12" customHeight="1" x14ac:dyDescent="0.2">
      <c r="A1274" t="s">
        <v>304</v>
      </c>
      <c r="E1274">
        <v>2010</v>
      </c>
      <c r="F1274">
        <v>2010</v>
      </c>
      <c r="G1274">
        <f t="shared" ref="G1274:AY1274" si="436">ROUNDDOWN(G1275,-1)</f>
        <v>2010</v>
      </c>
      <c r="H1274">
        <f t="shared" si="436"/>
        <v>2010</v>
      </c>
      <c r="I1274">
        <f t="shared" si="436"/>
        <v>2010</v>
      </c>
      <c r="J1274">
        <f t="shared" si="436"/>
        <v>2010</v>
      </c>
      <c r="K1274">
        <f t="shared" si="436"/>
        <v>2010</v>
      </c>
      <c r="L1274">
        <f t="shared" si="436"/>
        <v>2010</v>
      </c>
      <c r="M1274">
        <f t="shared" si="436"/>
        <v>2010</v>
      </c>
      <c r="N1274">
        <f t="shared" si="436"/>
        <v>2010</v>
      </c>
      <c r="O1274">
        <f t="shared" si="436"/>
        <v>2010</v>
      </c>
      <c r="P1274">
        <f t="shared" si="436"/>
        <v>2010</v>
      </c>
      <c r="Q1274">
        <f t="shared" si="436"/>
        <v>2000</v>
      </c>
      <c r="R1274">
        <f t="shared" si="436"/>
        <v>2000</v>
      </c>
      <c r="S1274">
        <f t="shared" si="436"/>
        <v>2000</v>
      </c>
      <c r="T1274">
        <f t="shared" si="436"/>
        <v>2000</v>
      </c>
      <c r="U1274">
        <f t="shared" si="436"/>
        <v>2000</v>
      </c>
      <c r="V1274">
        <f t="shared" si="436"/>
        <v>2000</v>
      </c>
      <c r="W1274">
        <f t="shared" si="436"/>
        <v>2000</v>
      </c>
      <c r="X1274">
        <f t="shared" si="436"/>
        <v>2000</v>
      </c>
      <c r="Y1274">
        <f t="shared" si="436"/>
        <v>2000</v>
      </c>
      <c r="Z1274">
        <f t="shared" si="436"/>
        <v>2000</v>
      </c>
      <c r="AA1274">
        <f t="shared" si="436"/>
        <v>1990</v>
      </c>
      <c r="AB1274">
        <f t="shared" si="436"/>
        <v>1990</v>
      </c>
      <c r="AC1274">
        <f t="shared" si="436"/>
        <v>1990</v>
      </c>
      <c r="AD1274">
        <f t="shared" si="436"/>
        <v>1990</v>
      </c>
      <c r="AE1274">
        <f t="shared" si="436"/>
        <v>1990</v>
      </c>
      <c r="AF1274">
        <f t="shared" si="436"/>
        <v>1990</v>
      </c>
      <c r="AG1274">
        <f t="shared" si="436"/>
        <v>1990</v>
      </c>
      <c r="AH1274">
        <f t="shared" si="436"/>
        <v>1990</v>
      </c>
      <c r="AI1274">
        <f t="shared" si="436"/>
        <v>1990</v>
      </c>
      <c r="AJ1274">
        <f t="shared" si="436"/>
        <v>1990</v>
      </c>
      <c r="AK1274">
        <f t="shared" si="436"/>
        <v>1980</v>
      </c>
      <c r="AL1274">
        <f t="shared" si="436"/>
        <v>1980</v>
      </c>
      <c r="AM1274">
        <f t="shared" si="436"/>
        <v>1980</v>
      </c>
      <c r="AN1274">
        <f t="shared" si="436"/>
        <v>1980</v>
      </c>
      <c r="AO1274">
        <f t="shared" si="436"/>
        <v>1980</v>
      </c>
      <c r="AP1274">
        <f t="shared" si="436"/>
        <v>1980</v>
      </c>
      <c r="AQ1274">
        <f t="shared" si="436"/>
        <v>1980</v>
      </c>
      <c r="AR1274">
        <f t="shared" si="436"/>
        <v>1980</v>
      </c>
      <c r="AS1274">
        <f t="shared" si="436"/>
        <v>1980</v>
      </c>
      <c r="AT1274">
        <f t="shared" si="436"/>
        <v>1980</v>
      </c>
      <c r="AU1274">
        <f t="shared" si="436"/>
        <v>1970</v>
      </c>
      <c r="AV1274">
        <f t="shared" si="436"/>
        <v>1970</v>
      </c>
      <c r="AW1274">
        <f t="shared" si="436"/>
        <v>1970</v>
      </c>
      <c r="AX1274">
        <f t="shared" si="436"/>
        <v>1970</v>
      </c>
      <c r="AY1274">
        <f t="shared" si="436"/>
        <v>1970</v>
      </c>
    </row>
    <row r="1275" spans="1:52" ht="12" customHeight="1" x14ac:dyDescent="0.2">
      <c r="A1275" t="s">
        <v>305</v>
      </c>
      <c r="D1275" s="19">
        <v>2022</v>
      </c>
      <c r="E1275">
        <f t="shared" ref="E1275:AY1275" si="437">D1275-1</f>
        <v>2021</v>
      </c>
      <c r="F1275">
        <f t="shared" si="437"/>
        <v>2020</v>
      </c>
      <c r="G1275">
        <f t="shared" si="437"/>
        <v>2019</v>
      </c>
      <c r="H1275">
        <f t="shared" si="437"/>
        <v>2018</v>
      </c>
      <c r="I1275">
        <f t="shared" si="437"/>
        <v>2017</v>
      </c>
      <c r="J1275">
        <f t="shared" si="437"/>
        <v>2016</v>
      </c>
      <c r="K1275">
        <f t="shared" si="437"/>
        <v>2015</v>
      </c>
      <c r="L1275">
        <f t="shared" si="437"/>
        <v>2014</v>
      </c>
      <c r="M1275">
        <f t="shared" si="437"/>
        <v>2013</v>
      </c>
      <c r="N1275">
        <f t="shared" si="437"/>
        <v>2012</v>
      </c>
      <c r="O1275">
        <f t="shared" si="437"/>
        <v>2011</v>
      </c>
      <c r="P1275">
        <f t="shared" si="437"/>
        <v>2010</v>
      </c>
      <c r="Q1275">
        <f t="shared" si="437"/>
        <v>2009</v>
      </c>
      <c r="R1275">
        <f t="shared" si="437"/>
        <v>2008</v>
      </c>
      <c r="S1275">
        <f t="shared" si="437"/>
        <v>2007</v>
      </c>
      <c r="T1275">
        <f t="shared" si="437"/>
        <v>2006</v>
      </c>
      <c r="U1275">
        <f t="shared" si="437"/>
        <v>2005</v>
      </c>
      <c r="V1275">
        <f t="shared" si="437"/>
        <v>2004</v>
      </c>
      <c r="W1275">
        <f t="shared" si="437"/>
        <v>2003</v>
      </c>
      <c r="X1275">
        <f t="shared" si="437"/>
        <v>2002</v>
      </c>
      <c r="Y1275">
        <f t="shared" si="437"/>
        <v>2001</v>
      </c>
      <c r="Z1275">
        <f t="shared" si="437"/>
        <v>2000</v>
      </c>
      <c r="AA1275">
        <f t="shared" si="437"/>
        <v>1999</v>
      </c>
      <c r="AB1275">
        <f t="shared" si="437"/>
        <v>1998</v>
      </c>
      <c r="AC1275">
        <f t="shared" si="437"/>
        <v>1997</v>
      </c>
      <c r="AD1275">
        <f t="shared" si="437"/>
        <v>1996</v>
      </c>
      <c r="AE1275">
        <f t="shared" si="437"/>
        <v>1995</v>
      </c>
      <c r="AF1275">
        <f t="shared" si="437"/>
        <v>1994</v>
      </c>
      <c r="AG1275">
        <f t="shared" si="437"/>
        <v>1993</v>
      </c>
      <c r="AH1275">
        <f t="shared" si="437"/>
        <v>1992</v>
      </c>
      <c r="AI1275">
        <f t="shared" si="437"/>
        <v>1991</v>
      </c>
      <c r="AJ1275">
        <f t="shared" si="437"/>
        <v>1990</v>
      </c>
      <c r="AK1275">
        <f t="shared" si="437"/>
        <v>1989</v>
      </c>
      <c r="AL1275">
        <f t="shared" si="437"/>
        <v>1988</v>
      </c>
      <c r="AM1275">
        <f t="shared" si="437"/>
        <v>1987</v>
      </c>
      <c r="AN1275">
        <f t="shared" si="437"/>
        <v>1986</v>
      </c>
      <c r="AO1275">
        <f t="shared" si="437"/>
        <v>1985</v>
      </c>
      <c r="AP1275">
        <f t="shared" si="437"/>
        <v>1984</v>
      </c>
      <c r="AQ1275">
        <f t="shared" si="437"/>
        <v>1983</v>
      </c>
      <c r="AR1275">
        <f t="shared" si="437"/>
        <v>1982</v>
      </c>
      <c r="AS1275">
        <f t="shared" si="437"/>
        <v>1981</v>
      </c>
      <c r="AT1275">
        <f t="shared" si="437"/>
        <v>1980</v>
      </c>
      <c r="AU1275">
        <f t="shared" si="437"/>
        <v>1979</v>
      </c>
      <c r="AV1275">
        <f t="shared" si="437"/>
        <v>1978</v>
      </c>
      <c r="AW1275">
        <f t="shared" si="437"/>
        <v>1977</v>
      </c>
      <c r="AX1275">
        <f t="shared" si="437"/>
        <v>1976</v>
      </c>
      <c r="AY1275">
        <f t="shared" si="437"/>
        <v>1975</v>
      </c>
    </row>
    <row r="1276" spans="1:52" ht="12" customHeight="1" x14ac:dyDescent="0.2">
      <c r="A1276" t="s">
        <v>306</v>
      </c>
      <c r="D1276">
        <v>1</v>
      </c>
      <c r="E1276">
        <v>2</v>
      </c>
      <c r="F1276">
        <v>3</v>
      </c>
      <c r="G1276">
        <v>4</v>
      </c>
      <c r="H1276">
        <v>5</v>
      </c>
      <c r="I1276">
        <v>6</v>
      </c>
      <c r="J1276">
        <v>7</v>
      </c>
      <c r="K1276">
        <v>8</v>
      </c>
      <c r="L1276">
        <v>9</v>
      </c>
      <c r="M1276">
        <v>10</v>
      </c>
      <c r="N1276">
        <v>11</v>
      </c>
      <c r="O1276">
        <v>12</v>
      </c>
      <c r="P1276">
        <v>13</v>
      </c>
      <c r="Q1276">
        <v>14</v>
      </c>
      <c r="R1276">
        <v>15</v>
      </c>
      <c r="S1276">
        <v>16</v>
      </c>
      <c r="T1276">
        <v>17</v>
      </c>
      <c r="U1276">
        <v>18</v>
      </c>
      <c r="V1276">
        <v>19</v>
      </c>
      <c r="W1276">
        <v>20</v>
      </c>
      <c r="X1276">
        <v>21</v>
      </c>
      <c r="Y1276">
        <v>22</v>
      </c>
      <c r="Z1276">
        <v>23</v>
      </c>
      <c r="AA1276">
        <v>24</v>
      </c>
      <c r="AB1276">
        <v>25</v>
      </c>
      <c r="AC1276">
        <v>26</v>
      </c>
      <c r="AD1276">
        <v>27</v>
      </c>
      <c r="AE1276">
        <v>28</v>
      </c>
      <c r="AF1276">
        <v>29</v>
      </c>
      <c r="AG1276">
        <v>30</v>
      </c>
      <c r="AH1276">
        <v>31</v>
      </c>
      <c r="AI1276">
        <v>32</v>
      </c>
      <c r="AJ1276">
        <v>33</v>
      </c>
      <c r="AK1276">
        <v>34</v>
      </c>
      <c r="AL1276">
        <v>35</v>
      </c>
      <c r="AM1276">
        <v>36</v>
      </c>
      <c r="AN1276">
        <v>37</v>
      </c>
      <c r="AO1276">
        <v>38</v>
      </c>
      <c r="AP1276">
        <v>39</v>
      </c>
      <c r="AQ1276">
        <v>40</v>
      </c>
      <c r="AR1276">
        <v>41</v>
      </c>
      <c r="AS1276">
        <v>42</v>
      </c>
      <c r="AT1276">
        <v>43</v>
      </c>
      <c r="AU1276">
        <v>44</v>
      </c>
      <c r="AV1276">
        <v>45</v>
      </c>
      <c r="AW1276">
        <v>46</v>
      </c>
      <c r="AX1276">
        <v>47</v>
      </c>
      <c r="AY1276">
        <v>48</v>
      </c>
    </row>
    <row r="1277" spans="1:52" ht="12" customHeight="1" x14ac:dyDescent="0.2">
      <c r="A1277" t="s">
        <v>101</v>
      </c>
      <c r="B1277" t="str">
        <f t="shared" ref="B1277:B1324" si="438">LEFT(A1277,3)</f>
        <v>USA</v>
      </c>
      <c r="C1277" t="str">
        <f t="shared" ref="C1277:C1324" si="439">RIGHT(A1277,2)</f>
        <v>NB</v>
      </c>
      <c r="D1277" s="36">
        <v>0.11893813273626071</v>
      </c>
      <c r="E1277" s="36">
        <v>0.1198214491860318</v>
      </c>
      <c r="F1277" s="36">
        <v>0.12087375194638687</v>
      </c>
      <c r="G1277" s="56">
        <v>0.12193529630002073</v>
      </c>
      <c r="H1277" s="36">
        <v>0.1229968406536546</v>
      </c>
      <c r="I1277" s="36">
        <v>0.12406762660056725</v>
      </c>
      <c r="J1277" s="36">
        <v>0.1251477345962253</v>
      </c>
      <c r="K1277" s="36">
        <v>0.12623724579652465</v>
      </c>
      <c r="L1277" s="36">
        <v>0.12733624206388822</v>
      </c>
      <c r="M1277" s="36">
        <v>0.12844480597341679</v>
      </c>
      <c r="N1277" s="36">
        <v>0.12956302081909354</v>
      </c>
      <c r="O1277" s="36">
        <v>0.13069097062004248</v>
      </c>
      <c r="P1277" s="36">
        <v>0.13182874012684126</v>
      </c>
      <c r="Q1277" s="36">
        <v>0.13297641482788916</v>
      </c>
      <c r="R1277" s="36">
        <v>0.1339567088858144</v>
      </c>
      <c r="S1277" s="36">
        <v>0.13494422961202701</v>
      </c>
      <c r="T1277" s="36">
        <v>0.13593903028108692</v>
      </c>
      <c r="U1277" s="36">
        <v>0.13694116456029085</v>
      </c>
      <c r="V1277" s="36">
        <v>0.13795068651256762</v>
      </c>
      <c r="W1277" s="36">
        <v>0.13896765059939467</v>
      </c>
      <c r="X1277" s="36">
        <v>0.13999211168373613</v>
      </c>
      <c r="Y1277" s="36">
        <v>0.14102412503300257</v>
      </c>
      <c r="Z1277" s="36">
        <v>0.14206374632203259</v>
      </c>
      <c r="AA1277" s="36">
        <v>0.14311103163609626</v>
      </c>
      <c r="AB1277" s="36">
        <v>0.14502146350990611</v>
      </c>
      <c r="AC1277" s="36">
        <v>0.14695739830898136</v>
      </c>
      <c r="AD1277" s="36">
        <v>0.14891917647948288</v>
      </c>
      <c r="AE1277" s="36">
        <v>0.150907143012289</v>
      </c>
      <c r="AF1277" s="36">
        <v>0.15292164750366422</v>
      </c>
      <c r="AG1277" s="36">
        <v>0.15496304421673793</v>
      </c>
      <c r="AH1277" s="36">
        <v>0.15703169214380375</v>
      </c>
      <c r="AI1277" s="36">
        <v>0.15912795506945057</v>
      </c>
      <c r="AJ1277" s="36">
        <v>0.16125220163453635</v>
      </c>
      <c r="AK1277" s="36">
        <v>0.16340480540101587</v>
      </c>
      <c r="AL1277" s="36">
        <v>0.16917509997970925</v>
      </c>
      <c r="AM1277" s="36">
        <v>0.17514916028881175</v>
      </c>
      <c r="AN1277" s="36">
        <v>0.18133418188347622</v>
      </c>
      <c r="AO1277" s="36">
        <v>0.18773761441464409</v>
      </c>
      <c r="AP1277" s="36">
        <v>0.19436717060189998</v>
      </c>
      <c r="AQ1277" s="36">
        <v>0.20123083552318349</v>
      </c>
      <c r="AR1277" s="36">
        <v>0.20833687623254776</v>
      </c>
      <c r="AS1277" s="36">
        <v>0.21569385171754846</v>
      </c>
      <c r="AT1277" s="36">
        <v>0.22331062320825718</v>
      </c>
      <c r="AU1277" s="36">
        <v>0.23119636485031561</v>
      </c>
      <c r="AV1277" s="36">
        <v>0.23156442291045976</v>
      </c>
      <c r="AW1277" s="36">
        <v>0.23193306690860394</v>
      </c>
      <c r="AX1277" s="36">
        <v>0.23230229777754483</v>
      </c>
      <c r="AY1277" s="36">
        <v>0.23267211645156413</v>
      </c>
      <c r="AZ1277" s="36">
        <v>0.18539520520245947</v>
      </c>
    </row>
    <row r="1278" spans="1:52" ht="12" customHeight="1" x14ac:dyDescent="0.2">
      <c r="A1278" t="s">
        <v>102</v>
      </c>
      <c r="B1278" t="str">
        <f t="shared" si="438"/>
        <v>CAN</v>
      </c>
      <c r="C1278" t="str">
        <f t="shared" si="439"/>
        <v>NB</v>
      </c>
      <c r="D1278" s="36">
        <v>0.12605979228351341</v>
      </c>
      <c r="E1278" s="36">
        <v>0.12699599907957662</v>
      </c>
      <c r="F1278" s="36">
        <v>0.12811131058092565</v>
      </c>
      <c r="G1278" s="56">
        <v>0.12923641703450983</v>
      </c>
      <c r="H1278" s="36">
        <v>0.13036152348809404</v>
      </c>
      <c r="I1278" s="36">
        <v>0.13149642489391342</v>
      </c>
      <c r="J1278" s="36">
        <v>0.13264120652486722</v>
      </c>
      <c r="K1278" s="36">
        <v>0.13379595439622358</v>
      </c>
      <c r="L1278" s="36">
        <v>0.13496075527208237</v>
      </c>
      <c r="M1278" s="36">
        <v>0.1361356966718944</v>
      </c>
      <c r="N1278" s="36">
        <v>0.13732086687703735</v>
      </c>
      <c r="O1278" s="36">
        <v>0.13851635493744896</v>
      </c>
      <c r="P1278" s="36">
        <v>0.13972225067831795</v>
      </c>
      <c r="Q1278" s="36">
        <v>0.1409386447068332</v>
      </c>
      <c r="R1278" s="36">
        <v>0.14197763584008768</v>
      </c>
      <c r="S1278" s="36">
        <v>0.14302428635290571</v>
      </c>
      <c r="T1278" s="36">
        <v>0.14407865270976847</v>
      </c>
      <c r="U1278" s="36">
        <v>0.14514079179140987</v>
      </c>
      <c r="V1278" s="36">
        <v>0.14621076089788518</v>
      </c>
      <c r="W1278" s="36">
        <v>0.14728861775166213</v>
      </c>
      <c r="X1278" s="36">
        <v>0.14837442050073502</v>
      </c>
      <c r="Y1278" s="36">
        <v>0.1494682277217616</v>
      </c>
      <c r="Z1278" s="36">
        <v>0.15057009842322325</v>
      </c>
      <c r="AA1278" s="36">
        <v>0.15168009204860822</v>
      </c>
      <c r="AB1278" s="36">
        <v>0.15370491486736138</v>
      </c>
      <c r="AC1278" s="36">
        <v>0.15575676765024477</v>
      </c>
      <c r="AD1278" s="36">
        <v>0.15783601122831684</v>
      </c>
      <c r="AE1278" s="36">
        <v>0.15994301124947755</v>
      </c>
      <c r="AF1278" s="36">
        <v>0.16207813824276979</v>
      </c>
      <c r="AG1278" s="36">
        <v>0.16424176768353924</v>
      </c>
      <c r="AH1278" s="36">
        <v>0.16643428005946403</v>
      </c>
      <c r="AI1278" s="36">
        <v>0.16865606093746588</v>
      </c>
      <c r="AJ1278" s="36">
        <v>0.17090750103151439</v>
      </c>
      <c r="AK1278" s="36">
        <v>0.17318899627133658</v>
      </c>
      <c r="AL1278" s="36">
        <v>0.17930479882574313</v>
      </c>
      <c r="AM1278" s="36">
        <v>0.18563656799286615</v>
      </c>
      <c r="AN1278" s="36">
        <v>0.19219193017617328</v>
      </c>
      <c r="AO1278" s="36">
        <v>0.19897878108941633</v>
      </c>
      <c r="AP1278" s="36">
        <v>0.2060052952667536</v>
      </c>
      <c r="AQ1278" s="36">
        <v>0.21327993590870184</v>
      </c>
      <c r="AR1278" s="36">
        <v>0.22081146507577737</v>
      </c>
      <c r="AS1278" s="36">
        <v>0.22860895424210378</v>
      </c>
      <c r="AT1278" s="36">
        <v>0.23668179522169822</v>
      </c>
      <c r="AU1278" s="36">
        <v>0.245039711480596</v>
      </c>
      <c r="AV1278" s="36">
        <v>0.24542980775621961</v>
      </c>
      <c r="AW1278" s="36">
        <v>0.24582052505405769</v>
      </c>
      <c r="AX1278" s="36">
        <v>0.24621186436275999</v>
      </c>
      <c r="AY1278" s="36">
        <v>0.24660382667255018</v>
      </c>
      <c r="AZ1278" s="36">
        <v>1.1853952052024599</v>
      </c>
    </row>
    <row r="1279" spans="1:52" ht="12" customHeight="1" x14ac:dyDescent="0.2">
      <c r="A1279" t="s">
        <v>103</v>
      </c>
      <c r="B1279" t="str">
        <f t="shared" si="438"/>
        <v>MXC</v>
      </c>
      <c r="C1279" t="str">
        <f t="shared" si="439"/>
        <v>NB</v>
      </c>
      <c r="D1279" s="36">
        <v>0.10599849277089281</v>
      </c>
      <c r="E1279" s="36">
        <v>0.10678571054673508</v>
      </c>
      <c r="F1279" s="36">
        <v>0.10772353010023041</v>
      </c>
      <c r="G1279" s="56">
        <v>0.10866958582606018</v>
      </c>
      <c r="H1279" s="36">
        <v>0.10961564155188996</v>
      </c>
      <c r="I1279" s="36">
        <v>0.11056993345005418</v>
      </c>
      <c r="J1279" s="36">
        <v>0.11153253322302539</v>
      </c>
      <c r="K1279" s="36">
        <v>0.11250351319750358</v>
      </c>
      <c r="L1279" s="36">
        <v>0.11348294632985054</v>
      </c>
      <c r="M1279" s="36">
        <v>0.11447090621157158</v>
      </c>
      <c r="N1279" s="36">
        <v>0.11546746707484497</v>
      </c>
      <c r="O1279" s="36">
        <v>0.11647270379809953</v>
      </c>
      <c r="P1279" s="36">
        <v>0.11748669191164071</v>
      </c>
      <c r="Q1279" s="36">
        <v>0.11850950760332574</v>
      </c>
      <c r="R1279" s="36">
        <v>0.11938315249938908</v>
      </c>
      <c r="S1279" s="36">
        <v>0.12026323785259256</v>
      </c>
      <c r="T1279" s="36">
        <v>0.12114981114159525</v>
      </c>
      <c r="U1279" s="36">
        <v>0.122042920195066</v>
      </c>
      <c r="V1279" s="36">
        <v>0.12294261319426376</v>
      </c>
      <c r="W1279" s="36">
        <v>0.12384893867563673</v>
      </c>
      <c r="X1279" s="36">
        <v>0.1247619455334409</v>
      </c>
      <c r="Y1279" s="36">
        <v>0.12568168302237773</v>
      </c>
      <c r="Z1279" s="36">
        <v>0.12660820076025137</v>
      </c>
      <c r="AA1279" s="36">
        <v>0.12754154873064538</v>
      </c>
      <c r="AB1279" s="36">
        <v>0.12924413893032807</v>
      </c>
      <c r="AC1279" s="36">
        <v>0.1309694575147364</v>
      </c>
      <c r="AD1279" s="36">
        <v>0.13271780789186155</v>
      </c>
      <c r="AE1279" s="36">
        <v>0.13448949751997846</v>
      </c>
      <c r="AF1279" s="36">
        <v>0.13628483796171442</v>
      </c>
      <c r="AG1279" s="36">
        <v>0.13810414493883916</v>
      </c>
      <c r="AH1279" s="36">
        <v>0.13994773838778657</v>
      </c>
      <c r="AI1279" s="36">
        <v>0.14181594251591748</v>
      </c>
      <c r="AJ1279" s="36">
        <v>0.14370908585853356</v>
      </c>
      <c r="AK1279" s="36">
        <v>0.14562750133665225</v>
      </c>
      <c r="AL1279" s="36">
        <v>0.15077002807819642</v>
      </c>
      <c r="AM1279" s="36">
        <v>0.15609415225871856</v>
      </c>
      <c r="AN1279" s="36">
        <v>0.16160628660711651</v>
      </c>
      <c r="AO1279" s="36">
        <v>0.16731307030422568</v>
      </c>
      <c r="AP1279" s="36">
        <v>0.17322137697948956</v>
      </c>
      <c r="AQ1279" s="36">
        <v>0.17933832299001573</v>
      </c>
      <c r="AR1279" s="36">
        <v>0.18567127599198918</v>
      </c>
      <c r="AS1279" s="36">
        <v>0.19222786381476686</v>
      </c>
      <c r="AT1279" s="36">
        <v>0.19901598364834222</v>
      </c>
      <c r="AU1279" s="36">
        <v>0.20604381155524548</v>
      </c>
      <c r="AV1279" s="36">
        <v>0.20637182746343169</v>
      </c>
      <c r="AW1279" s="36">
        <v>0.20670036556364693</v>
      </c>
      <c r="AX1279" s="36">
        <v>0.20702942668720609</v>
      </c>
      <c r="AY1279" s="36">
        <v>0.20735901166674753</v>
      </c>
      <c r="AZ1279" s="36">
        <v>2.1853952052024601</v>
      </c>
    </row>
    <row r="1280" spans="1:52" ht="12" customHeight="1" x14ac:dyDescent="0.2">
      <c r="A1280" t="s">
        <v>104</v>
      </c>
      <c r="B1280" t="str">
        <f t="shared" si="438"/>
        <v>EUR</v>
      </c>
      <c r="C1280" t="str">
        <f t="shared" si="439"/>
        <v>NB</v>
      </c>
      <c r="D1280" s="36">
        <v>0.11371224121579578</v>
      </c>
      <c r="E1280" s="36">
        <v>0.11455674659767343</v>
      </c>
      <c r="F1280" s="36">
        <v>0.11556281338689134</v>
      </c>
      <c r="G1280" s="56">
        <v>0.11657771571320706</v>
      </c>
      <c r="H1280" s="36">
        <v>0.1175926180395228</v>
      </c>
      <c r="I1280" s="36">
        <v>0.11861635590293633</v>
      </c>
      <c r="J1280" s="36">
        <v>0.11964900622387024</v>
      </c>
      <c r="K1280" s="36">
        <v>0.12069064659240095</v>
      </c>
      <c r="L1280" s="36">
        <v>0.12174135527408857</v>
      </c>
      <c r="M1280" s="36">
        <v>0.12280121121585759</v>
      </c>
      <c r="N1280" s="36">
        <v>0.12387029405192868</v>
      </c>
      <c r="O1280" s="36">
        <v>0.1249486841098021</v>
      </c>
      <c r="P1280" s="36">
        <v>0.12603646241629332</v>
      </c>
      <c r="Q1280" s="36">
        <v>0.12713371070362112</v>
      </c>
      <c r="R1280" s="36">
        <v>0.12807093270141715</v>
      </c>
      <c r="S1280" s="36">
        <v>0.12901506384288791</v>
      </c>
      <c r="T1280" s="36">
        <v>0.12996615506182116</v>
      </c>
      <c r="U1280" s="36">
        <v>0.13092425766748544</v>
      </c>
      <c r="V1280" s="36">
        <v>0.13188942334739812</v>
      </c>
      <c r="W1280" s="36">
        <v>0.13286170417011381</v>
      </c>
      <c r="X1280" s="36">
        <v>0.13384115258803331</v>
      </c>
      <c r="Y1280" s="36">
        <v>0.13482782144023339</v>
      </c>
      <c r="Z1280" s="36">
        <v>0.13582176395531725</v>
      </c>
      <c r="AA1280" s="36">
        <v>0.13682303375428614</v>
      </c>
      <c r="AB1280" s="36">
        <v>0.13864952526767427</v>
      </c>
      <c r="AC1280" s="36">
        <v>0.14050039916140392</v>
      </c>
      <c r="AD1280" s="36">
        <v>0.14237598092314738</v>
      </c>
      <c r="AE1280" s="36">
        <v>0.14427660038560899</v>
      </c>
      <c r="AF1280" s="36">
        <v>0.14620259178452832</v>
      </c>
      <c r="AG1280" s="36">
        <v>0.14815429381745759</v>
      </c>
      <c r="AH1280" s="36">
        <v>0.15013204970332369</v>
      </c>
      <c r="AI1280" s="36">
        <v>0.15213620724278545</v>
      </c>
      <c r="AJ1280" s="36">
        <v>0.15416711887939649</v>
      </c>
      <c r="AK1280" s="36">
        <v>0.15622514176158458</v>
      </c>
      <c r="AL1280" s="36">
        <v>0.1617419017268143</v>
      </c>
      <c r="AM1280" s="36">
        <v>0.16745347438461564</v>
      </c>
      <c r="AN1280" s="36">
        <v>0.17336673913257458</v>
      </c>
      <c r="AO1280" s="36">
        <v>0.17948881829963084</v>
      </c>
      <c r="AP1280" s="36">
        <v>0.18582708572468418</v>
      </c>
      <c r="AQ1280" s="36">
        <v>0.19238917563813582</v>
      </c>
      <c r="AR1280" s="36">
        <v>0.19918299185706276</v>
      </c>
      <c r="AS1280" s="36">
        <v>0.20621671730510022</v>
      </c>
      <c r="AT1280" s="36">
        <v>0.21349882386849856</v>
      </c>
      <c r="AU1280" s="36">
        <v>0.22103808260022584</v>
      </c>
      <c r="AV1280" s="36">
        <v>0.22138996896293958</v>
      </c>
      <c r="AW1280" s="36">
        <v>0.22174241551876941</v>
      </c>
      <c r="AX1280" s="36">
        <v>0.22209542315952688</v>
      </c>
      <c r="AY1280" s="36">
        <v>0.22244899277844329</v>
      </c>
      <c r="AZ1280" s="36">
        <v>3.1853952052024601</v>
      </c>
    </row>
    <row r="1281" spans="1:52" ht="12" customHeight="1" x14ac:dyDescent="0.2">
      <c r="A1281" t="s">
        <v>105</v>
      </c>
      <c r="B1281" t="str">
        <f t="shared" si="438"/>
        <v>JPN</v>
      </c>
      <c r="C1281" t="str">
        <f t="shared" si="439"/>
        <v>NB</v>
      </c>
      <c r="D1281" s="36">
        <v>0.11876764199950986</v>
      </c>
      <c r="E1281" s="36">
        <v>0.11964969226770536</v>
      </c>
      <c r="F1281" s="36">
        <v>0.1207004866146629</v>
      </c>
      <c r="G1281" s="56">
        <v>0.12176050930762509</v>
      </c>
      <c r="H1281" s="36">
        <v>0.1228205320005873</v>
      </c>
      <c r="I1281" s="36">
        <v>0.12388978303955418</v>
      </c>
      <c r="J1281" s="36">
        <v>0.12496834276466424</v>
      </c>
      <c r="K1281" s="36">
        <v>0.1260562922154812</v>
      </c>
      <c r="L1281" s="36">
        <v>0.12715371313708307</v>
      </c>
      <c r="M1281" s="36">
        <v>0.12826068798620416</v>
      </c>
      <c r="N1281" s="36">
        <v>0.12937729993743069</v>
      </c>
      <c r="O1281" s="36">
        <v>0.13050363288945019</v>
      </c>
      <c r="P1281" s="36">
        <v>0.13163977147135544</v>
      </c>
      <c r="Q1281" s="36">
        <v>0.13278580104900323</v>
      </c>
      <c r="R1281" s="36">
        <v>0.13376468991372154</v>
      </c>
      <c r="S1281" s="36">
        <v>0.13475079508772816</v>
      </c>
      <c r="T1281" s="36">
        <v>0.13574416976921716</v>
      </c>
      <c r="U1281" s="36">
        <v>0.13674486754855639</v>
      </c>
      <c r="V1281" s="36">
        <v>0.13775294241117864</v>
      </c>
      <c r="W1281" s="36">
        <v>0.13876844874049407</v>
      </c>
      <c r="X1281" s="36">
        <v>0.13979144132082405</v>
      </c>
      <c r="Y1281" s="36">
        <v>0.14082197534035659</v>
      </c>
      <c r="Z1281" s="36">
        <v>0.14186010639412369</v>
      </c>
      <c r="AA1281" s="36">
        <v>0.14290589048700056</v>
      </c>
      <c r="AB1281" s="36">
        <v>0.14481358387038532</v>
      </c>
      <c r="AC1281" s="36">
        <v>0.14674674362210943</v>
      </c>
      <c r="AD1281" s="36">
        <v>0.14870570970032454</v>
      </c>
      <c r="AE1281" s="36">
        <v>0.150690826601385</v>
      </c>
      <c r="AF1281" s="36">
        <v>0.15270244342042991</v>
      </c>
      <c r="AG1281" s="36">
        <v>0.1547409139127735</v>
      </c>
      <c r="AH1281" s="36">
        <v>0.15680659655611534</v>
      </c>
      <c r="AI1281" s="36">
        <v>0.15889985461358075</v>
      </c>
      <c r="AJ1281" s="36">
        <v>0.16102105619760293</v>
      </c>
      <c r="AK1281" s="36">
        <v>0.16317057433465784</v>
      </c>
      <c r="AL1281" s="36">
        <v>0.16893259753939099</v>
      </c>
      <c r="AM1281" s="36">
        <v>0.17489809438848231</v>
      </c>
      <c r="AN1281" s="36">
        <v>0.18107425012268441</v>
      </c>
      <c r="AO1281" s="36">
        <v>0.18746850371430734</v>
      </c>
      <c r="AP1281" s="36">
        <v>0.1940885568272111</v>
      </c>
      <c r="AQ1281" s="36">
        <v>0.20094238309320117</v>
      </c>
      <c r="AR1281" s="36">
        <v>0.20803823771600052</v>
      </c>
      <c r="AS1281" s="36">
        <v>0.21538466741436543</v>
      </c>
      <c r="AT1281" s="36">
        <v>0.22299052071632139</v>
      </c>
      <c r="AU1281" s="36">
        <v>0.23086495861691816</v>
      </c>
      <c r="AV1281" s="36">
        <v>0.23123248908773164</v>
      </c>
      <c r="AW1281" s="36">
        <v>0.2316006046566379</v>
      </c>
      <c r="AX1281" s="36">
        <v>0.23196930625509651</v>
      </c>
      <c r="AY1281" s="36">
        <v>0.2323385948160499</v>
      </c>
      <c r="AZ1281" s="36">
        <v>4.1853952052024601</v>
      </c>
    </row>
    <row r="1282" spans="1:52" ht="12" customHeight="1" x14ac:dyDescent="0.2">
      <c r="A1282" t="s">
        <v>106</v>
      </c>
      <c r="B1282" t="str">
        <f t="shared" si="438"/>
        <v>ANZ</v>
      </c>
      <c r="C1282" t="str">
        <f t="shared" si="439"/>
        <v>NB</v>
      </c>
      <c r="D1282" s="36">
        <v>0.14184086752602429</v>
      </c>
      <c r="E1282" s="36">
        <v>0.14289427545040598</v>
      </c>
      <c r="F1282" s="36">
        <v>0.14414920970063311</v>
      </c>
      <c r="G1282" s="56">
        <v>0.1454151651059585</v>
      </c>
      <c r="H1282" s="36">
        <v>0.14668112051128393</v>
      </c>
      <c r="I1282" s="36">
        <v>0.14795809707170762</v>
      </c>
      <c r="J1282" s="36">
        <v>0.14924619073520623</v>
      </c>
      <c r="K1282" s="36">
        <v>0.15054549828506039</v>
      </c>
      <c r="L1282" s="36">
        <v>0.15185611734712665</v>
      </c>
      <c r="M1282" s="36">
        <v>0.15317814639717273</v>
      </c>
      <c r="N1282" s="36">
        <v>0.15451168476827679</v>
      </c>
      <c r="O1282" s="36">
        <v>0.15585683265829092</v>
      </c>
      <c r="P1282" s="36">
        <v>0.15721369113736972</v>
      </c>
      <c r="Q1282" s="36">
        <v>0.15858236215556434</v>
      </c>
      <c r="R1282" s="36">
        <v>0.15975142170280854</v>
      </c>
      <c r="S1282" s="36">
        <v>0.16092909948606857</v>
      </c>
      <c r="T1282" s="36">
        <v>0.16211545903845714</v>
      </c>
      <c r="U1282" s="36">
        <v>0.16331056436144931</v>
      </c>
      <c r="V1282" s="36">
        <v>0.16451447992833501</v>
      </c>
      <c r="W1282" s="36">
        <v>0.16572727068769744</v>
      </c>
      <c r="X1282" s="36">
        <v>0.16694900206691676</v>
      </c>
      <c r="Y1282" s="36">
        <v>0.16817973997569985</v>
      </c>
      <c r="Z1282" s="36">
        <v>0.16941955080963592</v>
      </c>
      <c r="AA1282" s="36">
        <v>0.1706685014537784</v>
      </c>
      <c r="AB1282" s="36">
        <v>0.17294680621690628</v>
      </c>
      <c r="AC1282" s="36">
        <v>0.17525552475029332</v>
      </c>
      <c r="AD1282" s="36">
        <v>0.17759506305643591</v>
      </c>
      <c r="AE1282" s="36">
        <v>0.17996583255767895</v>
      </c>
      <c r="AF1282" s="36">
        <v>0.182368250168567</v>
      </c>
      <c r="AG1282" s="36">
        <v>0.18480273836916133</v>
      </c>
      <c r="AH1282" s="36">
        <v>0.18726972527933564</v>
      </c>
      <c r="AI1282" s="36">
        <v>0.18976964473406355</v>
      </c>
      <c r="AJ1282" s="36">
        <v>0.19230293635971124</v>
      </c>
      <c r="AK1282" s="36">
        <v>0.19487004565134852</v>
      </c>
      <c r="AL1282" s="36">
        <v>0.20175146853981343</v>
      </c>
      <c r="AM1282" s="36">
        <v>0.20887589430135517</v>
      </c>
      <c r="AN1282" s="36">
        <v>0.21625190406770778</v>
      </c>
      <c r="AO1282" s="36">
        <v>0.22388838199509592</v>
      </c>
      <c r="AP1282" s="36">
        <v>0.23179452596490296</v>
      </c>
      <c r="AQ1282" s="36">
        <v>0.2399798586622103</v>
      </c>
      <c r="AR1282" s="36">
        <v>0.24845423904555211</v>
      </c>
      <c r="AS1282" s="36">
        <v>0.2572278742216999</v>
      </c>
      <c r="AT1282" s="36">
        <v>0.26631133173978017</v>
      </c>
      <c r="AU1282" s="36">
        <v>0.27571555231953254</v>
      </c>
      <c r="AV1282" s="36">
        <v>0.27615448366433981</v>
      </c>
      <c r="AW1282" s="36">
        <v>0.27659411377540755</v>
      </c>
      <c r="AX1282" s="36">
        <v>0.27703444376515185</v>
      </c>
      <c r="AY1282" s="36">
        <v>0.27747547474775974</v>
      </c>
      <c r="AZ1282" s="36">
        <v>5.1853952052024601</v>
      </c>
    </row>
    <row r="1283" spans="1:52" ht="12" customHeight="1" x14ac:dyDescent="0.2">
      <c r="A1283" t="s">
        <v>107</v>
      </c>
      <c r="B1283" t="str">
        <f t="shared" si="438"/>
        <v>SKO</v>
      </c>
      <c r="C1283" t="str">
        <f t="shared" si="439"/>
        <v>NB</v>
      </c>
      <c r="D1283" s="36">
        <v>0.13020135319659992</v>
      </c>
      <c r="E1283" s="36">
        <v>0.13116831807502155</v>
      </c>
      <c r="F1283" s="36">
        <v>0.13232027195405682</v>
      </c>
      <c r="G1283" s="56">
        <v>0.13348234258810504</v>
      </c>
      <c r="H1283" s="36">
        <v>0.13464441322215329</v>
      </c>
      <c r="I1283" s="36">
        <v>0.13581660061121448</v>
      </c>
      <c r="J1283" s="36">
        <v>0.13699899282973863</v>
      </c>
      <c r="K1283" s="36">
        <v>0.13819167871893437</v>
      </c>
      <c r="L1283" s="36">
        <v>0.13939474789344414</v>
      </c>
      <c r="M1283" s="36">
        <v>0.1406082907480776</v>
      </c>
      <c r="N1283" s="36">
        <v>0.14183239846460352</v>
      </c>
      <c r="O1283" s="36">
        <v>0.14306716301860103</v>
      </c>
      <c r="P1283" s="36">
        <v>0.14431267718637025</v>
      </c>
      <c r="Q1283" s="36">
        <v>0.14556903455190323</v>
      </c>
      <c r="R1283" s="36">
        <v>0.14664216063801289</v>
      </c>
      <c r="S1283" s="36">
        <v>0.14772319774448642</v>
      </c>
      <c r="T1283" s="36">
        <v>0.1488122041908857</v>
      </c>
      <c r="U1283" s="36">
        <v>0.14990923872670089</v>
      </c>
      <c r="V1283" s="36">
        <v>0.15101436053451986</v>
      </c>
      <c r="W1283" s="36">
        <v>0.15212762923322087</v>
      </c>
      <c r="X1283" s="36">
        <v>0.15324910488118898</v>
      </c>
      <c r="Y1283" s="36">
        <v>0.15437884797955595</v>
      </c>
      <c r="Z1283" s="36">
        <v>0.15551691947546428</v>
      </c>
      <c r="AA1283" s="36">
        <v>0.1566633807653551</v>
      </c>
      <c r="AB1283" s="36">
        <v>0.15875472699248588</v>
      </c>
      <c r="AC1283" s="36">
        <v>0.16087399122457971</v>
      </c>
      <c r="AD1283" s="36">
        <v>0.16302154614741715</v>
      </c>
      <c r="AE1283" s="36">
        <v>0.1651977694218725</v>
      </c>
      <c r="AF1283" s="36">
        <v>0.1674030437503278</v>
      </c>
      <c r="AG1283" s="36">
        <v>0.16963775694397334</v>
      </c>
      <c r="AH1283" s="36">
        <v>0.17190230199100684</v>
      </c>
      <c r="AI1283" s="36">
        <v>0.17419707712574267</v>
      </c>
      <c r="AJ1283" s="36">
        <v>0.17652248589864394</v>
      </c>
      <c r="AK1283" s="36">
        <v>0.17887893724728937</v>
      </c>
      <c r="AL1283" s="36">
        <v>0.18519566801482926</v>
      </c>
      <c r="AM1283" s="36">
        <v>0.19173546074932629</v>
      </c>
      <c r="AN1283" s="36">
        <v>0.19850619241165374</v>
      </c>
      <c r="AO1283" s="36">
        <v>0.20551601812087311</v>
      </c>
      <c r="AP1283" s="36">
        <v>0.2127733809768014</v>
      </c>
      <c r="AQ1283" s="36">
        <v>0.22028702222944146</v>
      </c>
      <c r="AR1283" s="36">
        <v>0.22806599180752432</v>
      </c>
      <c r="AS1283" s="36">
        <v>0.23611965921884454</v>
      </c>
      <c r="AT1283" s="36">
        <v>0.24445772483551798</v>
      </c>
      <c r="AU1283" s="36">
        <v>0.25309023157775445</v>
      </c>
      <c r="AV1283" s="36">
        <v>0.25349314405320039</v>
      </c>
      <c r="AW1283" s="36">
        <v>0.25389669795388764</v>
      </c>
      <c r="AX1283" s="36">
        <v>0.25430089430094704</v>
      </c>
      <c r="AY1283" s="36">
        <v>0.25470573411713499</v>
      </c>
      <c r="AZ1283" s="36">
        <v>6.1853952052024601</v>
      </c>
    </row>
    <row r="1284" spans="1:52" ht="12" customHeight="1" x14ac:dyDescent="0.2">
      <c r="A1284" t="s">
        <v>108</v>
      </c>
      <c r="B1284" t="str">
        <f t="shared" si="438"/>
        <v>RUS</v>
      </c>
      <c r="C1284" t="str">
        <f t="shared" si="439"/>
        <v>NB</v>
      </c>
      <c r="D1284" s="36">
        <v>0.15089362595084874</v>
      </c>
      <c r="E1284" s="36">
        <v>0.15201426589114062</v>
      </c>
      <c r="F1284" s="36">
        <v>0.15334929424121707</v>
      </c>
      <c r="G1284" s="56">
        <v>0.15469604715336052</v>
      </c>
      <c r="H1284" s="36">
        <v>0.15604280006550397</v>
      </c>
      <c r="I1284" s="36">
        <v>0.15740127753971442</v>
      </c>
      <c r="J1284" s="36">
        <v>0.1587715816476892</v>
      </c>
      <c r="K1284" s="36">
        <v>0.16015381534974152</v>
      </c>
      <c r="L1284" s="36">
        <v>0.16154808250253647</v>
      </c>
      <c r="M1284" s="36">
        <v>0.16295448786689459</v>
      </c>
      <c r="N1284" s="36">
        <v>0.1643731371156632</v>
      </c>
      <c r="O1284" s="36">
        <v>0.16580413684165632</v>
      </c>
      <c r="P1284" s="36">
        <v>0.16724759456566374</v>
      </c>
      <c r="Q1284" s="36">
        <v>0.1687036187445298</v>
      </c>
      <c r="R1284" s="36">
        <v>0.16994729158094818</v>
      </c>
      <c r="S1284" s="36">
        <v>0.17120013269802087</v>
      </c>
      <c r="T1284" s="36">
        <v>0.17246220968375628</v>
      </c>
      <c r="U1284" s="36">
        <v>0.17373359062441754</v>
      </c>
      <c r="V1284" s="36">
        <v>0.17501434410819558</v>
      </c>
      <c r="W1284" s="36">
        <v>0.17630453922890932</v>
      </c>
      <c r="X1284" s="36">
        <v>0.17760424558973309</v>
      </c>
      <c r="Y1284" s="36">
        <v>0.17891353330695162</v>
      </c>
      <c r="Z1284" s="36">
        <v>0.18023247301374262</v>
      </c>
      <c r="AA1284" s="36">
        <v>0.18156113586398731</v>
      </c>
      <c r="AB1284" s="36">
        <v>0.18398484965484083</v>
      </c>
      <c r="AC1284" s="36">
        <v>0.18644091832446297</v>
      </c>
      <c r="AD1284" s="36">
        <v>0.18892977378778697</v>
      </c>
      <c r="AE1284" s="36">
        <v>0.19145185372550741</v>
      </c>
      <c r="AF1284" s="36">
        <v>0.19400760166104908</v>
      </c>
      <c r="AG1284" s="36">
        <v>0.19659746703856334</v>
      </c>
      <c r="AH1284" s="36">
        <v>0.19922190530196568</v>
      </c>
      <c r="AI1284" s="36">
        <v>0.20188137797502834</v>
      </c>
      <c r="AJ1284" s="36">
        <v>0.20457635274254213</v>
      </c>
      <c r="AK1284" s="36">
        <v>0.20730730353256174</v>
      </c>
      <c r="AL1284" s="36">
        <v>0.21462792183850324</v>
      </c>
      <c r="AM1284" s="36">
        <v>0.22220705227338602</v>
      </c>
      <c r="AN1284" s="36">
        <v>0.23005382364546334</v>
      </c>
      <c r="AO1284" s="36">
        <v>0.23817768712751516</v>
      </c>
      <c r="AP1284" s="36">
        <v>0.24658842764046879</v>
      </c>
      <c r="AQ1284" s="36">
        <v>0.25529617563900758</v>
      </c>
      <c r="AR1284" s="36">
        <v>0.26431141931336377</v>
      </c>
      <c r="AS1284" s="36">
        <v>0.27364501722199158</v>
      </c>
      <c r="AT1284" s="36">
        <v>0.28330821137033635</v>
      </c>
      <c r="AU1284" s="36">
        <v>0.29331264075145297</v>
      </c>
      <c r="AV1284" s="36">
        <v>0.29377958616229721</v>
      </c>
      <c r="AW1284" s="36">
        <v>0.29424727493700109</v>
      </c>
      <c r="AX1284" s="36">
        <v>0.2947157082589788</v>
      </c>
      <c r="AY1284" s="36">
        <v>0.29518488731352854</v>
      </c>
      <c r="AZ1284" s="36">
        <v>7.1853952052024601</v>
      </c>
    </row>
    <row r="1285" spans="1:52" ht="12" customHeight="1" x14ac:dyDescent="0.2">
      <c r="A1285" t="s">
        <v>109</v>
      </c>
      <c r="B1285" t="str">
        <f t="shared" si="438"/>
        <v>URA</v>
      </c>
      <c r="C1285" t="str">
        <f t="shared" si="439"/>
        <v>NB</v>
      </c>
      <c r="D1285" s="36">
        <v>8.64153922421593E-2</v>
      </c>
      <c r="E1285" s="36">
        <v>8.7057172432623384E-2</v>
      </c>
      <c r="F1285" s="36">
        <v>8.7821730894250119E-2</v>
      </c>
      <c r="G1285" s="56">
        <v>8.8593003904775133E-2</v>
      </c>
      <c r="H1285" s="36">
        <v>8.9364276915300148E-2</v>
      </c>
      <c r="I1285" s="36">
        <v>9.0142264474723455E-2</v>
      </c>
      <c r="J1285" s="36">
        <v>9.0927025038567658E-2</v>
      </c>
      <c r="K1285" s="36">
        <v>9.1718617571257474E-2</v>
      </c>
      <c r="L1285" s="36">
        <v>9.2517101550550152E-2</v>
      </c>
      <c r="M1285" s="36">
        <v>9.3322536972004419E-2</v>
      </c>
      <c r="N1285" s="36">
        <v>9.4134984353488355E-2</v>
      </c>
      <c r="O1285" s="36">
        <v>9.4954504739726525E-2</v>
      </c>
      <c r="P1285" s="36">
        <v>9.5781159706886679E-2</v>
      </c>
      <c r="Q1285" s="36">
        <v>9.6615011367206405E-2</v>
      </c>
      <c r="R1285" s="36">
        <v>9.7327251366098211E-2</v>
      </c>
      <c r="S1285" s="36">
        <v>9.8044741955026118E-2</v>
      </c>
      <c r="T1285" s="36">
        <v>9.8767521841021125E-2</v>
      </c>
      <c r="U1285" s="36">
        <v>9.949563001646014E-2</v>
      </c>
      <c r="V1285" s="36">
        <v>0.10022910576116949</v>
      </c>
      <c r="W1285" s="36">
        <v>0.100967988644544</v>
      </c>
      <c r="X1285" s="36">
        <v>0.10171231852768167</v>
      </c>
      <c r="Y1285" s="36">
        <v>0.10246213556553412</v>
      </c>
      <c r="Z1285" s="36">
        <v>0.1032174802090728</v>
      </c>
      <c r="AA1285" s="36">
        <v>0.10397839320747129</v>
      </c>
      <c r="AB1285" s="36">
        <v>0.10536643181148471</v>
      </c>
      <c r="AC1285" s="36">
        <v>0.10677299975709303</v>
      </c>
      <c r="AD1285" s="36">
        <v>0.10819834439800743</v>
      </c>
      <c r="AE1285" s="36">
        <v>0.1096427163899376</v>
      </c>
      <c r="AF1285" s="36">
        <v>0.11110636973467107</v>
      </c>
      <c r="AG1285" s="36">
        <v>0.11258956182474109</v>
      </c>
      <c r="AH1285" s="36">
        <v>0.11409255348869062</v>
      </c>
      <c r="AI1285" s="36">
        <v>0.11561560903694069</v>
      </c>
      <c r="AJ1285" s="36">
        <v>0.11715899630827106</v>
      </c>
      <c r="AK1285" s="36">
        <v>0.11872298671692127</v>
      </c>
      <c r="AL1285" s="36">
        <v>0.12291543751381</v>
      </c>
      <c r="AM1285" s="36">
        <v>0.12725593583014197</v>
      </c>
      <c r="AN1285" s="36">
        <v>0.13174970965047209</v>
      </c>
      <c r="AO1285" s="36">
        <v>0.13640217157455586</v>
      </c>
      <c r="AP1285" s="36">
        <v>0.14121892533664424</v>
      </c>
      <c r="AQ1285" s="36">
        <v>0.1462057725549934</v>
      </c>
      <c r="AR1285" s="36">
        <v>0.15136871971971924</v>
      </c>
      <c r="AS1285" s="36">
        <v>0.15671398542741319</v>
      </c>
      <c r="AT1285" s="36">
        <v>0.16224800787123303</v>
      </c>
      <c r="AU1285" s="36">
        <v>0.16797745259549055</v>
      </c>
      <c r="AV1285" s="36">
        <v>0.168244867939111</v>
      </c>
      <c r="AW1285" s="36">
        <v>0.16851270900037926</v>
      </c>
      <c r="AX1285" s="36">
        <v>0.16878097645702578</v>
      </c>
      <c r="AY1285" s="36">
        <v>0.16904967098785989</v>
      </c>
      <c r="AZ1285" s="36">
        <v>8.1853952052024592</v>
      </c>
    </row>
    <row r="1286" spans="1:52" ht="12" customHeight="1" x14ac:dyDescent="0.2">
      <c r="A1286" t="s">
        <v>110</v>
      </c>
      <c r="B1286" t="str">
        <f t="shared" si="438"/>
        <v>CHI</v>
      </c>
      <c r="C1286" t="str">
        <f t="shared" si="439"/>
        <v>NB</v>
      </c>
      <c r="D1286" s="36">
        <v>0.10470796715129778</v>
      </c>
      <c r="E1286" s="36">
        <v>0.10548560059550129</v>
      </c>
      <c r="F1286" s="36">
        <v>0.10641200224928214</v>
      </c>
      <c r="G1286" s="56">
        <v>0.10734653980046779</v>
      </c>
      <c r="H1286" s="36">
        <v>0.10828107735165346</v>
      </c>
      <c r="I1286" s="36">
        <v>0.10922375080024392</v>
      </c>
      <c r="J1286" s="36">
        <v>0.11017463097573821</v>
      </c>
      <c r="K1286" s="36">
        <v>0.11113378932426285</v>
      </c>
      <c r="L1286" s="36">
        <v>0.11210129791394007</v>
      </c>
      <c r="M1286" s="36">
        <v>0.1130772294403028</v>
      </c>
      <c r="N1286" s="36">
        <v>0.11406165723175676</v>
      </c>
      <c r="O1286" s="36">
        <v>0.11505465525509016</v>
      </c>
      <c r="P1286" s="36">
        <v>0.11605629812103128</v>
      </c>
      <c r="Q1286" s="36">
        <v>0.11706666108985452</v>
      </c>
      <c r="R1286" s="36">
        <v>0.11792966940900695</v>
      </c>
      <c r="S1286" s="36">
        <v>0.11879903977310022</v>
      </c>
      <c r="T1286" s="36">
        <v>0.11967481908274341</v>
      </c>
      <c r="U1286" s="36">
        <v>0.12055705458429408</v>
      </c>
      <c r="V1286" s="36">
        <v>0.12144579387240705</v>
      </c>
      <c r="W1286" s="36">
        <v>0.12234108489260205</v>
      </c>
      <c r="X1286" s="36">
        <v>0.12324297594385028</v>
      </c>
      <c r="Y1286" s="36">
        <v>0.12415151568118002</v>
      </c>
      <c r="Z1286" s="36">
        <v>0.12506675311830145</v>
      </c>
      <c r="AA1286" s="36">
        <v>0.12598873763025087</v>
      </c>
      <c r="AB1286" s="36">
        <v>0.12767059889110693</v>
      </c>
      <c r="AC1286" s="36">
        <v>0.12937491181989755</v>
      </c>
      <c r="AD1286" s="36">
        <v>0.13110197613063884</v>
      </c>
      <c r="AE1286" s="36">
        <v>0.13285209553831878</v>
      </c>
      <c r="AF1286" s="36">
        <v>0.13462557781230736</v>
      </c>
      <c r="AG1286" s="36">
        <v>0.13642273483047973</v>
      </c>
      <c r="AH1286" s="36">
        <v>0.13824388263406193</v>
      </c>
      <c r="AI1286" s="36">
        <v>0.14008934148320856</v>
      </c>
      <c r="AJ1286" s="36">
        <v>0.14195943591332272</v>
      </c>
      <c r="AK1286" s="36">
        <v>0.14385449479212736</v>
      </c>
      <c r="AL1286" s="36">
        <v>0.14893441156313394</v>
      </c>
      <c r="AM1286" s="36">
        <v>0.1541937148346294</v>
      </c>
      <c r="AN1286" s="36">
        <v>0.15963873926090202</v>
      </c>
      <c r="AO1286" s="36">
        <v>0.16527604319113823</v>
      </c>
      <c r="AP1286" s="36">
        <v>0.17111241656873405</v>
      </c>
      <c r="AQ1286" s="36">
        <v>0.17715488910955413</v>
      </c>
      <c r="AR1286" s="36">
        <v>0.1834107387689885</v>
      </c>
      <c r="AS1286" s="36">
        <v>0.18988750050800565</v>
      </c>
      <c r="AT1286" s="36">
        <v>0.19659297536876008</v>
      </c>
      <c r="AU1286" s="36">
        <v>0.20353523987068584</v>
      </c>
      <c r="AV1286" s="36">
        <v>0.20385926220384959</v>
      </c>
      <c r="AW1286" s="36">
        <v>0.20418380037138412</v>
      </c>
      <c r="AX1286" s="36">
        <v>0.20450885519448311</v>
      </c>
      <c r="AY1286" s="36">
        <v>0.20483442749564759</v>
      </c>
      <c r="AZ1286" s="36">
        <v>9.1853952052024592</v>
      </c>
    </row>
    <row r="1287" spans="1:52" ht="12" customHeight="1" x14ac:dyDescent="0.2">
      <c r="A1287" t="s">
        <v>111</v>
      </c>
      <c r="B1287" t="str">
        <f t="shared" si="438"/>
        <v>IND</v>
      </c>
      <c r="C1287" t="str">
        <f t="shared" si="439"/>
        <v>NB</v>
      </c>
      <c r="D1287" s="36">
        <v>0.11120682526231193</v>
      </c>
      <c r="E1287" s="36">
        <v>0.11203272370061045</v>
      </c>
      <c r="F1287" s="36">
        <v>0.11301662387208319</v>
      </c>
      <c r="G1287" s="56">
        <v>0.11400916490771998</v>
      </c>
      <c r="H1287" s="36">
        <v>0.11500170594335678</v>
      </c>
      <c r="I1287" s="36">
        <v>0.11600288784315761</v>
      </c>
      <c r="J1287" s="36">
        <v>0.11701278583276135</v>
      </c>
      <c r="K1287" s="36">
        <v>0.11803147579270624</v>
      </c>
      <c r="L1287" s="36">
        <v>0.11905903426413138</v>
      </c>
      <c r="M1287" s="36">
        <v>0.12009553845452771</v>
      </c>
      <c r="N1287" s="36">
        <v>0.12114106624353921</v>
      </c>
      <c r="O1287" s="36">
        <v>0.12219569618881448</v>
      </c>
      <c r="P1287" s="36">
        <v>0.12325950753190935</v>
      </c>
      <c r="Q1287" s="36">
        <v>0.1243325802042408</v>
      </c>
      <c r="R1287" s="36">
        <v>0.12524915243803492</v>
      </c>
      <c r="S1287" s="36">
        <v>0.12617248158669706</v>
      </c>
      <c r="T1287" s="36">
        <v>0.12710261746179347</v>
      </c>
      <c r="U1287" s="36">
        <v>0.12803961024209823</v>
      </c>
      <c r="V1287" s="36">
        <v>0.12898351047630027</v>
      </c>
      <c r="W1287" s="36">
        <v>0.12993436908573044</v>
      </c>
      <c r="X1287" s="36">
        <v>0.1308922373671085</v>
      </c>
      <c r="Y1287" s="36">
        <v>0.13185716699531055</v>
      </c>
      <c r="Z1287" s="36">
        <v>0.13282921002615672</v>
      </c>
      <c r="AA1287" s="36">
        <v>0.13380841889921949</v>
      </c>
      <c r="AB1287" s="36">
        <v>0.1355946674191742</v>
      </c>
      <c r="AC1287" s="36">
        <v>0.13740476110374028</v>
      </c>
      <c r="AD1287" s="36">
        <v>0.1392390182691369</v>
      </c>
      <c r="AE1287" s="36">
        <v>0.14109776148088143</v>
      </c>
      <c r="AF1287" s="36">
        <v>0.14298131761051461</v>
      </c>
      <c r="AG1287" s="36">
        <v>0.1448900178930829</v>
      </c>
      <c r="AH1287" s="36">
        <v>0.14682419798538829</v>
      </c>
      <c r="AI1287" s="36">
        <v>0.14878419802501561</v>
      </c>
      <c r="AJ1287" s="36">
        <v>0.15077036269014776</v>
      </c>
      <c r="AK1287" s="36">
        <v>0.15278304126017966</v>
      </c>
      <c r="AL1287" s="36">
        <v>0.15817825073725922</v>
      </c>
      <c r="AM1287" s="36">
        <v>0.16376398060888964</v>
      </c>
      <c r="AN1287" s="36">
        <v>0.16954695869924419</v>
      </c>
      <c r="AO1287" s="36">
        <v>0.17553415041135595</v>
      </c>
      <c r="AP1287" s="36">
        <v>0.18173276711671202</v>
      </c>
      <c r="AQ1287" s="36">
        <v>0.18815027484110841</v>
      </c>
      <c r="AR1287" s="36">
        <v>0.19479440325722761</v>
      </c>
      <c r="AS1287" s="36">
        <v>0.20167315499476984</v>
      </c>
      <c r="AT1287" s="36">
        <v>0.20879481527935212</v>
      </c>
      <c r="AU1287" s="36">
        <v>0.21616796191178425</v>
      </c>
      <c r="AV1287" s="36">
        <v>0.21651209518039369</v>
      </c>
      <c r="AW1287" s="36">
        <v>0.21685677629941313</v>
      </c>
      <c r="AX1287" s="36">
        <v>0.21720200614100493</v>
      </c>
      <c r="AY1287" s="36">
        <v>0.21754778557871984</v>
      </c>
      <c r="AZ1287" s="36">
        <v>10.1853952052025</v>
      </c>
    </row>
    <row r="1288" spans="1:52" ht="12" customHeight="1" x14ac:dyDescent="0.2">
      <c r="A1288" t="s">
        <v>112</v>
      </c>
      <c r="B1288" t="str">
        <f t="shared" si="438"/>
        <v>OAS</v>
      </c>
      <c r="C1288" t="str">
        <f t="shared" si="439"/>
        <v>NB</v>
      </c>
      <c r="D1288" s="36">
        <v>0.13559753162153868</v>
      </c>
      <c r="E1288" s="36">
        <v>0.13660457223563052</v>
      </c>
      <c r="F1288" s="36">
        <v>0.13780426869579848</v>
      </c>
      <c r="G1288" s="56">
        <v>0.13901450119859654</v>
      </c>
      <c r="H1288" s="36">
        <v>0.14022473370139463</v>
      </c>
      <c r="I1288" s="36">
        <v>0.14144550224682279</v>
      </c>
      <c r="J1288" s="36">
        <v>0.14267689855956539</v>
      </c>
      <c r="K1288" s="36">
        <v>0.14391901516284356</v>
      </c>
      <c r="L1288" s="36">
        <v>0.14517194538536712</v>
      </c>
      <c r="M1288" s="36">
        <v>0.14643578336834709</v>
      </c>
      <c r="N1288" s="36">
        <v>0.14771062407256896</v>
      </c>
      <c r="O1288" s="36">
        <v>0.14899656328552796</v>
      </c>
      <c r="P1288" s="36">
        <v>0.1502936976286261</v>
      </c>
      <c r="Q1288" s="36">
        <v>0.15160212456443203</v>
      </c>
      <c r="R1288" s="36">
        <v>0.152719726223882</v>
      </c>
      <c r="S1288" s="36">
        <v>0.15384556677492264</v>
      </c>
      <c r="T1288" s="36">
        <v>0.15497970695416266</v>
      </c>
      <c r="U1288" s="36">
        <v>0.15612220794595733</v>
      </c>
      <c r="V1288" s="36">
        <v>0.15727313138570925</v>
      </c>
      <c r="W1288" s="36">
        <v>0.15843253936319349</v>
      </c>
      <c r="X1288" s="36">
        <v>0.15960049442590715</v>
      </c>
      <c r="Y1288" s="36">
        <v>0.16077705958244373</v>
      </c>
      <c r="Z1288" s="36">
        <v>0.1619622983058922</v>
      </c>
      <c r="AA1288" s="36">
        <v>0.16315627453726134</v>
      </c>
      <c r="AB1288" s="36">
        <v>0.16533429634120336</v>
      </c>
      <c r="AC1288" s="36">
        <v>0.16754139320825223</v>
      </c>
      <c r="AD1288" s="36">
        <v>0.169777953270103</v>
      </c>
      <c r="AE1288" s="36">
        <v>0.17204436983973659</v>
      </c>
      <c r="AF1288" s="36">
        <v>0.17434104148058627</v>
      </c>
      <c r="AG1288" s="36">
        <v>0.17666837207662753</v>
      </c>
      <c r="AH1288" s="36">
        <v>0.17902677090340363</v>
      </c>
      <c r="AI1288" s="36">
        <v>0.18141665269999918</v>
      </c>
      <c r="AJ1288" s="36">
        <v>0.18383843774197461</v>
      </c>
      <c r="AK1288" s="36">
        <v>0.18629255191527425</v>
      </c>
      <c r="AL1288" s="36">
        <v>0.19287107878129614</v>
      </c>
      <c r="AM1288" s="36">
        <v>0.19968191238895661</v>
      </c>
      <c r="AN1288" s="36">
        <v>0.20673325615876448</v>
      </c>
      <c r="AO1288" s="36">
        <v>0.21403360319764742</v>
      </c>
      <c r="AP1288" s="36">
        <v>0.22159174652861408</v>
      </c>
      <c r="AQ1288" s="36">
        <v>0.22941678968165533</v>
      </c>
      <c r="AR1288" s="36">
        <v>0.23751815765864057</v>
      </c>
      <c r="AS1288" s="36">
        <v>0.24590560828541613</v>
      </c>
      <c r="AT1288" s="36">
        <v>0.25458924396477917</v>
      </c>
      <c r="AU1288" s="36">
        <v>0.26357952384448263</v>
      </c>
      <c r="AV1288" s="36">
        <v>0.26399913497592375</v>
      </c>
      <c r="AW1288" s="36">
        <v>0.26441941411639325</v>
      </c>
      <c r="AX1288" s="36">
        <v>0.2648403623293426</v>
      </c>
      <c r="AY1288" s="36">
        <v>0.26526198067991624</v>
      </c>
      <c r="AZ1288" s="36">
        <v>11.1853952052025</v>
      </c>
    </row>
    <row r="1289" spans="1:52" ht="12" customHeight="1" x14ac:dyDescent="0.2">
      <c r="A1289" t="s">
        <v>113</v>
      </c>
      <c r="B1289" t="str">
        <f t="shared" si="438"/>
        <v>MID</v>
      </c>
      <c r="C1289" t="str">
        <f t="shared" si="439"/>
        <v>NB</v>
      </c>
      <c r="D1289" s="36">
        <v>0.17056353871339691</v>
      </c>
      <c r="E1289" s="36">
        <v>0.17183026096647613</v>
      </c>
      <c r="F1289" s="36">
        <v>0.17333931847793074</v>
      </c>
      <c r="G1289" s="56">
        <v>0.17486162892027229</v>
      </c>
      <c r="H1289" s="36">
        <v>0.17638393936261387</v>
      </c>
      <c r="I1289" s="36">
        <v>0.17791950273584242</v>
      </c>
      <c r="J1289" s="36">
        <v>0.17946843441732921</v>
      </c>
      <c r="K1289" s="36">
        <v>0.18103085078889786</v>
      </c>
      <c r="L1289" s="36">
        <v>0.18260686924556893</v>
      </c>
      <c r="M1289" s="36">
        <v>0.18419660820438064</v>
      </c>
      <c r="N1289" s="36">
        <v>0.18580018711328625</v>
      </c>
      <c r="O1289" s="36">
        <v>0.18741772646012911</v>
      </c>
      <c r="P1289" s="36">
        <v>0.18904934778169566</v>
      </c>
      <c r="Q1289" s="36">
        <v>0.19069517367284733</v>
      </c>
      <c r="R1289" s="36">
        <v>0.19210096691722428</v>
      </c>
      <c r="S1289" s="36">
        <v>0.19351712358406167</v>
      </c>
      <c r="T1289" s="36">
        <v>0.19494372007188077</v>
      </c>
      <c r="U1289" s="36">
        <v>0.19638083334240811</v>
      </c>
      <c r="V1289" s="36">
        <v>0.1978285409247274</v>
      </c>
      <c r="W1289" s="36">
        <v>0.19928692091946207</v>
      </c>
      <c r="X1289" s="36">
        <v>0.20075605200298857</v>
      </c>
      <c r="Y1289" s="36">
        <v>0.20223601343168088</v>
      </c>
      <c r="Z1289" s="36">
        <v>0.20372688504618608</v>
      </c>
      <c r="AA1289" s="36">
        <v>0.2052287472757317</v>
      </c>
      <c r="AB1289" s="36">
        <v>0.20796840707508663</v>
      </c>
      <c r="AC1289" s="36">
        <v>0.21074463941077398</v>
      </c>
      <c r="AD1289" s="36">
        <v>0.21355793250049662</v>
      </c>
      <c r="AE1289" s="36">
        <v>0.21640878107932118</v>
      </c>
      <c r="AF1289" s="36">
        <v>0.21929768648668038</v>
      </c>
      <c r="AG1289" s="36">
        <v>0.22222515675453669</v>
      </c>
      <c r="AH1289" s="36">
        <v>0.22519170669672281</v>
      </c>
      <c r="AI1289" s="36">
        <v>0.22819785799947498</v>
      </c>
      <c r="AJ1289" s="36">
        <v>0.2312441393131747</v>
      </c>
      <c r="AK1289" s="36">
        <v>0.23433108634531521</v>
      </c>
      <c r="AL1289" s="36">
        <v>0.24260599229951485</v>
      </c>
      <c r="AM1289" s="36">
        <v>0.25117310902958206</v>
      </c>
      <c r="AN1289" s="36">
        <v>0.26004275534010574</v>
      </c>
      <c r="AO1289" s="36">
        <v>0.26922561442240156</v>
      </c>
      <c r="AP1289" s="36">
        <v>0.27873274672205739</v>
      </c>
      <c r="AQ1289" s="36">
        <v>0.28857560326086884</v>
      </c>
      <c r="AR1289" s="36">
        <v>0.29876603942921059</v>
      </c>
      <c r="AS1289" s="36">
        <v>0.30931632926545644</v>
      </c>
      <c r="AT1289" s="36">
        <v>0.32023918023964631</v>
      </c>
      <c r="AU1289" s="36">
        <v>0.33154774855920782</v>
      </c>
      <c r="AV1289" s="36">
        <v>0.33207556317800108</v>
      </c>
      <c r="AW1289" s="36">
        <v>0.33260421806270785</v>
      </c>
      <c r="AX1289" s="36">
        <v>0.3331337145510076</v>
      </c>
      <c r="AY1289" s="36">
        <v>0.33366405398270949</v>
      </c>
      <c r="AZ1289" s="36">
        <v>12.1853952052025</v>
      </c>
    </row>
    <row r="1290" spans="1:52" ht="12" customHeight="1" x14ac:dyDescent="0.2">
      <c r="A1290" t="s">
        <v>114</v>
      </c>
      <c r="B1290" t="str">
        <f t="shared" si="438"/>
        <v>AFR</v>
      </c>
      <c r="C1290" t="str">
        <f t="shared" si="439"/>
        <v>NB</v>
      </c>
      <c r="D1290" s="36">
        <v>0.11813546516186614</v>
      </c>
      <c r="E1290" s="36">
        <v>0.11901282044967976</v>
      </c>
      <c r="F1290" s="36">
        <v>0.12005802162465805</v>
      </c>
      <c r="G1290" s="56">
        <v>0.12111240202496726</v>
      </c>
      <c r="H1290" s="36">
        <v>0.12216678242527648</v>
      </c>
      <c r="I1290" s="36">
        <v>0.12323034205091662</v>
      </c>
      <c r="J1290" s="36">
        <v>0.12430316081439143</v>
      </c>
      <c r="K1290" s="36">
        <v>0.12538531932390692</v>
      </c>
      <c r="L1290" s="36">
        <v>0.12647689888942812</v>
      </c>
      <c r="M1290" s="36">
        <v>0.12757798152878833</v>
      </c>
      <c r="N1290" s="36">
        <v>0.12868864997385174</v>
      </c>
      <c r="O1290" s="36">
        <v>0.12980898767672969</v>
      </c>
      <c r="P1290" s="36">
        <v>0.13093907881605091</v>
      </c>
      <c r="Q1290" s="36">
        <v>0.13207900830328648</v>
      </c>
      <c r="R1290" s="36">
        <v>0.13305268673478843</v>
      </c>
      <c r="S1290" s="36">
        <v>0.13403354306458135</v>
      </c>
      <c r="T1290" s="36">
        <v>0.1350216302076957</v>
      </c>
      <c r="U1290" s="36">
        <v>0.13601700146924833</v>
      </c>
      <c r="V1290" s="36">
        <v>0.13701971054731824</v>
      </c>
      <c r="W1290" s="36">
        <v>0.13802981153584332</v>
      </c>
      <c r="X1290" s="36">
        <v>0.13904735892753875</v>
      </c>
      <c r="Y1290" s="36">
        <v>0.14007240761683667</v>
      </c>
      <c r="Z1290" s="36">
        <v>0.14110501290284766</v>
      </c>
      <c r="AA1290" s="36">
        <v>0.14214523049234395</v>
      </c>
      <c r="AB1290" s="36">
        <v>0.14404276959843568</v>
      </c>
      <c r="AC1290" s="36">
        <v>0.14596563952038857</v>
      </c>
      <c r="AD1290" s="36">
        <v>0.14791417840682375</v>
      </c>
      <c r="AE1290" s="36">
        <v>0.14988872892040916</v>
      </c>
      <c r="AF1290" s="36">
        <v>0.151889638298119</v>
      </c>
      <c r="AG1290" s="36">
        <v>0.15391725841229745</v>
      </c>
      <c r="AH1290" s="36">
        <v>0.15597194583253762</v>
      </c>
      <c r="AI1290" s="36">
        <v>0.15805406188838658</v>
      </c>
      <c r="AJ1290" s="36">
        <v>0.16016397273288732</v>
      </c>
      <c r="AK1290" s="36">
        <v>0.16230204940696913</v>
      </c>
      <c r="AL1290" s="36">
        <v>0.16803340249359039</v>
      </c>
      <c r="AM1290" s="36">
        <v>0.17396714617431411</v>
      </c>
      <c r="AN1290" s="36">
        <v>0.18011042744426728</v>
      </c>
      <c r="AO1290" s="36">
        <v>0.18647064567957103</v>
      </c>
      <c r="AP1290" s="36">
        <v>0.19305546154964087</v>
      </c>
      <c r="AQ1290" s="36">
        <v>0.19987280624420586</v>
      </c>
      <c r="AR1290" s="36">
        <v>0.20693089102616052</v>
      </c>
      <c r="AS1290" s="36">
        <v>0.21423821712175539</v>
      </c>
      <c r="AT1290" s="36">
        <v>0.22180358596003874</v>
      </c>
      <c r="AU1290" s="36">
        <v>0.22963610977388249</v>
      </c>
      <c r="AV1290" s="36">
        <v>0.23000168395216658</v>
      </c>
      <c r="AW1290" s="36">
        <v>0.23036784011418118</v>
      </c>
      <c r="AX1290" s="36">
        <v>0.2307345791864279</v>
      </c>
      <c r="AY1290" s="36">
        <v>0.2311019020968833</v>
      </c>
      <c r="AZ1290" s="36">
        <v>13.1853952052025</v>
      </c>
    </row>
    <row r="1291" spans="1:52" ht="12" customHeight="1" x14ac:dyDescent="0.2">
      <c r="A1291" t="s">
        <v>115</v>
      </c>
      <c r="B1291" t="str">
        <f t="shared" si="438"/>
        <v>BRZ</v>
      </c>
      <c r="C1291" t="str">
        <f t="shared" si="439"/>
        <v>NB</v>
      </c>
      <c r="D1291" s="36">
        <v>0.11931793916882598</v>
      </c>
      <c r="E1291" s="36">
        <v>0.12020407632262105</v>
      </c>
      <c r="F1291" s="36">
        <v>0.1212597394128232</v>
      </c>
      <c r="G1291" s="56">
        <v>0.12232467360758444</v>
      </c>
      <c r="H1291" s="36">
        <v>0.12338960780234569</v>
      </c>
      <c r="I1291" s="36">
        <v>0.12446381310166603</v>
      </c>
      <c r="J1291" s="36">
        <v>0.12554737021793141</v>
      </c>
      <c r="K1291" s="36">
        <v>0.12664036056619371</v>
      </c>
      <c r="L1291" s="36">
        <v>0.127742866270288</v>
      </c>
      <c r="M1291" s="36">
        <v>0.12885497016900307</v>
      </c>
      <c r="N1291" s="36">
        <v>0.1299767558223057</v>
      </c>
      <c r="O1291" s="36">
        <v>0.13110830751761898</v>
      </c>
      <c r="P1291" s="36">
        <v>0.13224971027615559</v>
      </c>
      <c r="Q1291" s="36">
        <v>0.13340104985930584</v>
      </c>
      <c r="R1291" s="36">
        <v>0.13438447430090569</v>
      </c>
      <c r="S1291" s="36">
        <v>0.13537514848779134</v>
      </c>
      <c r="T1291" s="36">
        <v>0.13637312586464492</v>
      </c>
      <c r="U1291" s="36">
        <v>0.13737846027013956</v>
      </c>
      <c r="V1291" s="36">
        <v>0.13839120593984378</v>
      </c>
      <c r="W1291" s="36">
        <v>0.13941141750914746</v>
      </c>
      <c r="X1291" s="36">
        <v>0.14043915001620924</v>
      </c>
      <c r="Y1291" s="36">
        <v>0.14147445890492572</v>
      </c>
      <c r="Z1291" s="36">
        <v>0.14251740002792251</v>
      </c>
      <c r="AA1291" s="36">
        <v>0.14356802964956747</v>
      </c>
      <c r="AB1291" s="36">
        <v>0.14548456212625344</v>
      </c>
      <c r="AC1291" s="36">
        <v>0.14742667896697337</v>
      </c>
      <c r="AD1291" s="36">
        <v>0.14939472170503856</v>
      </c>
      <c r="AE1291" s="36">
        <v>0.15138903643299048</v>
      </c>
      <c r="AF1291" s="36">
        <v>0.15340997386346314</v>
      </c>
      <c r="AG1291" s="36">
        <v>0.15545788939085825</v>
      </c>
      <c r="AH1291" s="36">
        <v>0.15753314315384345</v>
      </c>
      <c r="AI1291" s="36">
        <v>0.1596361000986849</v>
      </c>
      <c r="AJ1291" s="36">
        <v>0.16176713004342541</v>
      </c>
      <c r="AK1291" s="36">
        <v>0.16392660774291923</v>
      </c>
      <c r="AL1291" s="36">
        <v>0.16971532866603525</v>
      </c>
      <c r="AM1291" s="36">
        <v>0.175708466006883</v>
      </c>
      <c r="AN1291" s="36">
        <v>0.18191323829825984</v>
      </c>
      <c r="AO1291" s="36">
        <v>0.18833711898015856</v>
      </c>
      <c r="AP1291" s="36">
        <v>0.19498784540127506</v>
      </c>
      <c r="AQ1291" s="36">
        <v>0.20187342813838521</v>
      </c>
      <c r="AR1291" s="36">
        <v>0.20900216064481569</v>
      </c>
      <c r="AS1291" s="36">
        <v>0.21638262923963025</v>
      </c>
      <c r="AT1291" s="36">
        <v>0.22402372344956281</v>
      </c>
      <c r="AU1291" s="36">
        <v>0.23193464671615407</v>
      </c>
      <c r="AV1291" s="36">
        <v>0.23230388010010383</v>
      </c>
      <c r="AW1291" s="36">
        <v>0.2326737012931358</v>
      </c>
      <c r="AX1291" s="36">
        <v>0.23304411123102539</v>
      </c>
      <c r="AY1291" s="36">
        <v>0.23341511085103775</v>
      </c>
      <c r="AZ1291" s="36">
        <v>14.1853952052025</v>
      </c>
    </row>
    <row r="1292" spans="1:52" ht="12" customHeight="1" x14ac:dyDescent="0.2">
      <c r="A1292" t="s">
        <v>116</v>
      </c>
      <c r="B1292" t="str">
        <f t="shared" si="438"/>
        <v>CSA</v>
      </c>
      <c r="C1292" t="str">
        <f t="shared" si="439"/>
        <v>NB</v>
      </c>
      <c r="D1292" s="36">
        <v>0.10538758810540103</v>
      </c>
      <c r="E1292" s="36">
        <v>0.10617026888265541</v>
      </c>
      <c r="F1292" s="36">
        <v>0.1071026834692909</v>
      </c>
      <c r="G1292" s="56">
        <v>0.10804328676045281</v>
      </c>
      <c r="H1292" s="36">
        <v>0.10898389005161474</v>
      </c>
      <c r="I1292" s="36">
        <v>0.10993268204730308</v>
      </c>
      <c r="J1292" s="36">
        <v>0.11088973403674514</v>
      </c>
      <c r="K1292" s="36">
        <v>0.11185511792979801</v>
      </c>
      <c r="L1292" s="36">
        <v>0.11282890626235162</v>
      </c>
      <c r="M1292" s="36">
        <v>0.1138111722017789</v>
      </c>
      <c r="N1292" s="36">
        <v>0.11480198955243334</v>
      </c>
      <c r="O1292" s="36">
        <v>0.11580143276119438</v>
      </c>
      <c r="P1292" s="36">
        <v>0.11680957692306113</v>
      </c>
      <c r="Q1292" s="36">
        <v>0.11782649778679478</v>
      </c>
      <c r="R1292" s="36">
        <v>0.11869510757595202</v>
      </c>
      <c r="S1292" s="36">
        <v>0.11957012070374692</v>
      </c>
      <c r="T1292" s="36">
        <v>0.12045158437520323</v>
      </c>
      <c r="U1292" s="36">
        <v>0.12133954614333724</v>
      </c>
      <c r="V1292" s="36">
        <v>0.12223405391172319</v>
      </c>
      <c r="W1292" s="36">
        <v>0.12313515593707758</v>
      </c>
      <c r="X1292" s="36">
        <v>0.12404290083186248</v>
      </c>
      <c r="Y1292" s="36">
        <v>0.12495733756690809</v>
      </c>
      <c r="Z1292" s="36">
        <v>0.1258785154740546</v>
      </c>
      <c r="AA1292" s="36">
        <v>0.12680648424881349</v>
      </c>
      <c r="AB1292" s="36">
        <v>0.12849926185334301</v>
      </c>
      <c r="AC1292" s="36">
        <v>0.13021463685133686</v>
      </c>
      <c r="AD1292" s="36">
        <v>0.13195291090214473</v>
      </c>
      <c r="AE1292" s="36">
        <v>0.13371438969205701</v>
      </c>
      <c r="AF1292" s="36">
        <v>0.13549938298806163</v>
      </c>
      <c r="AG1292" s="36">
        <v>0.1373082046923185</v>
      </c>
      <c r="AH1292" s="36">
        <v>0.13914117289736111</v>
      </c>
      <c r="AI1292" s="36">
        <v>0.14099860994203517</v>
      </c>
      <c r="AJ1292" s="36">
        <v>0.14288084246818381</v>
      </c>
      <c r="AK1292" s="36">
        <v>0.1447882014780896</v>
      </c>
      <c r="AL1292" s="36">
        <v>0.14990109012293351</v>
      </c>
      <c r="AM1292" s="36">
        <v>0.15519452960014984</v>
      </c>
      <c r="AN1292" s="36">
        <v>0.16067489567994106</v>
      </c>
      <c r="AO1292" s="36">
        <v>0.1663487892793292</v>
      </c>
      <c r="AP1292" s="36">
        <v>0.17222304441273883</v>
      </c>
      <c r="AQ1292" s="36">
        <v>0.17830473642333816</v>
      </c>
      <c r="AR1292" s="36">
        <v>0.18460119050505236</v>
      </c>
      <c r="AS1292" s="36">
        <v>0.19111999052551384</v>
      </c>
      <c r="AT1292" s="36">
        <v>0.19786898816057633</v>
      </c>
      <c r="AU1292" s="36">
        <v>0.20485631235139487</v>
      </c>
      <c r="AV1292" s="36">
        <v>0.20518243779450532</v>
      </c>
      <c r="AW1292" s="36">
        <v>0.20550908242007798</v>
      </c>
      <c r="AX1292" s="36">
        <v>0.2058362470546366</v>
      </c>
      <c r="AY1292" s="36">
        <v>0.20616393252602075</v>
      </c>
      <c r="AZ1292" s="36">
        <v>15.1853952052025</v>
      </c>
    </row>
    <row r="1293" spans="1:52" ht="12" customHeight="1" x14ac:dyDescent="0.2">
      <c r="A1293" t="s">
        <v>117</v>
      </c>
      <c r="B1293" t="str">
        <f t="shared" si="438"/>
        <v>USA</v>
      </c>
      <c r="C1293" t="str">
        <f t="shared" si="439"/>
        <v>WB</v>
      </c>
      <c r="D1293" s="36">
        <v>0.10251562768868437</v>
      </c>
      <c r="E1293" s="36">
        <v>0.10327697931084934</v>
      </c>
      <c r="F1293" s="36">
        <v>0.10454224035624289</v>
      </c>
      <c r="G1293" s="56">
        <v>0.10582300229567569</v>
      </c>
      <c r="H1293" s="36">
        <v>0.10710376423510849</v>
      </c>
      <c r="I1293" s="36">
        <v>0.10840002706858053</v>
      </c>
      <c r="J1293" s="36">
        <v>0.10971197840138254</v>
      </c>
      <c r="K1293" s="36">
        <v>0.11103980810936755</v>
      </c>
      <c r="L1293" s="36">
        <v>0.11238370836643113</v>
      </c>
      <c r="M1293" s="36">
        <v>0.11374387367232439</v>
      </c>
      <c r="N1293" s="36">
        <v>0.1151205008808034</v>
      </c>
      <c r="O1293" s="36">
        <v>0.11651378922811953</v>
      </c>
      <c r="P1293" s="36">
        <v>0.11792394036185436</v>
      </c>
      <c r="Q1293" s="36">
        <v>0.11935115837010375</v>
      </c>
      <c r="R1293" s="36">
        <v>0.1200450852186294</v>
      </c>
      <c r="S1293" s="36">
        <v>0.12074304666956429</v>
      </c>
      <c r="T1293" s="36">
        <v>0.12144506618073632</v>
      </c>
      <c r="U1293" s="36">
        <v>0.122151167346361</v>
      </c>
      <c r="V1293" s="36">
        <v>0.12286137389783441</v>
      </c>
      <c r="W1293" s="36">
        <v>0.12357570970453079</v>
      </c>
      <c r="X1293" s="36">
        <v>0.12429419877460474</v>
      </c>
      <c r="Y1293" s="36">
        <v>0.12501686525579817</v>
      </c>
      <c r="Z1293" s="36">
        <v>0.12574373343625181</v>
      </c>
      <c r="AA1293" s="36">
        <v>0.12647482774532157</v>
      </c>
      <c r="AB1293" s="36">
        <v>0.1276416238104629</v>
      </c>
      <c r="AC1293" s="36">
        <v>0.12881918417615243</v>
      </c>
      <c r="AD1293" s="36">
        <v>0.13000760814866116</v>
      </c>
      <c r="AE1293" s="36">
        <v>0.13120699595041216</v>
      </c>
      <c r="AF1293" s="36">
        <v>0.13241744872843242</v>
      </c>
      <c r="AG1293" s="36">
        <v>0.13363906856288288</v>
      </c>
      <c r="AH1293" s="36">
        <v>0.13487195847566708</v>
      </c>
      <c r="AI1293" s="36">
        <v>0.13611622243911917</v>
      </c>
      <c r="AJ1293" s="36">
        <v>0.13737196538477217</v>
      </c>
      <c r="AK1293" s="36">
        <v>0.13863929321220711</v>
      </c>
      <c r="AL1293" s="36">
        <v>0.14125523430307244</v>
      </c>
      <c r="AM1293" s="36">
        <v>0.14392053476120173</v>
      </c>
      <c r="AN1293" s="36">
        <v>0.14663612593292585</v>
      </c>
      <c r="AO1293" s="36">
        <v>0.14940295673785575</v>
      </c>
      <c r="AP1293" s="36">
        <v>0.15222199400046724</v>
      </c>
      <c r="AQ1293" s="36">
        <v>0.15509422278794216</v>
      </c>
      <c r="AR1293" s="36">
        <v>0.15802064675438429</v>
      </c>
      <c r="AS1293" s="36">
        <v>0.16100228849153009</v>
      </c>
      <c r="AT1293" s="36">
        <v>0.16404018988607691</v>
      </c>
      <c r="AU1293" s="36">
        <v>0.16713541248375355</v>
      </c>
      <c r="AV1293" s="36">
        <v>0.16821744679631098</v>
      </c>
      <c r="AW1293" s="36">
        <v>0.16930648619675587</v>
      </c>
      <c r="AX1293" s="36">
        <v>0.17040257603601258</v>
      </c>
      <c r="AY1293" s="36">
        <v>0.17150576195860734</v>
      </c>
      <c r="AZ1293" s="36">
        <v>16.1853952052025</v>
      </c>
    </row>
    <row r="1294" spans="1:52" ht="12" customHeight="1" x14ac:dyDescent="0.2">
      <c r="A1294" t="s">
        <v>118</v>
      </c>
      <c r="B1294" t="str">
        <f t="shared" si="438"/>
        <v>CAN</v>
      </c>
      <c r="C1294" t="str">
        <f t="shared" si="439"/>
        <v>WB</v>
      </c>
      <c r="D1294" s="36">
        <v>0.10663792174803798</v>
      </c>
      <c r="E1294" s="36">
        <v>0.10742988836364238</v>
      </c>
      <c r="F1294" s="36">
        <v>0.10874602729183831</v>
      </c>
      <c r="G1294" s="56">
        <v>0.11007829042629284</v>
      </c>
      <c r="H1294" s="36">
        <v>0.11141055356074737</v>
      </c>
      <c r="I1294" s="36">
        <v>0.11275894090146049</v>
      </c>
      <c r="J1294" s="36">
        <v>0.11412364759758911</v>
      </c>
      <c r="K1294" s="36">
        <v>0.11550487116015483</v>
      </c>
      <c r="L1294" s="36">
        <v>0.11690281149062927</v>
      </c>
      <c r="M1294" s="36">
        <v>0.11831767090986541</v>
      </c>
      <c r="N1294" s="36">
        <v>0.119749654187379</v>
      </c>
      <c r="O1294" s="36">
        <v>0.12119896857098443</v>
      </c>
      <c r="P1294" s="36">
        <v>0.12266582381678925</v>
      </c>
      <c r="Q1294" s="36">
        <v>0.12415043221955173</v>
      </c>
      <c r="R1294" s="36">
        <v>0.12487226281884979</v>
      </c>
      <c r="S1294" s="36">
        <v>0.12559829025745617</v>
      </c>
      <c r="T1294" s="36">
        <v>0.12632853893647022</v>
      </c>
      <c r="U1294" s="36">
        <v>0.12706303339886324</v>
      </c>
      <c r="V1294" s="36">
        <v>0.12780179833030331</v>
      </c>
      <c r="W1294" s="36">
        <v>0.12854485855998493</v>
      </c>
      <c r="X1294" s="36">
        <v>0.12929223906146359</v>
      </c>
      <c r="Y1294" s="36">
        <v>0.13004396495349499</v>
      </c>
      <c r="Z1294" s="36">
        <v>0.13080006150087933</v>
      </c>
      <c r="AA1294" s="36">
        <v>0.13156055411531048</v>
      </c>
      <c r="AB1294" s="36">
        <v>0.1327742686512865</v>
      </c>
      <c r="AC1294" s="36">
        <v>0.1339991803351063</v>
      </c>
      <c r="AD1294" s="36">
        <v>0.13523539246628236</v>
      </c>
      <c r="AE1294" s="36">
        <v>0.13648300929731885</v>
      </c>
      <c r="AF1294" s="36">
        <v>0.13774213604250354</v>
      </c>
      <c r="AG1294" s="36">
        <v>0.13901287888678074</v>
      </c>
      <c r="AH1294" s="36">
        <v>0.14029534499470606</v>
      </c>
      <c r="AI1294" s="36">
        <v>0.14158964251948386</v>
      </c>
      <c r="AJ1294" s="36">
        <v>0.14289588061208813</v>
      </c>
      <c r="AK1294" s="36">
        <v>0.14421416943046733</v>
      </c>
      <c r="AL1294" s="36">
        <v>0.1469353011021409</v>
      </c>
      <c r="AM1294" s="36">
        <v>0.14970777694896609</v>
      </c>
      <c r="AN1294" s="36">
        <v>0.15253256576798771</v>
      </c>
      <c r="AO1294" s="36">
        <v>0.15541065463617637</v>
      </c>
      <c r="AP1294" s="36">
        <v>0.1583430492553467</v>
      </c>
      <c r="AQ1294" s="36">
        <v>0.16133077430358364</v>
      </c>
      <c r="AR1294" s="36">
        <v>0.16437487379329963</v>
      </c>
      <c r="AS1294" s="36">
        <v>0.16747641143604805</v>
      </c>
      <c r="AT1294" s="36">
        <v>0.17063647101422003</v>
      </c>
      <c r="AU1294" s="36">
        <v>0.17385615675975474</v>
      </c>
      <c r="AV1294" s="36">
        <v>0.17498170115676701</v>
      </c>
      <c r="AW1294" s="36">
        <v>0.17611453232586291</v>
      </c>
      <c r="AX1294" s="36">
        <v>0.17725469744158975</v>
      </c>
      <c r="AY1294" s="36">
        <v>0.17840224398390275</v>
      </c>
      <c r="AZ1294" s="36">
        <v>17.1853952052025</v>
      </c>
    </row>
    <row r="1295" spans="1:52" ht="12" customHeight="1" x14ac:dyDescent="0.2">
      <c r="A1295" t="s">
        <v>119</v>
      </c>
      <c r="B1295" t="str">
        <f t="shared" si="438"/>
        <v>MXC</v>
      </c>
      <c r="C1295" t="str">
        <f t="shared" si="439"/>
        <v>WB</v>
      </c>
      <c r="D1295" s="36">
        <v>0.10385590633015943</v>
      </c>
      <c r="E1295" s="36">
        <v>0.10462721178415321</v>
      </c>
      <c r="F1295" s="36">
        <v>0.10590901472070292</v>
      </c>
      <c r="G1295" s="56">
        <v>0.10720652120836643</v>
      </c>
      <c r="H1295" s="36">
        <v>0.10850402769602994</v>
      </c>
      <c r="I1295" s="36">
        <v>0.10981723773480727</v>
      </c>
      <c r="J1295" s="36">
        <v>0.11114634138272117</v>
      </c>
      <c r="K1295" s="36">
        <v>0.11249153099804179</v>
      </c>
      <c r="L1295" s="36">
        <v>0.11385300126712623</v>
      </c>
      <c r="M1295" s="36">
        <v>0.11523094923259505</v>
      </c>
      <c r="N1295" s="36">
        <v>0.11662557432184988</v>
      </c>
      <c r="O1295" s="36">
        <v>0.11803707837593604</v>
      </c>
      <c r="P1295" s="36">
        <v>0.11946566567875462</v>
      </c>
      <c r="Q1295" s="36">
        <v>0.12091154298662801</v>
      </c>
      <c r="R1295" s="36">
        <v>0.12161454216251286</v>
      </c>
      <c r="S1295" s="36">
        <v>0.1223216286887787</v>
      </c>
      <c r="T1295" s="36">
        <v>0.12303282632993869</v>
      </c>
      <c r="U1295" s="36">
        <v>0.12374815898867661</v>
      </c>
      <c r="V1295" s="36">
        <v>0.12446765070665036</v>
      </c>
      <c r="W1295" s="36">
        <v>0.12519132566529989</v>
      </c>
      <c r="X1295" s="36">
        <v>0.12591920818665991</v>
      </c>
      <c r="Y1295" s="36">
        <v>0.12665132273417737</v>
      </c>
      <c r="Z1295" s="36">
        <v>0.12738769391353366</v>
      </c>
      <c r="AA1295" s="36">
        <v>0.12812834647347154</v>
      </c>
      <c r="AB1295" s="36">
        <v>0.12931039710887035</v>
      </c>
      <c r="AC1295" s="36">
        <v>0.13050335277616182</v>
      </c>
      <c r="AD1295" s="36">
        <v>0.13170731407993683</v>
      </c>
      <c r="AE1295" s="36">
        <v>0.13292238255291594</v>
      </c>
      <c r="AF1295" s="36">
        <v>0.13414866066451189</v>
      </c>
      <c r="AG1295" s="36">
        <v>0.13538625182947098</v>
      </c>
      <c r="AH1295" s="36">
        <v>0.13663526041659441</v>
      </c>
      <c r="AI1295" s="36">
        <v>0.13789579175753977</v>
      </c>
      <c r="AJ1295" s="36">
        <v>0.13916795215570404</v>
      </c>
      <c r="AK1295" s="36">
        <v>0.14045184889518833</v>
      </c>
      <c r="AL1295" s="36">
        <v>0.14310199052747835</v>
      </c>
      <c r="AM1295" s="36">
        <v>0.14580213684626017</v>
      </c>
      <c r="AN1295" s="36">
        <v>0.14855323137418958</v>
      </c>
      <c r="AO1295" s="36">
        <v>0.15135623543695373</v>
      </c>
      <c r="AP1295" s="36">
        <v>0.15421212849919097</v>
      </c>
      <c r="AQ1295" s="36">
        <v>0.15712190850674887</v>
      </c>
      <c r="AR1295" s="36">
        <v>0.16008659223540048</v>
      </c>
      <c r="AS1295" s="36">
        <v>0.16310721564614011</v>
      </c>
      <c r="AT1295" s="36">
        <v>0.16618483424718331</v>
      </c>
      <c r="AU1295" s="36">
        <v>0.16932052346279722</v>
      </c>
      <c r="AV1295" s="36">
        <v>0.17041670417928509</v>
      </c>
      <c r="AW1295" s="36">
        <v>0.17151998156744999</v>
      </c>
      <c r="AX1295" s="36">
        <v>0.1726304015711296</v>
      </c>
      <c r="AY1295" s="36">
        <v>0.1737480104316019</v>
      </c>
      <c r="AZ1295" s="36">
        <v>18.1853952052025</v>
      </c>
    </row>
    <row r="1296" spans="1:52" ht="12" customHeight="1" x14ac:dyDescent="0.2">
      <c r="A1296" t="s">
        <v>120</v>
      </c>
      <c r="B1296" t="str">
        <f t="shared" si="438"/>
        <v>EUR</v>
      </c>
      <c r="C1296" t="str">
        <f t="shared" si="439"/>
        <v>WB</v>
      </c>
      <c r="D1296" s="36">
        <v>8.4937289164402865E-2</v>
      </c>
      <c r="E1296" s="36">
        <v>8.5568091943897043E-2</v>
      </c>
      <c r="F1296" s="36">
        <v>8.6616398877230188E-2</v>
      </c>
      <c r="G1296" s="56">
        <v>8.7677548768744465E-2</v>
      </c>
      <c r="H1296" s="36">
        <v>8.8738698660258741E-2</v>
      </c>
      <c r="I1296" s="36">
        <v>8.9812691509954135E-2</v>
      </c>
      <c r="J1296" s="36">
        <v>9.0899682754471758E-2</v>
      </c>
      <c r="K1296" s="36">
        <v>9.1999829711682024E-2</v>
      </c>
      <c r="L1296" s="36">
        <v>9.3113291603452941E-2</v>
      </c>
      <c r="M1296" s="36">
        <v>9.4240229578693921E-2</v>
      </c>
      <c r="N1296" s="36">
        <v>9.5380806736678522E-2</v>
      </c>
      <c r="O1296" s="36">
        <v>9.6535188150649473E-2</v>
      </c>
      <c r="P1296" s="36">
        <v>9.7703540891709323E-2</v>
      </c>
      <c r="Q1296" s="36">
        <v>9.888603405300031E-2</v>
      </c>
      <c r="R1296" s="36">
        <v>9.9460973374165595E-2</v>
      </c>
      <c r="S1296" s="36">
        <v>0.10003925548510083</v>
      </c>
      <c r="T1296" s="36">
        <v>0.10062089982132386</v>
      </c>
      <c r="U1296" s="36">
        <v>0.10120592593135377</v>
      </c>
      <c r="V1296" s="36">
        <v>0.10179435347736791</v>
      </c>
      <c r="W1296" s="36">
        <v>0.10238620223586266</v>
      </c>
      <c r="X1296" s="36">
        <v>0.10298149209831814</v>
      </c>
      <c r="Y1296" s="36">
        <v>0.10358024307186675</v>
      </c>
      <c r="Z1296" s="36">
        <v>0.10418247527996559</v>
      </c>
      <c r="AA1296" s="36">
        <v>0.10478820896307274</v>
      </c>
      <c r="AB1296" s="36">
        <v>0.10575493469080037</v>
      </c>
      <c r="AC1296" s="36">
        <v>0.10673057896615752</v>
      </c>
      <c r="AD1296" s="36">
        <v>0.10771522406738461</v>
      </c>
      <c r="AE1296" s="36">
        <v>0.10870895303178157</v>
      </c>
      <c r="AF1296" s="36">
        <v>0.10971184966271065</v>
      </c>
      <c r="AG1296" s="36">
        <v>0.11072399853666368</v>
      </c>
      <c r="AH1296" s="36">
        <v>0.11174548501039461</v>
      </c>
      <c r="AI1296" s="36">
        <v>0.11277639522811786</v>
      </c>
      <c r="AJ1296" s="36">
        <v>0.11381681612877301</v>
      </c>
      <c r="AK1296" s="36">
        <v>0.11486683545335659</v>
      </c>
      <c r="AL1296" s="36">
        <v>0.11703422153761892</v>
      </c>
      <c r="AM1296" s="36">
        <v>0.11924250334621903</v>
      </c>
      <c r="AN1296" s="36">
        <v>0.12149245252767919</v>
      </c>
      <c r="AO1296" s="36">
        <v>0.12378485529051424</v>
      </c>
      <c r="AP1296" s="36">
        <v>0.12612051267795946</v>
      </c>
      <c r="AQ1296" s="36">
        <v>0.12850024084788225</v>
      </c>
      <c r="AR1296" s="36">
        <v>0.1309248713579754</v>
      </c>
      <c r="AS1296" s="36">
        <v>0.13339525145633144</v>
      </c>
      <c r="AT1296" s="36">
        <v>0.13591224437749996</v>
      </c>
      <c r="AU1296" s="36">
        <v>0.13847672964413091</v>
      </c>
      <c r="AV1296" s="36">
        <v>0.13937322770363256</v>
      </c>
      <c r="AW1296" s="36">
        <v>0.1402755296897055</v>
      </c>
      <c r="AX1296" s="36">
        <v>0.14118367317695829</v>
      </c>
      <c r="AY1296" s="36">
        <v>0.14209769598325744</v>
      </c>
      <c r="AZ1296" s="36">
        <v>19.1853952052025</v>
      </c>
    </row>
    <row r="1297" spans="1:52" ht="12" customHeight="1" x14ac:dyDescent="0.2">
      <c r="A1297" t="s">
        <v>121</v>
      </c>
      <c r="B1297" t="str">
        <f t="shared" si="438"/>
        <v>JPN</v>
      </c>
      <c r="C1297" t="str">
        <f t="shared" si="439"/>
        <v>WB</v>
      </c>
      <c r="D1297" s="36">
        <v>0.10063011760005584</v>
      </c>
      <c r="E1297" s="36">
        <v>0.10137746612633239</v>
      </c>
      <c r="F1297" s="36">
        <v>0.1026194559640123</v>
      </c>
      <c r="G1297" s="56">
        <v>0.10387666159683723</v>
      </c>
      <c r="H1297" s="36">
        <v>0.10513386722966216</v>
      </c>
      <c r="I1297" s="36">
        <v>0.10640628865763212</v>
      </c>
      <c r="J1297" s="36">
        <v>0.10769411003552326</v>
      </c>
      <c r="K1297" s="36">
        <v>0.10899751774691288</v>
      </c>
      <c r="L1297" s="36">
        <v>0.11031670043115431</v>
      </c>
      <c r="M1297" s="36">
        <v>0.11165184901067826</v>
      </c>
      <c r="N1297" s="36">
        <v>0.11300315671862464</v>
      </c>
      <c r="O1297" s="36">
        <v>0.11437081912680873</v>
      </c>
      <c r="P1297" s="36">
        <v>0.11575503417402587</v>
      </c>
      <c r="Q1297" s="36">
        <v>0.11715600219469875</v>
      </c>
      <c r="R1297" s="36">
        <v>0.11783716605183309</v>
      </c>
      <c r="S1297" s="36">
        <v>0.11852229030529006</v>
      </c>
      <c r="T1297" s="36">
        <v>0.11921139798145144</v>
      </c>
      <c r="U1297" s="36">
        <v>0.11990451224057812</v>
      </c>
      <c r="V1297" s="36">
        <v>0.12060165637758845</v>
      </c>
      <c r="W1297" s="36">
        <v>0.1213028538228412</v>
      </c>
      <c r="X1297" s="36">
        <v>0.12200812814292301</v>
      </c>
      <c r="Y1297" s="36">
        <v>0.12271750304144045</v>
      </c>
      <c r="Z1297" s="36">
        <v>0.12343100235981669</v>
      </c>
      <c r="AA1297" s="36">
        <v>0.12414865007809274</v>
      </c>
      <c r="AB1297" s="36">
        <v>0.12529398594441565</v>
      </c>
      <c r="AC1297" s="36">
        <v>0.12644988812979124</v>
      </c>
      <c r="AD1297" s="36">
        <v>0.12761645411400829</v>
      </c>
      <c r="AE1297" s="36">
        <v>0.12879378227615734</v>
      </c>
      <c r="AF1297" s="36">
        <v>0.12998197190292718</v>
      </c>
      <c r="AG1297" s="36">
        <v>0.13118112319697792</v>
      </c>
      <c r="AH1297" s="36">
        <v>0.1323913372853914</v>
      </c>
      <c r="AI1297" s="36">
        <v>0.13361271622819931</v>
      </c>
      <c r="AJ1297" s="36">
        <v>0.13484536302699029</v>
      </c>
      <c r="AK1297" s="36">
        <v>0.13608938163359613</v>
      </c>
      <c r="AL1297" s="36">
        <v>0.13865720924723571</v>
      </c>
      <c r="AM1297" s="36">
        <v>0.14127348839011453</v>
      </c>
      <c r="AN1297" s="36">
        <v>0.1439391332788541</v>
      </c>
      <c r="AO1297" s="36">
        <v>0.14665507538014103</v>
      </c>
      <c r="AP1297" s="36">
        <v>0.14942226373621298</v>
      </c>
      <c r="AQ1297" s="36">
        <v>0.15224166529648622</v>
      </c>
      <c r="AR1297" s="36">
        <v>0.15511426525544056</v>
      </c>
      <c r="AS1297" s="36">
        <v>0.15804106739687968</v>
      </c>
      <c r="AT1297" s="36">
        <v>0.16102309444468718</v>
      </c>
      <c r="AU1297" s="36">
        <v>0.16406138842020104</v>
      </c>
      <c r="AV1297" s="36">
        <v>0.16512352150736909</v>
      </c>
      <c r="AW1297" s="36">
        <v>0.16619253084193281</v>
      </c>
      <c r="AX1297" s="36">
        <v>0.16726846094070355</v>
      </c>
      <c r="AY1297" s="36">
        <v>0.16835135660869438</v>
      </c>
      <c r="AZ1297" s="36">
        <v>20.1853952052025</v>
      </c>
    </row>
    <row r="1298" spans="1:52" ht="12" customHeight="1" x14ac:dyDescent="0.2">
      <c r="A1298" t="s">
        <v>122</v>
      </c>
      <c r="B1298" t="str">
        <f t="shared" si="438"/>
        <v>ANZ</v>
      </c>
      <c r="C1298" t="str">
        <f t="shared" si="439"/>
        <v>WB</v>
      </c>
      <c r="D1298" s="36">
        <v>0.10107820514150768</v>
      </c>
      <c r="E1298" s="36">
        <v>0.10182888147432698</v>
      </c>
      <c r="F1298" s="36">
        <v>0.10307640166600175</v>
      </c>
      <c r="G1298" s="56">
        <v>0.10433920540597937</v>
      </c>
      <c r="H1298" s="36">
        <v>0.10560200914595698</v>
      </c>
      <c r="I1298" s="36">
        <v>0.10688009643423743</v>
      </c>
      <c r="J1298" s="36">
        <v>0.10817365224560446</v>
      </c>
      <c r="K1298" s="36">
        <v>0.10948286379356742</v>
      </c>
      <c r="L1298" s="36">
        <v>0.11080792055745622</v>
      </c>
      <c r="M1298" s="36">
        <v>0.11214901430984432</v>
      </c>
      <c r="N1298" s="36">
        <v>0.11350633914430351</v>
      </c>
      <c r="O1298" s="36">
        <v>0.11488009150349465</v>
      </c>
      <c r="P1298" s="36">
        <v>0.11627047020759843</v>
      </c>
      <c r="Q1298" s="36">
        <v>0.11767767648309012</v>
      </c>
      <c r="R1298" s="36">
        <v>0.11836187343851896</v>
      </c>
      <c r="S1298" s="36">
        <v>0.11905004842519221</v>
      </c>
      <c r="T1298" s="36">
        <v>0.11974222457202391</v>
      </c>
      <c r="U1298" s="36">
        <v>0.12043842514240337</v>
      </c>
      <c r="V1298" s="36">
        <v>0.12113867353497695</v>
      </c>
      <c r="W1298" s="36">
        <v>0.12184299328443454</v>
      </c>
      <c r="X1298" s="36">
        <v>0.12255140806230048</v>
      </c>
      <c r="Y1298" s="36">
        <v>0.12326394167772918</v>
      </c>
      <c r="Z1298" s="36">
        <v>0.12398061807830529</v>
      </c>
      <c r="AA1298" s="36">
        <v>0.1247014613508486</v>
      </c>
      <c r="AB1298" s="36">
        <v>0.12585189718867823</v>
      </c>
      <c r="AC1298" s="36">
        <v>0.12701294639545016</v>
      </c>
      <c r="AD1298" s="36">
        <v>0.12818470688501288</v>
      </c>
      <c r="AE1298" s="36">
        <v>0.12936727747452106</v>
      </c>
      <c r="AF1298" s="36">
        <v>0.13056075789276897</v>
      </c>
      <c r="AG1298" s="36">
        <v>0.13176524878860094</v>
      </c>
      <c r="AH1298" s="36">
        <v>0.13298085173939916</v>
      </c>
      <c r="AI1298" s="36">
        <v>0.13420766925965005</v>
      </c>
      <c r="AJ1298" s="36">
        <v>0.13544580480958951</v>
      </c>
      <c r="AK1298" s="36">
        <v>0.13669536280392786</v>
      </c>
      <c r="AL1298" s="36">
        <v>0.13927462448511807</v>
      </c>
      <c r="AM1298" s="36">
        <v>0.14190255344136135</v>
      </c>
      <c r="AN1298" s="36">
        <v>0.14458006796011891</v>
      </c>
      <c r="AO1298" s="36">
        <v>0.14730810365572844</v>
      </c>
      <c r="AP1298" s="36">
        <v>0.15008761379633942</v>
      </c>
      <c r="AQ1298" s="36">
        <v>0.15291956963701736</v>
      </c>
      <c r="AR1298" s="36">
        <v>0.15580496075913319</v>
      </c>
      <c r="AS1298" s="36">
        <v>0.1587447954161566</v>
      </c>
      <c r="AT1298" s="36">
        <v>0.16174010088597396</v>
      </c>
      <c r="AU1298" s="36">
        <v>0.164791923829854</v>
      </c>
      <c r="AV1298" s="36">
        <v>0.16585878640174365</v>
      </c>
      <c r="AW1298" s="36">
        <v>0.16693255583970323</v>
      </c>
      <c r="AX1298" s="36">
        <v>0.16801327685876929</v>
      </c>
      <c r="AY1298" s="36">
        <v>0.16910099446346347</v>
      </c>
      <c r="AZ1298" s="36">
        <v>21.1853952052025</v>
      </c>
    </row>
    <row r="1299" spans="1:52" ht="12" customHeight="1" x14ac:dyDescent="0.2">
      <c r="A1299" t="s">
        <v>123</v>
      </c>
      <c r="B1299" t="str">
        <f t="shared" si="438"/>
        <v>SKO</v>
      </c>
      <c r="C1299" t="str">
        <f t="shared" si="439"/>
        <v>WB</v>
      </c>
      <c r="D1299" s="36">
        <v>9.7038601367048491E-2</v>
      </c>
      <c r="E1299" s="36">
        <v>9.7759276821407309E-2</v>
      </c>
      <c r="F1299" s="36">
        <v>9.8956939704397714E-2</v>
      </c>
      <c r="G1299" s="56">
        <v>0.1001692753266711</v>
      </c>
      <c r="H1299" s="36">
        <v>0.10138161094894448</v>
      </c>
      <c r="I1299" s="36">
        <v>0.10260861931050083</v>
      </c>
      <c r="J1299" s="36">
        <v>0.10385047799358232</v>
      </c>
      <c r="K1299" s="36">
        <v>0.10510736672968576</v>
      </c>
      <c r="L1299" s="36">
        <v>0.10637946742557471</v>
      </c>
      <c r="M1299" s="36">
        <v>0.10766696418960646</v>
      </c>
      <c r="N1299" s="36">
        <v>0.10897004335837766</v>
      </c>
      <c r="O1299" s="36">
        <v>0.11028889352369238</v>
      </c>
      <c r="P1299" s="36">
        <v>0.1116237055598566</v>
      </c>
      <c r="Q1299" s="36">
        <v>0.11297467265130302</v>
      </c>
      <c r="R1299" s="36">
        <v>0.11363152558534018</v>
      </c>
      <c r="S1299" s="36">
        <v>0.11429219756807937</v>
      </c>
      <c r="T1299" s="36">
        <v>0.11495671080408458</v>
      </c>
      <c r="U1299" s="36">
        <v>0.11562508762702067</v>
      </c>
      <c r="V1299" s="36">
        <v>0.11629735050040405</v>
      </c>
      <c r="W1299" s="36">
        <v>0.1169735220183576</v>
      </c>
      <c r="X1299" s="36">
        <v>0.1176536249063701</v>
      </c>
      <c r="Y1299" s="36">
        <v>0.11833768202205995</v>
      </c>
      <c r="Z1299" s="36">
        <v>0.11902571635594345</v>
      </c>
      <c r="AA1299" s="36">
        <v>0.11971775103220744</v>
      </c>
      <c r="AB1299" s="36">
        <v>0.12082220955033432</v>
      </c>
      <c r="AC1299" s="36">
        <v>0.1219368572727166</v>
      </c>
      <c r="AD1299" s="36">
        <v>0.12306178820006289</v>
      </c>
      <c r="AE1299" s="36">
        <v>0.12419709720028727</v>
      </c>
      <c r="AF1299" s="36">
        <v>0.12534288001650962</v>
      </c>
      <c r="AG1299" s="36">
        <v>0.12649923327512994</v>
      </c>
      <c r="AH1299" s="36">
        <v>0.127666254493977</v>
      </c>
      <c r="AI1299" s="36">
        <v>0.1288440420905323</v>
      </c>
      <c r="AJ1299" s="36">
        <v>0.13003269539022971</v>
      </c>
      <c r="AK1299" s="36">
        <v>0.13123231463483198</v>
      </c>
      <c r="AL1299" s="36">
        <v>0.1337084957833983</v>
      </c>
      <c r="AM1299" s="36">
        <v>0.13623139921296359</v>
      </c>
      <c r="AN1299" s="36">
        <v>0.13880190651150984</v>
      </c>
      <c r="AO1299" s="36">
        <v>0.14142091590142453</v>
      </c>
      <c r="AP1299" s="36">
        <v>0.14408934255337008</v>
      </c>
      <c r="AQ1299" s="36">
        <v>0.14680811890607542</v>
      </c>
      <c r="AR1299" s="36">
        <v>0.14957819499216177</v>
      </c>
      <c r="AS1299" s="36">
        <v>0.15240053877011614</v>
      </c>
      <c r="AT1299" s="36">
        <v>0.15527613646252891</v>
      </c>
      <c r="AU1299" s="36">
        <v>0.15820599290071347</v>
      </c>
      <c r="AV1299" s="36">
        <v>0.1592302181694753</v>
      </c>
      <c r="AW1299" s="36">
        <v>0.16026107427049535</v>
      </c>
      <c r="AX1299" s="36">
        <v>0.16129860413176786</v>
      </c>
      <c r="AY1299" s="36">
        <v>0.16234285095920281</v>
      </c>
      <c r="AZ1299" s="36">
        <v>22.1853952052025</v>
      </c>
    </row>
    <row r="1300" spans="1:52" ht="12" customHeight="1" x14ac:dyDescent="0.2">
      <c r="A1300" t="s">
        <v>124</v>
      </c>
      <c r="B1300" t="str">
        <f t="shared" si="438"/>
        <v>RUS</v>
      </c>
      <c r="C1300" t="str">
        <f t="shared" si="439"/>
        <v>WB</v>
      </c>
      <c r="D1300" s="36">
        <v>0.11234348605566959</v>
      </c>
      <c r="E1300" s="36">
        <v>0.1131778261194879</v>
      </c>
      <c r="F1300" s="36">
        <v>0.11456438385526659</v>
      </c>
      <c r="G1300" s="56">
        <v>0.11596792850818766</v>
      </c>
      <c r="H1300" s="36">
        <v>0.11737147316110873</v>
      </c>
      <c r="I1300" s="36">
        <v>0.11879200473117218</v>
      </c>
      <c r="J1300" s="36">
        <v>0.1202297288088118</v>
      </c>
      <c r="K1300" s="36">
        <v>0.12168485347269545</v>
      </c>
      <c r="L1300" s="36">
        <v>0.12315758931983983</v>
      </c>
      <c r="M1300" s="36">
        <v>0.12464814949608982</v>
      </c>
      <c r="N1300" s="36">
        <v>0.1261567497269665</v>
      </c>
      <c r="O1300" s="36">
        <v>0.12768360834888873</v>
      </c>
      <c r="P1300" s="36">
        <v>0.12922894634077239</v>
      </c>
      <c r="Q1300" s="36">
        <v>0.1307929873560123</v>
      </c>
      <c r="R1300" s="36">
        <v>0.13155343884022636</v>
      </c>
      <c r="S1300" s="36">
        <v>0.13231831171179101</v>
      </c>
      <c r="T1300" s="36">
        <v>0.13308763167736409</v>
      </c>
      <c r="U1300" s="36">
        <v>0.1338614245930661</v>
      </c>
      <c r="V1300" s="36">
        <v>0.13463971646534917</v>
      </c>
      <c r="W1300" s="36">
        <v>0.13542253345187111</v>
      </c>
      <c r="X1300" s="36">
        <v>0.13620990186237458</v>
      </c>
      <c r="Y1300" s="36">
        <v>0.13700184815957131</v>
      </c>
      <c r="Z1300" s="36">
        <v>0.13779839896003154</v>
      </c>
      <c r="AA1300" s="36">
        <v>0.13859958103507847</v>
      </c>
      <c r="AB1300" s="36">
        <v>0.1398782342553668</v>
      </c>
      <c r="AC1300" s="36">
        <v>0.14116868371663613</v>
      </c>
      <c r="AD1300" s="36">
        <v>0.14247103824534468</v>
      </c>
      <c r="AE1300" s="36">
        <v>0.14378540767193138</v>
      </c>
      <c r="AF1300" s="36">
        <v>0.14511190284007805</v>
      </c>
      <c r="AG1300" s="36">
        <v>0.14645063561605717</v>
      </c>
      <c r="AH1300" s="36">
        <v>0.14780171889816573</v>
      </c>
      <c r="AI1300" s="36">
        <v>0.14916526662624624</v>
      </c>
      <c r="AJ1300" s="36">
        <v>0.1505413937912955</v>
      </c>
      <c r="AK1300" s="36">
        <v>0.15193021644516208</v>
      </c>
      <c r="AL1300" s="36">
        <v>0.15479693977398506</v>
      </c>
      <c r="AM1300" s="36">
        <v>0.1577177544010126</v>
      </c>
      <c r="AN1300" s="36">
        <v>0.1606936809578878</v>
      </c>
      <c r="AO1300" s="36">
        <v>0.16372575933423031</v>
      </c>
      <c r="AP1300" s="36">
        <v>0.16681504904100899</v>
      </c>
      <c r="AQ1300" s="36">
        <v>0.16996262958077094</v>
      </c>
      <c r="AR1300" s="36">
        <v>0.17316960082485627</v>
      </c>
      <c r="AS1300" s="36">
        <v>0.17643708339773051</v>
      </c>
      <c r="AT1300" s="36">
        <v>0.17976621906856874</v>
      </c>
      <c r="AU1300" s="36">
        <v>0.18315817115022839</v>
      </c>
      <c r="AV1300" s="36">
        <v>0.18434393676904409</v>
      </c>
      <c r="AW1300" s="36">
        <v>0.18553737903200807</v>
      </c>
      <c r="AX1300" s="36">
        <v>0.18673854763769851</v>
      </c>
      <c r="AY1300" s="36">
        <v>0.1879474926064422</v>
      </c>
      <c r="AZ1300" s="36">
        <v>23.1853952052025</v>
      </c>
    </row>
    <row r="1301" spans="1:52" ht="12" customHeight="1" x14ac:dyDescent="0.2">
      <c r="A1301" t="s">
        <v>125</v>
      </c>
      <c r="B1301" t="str">
        <f t="shared" si="438"/>
        <v>URA</v>
      </c>
      <c r="C1301" t="str">
        <f t="shared" si="439"/>
        <v>WB</v>
      </c>
      <c r="D1301" s="36">
        <v>8.6574921327254112E-2</v>
      </c>
      <c r="E1301" s="36">
        <v>8.7217886290522684E-2</v>
      </c>
      <c r="F1301" s="36">
        <v>8.8286405090368822E-2</v>
      </c>
      <c r="G1301" s="56">
        <v>8.9368014466863668E-2</v>
      </c>
      <c r="H1301" s="36">
        <v>9.0449623843358515E-2</v>
      </c>
      <c r="I1301" s="36">
        <v>9.154432379650207E-2</v>
      </c>
      <c r="J1301" s="36">
        <v>9.2652272759829332E-2</v>
      </c>
      <c r="K1301" s="36">
        <v>9.37736310843756E-2</v>
      </c>
      <c r="L1301" s="36">
        <v>9.4908561061883792E-2</v>
      </c>
      <c r="M1301" s="36">
        <v>9.605722694829251E-2</v>
      </c>
      <c r="N1301" s="36">
        <v>9.721979498750849E-2</v>
      </c>
      <c r="O1301" s="36">
        <v>9.8396433435466682E-2</v>
      </c>
      <c r="P1301" s="36">
        <v>9.9587312584481599E-2</v>
      </c>
      <c r="Q1301" s="36">
        <v>0.10079260478789334</v>
      </c>
      <c r="R1301" s="36">
        <v>0.10137862921824084</v>
      </c>
      <c r="S1301" s="36">
        <v>0.10196806088896759</v>
      </c>
      <c r="T1301" s="36">
        <v>0.10256091961031769</v>
      </c>
      <c r="U1301" s="36">
        <v>0.10315722530771515</v>
      </c>
      <c r="V1301" s="36">
        <v>0.10375699802243364</v>
      </c>
      <c r="W1301" s="36">
        <v>0.10436025791226999</v>
      </c>
      <c r="X1301" s="36">
        <v>0.10496702525222172</v>
      </c>
      <c r="Y1301" s="36">
        <v>0.10557732043516845</v>
      </c>
      <c r="Z1301" s="36">
        <v>0.10619116397255728</v>
      </c>
      <c r="AA1301" s="36">
        <v>0.10680857649509216</v>
      </c>
      <c r="AB1301" s="36">
        <v>0.10779394116408995</v>
      </c>
      <c r="AC1301" s="36">
        <v>0.10878839633464456</v>
      </c>
      <c r="AD1301" s="36">
        <v>0.10979202587136078</v>
      </c>
      <c r="AE1301" s="36">
        <v>0.11080491441253801</v>
      </c>
      <c r="AF1301" s="36">
        <v>0.11182714737730799</v>
      </c>
      <c r="AG1301" s="36">
        <v>0.11285881097283837</v>
      </c>
      <c r="AH1301" s="36">
        <v>0.11389999220160275</v>
      </c>
      <c r="AI1301" s="36">
        <v>0.11495077886871782</v>
      </c>
      <c r="AJ1301" s="36">
        <v>0.11601125958934813</v>
      </c>
      <c r="AK1301" s="36">
        <v>0.1170815237961792</v>
      </c>
      <c r="AL1301" s="36">
        <v>0.11929069813617493</v>
      </c>
      <c r="AM1301" s="36">
        <v>0.12154155668992409</v>
      </c>
      <c r="AN1301" s="36">
        <v>0.12383488598370698</v>
      </c>
      <c r="AO1301" s="36">
        <v>0.12617148738452025</v>
      </c>
      <c r="AP1301" s="36">
        <v>0.12855217738010155</v>
      </c>
      <c r="AQ1301" s="36">
        <v>0.13097778786423814</v>
      </c>
      <c r="AR1301" s="36">
        <v>0.13344916642745874</v>
      </c>
      <c r="AS1301" s="36">
        <v>0.13596717665321037</v>
      </c>
      <c r="AT1301" s="36">
        <v>0.13853269841962371</v>
      </c>
      <c r="AU1301" s="36">
        <v>0.14114662820697232</v>
      </c>
      <c r="AV1301" s="36">
        <v>0.14206041118421289</v>
      </c>
      <c r="AW1301" s="36">
        <v>0.14298010999054622</v>
      </c>
      <c r="AX1301" s="36">
        <v>0.14390576292503757</v>
      </c>
      <c r="AY1301" s="36">
        <v>0.14483740853470023</v>
      </c>
      <c r="AZ1301" s="36">
        <v>24.1853952052025</v>
      </c>
    </row>
    <row r="1302" spans="1:52" ht="12" customHeight="1" x14ac:dyDescent="0.2">
      <c r="A1302" t="s">
        <v>126</v>
      </c>
      <c r="B1302" t="str">
        <f t="shared" si="438"/>
        <v>CHI</v>
      </c>
      <c r="C1302" t="str">
        <f t="shared" si="439"/>
        <v>WB</v>
      </c>
      <c r="D1302" s="36">
        <v>8.4839437176135388E-2</v>
      </c>
      <c r="E1302" s="36">
        <v>8.546951323940416E-2</v>
      </c>
      <c r="F1302" s="36">
        <v>8.6516612470928705E-2</v>
      </c>
      <c r="G1302" s="56">
        <v>8.757653986490678E-2</v>
      </c>
      <c r="H1302" s="36">
        <v>8.8636467258884855E-2</v>
      </c>
      <c r="I1302" s="36">
        <v>8.9709222815316458E-2</v>
      </c>
      <c r="J1302" s="36">
        <v>9.0794961791771947E-2</v>
      </c>
      <c r="K1302" s="36">
        <v>9.1893841324883707E-2</v>
      </c>
      <c r="L1302" s="36">
        <v>9.3006020453088215E-2</v>
      </c>
      <c r="M1302" s="36">
        <v>9.4131660139643303E-2</v>
      </c>
      <c r="N1302" s="36">
        <v>9.527092329592407E-2</v>
      </c>
      <c r="O1302" s="36">
        <v>9.6423974805000631E-2</v>
      </c>
      <c r="P1302" s="36">
        <v>9.7590981545501304E-2</v>
      </c>
      <c r="Q1302" s="36">
        <v>9.8772112415764599E-2</v>
      </c>
      <c r="R1302" s="36">
        <v>9.9346389378191305E-2</v>
      </c>
      <c r="S1302" s="36">
        <v>9.9924005279327613E-2</v>
      </c>
      <c r="T1302" s="36">
        <v>0.1005049795323007</v>
      </c>
      <c r="U1302" s="36">
        <v>0.10108933166310879</v>
      </c>
      <c r="V1302" s="36">
        <v>0.10167708131127741</v>
      </c>
      <c r="W1302" s="36">
        <v>0.10226824823051943</v>
      </c>
      <c r="X1302" s="36">
        <v>0.10286285228939901</v>
      </c>
      <c r="Y1302" s="36">
        <v>0.10346091347199933</v>
      </c>
      <c r="Z1302" s="36">
        <v>0.10406245187859424</v>
      </c>
      <c r="AA1302" s="36">
        <v>0.10466748772632384</v>
      </c>
      <c r="AB1302" s="36">
        <v>0.10563309973785569</v>
      </c>
      <c r="AC1302" s="36">
        <v>0.10660762002240592</v>
      </c>
      <c r="AD1302" s="36">
        <v>0.10759113076342632</v>
      </c>
      <c r="AE1302" s="36">
        <v>0.1085837149025537</v>
      </c>
      <c r="AF1302" s="36">
        <v>0.10958545614660466</v>
      </c>
      <c r="AG1302" s="36">
        <v>0.1105964389746347</v>
      </c>
      <c r="AH1302" s="36">
        <v>0.11161674864506255</v>
      </c>
      <c r="AI1302" s="36">
        <v>0.1126464712028602</v>
      </c>
      <c r="AJ1302" s="36">
        <v>0.11368569348680924</v>
      </c>
      <c r="AK1302" s="36">
        <v>0.11473450313682421</v>
      </c>
      <c r="AL1302" s="36">
        <v>0.11689939228434916</v>
      </c>
      <c r="AM1302" s="36">
        <v>0.11910513004230024</v>
      </c>
      <c r="AN1302" s="36">
        <v>0.12135248717022216</v>
      </c>
      <c r="AO1302" s="36">
        <v>0.12364224897087842</v>
      </c>
      <c r="AP1302" s="36">
        <v>0.12597521556466254</v>
      </c>
      <c r="AQ1302" s="36">
        <v>0.12835220216918747</v>
      </c>
      <c r="AR1302" s="36">
        <v>0.13077403938415005</v>
      </c>
      <c r="AS1302" s="36">
        <v>0.13324157348157084</v>
      </c>
      <c r="AT1302" s="36">
        <v>0.13575566670151021</v>
      </c>
      <c r="AU1302" s="36">
        <v>0.13831719755336419</v>
      </c>
      <c r="AV1302" s="36">
        <v>0.13921266280244224</v>
      </c>
      <c r="AW1302" s="36">
        <v>0.14011392529167907</v>
      </c>
      <c r="AX1302" s="36">
        <v>0.1410210225523954</v>
      </c>
      <c r="AY1302" s="36">
        <v>0.14193399235888965</v>
      </c>
      <c r="AZ1302" s="36">
        <v>25.1853952052025</v>
      </c>
    </row>
    <row r="1303" spans="1:52" ht="12" customHeight="1" x14ac:dyDescent="0.2">
      <c r="A1303" t="s">
        <v>127</v>
      </c>
      <c r="B1303" t="str">
        <f t="shared" si="438"/>
        <v>IND</v>
      </c>
      <c r="C1303" t="str">
        <f t="shared" si="439"/>
        <v>WB</v>
      </c>
      <c r="D1303" s="36">
        <v>8.6105140450849396E-2</v>
      </c>
      <c r="E1303" s="36">
        <v>8.6744616497936328E-2</v>
      </c>
      <c r="F1303" s="36">
        <v>8.7807337201861027E-2</v>
      </c>
      <c r="G1303" s="56">
        <v>8.8883077449131986E-2</v>
      </c>
      <c r="H1303" s="36">
        <v>8.9958817696402946E-2</v>
      </c>
      <c r="I1303" s="36">
        <v>9.1047577487020179E-2</v>
      </c>
      <c r="J1303" s="36">
        <v>9.2149514394811907E-2</v>
      </c>
      <c r="K1303" s="36">
        <v>9.3264787900701779E-2</v>
      </c>
      <c r="L1303" s="36">
        <v>9.4393559415790154E-2</v>
      </c>
      <c r="M1303" s="36">
        <v>9.5535992304714837E-2</v>
      </c>
      <c r="N1303" s="36">
        <v>9.6692251909294424E-2</v>
      </c>
      <c r="O1303" s="36">
        <v>9.7862505572457903E-2</v>
      </c>
      <c r="P1303" s="36">
        <v>9.9046922662463815E-2</v>
      </c>
      <c r="Q1303" s="36">
        <v>0.10024567459741257</v>
      </c>
      <c r="R1303" s="36">
        <v>0.10082851908758499</v>
      </c>
      <c r="S1303" s="36">
        <v>0.10141475232945256</v>
      </c>
      <c r="T1303" s="36">
        <v>0.10200439402576318</v>
      </c>
      <c r="U1303" s="36">
        <v>0.10259746399381971</v>
      </c>
      <c r="V1303" s="36">
        <v>0.10319398216614596</v>
      </c>
      <c r="W1303" s="36">
        <v>0.10379396859115667</v>
      </c>
      <c r="X1303" s="36">
        <v>0.10439744343383128</v>
      </c>
      <c r="Y1303" s="36">
        <v>0.10500442697639169</v>
      </c>
      <c r="Z1303" s="36">
        <v>0.10561493961898386</v>
      </c>
      <c r="AA1303" s="36">
        <v>0.10622900188036352</v>
      </c>
      <c r="AB1303" s="36">
        <v>0.10720901967210537</v>
      </c>
      <c r="AC1303" s="36">
        <v>0.10819807863768045</v>
      </c>
      <c r="AD1303" s="36">
        <v>0.10919626218661965</v>
      </c>
      <c r="AE1303" s="36">
        <v>0.11020365449795018</v>
      </c>
      <c r="AF1303" s="36">
        <v>0.11122034052729456</v>
      </c>
      <c r="AG1303" s="36">
        <v>0.11224640601403509</v>
      </c>
      <c r="AH1303" s="36">
        <v>0.11328193748854447</v>
      </c>
      <c r="AI1303" s="36">
        <v>0.11432702227948312</v>
      </c>
      <c r="AJ1303" s="36">
        <v>0.11538174852116374</v>
      </c>
      <c r="AK1303" s="36">
        <v>0.11644620516098393</v>
      </c>
      <c r="AL1303" s="36">
        <v>0.11864339187405881</v>
      </c>
      <c r="AM1303" s="36">
        <v>0.12088203661013615</v>
      </c>
      <c r="AN1303" s="36">
        <v>0.12316292162757433</v>
      </c>
      <c r="AO1303" s="36">
        <v>0.12548684394491799</v>
      </c>
      <c r="AP1303" s="36">
        <v>0.12785461561940323</v>
      </c>
      <c r="AQ1303" s="36">
        <v>0.13026706403071797</v>
      </c>
      <c r="AR1303" s="36">
        <v>0.13272503217011652</v>
      </c>
      <c r="AS1303" s="36">
        <v>0.13522937893498924</v>
      </c>
      <c r="AT1303" s="36">
        <v>0.1377809794289904</v>
      </c>
      <c r="AU1303" s="36">
        <v>0.14038072526782905</v>
      </c>
      <c r="AV1303" s="36">
        <v>0.14128954979103567</v>
      </c>
      <c r="AW1303" s="36">
        <v>0.14220425804231399</v>
      </c>
      <c r="AX1303" s="36">
        <v>0.14312488811290727</v>
      </c>
      <c r="AY1303" s="36">
        <v>0.14405147834066145</v>
      </c>
      <c r="AZ1303" s="36">
        <v>26.1853952052025</v>
      </c>
    </row>
    <row r="1304" spans="1:52" ht="12" customHeight="1" x14ac:dyDescent="0.2">
      <c r="A1304" t="s">
        <v>128</v>
      </c>
      <c r="B1304" t="str">
        <f t="shared" si="438"/>
        <v>OAS</v>
      </c>
      <c r="C1304" t="str">
        <f t="shared" si="439"/>
        <v>WB</v>
      </c>
      <c r="D1304" s="36">
        <v>0.10341875052370486</v>
      </c>
      <c r="E1304" s="36">
        <v>0.10418680935774531</v>
      </c>
      <c r="F1304" s="36">
        <v>0.1054632168611777</v>
      </c>
      <c r="G1304" s="56">
        <v>0.10675526181550106</v>
      </c>
      <c r="H1304" s="36">
        <v>0.10804730676982442</v>
      </c>
      <c r="I1304" s="36">
        <v>0.10935498917503875</v>
      </c>
      <c r="J1304" s="36">
        <v>0.11067849828916448</v>
      </c>
      <c r="K1304" s="36">
        <v>0.11201802566078709</v>
      </c>
      <c r="L1304" s="36">
        <v>0.11337376515677949</v>
      </c>
      <c r="M1304" s="36">
        <v>0.11474591299035999</v>
      </c>
      <c r="N1304" s="36">
        <v>0.11613466774948976</v>
      </c>
      <c r="O1304" s="36">
        <v>0.11754023042561408</v>
      </c>
      <c r="P1304" s="36">
        <v>0.11896280444275135</v>
      </c>
      <c r="Q1304" s="36">
        <v>0.12040259568693427</v>
      </c>
      <c r="R1304" s="36">
        <v>0.12110263576128574</v>
      </c>
      <c r="S1304" s="36">
        <v>0.12180674598132554</v>
      </c>
      <c r="T1304" s="36">
        <v>0.12251495001153592</v>
      </c>
      <c r="U1304" s="36">
        <v>0.12322727165398827</v>
      </c>
      <c r="V1304" s="36">
        <v>0.12394373484914302</v>
      </c>
      <c r="W1304" s="36">
        <v>0.12466436367665433</v>
      </c>
      <c r="X1304" s="36">
        <v>0.12538918235617932</v>
      </c>
      <c r="Y1304" s="36">
        <v>0.12611821524819208</v>
      </c>
      <c r="Z1304" s="36">
        <v>0.12685148685480246</v>
      </c>
      <c r="AA1304" s="36">
        <v>0.12758902182057952</v>
      </c>
      <c r="AB1304" s="36">
        <v>0.12876609690555421</v>
      </c>
      <c r="AC1304" s="36">
        <v>0.12995403112038115</v>
      </c>
      <c r="AD1304" s="36">
        <v>0.131152924646181</v>
      </c>
      <c r="AE1304" s="36">
        <v>0.1323628785882974</v>
      </c>
      <c r="AF1304" s="36">
        <v>0.13358399498482335</v>
      </c>
      <c r="AG1304" s="36">
        <v>0.13481637681520633</v>
      </c>
      <c r="AH1304" s="36">
        <v>0.13606012800893283</v>
      </c>
      <c r="AI1304" s="36">
        <v>0.13731535345429283</v>
      </c>
      <c r="AJ1304" s="36">
        <v>0.13858215900722537</v>
      </c>
      <c r="AK1304" s="36">
        <v>0.13986065150024563</v>
      </c>
      <c r="AL1304" s="36">
        <v>0.14249963801537938</v>
      </c>
      <c r="AM1304" s="36">
        <v>0.1451884187346181</v>
      </c>
      <c r="AN1304" s="36">
        <v>0.14792793320909184</v>
      </c>
      <c r="AO1304" s="36">
        <v>0.15071913871802453</v>
      </c>
      <c r="AP1304" s="36">
        <v>0.15356301060323982</v>
      </c>
      <c r="AQ1304" s="36">
        <v>0.15646054260997855</v>
      </c>
      <c r="AR1304" s="36">
        <v>0.15941274723414706</v>
      </c>
      <c r="AS1304" s="36">
        <v>0.16242065607611753</v>
      </c>
      <c r="AT1304" s="36">
        <v>0.16548532020120418</v>
      </c>
      <c r="AU1304" s="36">
        <v>0.16860781050694112</v>
      </c>
      <c r="AV1304" s="36">
        <v>0.16969937712123614</v>
      </c>
      <c r="AW1304" s="36">
        <v>0.17079801053552021</v>
      </c>
      <c r="AX1304" s="36">
        <v>0.17190375650024176</v>
      </c>
      <c r="AY1304" s="36">
        <v>0.1730166610620375</v>
      </c>
      <c r="AZ1304" s="36">
        <v>27.1853952052025</v>
      </c>
    </row>
    <row r="1305" spans="1:52" ht="12" customHeight="1" x14ac:dyDescent="0.2">
      <c r="A1305" t="s">
        <v>129</v>
      </c>
      <c r="B1305" t="str">
        <f t="shared" si="438"/>
        <v>MID</v>
      </c>
      <c r="C1305" t="str">
        <f t="shared" si="439"/>
        <v>WB</v>
      </c>
      <c r="D1305" s="36">
        <v>0.11276615341921574</v>
      </c>
      <c r="E1305" s="36">
        <v>0.11360363250183662</v>
      </c>
      <c r="F1305" s="36">
        <v>0.11499540685250917</v>
      </c>
      <c r="G1305" s="56">
        <v>0.11640423202981931</v>
      </c>
      <c r="H1305" s="36">
        <v>0.11781305720712945</v>
      </c>
      <c r="I1305" s="36">
        <v>0.11923893321107719</v>
      </c>
      <c r="J1305" s="36">
        <v>0.12068206640558453</v>
      </c>
      <c r="K1305" s="36">
        <v>0.12214266565216902</v>
      </c>
      <c r="L1305" s="36">
        <v>0.12362094234017182</v>
      </c>
      <c r="M1305" s="36">
        <v>0.12511711041735155</v>
      </c>
      <c r="N1305" s="36">
        <v>0.12663138642084859</v>
      </c>
      <c r="O1305" s="36">
        <v>0.12816398950852395</v>
      </c>
      <c r="P1305" s="36">
        <v>0.12971514149067753</v>
      </c>
      <c r="Q1305" s="36">
        <v>0.13128506686215027</v>
      </c>
      <c r="R1305" s="36">
        <v>0.1320483793758305</v>
      </c>
      <c r="S1305" s="36">
        <v>0.13281612991134722</v>
      </c>
      <c r="T1305" s="36">
        <v>0.13358834427207386</v>
      </c>
      <c r="U1305" s="36">
        <v>0.13436504841140881</v>
      </c>
      <c r="V1305" s="36">
        <v>0.13514626843364766</v>
      </c>
      <c r="W1305" s="36">
        <v>0.13593203059486061</v>
      </c>
      <c r="X1305" s="36">
        <v>0.13672236130377488</v>
      </c>
      <c r="Y1305" s="36">
        <v>0.13751728712266229</v>
      </c>
      <c r="Z1305" s="36">
        <v>0.13831683476823192</v>
      </c>
      <c r="AA1305" s="36">
        <v>0.13912103111252819</v>
      </c>
      <c r="AB1305" s="36">
        <v>0.14040449498098567</v>
      </c>
      <c r="AC1305" s="36">
        <v>0.14169979947115552</v>
      </c>
      <c r="AD1305" s="36">
        <v>0.14300705381893128</v>
      </c>
      <c r="AE1305" s="36">
        <v>0.14432636826796447</v>
      </c>
      <c r="AF1305" s="36">
        <v>0.14565785407896159</v>
      </c>
      <c r="AG1305" s="36">
        <v>0.14700162353906707</v>
      </c>
      <c r="AH1305" s="36">
        <v>0.14835778997133262</v>
      </c>
      <c r="AI1305" s="36">
        <v>0.14972646774427403</v>
      </c>
      <c r="AJ1305" s="36">
        <v>0.15110777228151617</v>
      </c>
      <c r="AK1305" s="36">
        <v>0.15250182007152685</v>
      </c>
      <c r="AL1305" s="36">
        <v>0.15537932880886751</v>
      </c>
      <c r="AM1305" s="36">
        <v>0.15831113235088387</v>
      </c>
      <c r="AN1305" s="36">
        <v>0.16129825516911844</v>
      </c>
      <c r="AO1305" s="36">
        <v>0.16434174106554414</v>
      </c>
      <c r="AP1305" s="36">
        <v>0.16744265353730403</v>
      </c>
      <c r="AQ1305" s="36">
        <v>0.17060207614833328</v>
      </c>
      <c r="AR1305" s="36">
        <v>0.17382111290799318</v>
      </c>
      <c r="AS1305" s="36">
        <v>0.17710088865684939</v>
      </c>
      <c r="AT1305" s="36">
        <v>0.18044254945972937</v>
      </c>
      <c r="AU1305" s="36">
        <v>0.18384726300619633</v>
      </c>
      <c r="AV1305" s="36">
        <v>0.18503748980425336</v>
      </c>
      <c r="AW1305" s="36">
        <v>0.18623542212812375</v>
      </c>
      <c r="AX1305" s="36">
        <v>0.1874411098633656</v>
      </c>
      <c r="AY1305" s="36">
        <v>0.18865460321849598</v>
      </c>
      <c r="AZ1305" s="36">
        <v>28.1853952052025</v>
      </c>
    </row>
    <row r="1306" spans="1:52" ht="12" customHeight="1" x14ac:dyDescent="0.2">
      <c r="A1306" t="s">
        <v>130</v>
      </c>
      <c r="B1306" t="str">
        <f t="shared" si="438"/>
        <v>AFR</v>
      </c>
      <c r="C1306" t="str">
        <f t="shared" si="439"/>
        <v>WB</v>
      </c>
      <c r="D1306" s="36">
        <v>0.10047342738024485</v>
      </c>
      <c r="E1306" s="36">
        <v>0.10121961221708477</v>
      </c>
      <c r="F1306" s="36">
        <v>0.1024596681639444</v>
      </c>
      <c r="G1306" s="56">
        <v>0.10371491621357602</v>
      </c>
      <c r="H1306" s="36">
        <v>0.10497016426320764</v>
      </c>
      <c r="I1306" s="36">
        <v>0.10624060441561124</v>
      </c>
      <c r="J1306" s="36">
        <v>0.10752642053881729</v>
      </c>
      <c r="K1306" s="36">
        <v>0.10882779872618696</v>
      </c>
      <c r="L1306" s="36">
        <v>0.11014492732334498</v>
      </c>
      <c r="M1306" s="36">
        <v>0.11147799695543853</v>
      </c>
      <c r="N1306" s="36">
        <v>0.11282720055472599</v>
      </c>
      <c r="O1306" s="36">
        <v>0.11419273338849958</v>
      </c>
      <c r="P1306" s="36">
        <v>0.11557479308734601</v>
      </c>
      <c r="Q1306" s="36">
        <v>0.11697357967374909</v>
      </c>
      <c r="R1306" s="36">
        <v>0.11765368289697932</v>
      </c>
      <c r="S1306" s="36">
        <v>0.11833774034983591</v>
      </c>
      <c r="T1306" s="36">
        <v>0.11902577502284649</v>
      </c>
      <c r="U1306" s="36">
        <v>0.1197178100402093</v>
      </c>
      <c r="V1306" s="36">
        <v>0.12041386866057041</v>
      </c>
      <c r="W1306" s="36">
        <v>0.12111397427780539</v>
      </c>
      <c r="X1306" s="36">
        <v>0.12181815042180556</v>
      </c>
      <c r="Y1306" s="36">
        <v>0.12252642075926884</v>
      </c>
      <c r="Z1306" s="36">
        <v>0.12323880909449512</v>
      </c>
      <c r="AA1306" s="36">
        <v>0.12395533937018634</v>
      </c>
      <c r="AB1306" s="36">
        <v>0.12509889184468848</v>
      </c>
      <c r="AC1306" s="36">
        <v>0.12625299418552621</v>
      </c>
      <c r="AD1306" s="36">
        <v>0.12741774372070344</v>
      </c>
      <c r="AE1306" s="36">
        <v>0.12859323867612554</v>
      </c>
      <c r="AF1306" s="36">
        <v>0.12977957818388292</v>
      </c>
      <c r="AG1306" s="36">
        <v>0.13097686229061109</v>
      </c>
      <c r="AH1306" s="36">
        <v>0.13218519196592782</v>
      </c>
      <c r="AI1306" s="36">
        <v>0.13340466911094812</v>
      </c>
      <c r="AJ1306" s="36">
        <v>0.13463539656687773</v>
      </c>
      <c r="AK1306" s="36">
        <v>0.13587747812368609</v>
      </c>
      <c r="AL1306" s="36">
        <v>0.13844130739684057</v>
      </c>
      <c r="AM1306" s="36">
        <v>0.14105351275580894</v>
      </c>
      <c r="AN1306" s="36">
        <v>0.14371500699369452</v>
      </c>
      <c r="AO1306" s="36">
        <v>0.14642672012680577</v>
      </c>
      <c r="AP1306" s="36">
        <v>0.14918959971963555</v>
      </c>
      <c r="AQ1306" s="36">
        <v>0.15200461121597217</v>
      </c>
      <c r="AR1306" s="36">
        <v>0.15487273827625828</v>
      </c>
      <c r="AS1306" s="36">
        <v>0.15779498312131512</v>
      </c>
      <c r="AT1306" s="36">
        <v>0.16077236688255248</v>
      </c>
      <c r="AU1306" s="36">
        <v>0.16380592995878659</v>
      </c>
      <c r="AV1306" s="36">
        <v>0.16486640920840712</v>
      </c>
      <c r="AW1306" s="36">
        <v>0.16593375399848248</v>
      </c>
      <c r="AX1306" s="36">
        <v>0.16700800877650732</v>
      </c>
      <c r="AY1306" s="36">
        <v>0.16808921827772921</v>
      </c>
      <c r="AZ1306" s="36">
        <v>29.1853952052025</v>
      </c>
    </row>
    <row r="1307" spans="1:52" ht="12" customHeight="1" x14ac:dyDescent="0.2">
      <c r="A1307" t="s">
        <v>131</v>
      </c>
      <c r="B1307" t="str">
        <f t="shared" si="438"/>
        <v>BRZ</v>
      </c>
      <c r="C1307" t="str">
        <f t="shared" si="439"/>
        <v>WB</v>
      </c>
      <c r="D1307" s="36">
        <v>0.10023105305545724</v>
      </c>
      <c r="E1307" s="36">
        <v>0.10097543785371271</v>
      </c>
      <c r="F1307" s="36">
        <v>0.10221250238552207</v>
      </c>
      <c r="G1307" s="56">
        <v>0.10346472237184975</v>
      </c>
      <c r="H1307" s="36">
        <v>0.10471694235817744</v>
      </c>
      <c r="I1307" s="36">
        <v>0.10598431779902347</v>
      </c>
      <c r="J1307" s="36">
        <v>0.10726703211886927</v>
      </c>
      <c r="K1307" s="36">
        <v>0.1085652709621588</v>
      </c>
      <c r="L1307" s="36">
        <v>0.10987922222016637</v>
      </c>
      <c r="M1307" s="36">
        <v>0.1112090760581898</v>
      </c>
      <c r="N1307" s="36">
        <v>0.11255502494307262</v>
      </c>
      <c r="O1307" s="36">
        <v>0.11391726367105934</v>
      </c>
      <c r="P1307" s="36">
        <v>0.11529598939598791</v>
      </c>
      <c r="Q1307" s="36">
        <v>0.11669140165782338</v>
      </c>
      <c r="R1307" s="36">
        <v>0.11736986425264255</v>
      </c>
      <c r="S1307" s="36">
        <v>0.11805227153821038</v>
      </c>
      <c r="T1307" s="36">
        <v>0.11873864644959393</v>
      </c>
      <c r="U1307" s="36">
        <v>0.11942901205520842</v>
      </c>
      <c r="V1307" s="36">
        <v>0.12012339155759255</v>
      </c>
      <c r="W1307" s="36">
        <v>0.12082180829418832</v>
      </c>
      <c r="X1307" s="36">
        <v>0.12152428573812536</v>
      </c>
      <c r="Y1307" s="36">
        <v>0.12223084749900988</v>
      </c>
      <c r="Z1307" s="36">
        <v>0.12294151732371812</v>
      </c>
      <c r="AA1307" s="36">
        <v>0.12365631909719449</v>
      </c>
      <c r="AB1307" s="36">
        <v>0.1247971129541587</v>
      </c>
      <c r="AC1307" s="36">
        <v>0.12594843122777696</v>
      </c>
      <c r="AD1307" s="36">
        <v>0.12711037101126665</v>
      </c>
      <c r="AE1307" s="36">
        <v>0.12828303029358054</v>
      </c>
      <c r="AF1307" s="36">
        <v>0.12946650796767048</v>
      </c>
      <c r="AG1307" s="36">
        <v>0.1306609038388272</v>
      </c>
      <c r="AH1307" s="36">
        <v>0.13186631863309714</v>
      </c>
      <c r="AI1307" s="36">
        <v>0.13308285400577696</v>
      </c>
      <c r="AJ1307" s="36">
        <v>0.13431061254998627</v>
      </c>
      <c r="AK1307" s="36">
        <v>0.13554969780531959</v>
      </c>
      <c r="AL1307" s="36">
        <v>0.13810734229504273</v>
      </c>
      <c r="AM1307" s="36">
        <v>0.14071324617185213</v>
      </c>
      <c r="AN1307" s="36">
        <v>0.14336832002689964</v>
      </c>
      <c r="AO1307" s="36">
        <v>0.14607349163299432</v>
      </c>
      <c r="AP1307" s="36">
        <v>0.14882970626879771</v>
      </c>
      <c r="AQ1307" s="36">
        <v>0.15163792704913623</v>
      </c>
      <c r="AR1307" s="36">
        <v>0.15449913526154616</v>
      </c>
      <c r="AS1307" s="36">
        <v>0.15741433070916874</v>
      </c>
      <c r="AT1307" s="36">
        <v>0.16038453206011535</v>
      </c>
      <c r="AU1307" s="36">
        <v>0.16341077720342456</v>
      </c>
      <c r="AV1307" s="36">
        <v>0.16446869823492932</v>
      </c>
      <c r="AW1307" s="36">
        <v>0.16553346824499016</v>
      </c>
      <c r="AX1307" s="36">
        <v>0.16660513157388002</v>
      </c>
      <c r="AY1307" s="36">
        <v>0.16768373284893062</v>
      </c>
      <c r="AZ1307" s="36">
        <v>30.1853952052025</v>
      </c>
    </row>
    <row r="1308" spans="1:52" ht="12" customHeight="1" x14ac:dyDescent="0.2">
      <c r="A1308" t="s">
        <v>132</v>
      </c>
      <c r="B1308" t="str">
        <f t="shared" si="438"/>
        <v>CSA</v>
      </c>
      <c r="C1308" t="str">
        <f t="shared" si="439"/>
        <v>WB</v>
      </c>
      <c r="D1308" s="36">
        <v>0.10047703015468806</v>
      </c>
      <c r="E1308" s="36">
        <v>0.10122324174821112</v>
      </c>
      <c r="F1308" s="36">
        <v>0.10246334216097573</v>
      </c>
      <c r="G1308" s="56">
        <v>0.10371863522127048</v>
      </c>
      <c r="H1308" s="36">
        <v>0.10497392828156522</v>
      </c>
      <c r="I1308" s="36">
        <v>0.10624441398939011</v>
      </c>
      <c r="J1308" s="36">
        <v>0.10753027621936874</v>
      </c>
      <c r="K1308" s="36">
        <v>0.10883170107153523</v>
      </c>
      <c r="L1308" s="36">
        <v>0.11014887689826798</v>
      </c>
      <c r="M1308" s="36">
        <v>0.11148199433154964</v>
      </c>
      <c r="N1308" s="36">
        <v>0.11283124631055672</v>
      </c>
      <c r="O1308" s="36">
        <v>0.11419682810958334</v>
      </c>
      <c r="P1308" s="36">
        <v>0.11557893736630286</v>
      </c>
      <c r="Q1308" s="36">
        <v>0.11697777411037145</v>
      </c>
      <c r="R1308" s="36">
        <v>0.11765790172073144</v>
      </c>
      <c r="S1308" s="36">
        <v>0.11834198370250849</v>
      </c>
      <c r="T1308" s="36">
        <v>0.11903004304705463</v>
      </c>
      <c r="U1308" s="36">
        <v>0.11972210287939727</v>
      </c>
      <c r="V1308" s="36">
        <v>0.1204181864590165</v>
      </c>
      <c r="W1308" s="36">
        <v>0.12111831718062674</v>
      </c>
      <c r="X1308" s="36">
        <v>0.12182251857496305</v>
      </c>
      <c r="Y1308" s="36">
        <v>0.12253081430957199</v>
      </c>
      <c r="Z1308" s="36">
        <v>0.12324322818960703</v>
      </c>
      <c r="AA1308" s="36">
        <v>0.12395978415862864</v>
      </c>
      <c r="AB1308" s="36">
        <v>0.12510337763861587</v>
      </c>
      <c r="AC1308" s="36">
        <v>0.12625752136323565</v>
      </c>
      <c r="AD1308" s="36">
        <v>0.12742231266398182</v>
      </c>
      <c r="AE1308" s="36">
        <v>0.12859784977028196</v>
      </c>
      <c r="AF1308" s="36">
        <v>0.12978423181778115</v>
      </c>
      <c r="AG1308" s="36">
        <v>0.13098155885670237</v>
      </c>
      <c r="AH1308" s="36">
        <v>0.13218993186028397</v>
      </c>
      <c r="AI1308" s="36">
        <v>0.13340945273329491</v>
      </c>
      <c r="AJ1308" s="36">
        <v>0.13464022432062864</v>
      </c>
      <c r="AK1308" s="36">
        <v>0.13588235041597624</v>
      </c>
      <c r="AL1308" s="36">
        <v>0.13844627162287704</v>
      </c>
      <c r="AM1308" s="36">
        <v>0.14105857065026056</v>
      </c>
      <c r="AN1308" s="36">
        <v>0.14372016032396107</v>
      </c>
      <c r="AO1308" s="36">
        <v>0.14643197069363553</v>
      </c>
      <c r="AP1308" s="36">
        <v>0.14919494935775457</v>
      </c>
      <c r="AQ1308" s="36">
        <v>0.15201006179472534</v>
      </c>
      <c r="AR1308" s="36">
        <v>0.1548782917002626</v>
      </c>
      <c r="AS1308" s="36">
        <v>0.1578006413311252</v>
      </c>
      <c r="AT1308" s="36">
        <v>0.16077813185533862</v>
      </c>
      <c r="AU1308" s="36">
        <v>0.16381180370902573</v>
      </c>
      <c r="AV1308" s="36">
        <v>0.16487232098529309</v>
      </c>
      <c r="AW1308" s="36">
        <v>0.16593970404819972</v>
      </c>
      <c r="AX1308" s="36">
        <v>0.16701399734683403</v>
      </c>
      <c r="AY1308" s="36">
        <v>0.16809524561804776</v>
      </c>
      <c r="AZ1308" s="36">
        <v>31.1853952052025</v>
      </c>
    </row>
    <row r="1309" spans="1:52" ht="12" customHeight="1" x14ac:dyDescent="0.2">
      <c r="A1309" t="s">
        <v>133</v>
      </c>
      <c r="B1309" t="str">
        <f t="shared" si="438"/>
        <v>USA</v>
      </c>
      <c r="C1309" t="str">
        <f t="shared" si="439"/>
        <v>RJ</v>
      </c>
      <c r="D1309" s="36">
        <v>0.20383242570760843</v>
      </c>
      <c r="E1309" s="36">
        <v>0.20534622561754584</v>
      </c>
      <c r="F1309" s="36">
        <v>0.20582262710914323</v>
      </c>
      <c r="G1309" s="56">
        <v>0.20630013384813689</v>
      </c>
      <c r="H1309" s="36">
        <v>0.20677764058713058</v>
      </c>
      <c r="I1309" s="36">
        <v>0.20725625257352051</v>
      </c>
      <c r="J1309" s="36">
        <v>0.20773597236553618</v>
      </c>
      <c r="K1309" s="36">
        <v>0.20821680252732835</v>
      </c>
      <c r="L1309" s="36">
        <v>0.20869874562898288</v>
      </c>
      <c r="M1309" s="36">
        <v>0.20918180424653438</v>
      </c>
      <c r="N1309" s="36">
        <v>0.20966598096197997</v>
      </c>
      <c r="O1309" s="36">
        <v>0.21015127836329317</v>
      </c>
      <c r="P1309" s="36">
        <v>0.21063769904443766</v>
      </c>
      <c r="Q1309" s="36">
        <v>0.21112524560538115</v>
      </c>
      <c r="R1309" s="36">
        <v>0.21002801315582537</v>
      </c>
      <c r="S1309" s="36">
        <v>0.20893648309891763</v>
      </c>
      <c r="T1309" s="36">
        <v>0.20785062579893043</v>
      </c>
      <c r="U1309" s="36">
        <v>0.20677041177415514</v>
      </c>
      <c r="V1309" s="36">
        <v>0.20569581169610163</v>
      </c>
      <c r="W1309" s="36">
        <v>0.2046267963887019</v>
      </c>
      <c r="X1309" s="36">
        <v>0.20356333682751807</v>
      </c>
      <c r="Y1309" s="36">
        <v>0.20250540413895421</v>
      </c>
      <c r="Z1309" s="36">
        <v>0.20145296959947248</v>
      </c>
      <c r="AA1309" s="36">
        <v>0.20040600463481323</v>
      </c>
      <c r="AB1309" s="36">
        <v>0.20897674857184723</v>
      </c>
      <c r="AC1309" s="36">
        <v>0.21791403667390294</v>
      </c>
      <c r="AD1309" s="36">
        <v>0.22723354489932171</v>
      </c>
      <c r="AE1309" s="36">
        <v>0.23695161961861724</v>
      </c>
      <c r="AF1309" s="36">
        <v>0.24708530628592712</v>
      </c>
      <c r="AG1309" s="36">
        <v>0.25765237933665358</v>
      </c>
      <c r="AH1309" s="36">
        <v>0.26867137336373376</v>
      </c>
      <c r="AI1309" s="36">
        <v>0.2801616156272223</v>
      </c>
      <c r="AJ1309" s="36">
        <v>0.29214325995420842</v>
      </c>
      <c r="AK1309" s="36">
        <v>0.3046373220885269</v>
      </c>
      <c r="AL1309" s="36">
        <v>0.3052499107282845</v>
      </c>
      <c r="AM1309" s="36">
        <v>0.30586373120936405</v>
      </c>
      <c r="AN1309" s="36">
        <v>0.30647878600884876</v>
      </c>
      <c r="AO1309" s="36">
        <v>0.307095077608803</v>
      </c>
      <c r="AP1309" s="36">
        <v>0.30771260849628224</v>
      </c>
      <c r="AQ1309" s="36">
        <v>0.30833138116334308</v>
      </c>
      <c r="AR1309" s="36">
        <v>0.30895139810705341</v>
      </c>
      <c r="AS1309" s="36">
        <v>0.30957266182950238</v>
      </c>
      <c r="AT1309" s="36">
        <v>0.31019517483781056</v>
      </c>
      <c r="AU1309" s="36">
        <v>0.31081893964413998</v>
      </c>
      <c r="AV1309" s="36">
        <v>0.31268496811287461</v>
      </c>
      <c r="AW1309" s="36">
        <v>0.31456219944540548</v>
      </c>
      <c r="AX1309" s="36">
        <v>0.31645070089909733</v>
      </c>
      <c r="AY1309" s="36">
        <v>0.31835054013510022</v>
      </c>
      <c r="AZ1309" s="36">
        <v>32.185395205202497</v>
      </c>
    </row>
    <row r="1310" spans="1:52" ht="12" customHeight="1" x14ac:dyDescent="0.2">
      <c r="A1310" t="s">
        <v>134</v>
      </c>
      <c r="B1310" t="str">
        <f t="shared" si="438"/>
        <v>CAN</v>
      </c>
      <c r="C1310" t="str">
        <f t="shared" si="439"/>
        <v>RJ</v>
      </c>
      <c r="D1310" s="36">
        <v>0.20399742180528613</v>
      </c>
      <c r="E1310" s="36">
        <v>0.20551244708982691</v>
      </c>
      <c r="F1310" s="36">
        <v>0.20598923421382193</v>
      </c>
      <c r="G1310" s="56">
        <v>0.20646712747987708</v>
      </c>
      <c r="H1310" s="36">
        <v>0.20694502074593227</v>
      </c>
      <c r="I1310" s="36">
        <v>0.20742402015404759</v>
      </c>
      <c r="J1310" s="36">
        <v>0.20790412826452331</v>
      </c>
      <c r="K1310" s="36">
        <v>0.20838534764358585</v>
      </c>
      <c r="L1310" s="36">
        <v>0.20886768086340141</v>
      </c>
      <c r="M1310" s="36">
        <v>0.20935113050208984</v>
      </c>
      <c r="N1310" s="36">
        <v>0.20983569914373831</v>
      </c>
      <c r="O1310" s="36">
        <v>0.21032138937841524</v>
      </c>
      <c r="P1310" s="36">
        <v>0.21080820380218404</v>
      </c>
      <c r="Q1310" s="36">
        <v>0.21129614501711702</v>
      </c>
      <c r="R1310" s="36">
        <v>0.21019802439154217</v>
      </c>
      <c r="S1310" s="36">
        <v>0.20910561077452736</v>
      </c>
      <c r="T1310" s="36">
        <v>0.20801887450635581</v>
      </c>
      <c r="U1310" s="36">
        <v>0.20693778608145441</v>
      </c>
      <c r="V1310" s="36">
        <v>0.20586231614759248</v>
      </c>
      <c r="W1310" s="36">
        <v>0.20479243550508494</v>
      </c>
      <c r="X1310" s="36">
        <v>0.20372811510599947</v>
      </c>
      <c r="Y1310" s="36">
        <v>0.20266932605336788</v>
      </c>
      <c r="Z1310" s="36">
        <v>0.20161603960040148</v>
      </c>
      <c r="AA1310" s="36">
        <v>0.20056822714971062</v>
      </c>
      <c r="AB1310" s="36">
        <v>0.2091459088411225</v>
      </c>
      <c r="AC1310" s="36">
        <v>0.21809043140381684</v>
      </c>
      <c r="AD1310" s="36">
        <v>0.22741748348534258</v>
      </c>
      <c r="AE1310" s="36">
        <v>0.23714342468809901</v>
      </c>
      <c r="AF1310" s="36">
        <v>0.24728531426399614</v>
      </c>
      <c r="AG1310" s="36">
        <v>0.25786094103629653</v>
      </c>
      <c r="AH1310" s="36">
        <v>0.26888885460112194</v>
      </c>
      <c r="AI1310" s="36">
        <v>0.28038839786335135</v>
      </c>
      <c r="AJ1310" s="36">
        <v>0.29237974096397884</v>
      </c>
      <c r="AK1310" s="36">
        <v>0.30488391665843945</v>
      </c>
      <c r="AL1310" s="36">
        <v>0.30549700116991463</v>
      </c>
      <c r="AM1310" s="36">
        <v>0.30611131851984957</v>
      </c>
      <c r="AN1310" s="36">
        <v>0.30672687118733261</v>
      </c>
      <c r="AO1310" s="36">
        <v>0.30734366165643717</v>
      </c>
      <c r="AP1310" s="36">
        <v>0.307961692416232</v>
      </c>
      <c r="AQ1310" s="36">
        <v>0.30858096596079093</v>
      </c>
      <c r="AR1310" s="36">
        <v>0.30920148478920312</v>
      </c>
      <c r="AS1310" s="36">
        <v>0.30982325140558309</v>
      </c>
      <c r="AT1310" s="36">
        <v>0.31044626831908084</v>
      </c>
      <c r="AU1310" s="36">
        <v>0.31107053804389195</v>
      </c>
      <c r="AV1310" s="36">
        <v>0.31293807700544651</v>
      </c>
      <c r="AW1310" s="36">
        <v>0.31481682789917198</v>
      </c>
      <c r="AX1310" s="36">
        <v>0.31670685803687587</v>
      </c>
      <c r="AY1310" s="36">
        <v>0.31860823513447789</v>
      </c>
      <c r="AZ1310" s="36">
        <v>33.185395205202497</v>
      </c>
    </row>
    <row r="1311" spans="1:52" ht="12" customHeight="1" x14ac:dyDescent="0.2">
      <c r="A1311" t="s">
        <v>135</v>
      </c>
      <c r="B1311" t="str">
        <f t="shared" si="438"/>
        <v>MXC</v>
      </c>
      <c r="C1311" t="str">
        <f t="shared" si="439"/>
        <v>RJ</v>
      </c>
      <c r="D1311" s="36">
        <v>0.14354489963723024</v>
      </c>
      <c r="E1311" s="36">
        <v>0.144610962877112</v>
      </c>
      <c r="F1311" s="36">
        <v>0.14494645907729201</v>
      </c>
      <c r="G1311" s="56">
        <v>0.14528273362579425</v>
      </c>
      <c r="H1311" s="36">
        <v>0.14561900817429652</v>
      </c>
      <c r="I1311" s="36">
        <v>0.14595606107112105</v>
      </c>
      <c r="J1311" s="36">
        <v>0.14629389411784965</v>
      </c>
      <c r="K1311" s="36">
        <v>0.14663250912023412</v>
      </c>
      <c r="L1311" s="36">
        <v>0.14697190788820585</v>
      </c>
      <c r="M1311" s="36">
        <v>0.14731209223588562</v>
      </c>
      <c r="N1311" s="36">
        <v>0.14765306398159314</v>
      </c>
      <c r="O1311" s="36">
        <v>0.14799482494785687</v>
      </c>
      <c r="P1311" s="36">
        <v>0.14833737696142374</v>
      </c>
      <c r="Q1311" s="36">
        <v>0.14868072185326886</v>
      </c>
      <c r="R1311" s="36">
        <v>0.14790801789655822</v>
      </c>
      <c r="S1311" s="36">
        <v>0.14713932973555582</v>
      </c>
      <c r="T1311" s="36">
        <v>0.14637463649989466</v>
      </c>
      <c r="U1311" s="36">
        <v>0.14561391742767243</v>
      </c>
      <c r="V1311" s="36">
        <v>0.1448571518648879</v>
      </c>
      <c r="W1311" s="36">
        <v>0.1441043192648801</v>
      </c>
      <c r="X1311" s="36">
        <v>0.14335539918777046</v>
      </c>
      <c r="Y1311" s="36">
        <v>0.14261037129990789</v>
      </c>
      <c r="Z1311" s="36">
        <v>0.14186921537331668</v>
      </c>
      <c r="AA1311" s="36">
        <v>0.14113191128514727</v>
      </c>
      <c r="AB1311" s="36">
        <v>0.14716768588767667</v>
      </c>
      <c r="AC1311" s="36">
        <v>0.15346159187042194</v>
      </c>
      <c r="AD1311" s="36">
        <v>0.16002466871279378</v>
      </c>
      <c r="AE1311" s="36">
        <v>0.16686842801853563</v>
      </c>
      <c r="AF1311" s="36">
        <v>0.17400487370701884</v>
      </c>
      <c r="AG1311" s="36">
        <v>0.18144652306805664</v>
      </c>
      <c r="AH1311" s="36">
        <v>0.18920642871716761</v>
      </c>
      <c r="AI1311" s="36">
        <v>0.19729820148979749</v>
      </c>
      <c r="AJ1311" s="36">
        <v>0.20573603431465609</v>
      </c>
      <c r="AK1311" s="36">
        <v>0.21453472710804281</v>
      </c>
      <c r="AL1311" s="36">
        <v>0.21496613037721179</v>
      </c>
      <c r="AM1311" s="36">
        <v>0.21539840114593745</v>
      </c>
      <c r="AN1311" s="36">
        <v>0.21583154115865594</v>
      </c>
      <c r="AO1311" s="36">
        <v>0.21626555216331131</v>
      </c>
      <c r="AP1311" s="36">
        <v>0.21670043591136254</v>
      </c>
      <c r="AQ1311" s="36">
        <v>0.21713619415779054</v>
      </c>
      <c r="AR1311" s="36">
        <v>0.21757282866110528</v>
      </c>
      <c r="AS1311" s="36">
        <v>0.21801034118335291</v>
      </c>
      <c r="AT1311" s="36">
        <v>0.21844873349012281</v>
      </c>
      <c r="AU1311" s="36">
        <v>0.21888800735055478</v>
      </c>
      <c r="AV1311" s="36">
        <v>0.22020212049194948</v>
      </c>
      <c r="AW1311" s="36">
        <v>0.22152412302559227</v>
      </c>
      <c r="AX1311" s="36">
        <v>0.22285406231613389</v>
      </c>
      <c r="AY1311" s="36">
        <v>0.22419198601258297</v>
      </c>
      <c r="AZ1311" s="36">
        <v>34.185395205202497</v>
      </c>
    </row>
    <row r="1312" spans="1:52" ht="12" customHeight="1" x14ac:dyDescent="0.2">
      <c r="A1312" t="s">
        <v>136</v>
      </c>
      <c r="B1312" t="str">
        <f t="shared" si="438"/>
        <v>EUR</v>
      </c>
      <c r="C1312" t="str">
        <f t="shared" si="439"/>
        <v>RJ</v>
      </c>
      <c r="D1312" s="36">
        <v>0.17000435843452533</v>
      </c>
      <c r="E1312" s="36">
        <v>0.17126692782991837</v>
      </c>
      <c r="F1312" s="36">
        <v>0.17166426564138337</v>
      </c>
      <c r="G1312" s="56">
        <v>0.17206252527318125</v>
      </c>
      <c r="H1312" s="36">
        <v>0.17246078490497913</v>
      </c>
      <c r="I1312" s="36">
        <v>0.17285996635710987</v>
      </c>
      <c r="J1312" s="36">
        <v>0.17326007176323871</v>
      </c>
      <c r="K1312" s="36">
        <v>0.17366110326196946</v>
      </c>
      <c r="L1312" s="36">
        <v>0.17406306299685606</v>
      </c>
      <c r="M1312" s="36">
        <v>0.17446595311641394</v>
      </c>
      <c r="N1312" s="36">
        <v>0.17486977577413149</v>
      </c>
      <c r="O1312" s="36">
        <v>0.17527453312848168</v>
      </c>
      <c r="P1312" s="36">
        <v>0.17568022734293348</v>
      </c>
      <c r="Q1312" s="36">
        <v>0.17608686058596348</v>
      </c>
      <c r="R1312" s="36">
        <v>0.1751717250377664</v>
      </c>
      <c r="S1312" s="36">
        <v>0.17426134551207315</v>
      </c>
      <c r="T1312" s="36">
        <v>0.17335569729150704</v>
      </c>
      <c r="U1312" s="36">
        <v>0.17245475578714931</v>
      </c>
      <c r="V1312" s="36">
        <v>0.17155849653787147</v>
      </c>
      <c r="W1312" s="36">
        <v>0.17066689520967127</v>
      </c>
      <c r="X1312" s="36">
        <v>0.16977992759501187</v>
      </c>
      <c r="Y1312" s="36">
        <v>0.16889756961216471</v>
      </c>
      <c r="Z1312" s="36">
        <v>0.1680197973045556</v>
      </c>
      <c r="AA1312" s="36">
        <v>0.16714658684011438</v>
      </c>
      <c r="AB1312" s="36">
        <v>0.174294928519628</v>
      </c>
      <c r="AC1312" s="36">
        <v>0.18174898262637743</v>
      </c>
      <c r="AD1312" s="36">
        <v>0.18952182353374275</v>
      </c>
      <c r="AE1312" s="36">
        <v>0.19762708476554758</v>
      </c>
      <c r="AF1312" s="36">
        <v>0.20607898290919124</v>
      </c>
      <c r="AG1312" s="36">
        <v>0.21489234255147144</v>
      </c>
      <c r="AH1312" s="36">
        <v>0.22408262228083495</v>
      </c>
      <c r="AI1312" s="36">
        <v>0.23366594180166392</v>
      </c>
      <c r="AJ1312" s="36">
        <v>0.24365911020815614</v>
      </c>
      <c r="AK1312" s="36">
        <v>0.25407965546739175</v>
      </c>
      <c r="AL1312" s="36">
        <v>0.25459057878258429</v>
      </c>
      <c r="AM1312" s="36">
        <v>0.25510252950248391</v>
      </c>
      <c r="AN1312" s="36">
        <v>0.25561550969307667</v>
      </c>
      <c r="AO1312" s="36">
        <v>0.25612952142450307</v>
      </c>
      <c r="AP1312" s="36">
        <v>0.25664456677106634</v>
      </c>
      <c r="AQ1312" s="36">
        <v>0.25716064781124098</v>
      </c>
      <c r="AR1312" s="36">
        <v>0.25767776662768099</v>
      </c>
      <c r="AS1312" s="36">
        <v>0.25819592530722829</v>
      </c>
      <c r="AT1312" s="36">
        <v>0.25871512594092133</v>
      </c>
      <c r="AU1312" s="36">
        <v>0.2592353706240032</v>
      </c>
      <c r="AV1312" s="36">
        <v>0.26079171266107859</v>
      </c>
      <c r="AW1312" s="36">
        <v>0.26235739833259142</v>
      </c>
      <c r="AX1312" s="36">
        <v>0.26393248373386163</v>
      </c>
      <c r="AY1312" s="36">
        <v>0.26551702529698229</v>
      </c>
      <c r="AZ1312" s="36">
        <v>35.185395205202497</v>
      </c>
    </row>
    <row r="1313" spans="1:52" ht="12" customHeight="1" x14ac:dyDescent="0.2">
      <c r="A1313" t="s">
        <v>137</v>
      </c>
      <c r="B1313" t="str">
        <f t="shared" si="438"/>
        <v>JPN</v>
      </c>
      <c r="C1313" t="str">
        <f t="shared" si="439"/>
        <v>RJ</v>
      </c>
      <c r="D1313" s="36">
        <v>0.19149858953056506</v>
      </c>
      <c r="E1313" s="36">
        <v>0.19292078988253628</v>
      </c>
      <c r="F1313" s="36">
        <v>0.19336836446923145</v>
      </c>
      <c r="G1313" s="56">
        <v>0.19381697742514944</v>
      </c>
      <c r="H1313" s="36">
        <v>0.19426559038106747</v>
      </c>
      <c r="I1313" s="36">
        <v>0.1947152417062083</v>
      </c>
      <c r="J1313" s="36">
        <v>0.19516593380400374</v>
      </c>
      <c r="K1313" s="36">
        <v>0.19561766908344863</v>
      </c>
      <c r="L1313" s="36">
        <v>0.19607044995911371</v>
      </c>
      <c r="M1313" s="36">
        <v>0.19652427885115853</v>
      </c>
      <c r="N1313" s="36">
        <v>0.19697915818534442</v>
      </c>
      <c r="O1313" s="36">
        <v>0.19743509039304741</v>
      </c>
      <c r="P1313" s="36">
        <v>0.19789207791127125</v>
      </c>
      <c r="Q1313" s="36">
        <v>0.19835012318266043</v>
      </c>
      <c r="R1313" s="36">
        <v>0.19731928392463921</v>
      </c>
      <c r="S1313" s="36">
        <v>0.19629380200927463</v>
      </c>
      <c r="T1313" s="36">
        <v>0.19527364959408774</v>
      </c>
      <c r="U1313" s="36">
        <v>0.19425879898129889</v>
      </c>
      <c r="V1313" s="36">
        <v>0.19324922261707567</v>
      </c>
      <c r="W1313" s="36">
        <v>0.19224489309078485</v>
      </c>
      <c r="X1313" s="36">
        <v>0.19124578313424817</v>
      </c>
      <c r="Y1313" s="36">
        <v>0.19025186562100194</v>
      </c>
      <c r="Z1313" s="36">
        <v>0.18926311356556055</v>
      </c>
      <c r="AA1313" s="36">
        <v>0.18827950012268388</v>
      </c>
      <c r="AB1313" s="36">
        <v>0.19633163103106069</v>
      </c>
      <c r="AC1313" s="36">
        <v>0.20472812663194723</v>
      </c>
      <c r="AD1313" s="36">
        <v>0.21348371433636015</v>
      </c>
      <c r="AE1313" s="36">
        <v>0.22261375140105802</v>
      </c>
      <c r="AF1313" s="36">
        <v>0.23213425186509237</v>
      </c>
      <c r="AG1313" s="36">
        <v>0.24206191463835167</v>
      </c>
      <c r="AH1313" s="36">
        <v>0.25241415279136509</v>
      </c>
      <c r="AI1313" s="36">
        <v>0.26320912409774061</v>
      </c>
      <c r="AJ1313" s="36">
        <v>0.27446576288280849</v>
      </c>
      <c r="AK1313" s="36">
        <v>0.28620381323433275</v>
      </c>
      <c r="AL1313" s="36">
        <v>0.28677933432754832</v>
      </c>
      <c r="AM1313" s="36">
        <v>0.28735601272375366</v>
      </c>
      <c r="AN1313" s="36">
        <v>0.28793385075014444</v>
      </c>
      <c r="AO1313" s="36">
        <v>0.28851285073859606</v>
      </c>
      <c r="AP1313" s="36">
        <v>0.28909301502567308</v>
      </c>
      <c r="AQ1313" s="36">
        <v>0.28967434595263852</v>
      </c>
      <c r="AR1313" s="36">
        <v>0.29025684586546346</v>
      </c>
      <c r="AS1313" s="36">
        <v>0.29084051711483644</v>
      </c>
      <c r="AT1313" s="36">
        <v>0.29142536205617292</v>
      </c>
      <c r="AU1313" s="36">
        <v>0.29201138304962487</v>
      </c>
      <c r="AV1313" s="36">
        <v>0.29376449872072602</v>
      </c>
      <c r="AW1313" s="36">
        <v>0.29552813937384725</v>
      </c>
      <c r="AX1313" s="36">
        <v>0.29730236819663119</v>
      </c>
      <c r="AY1313" s="36">
        <v>0.29908724875607301</v>
      </c>
      <c r="AZ1313" s="36">
        <v>36.185395205202497</v>
      </c>
    </row>
    <row r="1314" spans="1:52" ht="12" customHeight="1" x14ac:dyDescent="0.2">
      <c r="A1314" t="s">
        <v>138</v>
      </c>
      <c r="B1314" t="str">
        <f t="shared" si="438"/>
        <v>ANZ</v>
      </c>
      <c r="C1314" t="str">
        <f t="shared" si="439"/>
        <v>RJ</v>
      </c>
      <c r="D1314" s="36">
        <v>0.19615655580789304</v>
      </c>
      <c r="E1314" s="36">
        <v>0.19761334942394693</v>
      </c>
      <c r="F1314" s="36">
        <v>0.19807181070874533</v>
      </c>
      <c r="G1314" s="56">
        <v>0.19853133561981329</v>
      </c>
      <c r="H1314" s="36">
        <v>0.19899086053088128</v>
      </c>
      <c r="I1314" s="36">
        <v>0.19945144906821879</v>
      </c>
      <c r="J1314" s="36">
        <v>0.19991310369371815</v>
      </c>
      <c r="K1314" s="36">
        <v>0.20037582687496999</v>
      </c>
      <c r="L1314" s="36">
        <v>0.20083962108527653</v>
      </c>
      <c r="M1314" s="36">
        <v>0.20130448880366469</v>
      </c>
      <c r="N1314" s="36">
        <v>0.20177043251489946</v>
      </c>
      <c r="O1314" s="36">
        <v>0.20223745470949706</v>
      </c>
      <c r="P1314" s="36">
        <v>0.20270555788373834</v>
      </c>
      <c r="Q1314" s="36">
        <v>0.2031747445396821</v>
      </c>
      <c r="R1314" s="36">
        <v>0.20211883139201511</v>
      </c>
      <c r="S1314" s="36">
        <v>0.20106840589773706</v>
      </c>
      <c r="T1314" s="36">
        <v>0.20002343953713511</v>
      </c>
      <c r="U1314" s="36">
        <v>0.19898390393871537</v>
      </c>
      <c r="V1314" s="36">
        <v>0.19794977087843257</v>
      </c>
      <c r="W1314" s="36">
        <v>0.19692101227892375</v>
      </c>
      <c r="X1314" s="36">
        <v>0.19589760020874591</v>
      </c>
      <c r="Y1314" s="36">
        <v>0.19487950688161773</v>
      </c>
      <c r="Z1314" s="36">
        <v>0.19386670465566505</v>
      </c>
      <c r="AA1314" s="36">
        <v>0.19285916603267045</v>
      </c>
      <c r="AB1314" s="36">
        <v>0.20110715506367777</v>
      </c>
      <c r="AC1314" s="36">
        <v>0.20970788503230842</v>
      </c>
      <c r="AD1314" s="36">
        <v>0.21867644157563193</v>
      </c>
      <c r="AE1314" s="36">
        <v>0.22802855549667828</v>
      </c>
      <c r="AF1314" s="36">
        <v>0.23778063035618713</v>
      </c>
      <c r="AG1314" s="36">
        <v>0.24794977124437084</v>
      </c>
      <c r="AH1314" s="36">
        <v>0.25855381478315659</v>
      </c>
      <c r="AI1314" s="36">
        <v>0.26961136041153144</v>
      </c>
      <c r="AJ1314" s="36">
        <v>0.28114180300886471</v>
      </c>
      <c r="AK1314" s="36">
        <v>0.29316536691342876</v>
      </c>
      <c r="AL1314" s="36">
        <v>0.29375488684522932</v>
      </c>
      <c r="AM1314" s="36">
        <v>0.29434559222998308</v>
      </c>
      <c r="AN1314" s="36">
        <v>0.2949374854514919</v>
      </c>
      <c r="AO1314" s="36">
        <v>0.29553056889835122</v>
      </c>
      <c r="AP1314" s="36">
        <v>0.29612484496395952</v>
      </c>
      <c r="AQ1314" s="36">
        <v>0.29672031604652827</v>
      </c>
      <c r="AR1314" s="36">
        <v>0.29731698454909133</v>
      </c>
      <c r="AS1314" s="36">
        <v>0.29791485287951486</v>
      </c>
      <c r="AT1314" s="36">
        <v>0.29851392345050687</v>
      </c>
      <c r="AU1314" s="36">
        <v>0.29911419867962702</v>
      </c>
      <c r="AV1314" s="36">
        <v>0.30090995672055582</v>
      </c>
      <c r="AW1314" s="36">
        <v>0.30271649575067133</v>
      </c>
      <c r="AX1314" s="36">
        <v>0.30453388049457747</v>
      </c>
      <c r="AY1314" s="36">
        <v>0.30636217606545785</v>
      </c>
      <c r="AZ1314" s="36">
        <v>37.185395205202497</v>
      </c>
    </row>
    <row r="1315" spans="1:52" ht="12" customHeight="1" x14ac:dyDescent="0.2">
      <c r="A1315" t="s">
        <v>139</v>
      </c>
      <c r="B1315" t="str">
        <f t="shared" si="438"/>
        <v>SKO</v>
      </c>
      <c r="C1315" t="str">
        <f t="shared" si="439"/>
        <v>RJ</v>
      </c>
      <c r="D1315" s="36">
        <v>0.26699287549034506</v>
      </c>
      <c r="E1315" s="36">
        <v>0.26897574837952409</v>
      </c>
      <c r="F1315" s="36">
        <v>0.26959976982109757</v>
      </c>
      <c r="G1315" s="56">
        <v>0.27022523898709189</v>
      </c>
      <c r="H1315" s="36">
        <v>0.27085070815308621</v>
      </c>
      <c r="I1315" s="36">
        <v>0.27147762504350137</v>
      </c>
      <c r="J1315" s="36">
        <v>0.27210599300927157</v>
      </c>
      <c r="K1315" s="36">
        <v>0.27273581540908709</v>
      </c>
      <c r="L1315" s="36">
        <v>0.2733670956094123</v>
      </c>
      <c r="M1315" s="36">
        <v>0.27399983698450375</v>
      </c>
      <c r="N1315" s="36">
        <v>0.27463404291642807</v>
      </c>
      <c r="O1315" s="36">
        <v>0.27526971679508005</v>
      </c>
      <c r="P1315" s="36">
        <v>0.27590686201820092</v>
      </c>
      <c r="Q1315" s="36">
        <v>0.27654548199139622</v>
      </c>
      <c r="R1315" s="36">
        <v>0.27510825606538758</v>
      </c>
      <c r="S1315" s="36">
        <v>0.27367849950155226</v>
      </c>
      <c r="T1315" s="36">
        <v>0.27225617348110032</v>
      </c>
      <c r="U1315" s="36">
        <v>0.27084123938698584</v>
      </c>
      <c r="V1315" s="36">
        <v>0.26943365880285824</v>
      </c>
      <c r="W1315" s="36">
        <v>0.26803339351201944</v>
      </c>
      <c r="X1315" s="36">
        <v>0.26664040549638612</v>
      </c>
      <c r="Y1315" s="36">
        <v>0.26525465693545758</v>
      </c>
      <c r="Z1315" s="36">
        <v>0.26387611020528884</v>
      </c>
      <c r="AA1315" s="36">
        <v>0.2625047278774692</v>
      </c>
      <c r="AB1315" s="36">
        <v>0.27373124181849784</v>
      </c>
      <c r="AC1315" s="36">
        <v>0.28543787897973355</v>
      </c>
      <c r="AD1315" s="36">
        <v>0.29764517274382679</v>
      </c>
      <c r="AE1315" s="36">
        <v>0.31037453464258918</v>
      </c>
      <c r="AF1315" s="36">
        <v>0.32364829191271249</v>
      </c>
      <c r="AG1315" s="36">
        <v>0.33748972665762944</v>
      </c>
      <c r="AH1315" s="36">
        <v>0.35192311668420584</v>
      </c>
      <c r="AI1315" s="36">
        <v>0.36697377808589171</v>
      </c>
      <c r="AJ1315" s="36">
        <v>0.38266810964702169</v>
      </c>
      <c r="AK1315" s="36">
        <v>0.39903363914614998</v>
      </c>
      <c r="AL1315" s="36">
        <v>0.39983604730988448</v>
      </c>
      <c r="AM1315" s="36">
        <v>0.40064006901893967</v>
      </c>
      <c r="AN1315" s="36">
        <v>0.40144570751795911</v>
      </c>
      <c r="AO1315" s="36">
        <v>0.40225296605811095</v>
      </c>
      <c r="AP1315" s="36">
        <v>0.40306184789710109</v>
      </c>
      <c r="AQ1315" s="36">
        <v>0.40387235629918622</v>
      </c>
      <c r="AR1315" s="36">
        <v>0.40468449453518712</v>
      </c>
      <c r="AS1315" s="36">
        <v>0.40549826588250171</v>
      </c>
      <c r="AT1315" s="36">
        <v>0.40631367362511844</v>
      </c>
      <c r="AU1315" s="36">
        <v>0.40713072105362946</v>
      </c>
      <c r="AV1315" s="36">
        <v>0.40957496565742468</v>
      </c>
      <c r="AW1315" s="36">
        <v>0.41203388449574513</v>
      </c>
      <c r="AX1315" s="36">
        <v>0.41450756566663088</v>
      </c>
      <c r="AY1315" s="36">
        <v>0.41699609779702612</v>
      </c>
      <c r="AZ1315" s="36">
        <v>38.185395205202497</v>
      </c>
    </row>
    <row r="1316" spans="1:52" ht="12" customHeight="1" x14ac:dyDescent="0.2">
      <c r="A1316" t="s">
        <v>140</v>
      </c>
      <c r="B1316" t="str">
        <f t="shared" si="438"/>
        <v>RUS</v>
      </c>
      <c r="C1316" t="str">
        <f t="shared" si="439"/>
        <v>RJ</v>
      </c>
      <c r="D1316" s="36">
        <v>0.2030058710045059</v>
      </c>
      <c r="E1316" s="36">
        <v>0.20451353235022432</v>
      </c>
      <c r="F1316" s="36">
        <v>0.20498800200054534</v>
      </c>
      <c r="G1316" s="56">
        <v>0.20546357241640734</v>
      </c>
      <c r="H1316" s="36">
        <v>0.20593914283226936</v>
      </c>
      <c r="I1316" s="36">
        <v>0.20641581401367237</v>
      </c>
      <c r="J1316" s="36">
        <v>0.20689358850847203</v>
      </c>
      <c r="K1316" s="36">
        <v>0.20737246887042132</v>
      </c>
      <c r="L1316" s="36">
        <v>0.20785245765918417</v>
      </c>
      <c r="M1316" s="36">
        <v>0.2083335574403492</v>
      </c>
      <c r="N1316" s="36">
        <v>0.20881577078544342</v>
      </c>
      <c r="O1316" s="36">
        <v>0.20929910027194587</v>
      </c>
      <c r="P1316" s="36">
        <v>0.20978354848330155</v>
      </c>
      <c r="Q1316" s="36">
        <v>0.21026911800893514</v>
      </c>
      <c r="R1316" s="36">
        <v>0.20917633491349183</v>
      </c>
      <c r="S1316" s="36">
        <v>0.20808923108709665</v>
      </c>
      <c r="T1316" s="36">
        <v>0.20700777701419704</v>
      </c>
      <c r="U1316" s="36">
        <v>0.20593194333263473</v>
      </c>
      <c r="V1316" s="36">
        <v>0.20486170083284869</v>
      </c>
      <c r="W1316" s="36">
        <v>0.20379702045708192</v>
      </c>
      <c r="X1316" s="36">
        <v>0.20273787329859264</v>
      </c>
      <c r="Y1316" s="36">
        <v>0.20168423060086935</v>
      </c>
      <c r="Z1316" s="36">
        <v>0.20063606375685017</v>
      </c>
      <c r="AA1316" s="36">
        <v>0.1995933443081461</v>
      </c>
      <c r="AB1316" s="36">
        <v>0.20812933328072511</v>
      </c>
      <c r="AC1316" s="36">
        <v>0.21703038005617101</v>
      </c>
      <c r="AD1316" s="36">
        <v>0.22631209702572075</v>
      </c>
      <c r="AE1316" s="36">
        <v>0.23599076427421545</v>
      </c>
      <c r="AF1316" s="36">
        <v>0.24608335813528728</v>
      </c>
      <c r="AG1316" s="36">
        <v>0.2566075809677632</v>
      </c>
      <c r="AH1316" s="36">
        <v>0.26758189220551326</v>
      </c>
      <c r="AI1316" s="36">
        <v>0.27902554073520452</v>
      </c>
      <c r="AJ1316" s="36">
        <v>0.29095859865875168</v>
      </c>
      <c r="AK1316" s="36">
        <v>0.30340199649968247</v>
      </c>
      <c r="AL1316" s="36">
        <v>0.30401210104977916</v>
      </c>
      <c r="AM1316" s="36">
        <v>0.30462343244599532</v>
      </c>
      <c r="AN1316" s="36">
        <v>0.30523599315536942</v>
      </c>
      <c r="AO1316" s="36">
        <v>0.3058497856499009</v>
      </c>
      <c r="AP1316" s="36">
        <v>0.30646481240655998</v>
      </c>
      <c r="AQ1316" s="36">
        <v>0.30708107590729788</v>
      </c>
      <c r="AR1316" s="36">
        <v>0.3076985786390567</v>
      </c>
      <c r="AS1316" s="36">
        <v>0.30831732309377935</v>
      </c>
      <c r="AT1316" s="36">
        <v>0.30893731176841993</v>
      </c>
      <c r="AU1316" s="36">
        <v>0.30955854716495346</v>
      </c>
      <c r="AV1316" s="36">
        <v>0.31141700875809603</v>
      </c>
      <c r="AW1316" s="36">
        <v>0.31328662778664079</v>
      </c>
      <c r="AX1316" s="36">
        <v>0.3151674712352191</v>
      </c>
      <c r="AY1316" s="36">
        <v>0.31705960649061043</v>
      </c>
      <c r="AZ1316" s="36">
        <v>39.185395205202497</v>
      </c>
    </row>
    <row r="1317" spans="1:52" ht="12" customHeight="1" x14ac:dyDescent="0.2">
      <c r="A1317" t="s">
        <v>141</v>
      </c>
      <c r="B1317" t="str">
        <f t="shared" si="438"/>
        <v>URA</v>
      </c>
      <c r="C1317" t="str">
        <f t="shared" si="439"/>
        <v>RJ</v>
      </c>
      <c r="D1317" s="36">
        <v>0.1207812936962198</v>
      </c>
      <c r="E1317" s="36">
        <v>0.121678298728097</v>
      </c>
      <c r="F1317" s="36">
        <v>0.12196059134309283</v>
      </c>
      <c r="G1317" s="56">
        <v>0.12224353887454716</v>
      </c>
      <c r="H1317" s="36">
        <v>0.1225264864060015</v>
      </c>
      <c r="I1317" s="36">
        <v>0.12281008885391437</v>
      </c>
      <c r="J1317" s="36">
        <v>0.12309434773416951</v>
      </c>
      <c r="K1317" s="36">
        <v>0.12337926456615939</v>
      </c>
      <c r="L1317" s="36">
        <v>0.12366484087279327</v>
      </c>
      <c r="M1317" s="36">
        <v>0.12395107818050538</v>
      </c>
      <c r="N1317" s="36">
        <v>0.12423797801926309</v>
      </c>
      <c r="O1317" s="36">
        <v>0.12452554192257503</v>
      </c>
      <c r="P1317" s="36">
        <v>0.12481377142749936</v>
      </c>
      <c r="Q1317" s="36">
        <v>0.1251026680746519</v>
      </c>
      <c r="R1317" s="36">
        <v>0.12445250088813702</v>
      </c>
      <c r="S1317" s="36">
        <v>0.12380571266529194</v>
      </c>
      <c r="T1317" s="36">
        <v>0.12316228584540966</v>
      </c>
      <c r="U1317" s="36">
        <v>0.12252220295904732</v>
      </c>
      <c r="V1317" s="36">
        <v>0.12188544662755203</v>
      </c>
      <c r="W1317" s="36">
        <v>0.12125199956258891</v>
      </c>
      <c r="X1317" s="36">
        <v>0.12062184456567174</v>
      </c>
      <c r="Y1317" s="36">
        <v>0.11999496452769605</v>
      </c>
      <c r="Z1317" s="36">
        <v>0.11937134242847455</v>
      </c>
      <c r="AA1317" s="36">
        <v>0.11875096133627504</v>
      </c>
      <c r="AB1317" s="36">
        <v>0.12382957204828678</v>
      </c>
      <c r="AC1317" s="36">
        <v>0.12912537920632242</v>
      </c>
      <c r="AD1317" s="36">
        <v>0.13464767162947847</v>
      </c>
      <c r="AE1317" s="36">
        <v>0.1404061353908663</v>
      </c>
      <c r="AF1317" s="36">
        <v>0.14641087080693574</v>
      </c>
      <c r="AG1317" s="36">
        <v>0.15267241015337918</v>
      </c>
      <c r="AH1317" s="36">
        <v>0.15920173613869018</v>
      </c>
      <c r="AI1317" s="36">
        <v>0.16601030116777882</v>
      </c>
      <c r="AJ1317" s="36">
        <v>0.17311004742943231</v>
      </c>
      <c r="AK1317" s="36">
        <v>0.18051342784285401</v>
      </c>
      <c r="AL1317" s="36">
        <v>0.18087641841295921</v>
      </c>
      <c r="AM1317" s="36">
        <v>0.1812401389129957</v>
      </c>
      <c r="AN1317" s="36">
        <v>0.18160459081076391</v>
      </c>
      <c r="AO1317" s="36">
        <v>0.1819697755770158</v>
      </c>
      <c r="AP1317" s="36">
        <v>0.18233569468546082</v>
      </c>
      <c r="AQ1317" s="36">
        <v>0.18270234961277193</v>
      </c>
      <c r="AR1317" s="36">
        <v>0.18306974183859145</v>
      </c>
      <c r="AS1317" s="36">
        <v>0.18343787284553711</v>
      </c>
      <c r="AT1317" s="36">
        <v>0.18380674411920797</v>
      </c>
      <c r="AU1317" s="36">
        <v>0.18417635714819047</v>
      </c>
      <c r="AV1317" s="36">
        <v>0.18528207588624371</v>
      </c>
      <c r="AW1317" s="36">
        <v>0.18639443290266564</v>
      </c>
      <c r="AX1317" s="36">
        <v>0.18751346805093633</v>
      </c>
      <c r="AY1317" s="36">
        <v>0.18863922142379971</v>
      </c>
      <c r="AZ1317" s="36">
        <v>40.185395205202497</v>
      </c>
    </row>
    <row r="1318" spans="1:52" ht="12" customHeight="1" x14ac:dyDescent="0.2">
      <c r="A1318" t="s">
        <v>142</v>
      </c>
      <c r="B1318" t="str">
        <f t="shared" si="438"/>
        <v>CHI</v>
      </c>
      <c r="C1318" t="str">
        <f t="shared" si="439"/>
        <v>RJ</v>
      </c>
      <c r="D1318" s="36">
        <v>0.13028645927160099</v>
      </c>
      <c r="E1318" s="36">
        <v>0.13125405620632191</v>
      </c>
      <c r="F1318" s="36">
        <v>0.13155856449697517</v>
      </c>
      <c r="G1318" s="56">
        <v>0.13186377924426496</v>
      </c>
      <c r="H1318" s="36">
        <v>0.13216899399155477</v>
      </c>
      <c r="I1318" s="36">
        <v>0.13247491519548107</v>
      </c>
      <c r="J1318" s="36">
        <v>0.13278154449122367</v>
      </c>
      <c r="K1318" s="36">
        <v>0.13308888351774714</v>
      </c>
      <c r="L1318" s="36">
        <v>0.13339693391780966</v>
      </c>
      <c r="M1318" s="36">
        <v>0.13370569733797175</v>
      </c>
      <c r="N1318" s="36">
        <v>0.13401517542860511</v>
      </c>
      <c r="O1318" s="36">
        <v>0.13432536984390145</v>
      </c>
      <c r="P1318" s="36">
        <v>0.13463628224188126</v>
      </c>
      <c r="Q1318" s="36">
        <v>0.13494791428440275</v>
      </c>
      <c r="R1318" s="36">
        <v>0.13424658067492301</v>
      </c>
      <c r="S1318" s="36">
        <v>0.13354889194453898</v>
      </c>
      <c r="T1318" s="36">
        <v>0.13285482915056285</v>
      </c>
      <c r="U1318" s="36">
        <v>0.13216437344875326</v>
      </c>
      <c r="V1318" s="36">
        <v>0.13147750609280365</v>
      </c>
      <c r="W1318" s="36">
        <v>0.13079420843383333</v>
      </c>
      <c r="X1318" s="36">
        <v>0.1301144619198811</v>
      </c>
      <c r="Y1318" s="36">
        <v>0.12943824809540164</v>
      </c>
      <c r="Z1318" s="36">
        <v>0.12876554860076428</v>
      </c>
      <c r="AA1318" s="36">
        <v>0.12809634517175469</v>
      </c>
      <c r="AB1318" s="36">
        <v>0.13357462899731984</v>
      </c>
      <c r="AC1318" s="36">
        <v>0.1392872020497416</v>
      </c>
      <c r="AD1318" s="36">
        <v>0.14524408415339726</v>
      </c>
      <c r="AE1318" s="36">
        <v>0.15145572364951013</v>
      </c>
      <c r="AF1318" s="36">
        <v>0.15793301572248747</v>
      </c>
      <c r="AG1318" s="36">
        <v>0.16468732151001908</v>
      </c>
      <c r="AH1318" s="36">
        <v>0.1717304880304556</v>
      </c>
      <c r="AI1318" s="36">
        <v>0.17907486896241911</v>
      </c>
      <c r="AJ1318" s="36">
        <v>0.18673334631309324</v>
      </c>
      <c r="AK1318" s="36">
        <v>0.19471935301319884</v>
      </c>
      <c r="AL1318" s="36">
        <v>0.19511090997273045</v>
      </c>
      <c r="AM1318" s="36">
        <v>0.19550325430573154</v>
      </c>
      <c r="AN1318" s="36">
        <v>0.19589638759551448</v>
      </c>
      <c r="AO1318" s="36">
        <v>0.1962903114285755</v>
      </c>
      <c r="AP1318" s="36">
        <v>0.19668502739460109</v>
      </c>
      <c r="AQ1318" s="36">
        <v>0.19708053708647438</v>
      </c>
      <c r="AR1318" s="36">
        <v>0.19747684210028163</v>
      </c>
      <c r="AS1318" s="36">
        <v>0.19787394403531861</v>
      </c>
      <c r="AT1318" s="36">
        <v>0.19827184449409707</v>
      </c>
      <c r="AU1318" s="36">
        <v>0.19867054508235121</v>
      </c>
      <c r="AV1318" s="36">
        <v>0.1998632809350864</v>
      </c>
      <c r="AW1318" s="36">
        <v>0.20106317748098729</v>
      </c>
      <c r="AX1318" s="36">
        <v>0.20227027770989653</v>
      </c>
      <c r="AY1318" s="36">
        <v>0.20348462486975</v>
      </c>
      <c r="AZ1318" s="36">
        <v>41.185395205202497</v>
      </c>
    </row>
    <row r="1319" spans="1:52" ht="12" customHeight="1" x14ac:dyDescent="0.2">
      <c r="A1319" t="s">
        <v>143</v>
      </c>
      <c r="B1319" t="str">
        <f t="shared" si="438"/>
        <v>IND</v>
      </c>
      <c r="C1319" t="str">
        <f t="shared" si="439"/>
        <v>RJ</v>
      </c>
      <c r="D1319" s="36">
        <v>0.18544728083872505</v>
      </c>
      <c r="E1319" s="36">
        <v>0.18682454000667753</v>
      </c>
      <c r="F1319" s="36">
        <v>0.1872579713456686</v>
      </c>
      <c r="G1319" s="56">
        <v>0.1876924082416685</v>
      </c>
      <c r="H1319" s="36">
        <v>0.18812684513766839</v>
      </c>
      <c r="I1319" s="36">
        <v>0.18856228759067709</v>
      </c>
      <c r="J1319" s="36">
        <v>0.18899873792817853</v>
      </c>
      <c r="K1319" s="36">
        <v>0.18943619848304391</v>
      </c>
      <c r="L1319" s="36">
        <v>0.1898746715935441</v>
      </c>
      <c r="M1319" s="36">
        <v>0.1903141596033622</v>
      </c>
      <c r="N1319" s="36">
        <v>0.19075466486160611</v>
      </c>
      <c r="O1319" s="36">
        <v>0.19119618972282093</v>
      </c>
      <c r="P1319" s="36">
        <v>0.1916387365470017</v>
      </c>
      <c r="Q1319" s="36">
        <v>0.19208230769960594</v>
      </c>
      <c r="R1319" s="36">
        <v>0.19108404271055057</v>
      </c>
      <c r="S1319" s="36">
        <v>0.19009096577343143</v>
      </c>
      <c r="T1319" s="36">
        <v>0.1891030499255851</v>
      </c>
      <c r="U1319" s="36">
        <v>0.18812026834447498</v>
      </c>
      <c r="V1319" s="36">
        <v>0.18714259434696306</v>
      </c>
      <c r="W1319" s="36">
        <v>0.18617000138858544</v>
      </c>
      <c r="X1319" s="36">
        <v>0.18520246306283161</v>
      </c>
      <c r="Y1319" s="36">
        <v>0.18423995310042751</v>
      </c>
      <c r="Z1319" s="36">
        <v>0.18328244536862232</v>
      </c>
      <c r="AA1319" s="36">
        <v>0.18232991387047892</v>
      </c>
      <c r="AB1319" s="36">
        <v>0.19012759940736165</v>
      </c>
      <c r="AC1319" s="36">
        <v>0.1982587677965168</v>
      </c>
      <c r="AD1319" s="36">
        <v>0.20673768106636725</v>
      </c>
      <c r="AE1319" s="36">
        <v>0.21557921118810608</v>
      </c>
      <c r="AF1319" s="36">
        <v>0.22479886616105924</v>
      </c>
      <c r="AG1319" s="36">
        <v>0.23441281721363824</v>
      </c>
      <c r="AH1319" s="36">
        <v>0.24443792716759338</v>
      </c>
      <c r="AI1319" s="36">
        <v>0.25489178001531826</v>
      </c>
      <c r="AJ1319" s="36">
        <v>0.26579271176208386</v>
      </c>
      <c r="AK1319" s="36">
        <v>0.27715984258729953</v>
      </c>
      <c r="AL1319" s="36">
        <v>0.27771717735443169</v>
      </c>
      <c r="AM1319" s="36">
        <v>0.27827563285406159</v>
      </c>
      <c r="AN1319" s="36">
        <v>0.27883521133984612</v>
      </c>
      <c r="AO1319" s="36">
        <v>0.27939591506997397</v>
      </c>
      <c r="AP1319" s="36">
        <v>0.27995774630717479</v>
      </c>
      <c r="AQ1319" s="36">
        <v>0.2805207073187283</v>
      </c>
      <c r="AR1319" s="36">
        <v>0.28108480037647349</v>
      </c>
      <c r="AS1319" s="36">
        <v>0.28165002775681763</v>
      </c>
      <c r="AT1319" s="36">
        <v>0.2822163917407457</v>
      </c>
      <c r="AU1319" s="36">
        <v>0.28278389461382936</v>
      </c>
      <c r="AV1319" s="36">
        <v>0.28448161225759072</v>
      </c>
      <c r="AW1319" s="36">
        <v>0.28618952229650912</v>
      </c>
      <c r="AX1319" s="36">
        <v>0.28790768592151306</v>
      </c>
      <c r="AY1319" s="36">
        <v>0.28963616469089615</v>
      </c>
      <c r="AZ1319" s="36">
        <v>42.185395205202497</v>
      </c>
    </row>
    <row r="1320" spans="1:52" ht="12" customHeight="1" x14ac:dyDescent="0.2">
      <c r="A1320" t="s">
        <v>144</v>
      </c>
      <c r="B1320" t="str">
        <f t="shared" si="438"/>
        <v>OAS</v>
      </c>
      <c r="C1320" t="str">
        <f t="shared" si="439"/>
        <v>RJ</v>
      </c>
      <c r="D1320" s="36">
        <v>0.22190060873284925</v>
      </c>
      <c r="E1320" s="36">
        <v>0.22354859540792665</v>
      </c>
      <c r="F1320" s="36">
        <v>0.22406722624215095</v>
      </c>
      <c r="G1320" s="56">
        <v>0.22458706029548614</v>
      </c>
      <c r="H1320" s="36">
        <v>0.22510689434882136</v>
      </c>
      <c r="I1320" s="36">
        <v>0.22562793162126746</v>
      </c>
      <c r="J1320" s="36">
        <v>0.22615017489782135</v>
      </c>
      <c r="K1320" s="36">
        <v>0.22667362696992618</v>
      </c>
      <c r="L1320" s="36">
        <v>0.22719829063548616</v>
      </c>
      <c r="M1320" s="36">
        <v>0.22772416869888165</v>
      </c>
      <c r="N1320" s="36">
        <v>0.22825126397098408</v>
      </c>
      <c r="O1320" s="36">
        <v>0.22877957926917095</v>
      </c>
      <c r="P1320" s="36">
        <v>0.22930911741734095</v>
      </c>
      <c r="Q1320" s="36">
        <v>0.22983988124592905</v>
      </c>
      <c r="R1320" s="36">
        <v>0.22864538754536778</v>
      </c>
      <c r="S1320" s="36">
        <v>0.22745710171087807</v>
      </c>
      <c r="T1320" s="36">
        <v>0.22627499147975219</v>
      </c>
      <c r="U1320" s="36">
        <v>0.22509902475695392</v>
      </c>
      <c r="V1320" s="36">
        <v>0.22392916961424714</v>
      </c>
      <c r="W1320" s="36">
        <v>0.22276539428932896</v>
      </c>
      <c r="X1320" s="36">
        <v>0.22160766718496741</v>
      </c>
      <c r="Y1320" s="36">
        <v>0.22045595686814348</v>
      </c>
      <c r="Z1320" s="36">
        <v>0.21931023206919775</v>
      </c>
      <c r="AA1320" s="36">
        <v>0.21817046168098134</v>
      </c>
      <c r="AB1320" s="36">
        <v>0.22750093640951827</v>
      </c>
      <c r="AC1320" s="36">
        <v>0.2372304466352948</v>
      </c>
      <c r="AD1320" s="36">
        <v>0.24737605787026934</v>
      </c>
      <c r="AE1320" s="36">
        <v>0.25795556546547577</v>
      </c>
      <c r="AF1320" s="36">
        <v>0.26898752582397961</v>
      </c>
      <c r="AG1320" s="36">
        <v>0.28049128894871567</v>
      </c>
      <c r="AH1320" s="36">
        <v>0.29248703238229562</v>
      </c>
      <c r="AI1320" s="36">
        <v>0.30499579659831627</v>
      </c>
      <c r="AJ1320" s="36">
        <v>0.3180395219062444</v>
      </c>
      <c r="AK1320" s="36">
        <v>0.33164108693460892</v>
      </c>
      <c r="AL1320" s="36">
        <v>0.33230797686437913</v>
      </c>
      <c r="AM1320" s="36">
        <v>0.33297620782876763</v>
      </c>
      <c r="AN1320" s="36">
        <v>0.33364578252443211</v>
      </c>
      <c r="AO1320" s="36">
        <v>0.3343167036534529</v>
      </c>
      <c r="AP1320" s="36">
        <v>0.33498897392334381</v>
      </c>
      <c r="AQ1320" s="36">
        <v>0.33566259604706328</v>
      </c>
      <c r="AR1320" s="36">
        <v>0.33633757274302511</v>
      </c>
      <c r="AS1320" s="36">
        <v>0.33701390673510945</v>
      </c>
      <c r="AT1320" s="36">
        <v>0.3376916007526739</v>
      </c>
      <c r="AU1320" s="36">
        <v>0.33837065753056444</v>
      </c>
      <c r="AV1320" s="36">
        <v>0.34040209512783376</v>
      </c>
      <c r="AW1320" s="36">
        <v>0.34244572863695227</v>
      </c>
      <c r="AX1320" s="36">
        <v>0.34450163127713485</v>
      </c>
      <c r="AY1320" s="36">
        <v>0.34656987670717415</v>
      </c>
      <c r="AZ1320" s="36">
        <v>43.185395205202497</v>
      </c>
    </row>
    <row r="1321" spans="1:52" ht="12" customHeight="1" x14ac:dyDescent="0.2">
      <c r="A1321" t="s">
        <v>145</v>
      </c>
      <c r="B1321" t="str">
        <f t="shared" si="438"/>
        <v>MID</v>
      </c>
      <c r="C1321" t="str">
        <f t="shared" si="439"/>
        <v>RJ</v>
      </c>
      <c r="D1321" s="36">
        <v>0.20720023494803141</v>
      </c>
      <c r="E1321" s="36">
        <v>0.20873904652776148</v>
      </c>
      <c r="F1321" s="36">
        <v>0.20922331933492599</v>
      </c>
      <c r="G1321" s="56">
        <v>0.20970871565087171</v>
      </c>
      <c r="H1321" s="36">
        <v>0.21019411196681745</v>
      </c>
      <c r="I1321" s="36">
        <v>0.21068063179154442</v>
      </c>
      <c r="J1321" s="36">
        <v>0.21116827772555027</v>
      </c>
      <c r="K1321" s="36">
        <v>0.21165705237535185</v>
      </c>
      <c r="L1321" s="36">
        <v>0.21214695835349903</v>
      </c>
      <c r="M1321" s="36">
        <v>0.21263799827858884</v>
      </c>
      <c r="N1321" s="36">
        <v>0.21313017477527932</v>
      </c>
      <c r="O1321" s="36">
        <v>0.2136234904743036</v>
      </c>
      <c r="P1321" s="36">
        <v>0.21411794801248396</v>
      </c>
      <c r="Q1321" s="36">
        <v>0.21461355003274596</v>
      </c>
      <c r="R1321" s="36">
        <v>0.21349818862471032</v>
      </c>
      <c r="S1321" s="36">
        <v>0.21238862382676915</v>
      </c>
      <c r="T1321" s="36">
        <v>0.21128482551354039</v>
      </c>
      <c r="U1321" s="36">
        <v>0.21018676371620562</v>
      </c>
      <c r="V1321" s="36">
        <v>0.20909440862169648</v>
      </c>
      <c r="W1321" s="36">
        <v>0.20800773057188512</v>
      </c>
      <c r="X1321" s="36">
        <v>0.20692670006277905</v>
      </c>
      <c r="Y1321" s="36">
        <v>0.20585128774372008</v>
      </c>
      <c r="Z1321" s="36">
        <v>0.2047814644165874</v>
      </c>
      <c r="AA1321" s="36">
        <v>0.20371720103500485</v>
      </c>
      <c r="AB1321" s="36">
        <v>0.21242955458360205</v>
      </c>
      <c r="AC1321" s="36">
        <v>0.22151450850158441</v>
      </c>
      <c r="AD1321" s="36">
        <v>0.23098799775239109</v>
      </c>
      <c r="AE1321" s="36">
        <v>0.24086663878847919</v>
      </c>
      <c r="AF1321" s="36">
        <v>0.25116775869649766</v>
      </c>
      <c r="AG1321" s="36">
        <v>0.26190942558891006</v>
      </c>
      <c r="AH1321" s="36">
        <v>0.27311048029537299</v>
      </c>
      <c r="AI1321" s="36">
        <v>0.2847905694094563</v>
      </c>
      <c r="AJ1321" s="36">
        <v>0.29697017974866941</v>
      </c>
      <c r="AK1321" s="36">
        <v>0.30967067428823603</v>
      </c>
      <c r="AL1321" s="36">
        <v>0.31029338438768966</v>
      </c>
      <c r="AM1321" s="36">
        <v>0.3109173466814909</v>
      </c>
      <c r="AN1321" s="36">
        <v>0.31154256368765043</v>
      </c>
      <c r="AO1321" s="36">
        <v>0.31216903792924239</v>
      </c>
      <c r="AP1321" s="36">
        <v>0.31279677193441441</v>
      </c>
      <c r="AQ1321" s="36">
        <v>0.31342576823639801</v>
      </c>
      <c r="AR1321" s="36">
        <v>0.31405602937351867</v>
      </c>
      <c r="AS1321" s="36">
        <v>0.31468755788920622</v>
      </c>
      <c r="AT1321" s="36">
        <v>0.31532035633200489</v>
      </c>
      <c r="AU1321" s="36">
        <v>0.31595442725558387</v>
      </c>
      <c r="AV1321" s="36">
        <v>0.31785128706971449</v>
      </c>
      <c r="AW1321" s="36">
        <v>0.31975953484629821</v>
      </c>
      <c r="AX1321" s="36">
        <v>0.3216792389539555</v>
      </c>
      <c r="AY1321" s="36">
        <v>0.32361046817176387</v>
      </c>
      <c r="AZ1321" s="36">
        <v>44.185395205202497</v>
      </c>
    </row>
    <row r="1322" spans="1:52" ht="12" customHeight="1" x14ac:dyDescent="0.2">
      <c r="A1322" t="s">
        <v>146</v>
      </c>
      <c r="B1322" t="str">
        <f t="shared" si="438"/>
        <v>AFR</v>
      </c>
      <c r="C1322" t="str">
        <f t="shared" si="439"/>
        <v>RJ</v>
      </c>
      <c r="D1322" s="36">
        <v>0.20213662708788763</v>
      </c>
      <c r="E1322" s="36">
        <v>0.20363783282990061</v>
      </c>
      <c r="F1322" s="36">
        <v>0.20411027086480518</v>
      </c>
      <c r="G1322" s="56">
        <v>0.2045838049519203</v>
      </c>
      <c r="H1322" s="36">
        <v>0.20505733903903545</v>
      </c>
      <c r="I1322" s="36">
        <v>0.20553196917836114</v>
      </c>
      <c r="J1322" s="36">
        <v>0.20600769790684348</v>
      </c>
      <c r="K1322" s="36">
        <v>0.20648452776730059</v>
      </c>
      <c r="L1322" s="36">
        <v>0.20696246130843632</v>
      </c>
      <c r="M1322" s="36">
        <v>0.20744150108485374</v>
      </c>
      <c r="N1322" s="36">
        <v>0.20792164965706891</v>
      </c>
      <c r="O1322" s="36">
        <v>0.20840290959152449</v>
      </c>
      <c r="P1322" s="36">
        <v>0.2088852834606035</v>
      </c>
      <c r="Q1322" s="36">
        <v>0.20936877384264305</v>
      </c>
      <c r="R1322" s="36">
        <v>0.20828066989787256</v>
      </c>
      <c r="S1322" s="36">
        <v>0.20719822090428172</v>
      </c>
      <c r="T1322" s="36">
        <v>0.20612139747269961</v>
      </c>
      <c r="U1322" s="36">
        <v>0.20505017036669279</v>
      </c>
      <c r="V1322" s="36">
        <v>0.20398451050177163</v>
      </c>
      <c r="W1322" s="36">
        <v>0.2029243889446006</v>
      </c>
      <c r="X1322" s="36">
        <v>0.20186977691221267</v>
      </c>
      <c r="Y1322" s="36">
        <v>0.20082064577122788</v>
      </c>
      <c r="Z1322" s="36">
        <v>0.19977696703707595</v>
      </c>
      <c r="AA1322" s="36">
        <v>0.19873871237322288</v>
      </c>
      <c r="AB1322" s="36">
        <v>0.20723815138569471</v>
      </c>
      <c r="AC1322" s="36">
        <v>0.21610108507247572</v>
      </c>
      <c r="AD1322" s="36">
        <v>0.22534305897463716</v>
      </c>
      <c r="AE1322" s="36">
        <v>0.23498028346788002</v>
      </c>
      <c r="AF1322" s="36">
        <v>0.24502966219545239</v>
      </c>
      <c r="AG1322" s="36">
        <v>0.25550882171705458</v>
      </c>
      <c r="AH1322" s="36">
        <v>0.26643614242573621</v>
      </c>
      <c r="AI1322" s="36">
        <v>0.277830790787013</v>
      </c>
      <c r="AJ1322" s="36">
        <v>0.28971275295675081</v>
      </c>
      <c r="AK1322" s="36">
        <v>0.30210286983678247</v>
      </c>
      <c r="AL1322" s="36">
        <v>0.30271036200101048</v>
      </c>
      <c r="AM1322" s="36">
        <v>0.30331907575816736</v>
      </c>
      <c r="AN1322" s="36">
        <v>0.30392901356472812</v>
      </c>
      <c r="AO1322" s="36">
        <v>0.30454017788210741</v>
      </c>
      <c r="AP1322" s="36">
        <v>0.30515257117666938</v>
      </c>
      <c r="AQ1322" s="36">
        <v>0.30576619591973786</v>
      </c>
      <c r="AR1322" s="36">
        <v>0.30638105458760617</v>
      </c>
      <c r="AS1322" s="36">
        <v>0.30699714966154718</v>
      </c>
      <c r="AT1322" s="36">
        <v>0.30761448362782323</v>
      </c>
      <c r="AU1322" s="36">
        <v>0.30823305897769626</v>
      </c>
      <c r="AV1322" s="36">
        <v>0.31008356288751615</v>
      </c>
      <c r="AW1322" s="36">
        <v>0.311945176458096</v>
      </c>
      <c r="AX1322" s="36">
        <v>0.31381796638724802</v>
      </c>
      <c r="AY1322" s="36">
        <v>0.31570199977321051</v>
      </c>
      <c r="AZ1322" s="36">
        <v>45.185395205202497</v>
      </c>
    </row>
    <row r="1323" spans="1:52" ht="12" customHeight="1" x14ac:dyDescent="0.2">
      <c r="A1323" t="s">
        <v>147</v>
      </c>
      <c r="B1323" t="str">
        <f t="shared" si="438"/>
        <v>BRZ</v>
      </c>
      <c r="C1323" t="str">
        <f t="shared" si="439"/>
        <v>RJ</v>
      </c>
      <c r="D1323" s="36">
        <v>0.17271025532875114</v>
      </c>
      <c r="E1323" s="36">
        <v>0.17399292057719876</v>
      </c>
      <c r="F1323" s="36">
        <v>0.17439658266858166</v>
      </c>
      <c r="G1323" s="56">
        <v>0.17480118125257288</v>
      </c>
      <c r="H1323" s="36">
        <v>0.17520577983656413</v>
      </c>
      <c r="I1323" s="36">
        <v>0.17561131491316367</v>
      </c>
      <c r="J1323" s="36">
        <v>0.17601778864999754</v>
      </c>
      <c r="K1323" s="36">
        <v>0.17642520321970892</v>
      </c>
      <c r="L1323" s="36">
        <v>0.1768335607999699</v>
      </c>
      <c r="M1323" s="36">
        <v>0.17724286357349303</v>
      </c>
      <c r="N1323" s="36">
        <v>0.17765311372804302</v>
      </c>
      <c r="O1323" s="36">
        <v>0.17806431345644841</v>
      </c>
      <c r="P1323" s="36">
        <v>0.17847646495661335</v>
      </c>
      <c r="Q1323" s="36">
        <v>0.17888957043152925</v>
      </c>
      <c r="R1323" s="36">
        <v>0.17795986900713662</v>
      </c>
      <c r="S1323" s="36">
        <v>0.1770349993051101</v>
      </c>
      <c r="T1323" s="36">
        <v>0.1761149362146556</v>
      </c>
      <c r="U1323" s="36">
        <v>0.17519965475548158</v>
      </c>
      <c r="V1323" s="36">
        <v>0.1742891300771208</v>
      </c>
      <c r="W1323" s="36">
        <v>0.17338333745825557</v>
      </c>
      <c r="X1323" s="36">
        <v>0.17248225230604661</v>
      </c>
      <c r="Y1323" s="36">
        <v>0.17158585015546535</v>
      </c>
      <c r="Z1323" s="36">
        <v>0.17069410666862964</v>
      </c>
      <c r="AA1323" s="36">
        <v>0.16980699763414295</v>
      </c>
      <c r="AB1323" s="36">
        <v>0.17706911684105398</v>
      </c>
      <c r="AC1323" s="36">
        <v>0.18464181438755153</v>
      </c>
      <c r="AD1323" s="36">
        <v>0.19253837274701177</v>
      </c>
      <c r="AE1323" s="36">
        <v>0.20077264244304652</v>
      </c>
      <c r="AF1323" s="36">
        <v>0.20935906634325191</v>
      </c>
      <c r="AG1323" s="36">
        <v>0.21831270499192551</v>
      </c>
      <c r="AH1323" s="36">
        <v>0.22764926302618513</v>
      </c>
      <c r="AI1323" s="36">
        <v>0.23738511672182333</v>
      </c>
      <c r="AJ1323" s="36">
        <v>0.2475373427172127</v>
      </c>
      <c r="AK1323" s="36">
        <v>0.25812374796564364</v>
      </c>
      <c r="AL1323" s="36">
        <v>0.2586428034594726</v>
      </c>
      <c r="AM1323" s="36">
        <v>0.25916290271083187</v>
      </c>
      <c r="AN1323" s="36">
        <v>0.25968404781859095</v>
      </c>
      <c r="AO1323" s="36">
        <v>0.26020624088583993</v>
      </c>
      <c r="AP1323" s="36">
        <v>0.26072948401989809</v>
      </c>
      <c r="AQ1323" s="36">
        <v>0.26125377933232219</v>
      </c>
      <c r="AR1323" s="36">
        <v>0.26177912893891508</v>
      </c>
      <c r="AS1323" s="36">
        <v>0.26230553495973419</v>
      </c>
      <c r="AT1323" s="36">
        <v>0.26283299951910022</v>
      </c>
      <c r="AU1323" s="36">
        <v>0.26336152474560554</v>
      </c>
      <c r="AV1323" s="36">
        <v>0.26494263850690758</v>
      </c>
      <c r="AW1323" s="36">
        <v>0.26653324462184252</v>
      </c>
      <c r="AX1323" s="36">
        <v>0.26813340007857889</v>
      </c>
      <c r="AY1323" s="36">
        <v>0.26974316220741856</v>
      </c>
      <c r="AZ1323" s="36">
        <v>46.185395205202497</v>
      </c>
    </row>
    <row r="1324" spans="1:52" ht="12" customHeight="1" x14ac:dyDescent="0.2">
      <c r="A1324" t="s">
        <v>148</v>
      </c>
      <c r="B1324" t="str">
        <f t="shared" si="438"/>
        <v>CSA</v>
      </c>
      <c r="C1324" t="str">
        <f t="shared" si="439"/>
        <v>RJ</v>
      </c>
      <c r="D1324" s="36">
        <v>0.15860296159534595</v>
      </c>
      <c r="E1324" s="36">
        <v>0.15978085636917966</v>
      </c>
      <c r="F1324" s="36">
        <v>0.16015154659284492</v>
      </c>
      <c r="G1324" s="56">
        <v>0.16052309681466667</v>
      </c>
      <c r="H1324" s="36">
        <v>0.16089464703648845</v>
      </c>
      <c r="I1324" s="36">
        <v>0.16126705725646673</v>
      </c>
      <c r="J1324" s="36">
        <v>0.16164032946517179</v>
      </c>
      <c r="K1324" s="36">
        <v>0.16201446565778133</v>
      </c>
      <c r="L1324" s="36">
        <v>0.16238946783409111</v>
      </c>
      <c r="M1324" s="36">
        <v>0.16276533799852569</v>
      </c>
      <c r="N1324" s="36">
        <v>0.16314207816014911</v>
      </c>
      <c r="O1324" s="36">
        <v>0.16351969033267563</v>
      </c>
      <c r="P1324" s="36">
        <v>0.16389817653448047</v>
      </c>
      <c r="Q1324" s="36">
        <v>0.16427753878861065</v>
      </c>
      <c r="R1324" s="36">
        <v>0.16342377709954703</v>
      </c>
      <c r="S1324" s="36">
        <v>0.16257445246881219</v>
      </c>
      <c r="T1324" s="36">
        <v>0.16172954183670823</v>
      </c>
      <c r="U1324" s="36">
        <v>0.16088902226338014</v>
      </c>
      <c r="V1324" s="36">
        <v>0.16005287092819287</v>
      </c>
      <c r="W1324" s="36">
        <v>0.15922106512911177</v>
      </c>
      <c r="X1324" s="36">
        <v>0.1583935822820863</v>
      </c>
      <c r="Y1324" s="36">
        <v>0.1575703999204367</v>
      </c>
      <c r="Z1324" s="36">
        <v>0.15675149569424415</v>
      </c>
      <c r="AA1324" s="36">
        <v>0.15593684736974392</v>
      </c>
      <c r="AB1324" s="36">
        <v>0.16260578322119126</v>
      </c>
      <c r="AC1324" s="36">
        <v>0.16955992879786325</v>
      </c>
      <c r="AD1324" s="36">
        <v>0.17681148163609467</v>
      </c>
      <c r="AE1324" s="36">
        <v>0.18437316092306005</v>
      </c>
      <c r="AF1324" s="36">
        <v>0.19225822980616381</v>
      </c>
      <c r="AG1324" s="36">
        <v>0.20048051865653402</v>
      </c>
      <c r="AH1324" s="36">
        <v>0.20905444932742387</v>
      </c>
      <c r="AI1324" s="36">
        <v>0.21799506045006958</v>
      </c>
      <c r="AJ1324" s="36">
        <v>0.22731803381137389</v>
      </c>
      <c r="AK1324" s="36">
        <v>0.23703972185968139</v>
      </c>
      <c r="AL1324" s="36">
        <v>0.23751637993882621</v>
      </c>
      <c r="AM1324" s="36">
        <v>0.23799399651945183</v>
      </c>
      <c r="AN1324" s="36">
        <v>0.23847257352898829</v>
      </c>
      <c r="AO1324" s="36">
        <v>0.23895211289874141</v>
      </c>
      <c r="AP1324" s="36">
        <v>0.23943261656390066</v>
      </c>
      <c r="AQ1324" s="36">
        <v>0.23991408646354695</v>
      </c>
      <c r="AR1324" s="36">
        <v>0.24039652454066043</v>
      </c>
      <c r="AS1324" s="36">
        <v>0.24087993274212835</v>
      </c>
      <c r="AT1324" s="36">
        <v>0.24136431301875289</v>
      </c>
      <c r="AU1324" s="36">
        <v>0.24184966732525909</v>
      </c>
      <c r="AV1324" s="36">
        <v>0.24330163278431263</v>
      </c>
      <c r="AW1324" s="36">
        <v>0.24476231524396244</v>
      </c>
      <c r="AX1324" s="36">
        <v>0.24623176703747784</v>
      </c>
      <c r="AY1324" s="36">
        <v>0.24771004081231546</v>
      </c>
      <c r="AZ1324" s="36">
        <v>47.185395205202497</v>
      </c>
    </row>
    <row r="1325" spans="1:52" ht="12" customHeight="1" x14ac:dyDescent="0.2">
      <c r="A1325" t="s">
        <v>307</v>
      </c>
    </row>
    <row r="1328" spans="1:52" ht="12" customHeight="1" x14ac:dyDescent="0.2">
      <c r="G1328" s="20"/>
      <c r="AD1328" s="20"/>
    </row>
    <row r="1329" spans="1:52" ht="12" customHeight="1" x14ac:dyDescent="0.2">
      <c r="A1329" t="s">
        <v>308</v>
      </c>
      <c r="D1329">
        <f t="shared" ref="D1329:AY1329" si="440">D1275</f>
        <v>2022</v>
      </c>
      <c r="E1329">
        <f t="shared" si="440"/>
        <v>2021</v>
      </c>
      <c r="F1329">
        <f t="shared" si="440"/>
        <v>2020</v>
      </c>
      <c r="G1329" s="20">
        <f t="shared" si="440"/>
        <v>2019</v>
      </c>
      <c r="H1329">
        <f t="shared" si="440"/>
        <v>2018</v>
      </c>
      <c r="I1329">
        <f t="shared" si="440"/>
        <v>2017</v>
      </c>
      <c r="J1329">
        <f t="shared" si="440"/>
        <v>2016</v>
      </c>
      <c r="K1329">
        <f t="shared" si="440"/>
        <v>2015</v>
      </c>
      <c r="L1329">
        <f t="shared" si="440"/>
        <v>2014</v>
      </c>
      <c r="M1329">
        <f t="shared" si="440"/>
        <v>2013</v>
      </c>
      <c r="N1329">
        <f t="shared" si="440"/>
        <v>2012</v>
      </c>
      <c r="O1329">
        <f t="shared" si="440"/>
        <v>2011</v>
      </c>
      <c r="P1329">
        <f t="shared" si="440"/>
        <v>2010</v>
      </c>
      <c r="Q1329">
        <f t="shared" si="440"/>
        <v>2009</v>
      </c>
      <c r="R1329">
        <f t="shared" si="440"/>
        <v>2008</v>
      </c>
      <c r="S1329">
        <f t="shared" si="440"/>
        <v>2007</v>
      </c>
      <c r="T1329">
        <f t="shared" si="440"/>
        <v>2006</v>
      </c>
      <c r="U1329">
        <f t="shared" si="440"/>
        <v>2005</v>
      </c>
      <c r="V1329">
        <f t="shared" si="440"/>
        <v>2004</v>
      </c>
      <c r="W1329">
        <f t="shared" si="440"/>
        <v>2003</v>
      </c>
      <c r="X1329">
        <f t="shared" si="440"/>
        <v>2002</v>
      </c>
      <c r="Y1329">
        <f t="shared" si="440"/>
        <v>2001</v>
      </c>
      <c r="Z1329">
        <f t="shared" si="440"/>
        <v>2000</v>
      </c>
      <c r="AA1329">
        <f t="shared" si="440"/>
        <v>1999</v>
      </c>
      <c r="AB1329">
        <f t="shared" si="440"/>
        <v>1998</v>
      </c>
      <c r="AC1329">
        <f t="shared" si="440"/>
        <v>1997</v>
      </c>
      <c r="AD1329" s="20">
        <f t="shared" si="440"/>
        <v>1996</v>
      </c>
      <c r="AE1329">
        <f t="shared" si="440"/>
        <v>1995</v>
      </c>
      <c r="AF1329">
        <f t="shared" si="440"/>
        <v>1994</v>
      </c>
      <c r="AG1329">
        <f t="shared" si="440"/>
        <v>1993</v>
      </c>
      <c r="AH1329">
        <f t="shared" si="440"/>
        <v>1992</v>
      </c>
      <c r="AI1329">
        <f t="shared" si="440"/>
        <v>1991</v>
      </c>
      <c r="AJ1329">
        <f t="shared" si="440"/>
        <v>1990</v>
      </c>
      <c r="AK1329">
        <f t="shared" si="440"/>
        <v>1989</v>
      </c>
      <c r="AL1329">
        <f t="shared" si="440"/>
        <v>1988</v>
      </c>
      <c r="AM1329">
        <f t="shared" si="440"/>
        <v>1987</v>
      </c>
      <c r="AN1329">
        <f t="shared" si="440"/>
        <v>1986</v>
      </c>
      <c r="AO1329">
        <f t="shared" si="440"/>
        <v>1985</v>
      </c>
      <c r="AP1329">
        <f t="shared" si="440"/>
        <v>1984</v>
      </c>
      <c r="AQ1329">
        <f t="shared" si="440"/>
        <v>1983</v>
      </c>
      <c r="AR1329">
        <f t="shared" si="440"/>
        <v>1982</v>
      </c>
      <c r="AS1329">
        <f t="shared" si="440"/>
        <v>1981</v>
      </c>
      <c r="AT1329">
        <f t="shared" si="440"/>
        <v>1980</v>
      </c>
      <c r="AU1329">
        <f t="shared" si="440"/>
        <v>1979</v>
      </c>
      <c r="AV1329">
        <f t="shared" si="440"/>
        <v>1978</v>
      </c>
      <c r="AW1329">
        <f t="shared" si="440"/>
        <v>1977</v>
      </c>
      <c r="AX1329">
        <f t="shared" si="440"/>
        <v>1976</v>
      </c>
      <c r="AY1329">
        <f t="shared" si="440"/>
        <v>1975</v>
      </c>
    </row>
    <row r="1330" spans="1:52" ht="12" customHeight="1" x14ac:dyDescent="0.2">
      <c r="A1330" t="s">
        <v>309</v>
      </c>
      <c r="D1330">
        <v>1</v>
      </c>
      <c r="E1330">
        <v>2</v>
      </c>
      <c r="F1330">
        <v>3</v>
      </c>
      <c r="G1330" s="20">
        <v>4</v>
      </c>
      <c r="H1330">
        <v>5</v>
      </c>
      <c r="I1330">
        <v>6</v>
      </c>
      <c r="J1330">
        <v>7</v>
      </c>
      <c r="K1330">
        <v>8</v>
      </c>
      <c r="L1330">
        <v>9</v>
      </c>
      <c r="M1330">
        <v>10</v>
      </c>
      <c r="N1330">
        <v>11</v>
      </c>
      <c r="O1330">
        <v>12</v>
      </c>
      <c r="P1330">
        <v>13</v>
      </c>
      <c r="Q1330">
        <v>14</v>
      </c>
      <c r="R1330">
        <v>15</v>
      </c>
      <c r="S1330">
        <v>16</v>
      </c>
      <c r="T1330">
        <v>17</v>
      </c>
      <c r="U1330">
        <v>18</v>
      </c>
      <c r="V1330">
        <v>19</v>
      </c>
      <c r="W1330">
        <v>20</v>
      </c>
      <c r="X1330">
        <v>21</v>
      </c>
      <c r="Y1330">
        <v>22</v>
      </c>
      <c r="Z1330">
        <v>23</v>
      </c>
      <c r="AA1330">
        <v>24</v>
      </c>
      <c r="AB1330">
        <v>25</v>
      </c>
      <c r="AC1330">
        <v>26</v>
      </c>
      <c r="AD1330" s="20">
        <v>27</v>
      </c>
      <c r="AE1330">
        <v>28</v>
      </c>
      <c r="AF1330">
        <v>29</v>
      </c>
      <c r="AG1330">
        <v>30</v>
      </c>
      <c r="AH1330">
        <v>31</v>
      </c>
      <c r="AI1330">
        <v>32</v>
      </c>
      <c r="AJ1330">
        <v>33</v>
      </c>
      <c r="AK1330">
        <v>34</v>
      </c>
      <c r="AL1330">
        <v>35</v>
      </c>
      <c r="AM1330">
        <v>36</v>
      </c>
      <c r="AN1330">
        <v>37</v>
      </c>
      <c r="AO1330">
        <v>38</v>
      </c>
      <c r="AP1330">
        <v>39</v>
      </c>
      <c r="AQ1330">
        <v>40</v>
      </c>
      <c r="AR1330">
        <v>41</v>
      </c>
      <c r="AS1330">
        <v>42</v>
      </c>
      <c r="AT1330">
        <v>43</v>
      </c>
      <c r="AU1330">
        <v>44</v>
      </c>
      <c r="AV1330">
        <v>45</v>
      </c>
      <c r="AW1330">
        <v>46</v>
      </c>
      <c r="AX1330">
        <v>47</v>
      </c>
      <c r="AY1330">
        <v>48</v>
      </c>
    </row>
    <row r="1331" spans="1:52" ht="12" customHeight="1" x14ac:dyDescent="0.2">
      <c r="A1331" t="s">
        <v>101</v>
      </c>
      <c r="B1331" t="str">
        <f t="shared" ref="B1331:B1378" si="441">LEFT(A1331,3)</f>
        <v>USA</v>
      </c>
      <c r="C1331" t="str">
        <f t="shared" ref="C1331:C1378" si="442">RIGHT(A1331,2)</f>
        <v>NB</v>
      </c>
      <c r="D1331" s="36">
        <f t="shared" ref="D1331:D1378" si="443">E1331*(1+$G$1267)</f>
        <v>0.11129496290846533</v>
      </c>
      <c r="E1331" s="36">
        <f t="shared" ref="E1331:E1378" si="444">E1277*(AB1074/AB1125)</f>
        <v>0.11241915445299529</v>
      </c>
      <c r="F1331" s="36">
        <f t="shared" ref="F1331:AY1331" si="445">E1331*(1-INDEX($B$1267:$G$1267,,MATCH(F$1274,$B$1268:$G$1268,0)))</f>
        <v>0.11354334599752525</v>
      </c>
      <c r="G1331" s="56">
        <f t="shared" si="445"/>
        <v>0.1146787794575005</v>
      </c>
      <c r="H1331" s="36">
        <f t="shared" si="445"/>
        <v>0.1158255672520755</v>
      </c>
      <c r="I1331" s="36">
        <f t="shared" si="445"/>
        <v>0.11698382292459626</v>
      </c>
      <c r="J1331" s="36">
        <f t="shared" si="445"/>
        <v>0.11815366115384222</v>
      </c>
      <c r="K1331" s="36">
        <f t="shared" si="445"/>
        <v>0.11933519776538065</v>
      </c>
      <c r="L1331" s="36">
        <f t="shared" si="445"/>
        <v>0.12052854974303447</v>
      </c>
      <c r="M1331" s="36">
        <f t="shared" si="445"/>
        <v>0.12173383524046481</v>
      </c>
      <c r="N1331" s="36">
        <f t="shared" si="445"/>
        <v>0.12295117359286946</v>
      </c>
      <c r="O1331" s="36">
        <f t="shared" si="445"/>
        <v>0.12418068532879815</v>
      </c>
      <c r="P1331" s="36">
        <f t="shared" si="445"/>
        <v>0.12542249218208615</v>
      </c>
      <c r="Q1331" s="36">
        <f t="shared" si="445"/>
        <v>0.12604960464299655</v>
      </c>
      <c r="R1331" s="36">
        <f t="shared" si="445"/>
        <v>0.12667985266621151</v>
      </c>
      <c r="S1331" s="36">
        <f t="shared" si="445"/>
        <v>0.12731325192954254</v>
      </c>
      <c r="T1331" s="36">
        <f t="shared" si="445"/>
        <v>0.12794981818919024</v>
      </c>
      <c r="U1331" s="36">
        <f t="shared" si="445"/>
        <v>0.12858956728013618</v>
      </c>
      <c r="V1331" s="36">
        <f t="shared" si="445"/>
        <v>0.12923251511653686</v>
      </c>
      <c r="W1331" s="36">
        <f t="shared" si="445"/>
        <v>0.12987867769211953</v>
      </c>
      <c r="X1331" s="36">
        <f t="shared" si="445"/>
        <v>0.13052807108058012</v>
      </c>
      <c r="Y1331" s="36">
        <f t="shared" si="445"/>
        <v>0.13118071143598301</v>
      </c>
      <c r="Z1331" s="36">
        <f t="shared" si="445"/>
        <v>0.1318366149931629</v>
      </c>
      <c r="AA1331" s="36">
        <f t="shared" si="445"/>
        <v>0.13315498114309454</v>
      </c>
      <c r="AB1331" s="36">
        <f t="shared" si="445"/>
        <v>0.13448653095452548</v>
      </c>
      <c r="AC1331" s="36">
        <f t="shared" si="445"/>
        <v>0.13583139626407073</v>
      </c>
      <c r="AD1331" s="36">
        <f t="shared" si="445"/>
        <v>0.13718971022671145</v>
      </c>
      <c r="AE1331" s="36">
        <f t="shared" si="445"/>
        <v>0.13856160732897857</v>
      </c>
      <c r="AF1331" s="36">
        <f t="shared" si="445"/>
        <v>0.13994722340226837</v>
      </c>
      <c r="AG1331" s="36">
        <f t="shared" si="445"/>
        <v>0.14134669563629104</v>
      </c>
      <c r="AH1331" s="36">
        <f t="shared" si="445"/>
        <v>0.14276016259265395</v>
      </c>
      <c r="AI1331" s="36">
        <f t="shared" si="445"/>
        <v>0.14418776421858048</v>
      </c>
      <c r="AJ1331" s="36">
        <f t="shared" si="445"/>
        <v>0.1456296418607663</v>
      </c>
      <c r="AK1331" s="36">
        <f t="shared" si="445"/>
        <v>0.14839660505612084</v>
      </c>
      <c r="AL1331" s="36">
        <f t="shared" si="445"/>
        <v>0.15121614055218713</v>
      </c>
      <c r="AM1331" s="36">
        <f t="shared" si="445"/>
        <v>0.15408924722267867</v>
      </c>
      <c r="AN1331" s="36">
        <f t="shared" si="445"/>
        <v>0.15701694291990956</v>
      </c>
      <c r="AO1331" s="36">
        <f t="shared" si="445"/>
        <v>0.16000026483538782</v>
      </c>
      <c r="AP1331" s="36">
        <f t="shared" si="445"/>
        <v>0.16304026986726017</v>
      </c>
      <c r="AQ1331" s="36">
        <f t="shared" si="445"/>
        <v>0.16613803499473809</v>
      </c>
      <c r="AR1331" s="36">
        <f t="shared" si="445"/>
        <v>0.16929465765963811</v>
      </c>
      <c r="AS1331" s="36">
        <f t="shared" si="445"/>
        <v>0.17251125615517121</v>
      </c>
      <c r="AT1331" s="36">
        <f t="shared" si="445"/>
        <v>0.17578897002211943</v>
      </c>
      <c r="AU1331" s="36">
        <f t="shared" si="445"/>
        <v>0.17614054796216366</v>
      </c>
      <c r="AV1331" s="36">
        <f t="shared" si="445"/>
        <v>0.176492829058088</v>
      </c>
      <c r="AW1331" s="36">
        <f t="shared" si="445"/>
        <v>0.17684581471620417</v>
      </c>
      <c r="AX1331" s="36">
        <f t="shared" si="445"/>
        <v>0.17719950634563658</v>
      </c>
      <c r="AY1331" s="36">
        <f t="shared" si="445"/>
        <v>0.17755390535832785</v>
      </c>
      <c r="AZ1331" s="36">
        <v>0.18539520520245947</v>
      </c>
    </row>
    <row r="1332" spans="1:52" ht="12" customHeight="1" x14ac:dyDescent="0.2">
      <c r="A1332" t="s">
        <v>102</v>
      </c>
      <c r="B1332" t="str">
        <f t="shared" si="441"/>
        <v>CAN</v>
      </c>
      <c r="C1332" t="str">
        <f t="shared" si="442"/>
        <v>NB</v>
      </c>
      <c r="D1332" s="36">
        <f t="shared" si="443"/>
        <v>0.11795897231338655</v>
      </c>
      <c r="E1332" s="36">
        <f t="shared" si="444"/>
        <v>0.11915047708422884</v>
      </c>
      <c r="F1332" s="36">
        <f t="shared" ref="F1332:AY1332" si="446">E1332*(1-INDEX($B$1267:$G$1267,,MATCH(F$1274,$B$1268:$G$1268,0)))</f>
        <v>0.12034198185507113</v>
      </c>
      <c r="G1332" s="56">
        <f t="shared" si="446"/>
        <v>0.12154540167362184</v>
      </c>
      <c r="H1332" s="36">
        <f t="shared" si="446"/>
        <v>0.12276085569035805</v>
      </c>
      <c r="I1332" s="36">
        <f t="shared" si="446"/>
        <v>0.12398846424726163</v>
      </c>
      <c r="J1332" s="36">
        <f t="shared" si="446"/>
        <v>0.12522834888973425</v>
      </c>
      <c r="K1332" s="36">
        <f t="shared" si="446"/>
        <v>0.12648063237863158</v>
      </c>
      <c r="L1332" s="36">
        <f t="shared" si="446"/>
        <v>0.12774543870241789</v>
      </c>
      <c r="M1332" s="36">
        <f t="shared" si="446"/>
        <v>0.12902289308944206</v>
      </c>
      <c r="N1332" s="36">
        <f t="shared" si="446"/>
        <v>0.13031312202033649</v>
      </c>
      <c r="O1332" s="36">
        <f t="shared" si="446"/>
        <v>0.13161625324053985</v>
      </c>
      <c r="P1332" s="36">
        <f t="shared" si="446"/>
        <v>0.13293241577294526</v>
      </c>
      <c r="Q1332" s="36">
        <f t="shared" si="446"/>
        <v>0.13359707785180996</v>
      </c>
      <c r="R1332" s="36">
        <f t="shared" si="446"/>
        <v>0.13426506324106899</v>
      </c>
      <c r="S1332" s="36">
        <f t="shared" si="446"/>
        <v>0.13493638855727433</v>
      </c>
      <c r="T1332" s="36">
        <f t="shared" si="446"/>
        <v>0.13561107050006069</v>
      </c>
      <c r="U1332" s="36">
        <f t="shared" si="446"/>
        <v>0.13628912585256098</v>
      </c>
      <c r="V1332" s="36">
        <f t="shared" si="446"/>
        <v>0.13697057148182376</v>
      </c>
      <c r="W1332" s="36">
        <f t="shared" si="446"/>
        <v>0.13765542433923286</v>
      </c>
      <c r="X1332" s="36">
        <f t="shared" si="446"/>
        <v>0.138343701460929</v>
      </c>
      <c r="Y1332" s="36">
        <f t="shared" si="446"/>
        <v>0.13903541996823363</v>
      </c>
      <c r="Z1332" s="36">
        <f t="shared" si="446"/>
        <v>0.13973059706807478</v>
      </c>
      <c r="AA1332" s="36">
        <f t="shared" si="446"/>
        <v>0.14112790303875553</v>
      </c>
      <c r="AB1332" s="36">
        <f t="shared" si="446"/>
        <v>0.14253918206914309</v>
      </c>
      <c r="AC1332" s="36">
        <f t="shared" si="446"/>
        <v>0.14396457388983452</v>
      </c>
      <c r="AD1332" s="36">
        <f t="shared" si="446"/>
        <v>0.14540421962873287</v>
      </c>
      <c r="AE1332" s="36">
        <f t="shared" si="446"/>
        <v>0.14685826182502021</v>
      </c>
      <c r="AF1332" s="36">
        <f t="shared" si="446"/>
        <v>0.14832684444327041</v>
      </c>
      <c r="AG1332" s="36">
        <f t="shared" si="446"/>
        <v>0.1498101128877031</v>
      </c>
      <c r="AH1332" s="36">
        <f t="shared" si="446"/>
        <v>0.15130821401658012</v>
      </c>
      <c r="AI1332" s="36">
        <f t="shared" si="446"/>
        <v>0.15282129615674592</v>
      </c>
      <c r="AJ1332" s="36">
        <f t="shared" si="446"/>
        <v>0.15434950911831338</v>
      </c>
      <c r="AK1332" s="36">
        <f t="shared" si="446"/>
        <v>0.15728214979156133</v>
      </c>
      <c r="AL1332" s="36">
        <f t="shared" si="446"/>
        <v>0.16027051063760098</v>
      </c>
      <c r="AM1332" s="36">
        <f t="shared" si="446"/>
        <v>0.16331565033971537</v>
      </c>
      <c r="AN1332" s="36">
        <f t="shared" si="446"/>
        <v>0.16641864769616996</v>
      </c>
      <c r="AO1332" s="36">
        <f t="shared" si="446"/>
        <v>0.16958060200239716</v>
      </c>
      <c r="AP1332" s="36">
        <f t="shared" si="446"/>
        <v>0.17280263344044269</v>
      </c>
      <c r="AQ1332" s="36">
        <f t="shared" si="446"/>
        <v>0.17608588347581108</v>
      </c>
      <c r="AR1332" s="36">
        <f t="shared" si="446"/>
        <v>0.17943151526185147</v>
      </c>
      <c r="AS1332" s="36">
        <f t="shared" si="446"/>
        <v>0.18284071405182664</v>
      </c>
      <c r="AT1332" s="36">
        <f t="shared" si="446"/>
        <v>0.18631468761881134</v>
      </c>
      <c r="AU1332" s="36">
        <f t="shared" si="446"/>
        <v>0.18668731699404897</v>
      </c>
      <c r="AV1332" s="36">
        <f t="shared" si="446"/>
        <v>0.18706069162803707</v>
      </c>
      <c r="AW1332" s="36">
        <f t="shared" si="446"/>
        <v>0.18743481301129314</v>
      </c>
      <c r="AX1332" s="36">
        <f t="shared" si="446"/>
        <v>0.18780968263731573</v>
      </c>
      <c r="AY1332" s="36">
        <f t="shared" si="446"/>
        <v>0.18818530200259037</v>
      </c>
      <c r="AZ1332" s="36">
        <f t="shared" ref="AZ1332:AZ1343" si="447">((1+$C$1267)*(1/AY1332))^-1</f>
        <v>0.18856242685630298</v>
      </c>
    </row>
    <row r="1333" spans="1:52" ht="12" customHeight="1" x14ac:dyDescent="0.2">
      <c r="A1333" t="s">
        <v>103</v>
      </c>
      <c r="B1333" t="str">
        <f t="shared" si="441"/>
        <v>MXC</v>
      </c>
      <c r="C1333" t="str">
        <f t="shared" si="442"/>
        <v>NB</v>
      </c>
      <c r="D1333" s="36">
        <f t="shared" si="443"/>
        <v>9.9186846555336577E-2</v>
      </c>
      <c r="E1333" s="36">
        <f t="shared" si="444"/>
        <v>0.10018873389427937</v>
      </c>
      <c r="F1333" s="36">
        <f t="shared" ref="F1333:AY1333" si="448">E1333*(1-INDEX($B$1267:$G$1267,,MATCH(F$1274,$B$1268:$G$1268,0)))</f>
        <v>0.10119062123322217</v>
      </c>
      <c r="G1333" s="56">
        <f t="shared" si="448"/>
        <v>0.1022025274455544</v>
      </c>
      <c r="H1333" s="36">
        <f t="shared" si="448"/>
        <v>0.10322455272000995</v>
      </c>
      <c r="I1333" s="36">
        <f t="shared" si="448"/>
        <v>0.10425679824721006</v>
      </c>
      <c r="J1333" s="36">
        <f t="shared" si="448"/>
        <v>0.10529936622968215</v>
      </c>
      <c r="K1333" s="36">
        <f t="shared" si="448"/>
        <v>0.10635235989197897</v>
      </c>
      <c r="L1333" s="36">
        <f t="shared" si="448"/>
        <v>0.10741588349089876</v>
      </c>
      <c r="M1333" s="36">
        <f t="shared" si="448"/>
        <v>0.10849004232580775</v>
      </c>
      <c r="N1333" s="36">
        <f t="shared" si="448"/>
        <v>0.10957494274906583</v>
      </c>
      <c r="O1333" s="36">
        <f t="shared" si="448"/>
        <v>0.11067069217655649</v>
      </c>
      <c r="P1333" s="36">
        <f t="shared" si="448"/>
        <v>0.11177739909832206</v>
      </c>
      <c r="Q1333" s="36">
        <f t="shared" si="448"/>
        <v>0.11233628609381366</v>
      </c>
      <c r="R1333" s="36">
        <f t="shared" si="448"/>
        <v>0.11289796752428272</v>
      </c>
      <c r="S1333" s="36">
        <f t="shared" si="448"/>
        <v>0.11346245736190412</v>
      </c>
      <c r="T1333" s="36">
        <f t="shared" si="448"/>
        <v>0.11402976964871363</v>
      </c>
      <c r="U1333" s="36">
        <f t="shared" si="448"/>
        <v>0.11459991849695718</v>
      </c>
      <c r="V1333" s="36">
        <f t="shared" si="448"/>
        <v>0.11517291808944195</v>
      </c>
      <c r="W1333" s="36">
        <f t="shared" si="448"/>
        <v>0.11574878267988915</v>
      </c>
      <c r="X1333" s="36">
        <f t="shared" si="448"/>
        <v>0.11632752659328859</v>
      </c>
      <c r="Y1333" s="36">
        <f t="shared" si="448"/>
        <v>0.11690916422625501</v>
      </c>
      <c r="Z1333" s="36">
        <f t="shared" si="448"/>
        <v>0.11749371004738628</v>
      </c>
      <c r="AA1333" s="36">
        <f t="shared" si="448"/>
        <v>0.11866864714786014</v>
      </c>
      <c r="AB1333" s="36">
        <f t="shared" si="448"/>
        <v>0.11985533361933874</v>
      </c>
      <c r="AC1333" s="36">
        <f t="shared" si="448"/>
        <v>0.12105388695553213</v>
      </c>
      <c r="AD1333" s="36">
        <f t="shared" si="448"/>
        <v>0.12226442582508745</v>
      </c>
      <c r="AE1333" s="36">
        <f t="shared" si="448"/>
        <v>0.12348707008333833</v>
      </c>
      <c r="AF1333" s="36">
        <f t="shared" si="448"/>
        <v>0.12472194078417172</v>
      </c>
      <c r="AG1333" s="36">
        <f t="shared" si="448"/>
        <v>0.12596916019201343</v>
      </c>
      <c r="AH1333" s="36">
        <f t="shared" si="448"/>
        <v>0.12722885179393356</v>
      </c>
      <c r="AI1333" s="36">
        <f t="shared" si="448"/>
        <v>0.1285011403118729</v>
      </c>
      <c r="AJ1333" s="36">
        <f t="shared" si="448"/>
        <v>0.12978615171499164</v>
      </c>
      <c r="AK1333" s="36">
        <f t="shared" si="448"/>
        <v>0.13225208859757648</v>
      </c>
      <c r="AL1333" s="36">
        <f t="shared" si="448"/>
        <v>0.13476487828093042</v>
      </c>
      <c r="AM1333" s="36">
        <f t="shared" si="448"/>
        <v>0.13732541096826809</v>
      </c>
      <c r="AN1333" s="36">
        <f t="shared" si="448"/>
        <v>0.13993459377666517</v>
      </c>
      <c r="AO1333" s="36">
        <f t="shared" si="448"/>
        <v>0.1425933510584218</v>
      </c>
      <c r="AP1333" s="36">
        <f t="shared" si="448"/>
        <v>0.14530262472853181</v>
      </c>
      <c r="AQ1333" s="36">
        <f t="shared" si="448"/>
        <v>0.1480633745983739</v>
      </c>
      <c r="AR1333" s="36">
        <f t="shared" si="448"/>
        <v>0.150876578715743</v>
      </c>
      <c r="AS1333" s="36">
        <f t="shared" si="448"/>
        <v>0.1537432337113421</v>
      </c>
      <c r="AT1333" s="36">
        <f t="shared" si="448"/>
        <v>0.15666435515185759</v>
      </c>
      <c r="AU1333" s="36">
        <f t="shared" si="448"/>
        <v>0.15697768386216129</v>
      </c>
      <c r="AV1333" s="36">
        <f t="shared" si="448"/>
        <v>0.15729163922988562</v>
      </c>
      <c r="AW1333" s="36">
        <f t="shared" si="448"/>
        <v>0.15760622250834538</v>
      </c>
      <c r="AX1333" s="36">
        <f t="shared" si="448"/>
        <v>0.15792143495336208</v>
      </c>
      <c r="AY1333" s="36">
        <f t="shared" si="448"/>
        <v>0.1582372778232688</v>
      </c>
      <c r="AZ1333" s="36">
        <f t="shared" si="447"/>
        <v>0.1585543865964617</v>
      </c>
    </row>
    <row r="1334" spans="1:52" ht="12" customHeight="1" x14ac:dyDescent="0.2">
      <c r="A1334" t="s">
        <v>104</v>
      </c>
      <c r="B1334" t="str">
        <f t="shared" si="441"/>
        <v>EUR</v>
      </c>
      <c r="C1334" t="str">
        <f t="shared" si="442"/>
        <v>NB</v>
      </c>
      <c r="D1334" s="36">
        <f t="shared" si="443"/>
        <v>0.10640489620274775</v>
      </c>
      <c r="E1334" s="36">
        <f t="shared" si="444"/>
        <v>0.10747969313408863</v>
      </c>
      <c r="F1334" s="36">
        <f t="shared" ref="F1334:AY1334" si="449">E1334*(1-INDEX($B$1267:$G$1267,,MATCH(F$1274,$B$1268:$G$1268,0)))</f>
        <v>0.10855449006542951</v>
      </c>
      <c r="G1334" s="56">
        <f t="shared" si="449"/>
        <v>0.10964003496608381</v>
      </c>
      <c r="H1334" s="36">
        <f t="shared" si="449"/>
        <v>0.11073643531574465</v>
      </c>
      <c r="I1334" s="36">
        <f t="shared" si="449"/>
        <v>0.11184379966890209</v>
      </c>
      <c r="J1334" s="36">
        <f t="shared" si="449"/>
        <v>0.11296223766559112</v>
      </c>
      <c r="K1334" s="36">
        <f t="shared" si="449"/>
        <v>0.11409186004224703</v>
      </c>
      <c r="L1334" s="36">
        <f t="shared" si="449"/>
        <v>0.11523277864266949</v>
      </c>
      <c r="M1334" s="36">
        <f t="shared" si="449"/>
        <v>0.11638510642909619</v>
      </c>
      <c r="N1334" s="36">
        <f t="shared" si="449"/>
        <v>0.11754895749338716</v>
      </c>
      <c r="O1334" s="36">
        <f t="shared" si="449"/>
        <v>0.11872444706832103</v>
      </c>
      <c r="P1334" s="36">
        <f t="shared" si="449"/>
        <v>0.11991169153900423</v>
      </c>
      <c r="Q1334" s="36">
        <f t="shared" si="449"/>
        <v>0.12051124999669924</v>
      </c>
      <c r="R1334" s="36">
        <f t="shared" si="449"/>
        <v>0.12111380624668272</v>
      </c>
      <c r="S1334" s="36">
        <f t="shared" si="449"/>
        <v>0.12171937527791613</v>
      </c>
      <c r="T1334" s="36">
        <f t="shared" si="449"/>
        <v>0.12232797215430569</v>
      </c>
      <c r="U1334" s="36">
        <f t="shared" si="449"/>
        <v>0.12293961201507721</v>
      </c>
      <c r="V1334" s="36">
        <f t="shared" si="449"/>
        <v>0.12355431007515258</v>
      </c>
      <c r="W1334" s="36">
        <f t="shared" si="449"/>
        <v>0.12417208162552833</v>
      </c>
      <c r="X1334" s="36">
        <f t="shared" si="449"/>
        <v>0.12479294203365596</v>
      </c>
      <c r="Y1334" s="36">
        <f t="shared" si="449"/>
        <v>0.12541690674382422</v>
      </c>
      <c r="Z1334" s="36">
        <f t="shared" si="449"/>
        <v>0.12604399127754332</v>
      </c>
      <c r="AA1334" s="36">
        <f t="shared" si="449"/>
        <v>0.12730443119031876</v>
      </c>
      <c r="AB1334" s="36">
        <f t="shared" si="449"/>
        <v>0.12857747550222196</v>
      </c>
      <c r="AC1334" s="36">
        <f t="shared" si="449"/>
        <v>0.12986325025724418</v>
      </c>
      <c r="AD1334" s="36">
        <f t="shared" si="449"/>
        <v>0.13116188275981663</v>
      </c>
      <c r="AE1334" s="36">
        <f t="shared" si="449"/>
        <v>0.1324735015874148</v>
      </c>
      <c r="AF1334" s="36">
        <f t="shared" si="449"/>
        <v>0.13379823660328896</v>
      </c>
      <c r="AG1334" s="36">
        <f t="shared" si="449"/>
        <v>0.13513621896932185</v>
      </c>
      <c r="AH1334" s="36">
        <f t="shared" si="449"/>
        <v>0.13648758115901508</v>
      </c>
      <c r="AI1334" s="36">
        <f t="shared" si="449"/>
        <v>0.13785245697060522</v>
      </c>
      <c r="AJ1334" s="36">
        <f t="shared" si="449"/>
        <v>0.13923098154031127</v>
      </c>
      <c r="AK1334" s="36">
        <f t="shared" si="449"/>
        <v>0.14187637018957716</v>
      </c>
      <c r="AL1334" s="36">
        <f t="shared" si="449"/>
        <v>0.14457202122317911</v>
      </c>
      <c r="AM1334" s="36">
        <f t="shared" si="449"/>
        <v>0.14731888962641951</v>
      </c>
      <c r="AN1334" s="36">
        <f t="shared" si="449"/>
        <v>0.15011794852932148</v>
      </c>
      <c r="AO1334" s="36">
        <f t="shared" si="449"/>
        <v>0.15297018955137856</v>
      </c>
      <c r="AP1334" s="36">
        <f t="shared" si="449"/>
        <v>0.15587662315285475</v>
      </c>
      <c r="AQ1334" s="36">
        <f t="shared" si="449"/>
        <v>0.15883827899275899</v>
      </c>
      <c r="AR1334" s="36">
        <f t="shared" si="449"/>
        <v>0.16185620629362138</v>
      </c>
      <c r="AS1334" s="36">
        <f t="shared" si="449"/>
        <v>0.16493147421320017</v>
      </c>
      <c r="AT1334" s="36">
        <f t="shared" si="449"/>
        <v>0.16806517222325096</v>
      </c>
      <c r="AU1334" s="36">
        <f t="shared" si="449"/>
        <v>0.16840130256769745</v>
      </c>
      <c r="AV1334" s="36">
        <f t="shared" si="449"/>
        <v>0.16873810517283283</v>
      </c>
      <c r="AW1334" s="36">
        <f t="shared" si="449"/>
        <v>0.16907558138317849</v>
      </c>
      <c r="AX1334" s="36">
        <f t="shared" si="449"/>
        <v>0.16941373254594486</v>
      </c>
      <c r="AY1334" s="36">
        <f t="shared" si="449"/>
        <v>0.16975256001103675</v>
      </c>
      <c r="AZ1334" s="36">
        <f t="shared" si="447"/>
        <v>0.17009274550204084</v>
      </c>
    </row>
    <row r="1335" spans="1:52" ht="12" customHeight="1" x14ac:dyDescent="0.2">
      <c r="A1335" t="s">
        <v>105</v>
      </c>
      <c r="B1335" t="str">
        <f t="shared" si="441"/>
        <v>JPN</v>
      </c>
      <c r="C1335" t="str">
        <f t="shared" si="442"/>
        <v>NB</v>
      </c>
      <c r="D1335" s="36">
        <f t="shared" si="443"/>
        <v>0.11113542820091281</v>
      </c>
      <c r="E1335" s="36">
        <f t="shared" si="444"/>
        <v>0.11225800828375031</v>
      </c>
      <c r="F1335" s="36">
        <f t="shared" ref="F1335:AY1335" si="450">E1335*(1-INDEX($B$1267:$G$1267,,MATCH(F$1274,$B$1268:$G$1268,0)))</f>
        <v>0.11338058836658781</v>
      </c>
      <c r="G1335" s="56">
        <f t="shared" si="450"/>
        <v>0.11451439425025368</v>
      </c>
      <c r="H1335" s="36">
        <f t="shared" si="450"/>
        <v>0.11565953819275622</v>
      </c>
      <c r="I1335" s="36">
        <f t="shared" si="450"/>
        <v>0.11681613357468379</v>
      </c>
      <c r="J1335" s="36">
        <f t="shared" si="450"/>
        <v>0.11798429491043062</v>
      </c>
      <c r="K1335" s="36">
        <f t="shared" si="450"/>
        <v>0.11916413785953493</v>
      </c>
      <c r="L1335" s="36">
        <f t="shared" si="450"/>
        <v>0.12035577923813029</v>
      </c>
      <c r="M1335" s="36">
        <f t="shared" si="450"/>
        <v>0.1215593370305116</v>
      </c>
      <c r="N1335" s="36">
        <f t="shared" si="450"/>
        <v>0.12277493040081672</v>
      </c>
      <c r="O1335" s="36">
        <f t="shared" si="450"/>
        <v>0.12400267970482488</v>
      </c>
      <c r="P1335" s="36">
        <f t="shared" si="450"/>
        <v>0.12524270650187314</v>
      </c>
      <c r="Q1335" s="36">
        <f t="shared" si="450"/>
        <v>0.12586892003438249</v>
      </c>
      <c r="R1335" s="36">
        <f t="shared" si="450"/>
        <v>0.12649826463455438</v>
      </c>
      <c r="S1335" s="36">
        <f t="shared" si="450"/>
        <v>0.12713075595772713</v>
      </c>
      <c r="T1335" s="36">
        <f t="shared" si="450"/>
        <v>0.12776640973751574</v>
      </c>
      <c r="U1335" s="36">
        <f t="shared" si="450"/>
        <v>0.1284052417862033</v>
      </c>
      <c r="V1335" s="36">
        <f t="shared" si="450"/>
        <v>0.1290472679951343</v>
      </c>
      <c r="W1335" s="36">
        <f t="shared" si="450"/>
        <v>0.12969250433510995</v>
      </c>
      <c r="X1335" s="36">
        <f t="shared" si="450"/>
        <v>0.13034096685678548</v>
      </c>
      <c r="Y1335" s="36">
        <f t="shared" si="450"/>
        <v>0.1309926716910694</v>
      </c>
      <c r="Z1335" s="36">
        <f t="shared" si="450"/>
        <v>0.13164763504952473</v>
      </c>
      <c r="AA1335" s="36">
        <f t="shared" si="450"/>
        <v>0.13296411140001999</v>
      </c>
      <c r="AB1335" s="36">
        <f t="shared" si="450"/>
        <v>0.13429375251402018</v>
      </c>
      <c r="AC1335" s="36">
        <f t="shared" si="450"/>
        <v>0.13563669003916037</v>
      </c>
      <c r="AD1335" s="36">
        <f t="shared" si="450"/>
        <v>0.13699305693955197</v>
      </c>
      <c r="AE1335" s="36">
        <f t="shared" si="450"/>
        <v>0.13836298750894749</v>
      </c>
      <c r="AF1335" s="36">
        <f t="shared" si="450"/>
        <v>0.13974661738403696</v>
      </c>
      <c r="AG1335" s="36">
        <f t="shared" si="450"/>
        <v>0.14114408355787733</v>
      </c>
      <c r="AH1335" s="36">
        <f t="shared" si="450"/>
        <v>0.14255552439345612</v>
      </c>
      <c r="AI1335" s="36">
        <f t="shared" si="450"/>
        <v>0.14398107963739068</v>
      </c>
      <c r="AJ1335" s="36">
        <f t="shared" si="450"/>
        <v>0.14542089043376458</v>
      </c>
      <c r="AK1335" s="36">
        <f t="shared" si="450"/>
        <v>0.14818388735200608</v>
      </c>
      <c r="AL1335" s="36">
        <f t="shared" si="450"/>
        <v>0.15099938121169418</v>
      </c>
      <c r="AM1335" s="36">
        <f t="shared" si="450"/>
        <v>0.15386836945471635</v>
      </c>
      <c r="AN1335" s="36">
        <f t="shared" si="450"/>
        <v>0.15679186847435594</v>
      </c>
      <c r="AO1335" s="36">
        <f t="shared" si="450"/>
        <v>0.15977091397536869</v>
      </c>
      <c r="AP1335" s="36">
        <f t="shared" si="450"/>
        <v>0.16280656134090069</v>
      </c>
      <c r="AQ1335" s="36">
        <f t="shared" si="450"/>
        <v>0.16589988600637778</v>
      </c>
      <c r="AR1335" s="36">
        <f t="shared" si="450"/>
        <v>0.16905198384049894</v>
      </c>
      <c r="AS1335" s="36">
        <f t="shared" si="450"/>
        <v>0.1722639715334684</v>
      </c>
      <c r="AT1335" s="36">
        <f t="shared" si="450"/>
        <v>0.17553698699260428</v>
      </c>
      <c r="AU1335" s="36">
        <f t="shared" si="450"/>
        <v>0.17588806096658949</v>
      </c>
      <c r="AV1335" s="36">
        <f t="shared" si="450"/>
        <v>0.17623983708852267</v>
      </c>
      <c r="AW1335" s="36">
        <f t="shared" si="450"/>
        <v>0.17659231676269971</v>
      </c>
      <c r="AX1335" s="36">
        <f t="shared" si="450"/>
        <v>0.17694550139622511</v>
      </c>
      <c r="AY1335" s="36">
        <f t="shared" si="450"/>
        <v>0.17729939239901757</v>
      </c>
      <c r="AZ1335" s="36">
        <f t="shared" si="447"/>
        <v>0.17765470180262283</v>
      </c>
    </row>
    <row r="1336" spans="1:52" ht="12" customHeight="1" x14ac:dyDescent="0.2">
      <c r="A1336" t="s">
        <v>106</v>
      </c>
      <c r="B1336" t="str">
        <f t="shared" si="441"/>
        <v>ANZ</v>
      </c>
      <c r="C1336" t="str">
        <f t="shared" si="442"/>
        <v>NB</v>
      </c>
      <c r="D1336" s="36">
        <f t="shared" si="443"/>
        <v>0.13272592840530345</v>
      </c>
      <c r="E1336" s="36">
        <f t="shared" si="444"/>
        <v>0.13406659434879137</v>
      </c>
      <c r="F1336" s="36">
        <f t="shared" ref="F1336:AY1336" si="451">E1336*(1-INDEX($B$1267:$G$1267,,MATCH(F$1274,$B$1268:$G$1268,0)))</f>
        <v>0.13540726029227929</v>
      </c>
      <c r="G1336" s="56">
        <f t="shared" si="451"/>
        <v>0.13676133289520209</v>
      </c>
      <c r="H1336" s="36">
        <f t="shared" si="451"/>
        <v>0.13812894622415411</v>
      </c>
      <c r="I1336" s="36">
        <f t="shared" si="451"/>
        <v>0.13951023568639564</v>
      </c>
      <c r="J1336" s="36">
        <f t="shared" si="451"/>
        <v>0.14090533804325961</v>
      </c>
      <c r="K1336" s="36">
        <f t="shared" si="451"/>
        <v>0.1423143914236922</v>
      </c>
      <c r="L1336" s="36">
        <f t="shared" si="451"/>
        <v>0.14373753533792913</v>
      </c>
      <c r="M1336" s="36">
        <f t="shared" si="451"/>
        <v>0.14517491069130842</v>
      </c>
      <c r="N1336" s="36">
        <f t="shared" si="451"/>
        <v>0.14662665979822151</v>
      </c>
      <c r="O1336" s="36">
        <f t="shared" si="451"/>
        <v>0.14809292639620372</v>
      </c>
      <c r="P1336" s="36">
        <f t="shared" si="451"/>
        <v>0.14957385566016576</v>
      </c>
      <c r="Q1336" s="36">
        <f t="shared" si="451"/>
        <v>0.15032172493846657</v>
      </c>
      <c r="R1336" s="36">
        <f t="shared" si="451"/>
        <v>0.15107333356315888</v>
      </c>
      <c r="S1336" s="36">
        <f t="shared" si="451"/>
        <v>0.15182870023097467</v>
      </c>
      <c r="T1336" s="36">
        <f t="shared" si="451"/>
        <v>0.15258784373212952</v>
      </c>
      <c r="U1336" s="36">
        <f t="shared" si="451"/>
        <v>0.15335078295079016</v>
      </c>
      <c r="V1336" s="36">
        <f t="shared" si="451"/>
        <v>0.15411753686554411</v>
      </c>
      <c r="W1336" s="36">
        <f t="shared" si="451"/>
        <v>0.1548881245498718</v>
      </c>
      <c r="X1336" s="36">
        <f t="shared" si="451"/>
        <v>0.15566256517262114</v>
      </c>
      <c r="Y1336" s="36">
        <f t="shared" si="451"/>
        <v>0.15644087799848422</v>
      </c>
      <c r="Z1336" s="36">
        <f t="shared" si="451"/>
        <v>0.15722308238847663</v>
      </c>
      <c r="AA1336" s="36">
        <f t="shared" si="451"/>
        <v>0.1587953132123614</v>
      </c>
      <c r="AB1336" s="36">
        <f t="shared" si="451"/>
        <v>0.16038326634448502</v>
      </c>
      <c r="AC1336" s="36">
        <f t="shared" si="451"/>
        <v>0.16198709900792987</v>
      </c>
      <c r="AD1336" s="36">
        <f t="shared" si="451"/>
        <v>0.16360696999800917</v>
      </c>
      <c r="AE1336" s="36">
        <f t="shared" si="451"/>
        <v>0.16524303969798926</v>
      </c>
      <c r="AF1336" s="36">
        <f t="shared" si="451"/>
        <v>0.16689547009496916</v>
      </c>
      <c r="AG1336" s="36">
        <f t="shared" si="451"/>
        <v>0.16856442479591885</v>
      </c>
      <c r="AH1336" s="36">
        <f t="shared" si="451"/>
        <v>0.17025006904387804</v>
      </c>
      <c r="AI1336" s="36">
        <f t="shared" si="451"/>
        <v>0.17195256973431683</v>
      </c>
      <c r="AJ1336" s="36">
        <f t="shared" si="451"/>
        <v>0.17367209543166001</v>
      </c>
      <c r="AK1336" s="36">
        <f t="shared" si="451"/>
        <v>0.17697186524486153</v>
      </c>
      <c r="AL1336" s="36">
        <f t="shared" si="451"/>
        <v>0.18033433068451388</v>
      </c>
      <c r="AM1336" s="36">
        <f t="shared" si="451"/>
        <v>0.18376068296751963</v>
      </c>
      <c r="AN1336" s="36">
        <f t="shared" si="451"/>
        <v>0.1872521359439025</v>
      </c>
      <c r="AO1336" s="36">
        <f t="shared" si="451"/>
        <v>0.19080992652683662</v>
      </c>
      <c r="AP1336" s="36">
        <f t="shared" si="451"/>
        <v>0.1944353151308465</v>
      </c>
      <c r="AQ1336" s="36">
        <f t="shared" si="451"/>
        <v>0.19812958611833256</v>
      </c>
      <c r="AR1336" s="36">
        <f t="shared" si="451"/>
        <v>0.20189404825458085</v>
      </c>
      <c r="AS1336" s="36">
        <f t="shared" si="451"/>
        <v>0.20573003517141786</v>
      </c>
      <c r="AT1336" s="36">
        <f t="shared" si="451"/>
        <v>0.20963890583967479</v>
      </c>
      <c r="AU1336" s="36">
        <f t="shared" si="451"/>
        <v>0.21005818365135415</v>
      </c>
      <c r="AV1336" s="36">
        <f t="shared" si="451"/>
        <v>0.21047830001865686</v>
      </c>
      <c r="AW1336" s="36">
        <f t="shared" si="451"/>
        <v>0.21089925661869419</v>
      </c>
      <c r="AX1336" s="36">
        <f t="shared" si="451"/>
        <v>0.21132105513193158</v>
      </c>
      <c r="AY1336" s="36">
        <f t="shared" si="451"/>
        <v>0.21174369724219544</v>
      </c>
      <c r="AZ1336" s="36">
        <f t="shared" si="447"/>
        <v>0.21216803330881306</v>
      </c>
    </row>
    <row r="1337" spans="1:52" ht="12" customHeight="1" x14ac:dyDescent="0.2">
      <c r="A1337" t="s">
        <v>107</v>
      </c>
      <c r="B1337" t="str">
        <f t="shared" si="441"/>
        <v>SKO</v>
      </c>
      <c r="C1337" t="str">
        <f t="shared" si="442"/>
        <v>NB</v>
      </c>
      <c r="D1337" s="36">
        <f t="shared" si="443"/>
        <v>0.1218343893693043</v>
      </c>
      <c r="E1337" s="36">
        <f t="shared" si="444"/>
        <v>0.12306503976697404</v>
      </c>
      <c r="F1337" s="36">
        <f t="shared" ref="F1337:AY1337" si="452">E1337*(1-INDEX($B$1267:$G$1267,,MATCH(F$1274,$B$1268:$G$1268,0)))</f>
        <v>0.12429569016464379</v>
      </c>
      <c r="G1337" s="56">
        <f t="shared" si="452"/>
        <v>0.12553864706629023</v>
      </c>
      <c r="H1337" s="36">
        <f t="shared" si="452"/>
        <v>0.12679403353695312</v>
      </c>
      <c r="I1337" s="36">
        <f t="shared" si="452"/>
        <v>0.12806197387232265</v>
      </c>
      <c r="J1337" s="36">
        <f t="shared" si="452"/>
        <v>0.12934259361104589</v>
      </c>
      <c r="K1337" s="36">
        <f t="shared" si="452"/>
        <v>0.13063601954715634</v>
      </c>
      <c r="L1337" s="36">
        <f t="shared" si="452"/>
        <v>0.1319423797426279</v>
      </c>
      <c r="M1337" s="36">
        <f t="shared" si="452"/>
        <v>0.13326180354005418</v>
      </c>
      <c r="N1337" s="36">
        <f t="shared" si="452"/>
        <v>0.13459442157545473</v>
      </c>
      <c r="O1337" s="36">
        <f t="shared" si="452"/>
        <v>0.13594036579120927</v>
      </c>
      <c r="P1337" s="36">
        <f t="shared" si="452"/>
        <v>0.13729976944912137</v>
      </c>
      <c r="Q1337" s="36">
        <f t="shared" si="452"/>
        <v>0.13798626829636695</v>
      </c>
      <c r="R1337" s="36">
        <f t="shared" si="452"/>
        <v>0.13867619963784877</v>
      </c>
      <c r="S1337" s="36">
        <f t="shared" si="452"/>
        <v>0.13936958063603799</v>
      </c>
      <c r="T1337" s="36">
        <f t="shared" si="452"/>
        <v>0.14006642853921816</v>
      </c>
      <c r="U1337" s="36">
        <f t="shared" si="452"/>
        <v>0.14076676068191424</v>
      </c>
      <c r="V1337" s="36">
        <f t="shared" si="452"/>
        <v>0.14147059448532379</v>
      </c>
      <c r="W1337" s="36">
        <f t="shared" si="452"/>
        <v>0.14217794745775039</v>
      </c>
      <c r="X1337" s="36">
        <f t="shared" si="452"/>
        <v>0.14288883719503914</v>
      </c>
      <c r="Y1337" s="36">
        <f t="shared" si="452"/>
        <v>0.14360328138101433</v>
      </c>
      <c r="Z1337" s="36">
        <f t="shared" si="452"/>
        <v>0.14432129778791938</v>
      </c>
      <c r="AA1337" s="36">
        <f t="shared" si="452"/>
        <v>0.14576451076579858</v>
      </c>
      <c r="AB1337" s="36">
        <f t="shared" si="452"/>
        <v>0.14722215587345655</v>
      </c>
      <c r="AC1337" s="36">
        <f t="shared" si="452"/>
        <v>0.1486943774321911</v>
      </c>
      <c r="AD1337" s="36">
        <f t="shared" si="452"/>
        <v>0.15018132120651301</v>
      </c>
      <c r="AE1337" s="36">
        <f t="shared" si="452"/>
        <v>0.15168313441857814</v>
      </c>
      <c r="AF1337" s="36">
        <f t="shared" si="452"/>
        <v>0.15319996576276393</v>
      </c>
      <c r="AG1337" s="36">
        <f t="shared" si="452"/>
        <v>0.15473196542039158</v>
      </c>
      <c r="AH1337" s="36">
        <f t="shared" si="452"/>
        <v>0.15627928507459549</v>
      </c>
      <c r="AI1337" s="36">
        <f t="shared" si="452"/>
        <v>0.15784207792534144</v>
      </c>
      <c r="AJ1337" s="36">
        <f t="shared" si="452"/>
        <v>0.15942049870459485</v>
      </c>
      <c r="AK1337" s="36">
        <f t="shared" si="452"/>
        <v>0.16244948817998214</v>
      </c>
      <c r="AL1337" s="36">
        <f t="shared" si="452"/>
        <v>0.1655360284554018</v>
      </c>
      <c r="AM1337" s="36">
        <f t="shared" si="452"/>
        <v>0.16868121299605443</v>
      </c>
      <c r="AN1337" s="36">
        <f t="shared" si="452"/>
        <v>0.17188615604297944</v>
      </c>
      <c r="AO1337" s="36">
        <f t="shared" si="452"/>
        <v>0.17515199300779602</v>
      </c>
      <c r="AP1337" s="36">
        <f t="shared" si="452"/>
        <v>0.17847988087494412</v>
      </c>
      <c r="AQ1337" s="36">
        <f t="shared" si="452"/>
        <v>0.18187099861156805</v>
      </c>
      <c r="AR1337" s="36">
        <f t="shared" si="452"/>
        <v>0.18532654758518782</v>
      </c>
      <c r="AS1337" s="36">
        <f t="shared" si="452"/>
        <v>0.18884775198930637</v>
      </c>
      <c r="AT1337" s="36">
        <f t="shared" si="452"/>
        <v>0.19243585927710316</v>
      </c>
      <c r="AU1337" s="36">
        <f t="shared" si="452"/>
        <v>0.19282073099565736</v>
      </c>
      <c r="AV1337" s="36">
        <f t="shared" si="452"/>
        <v>0.19320637245764868</v>
      </c>
      <c r="AW1337" s="36">
        <f t="shared" si="452"/>
        <v>0.19359278520256398</v>
      </c>
      <c r="AX1337" s="36">
        <f t="shared" si="452"/>
        <v>0.19397997077296911</v>
      </c>
      <c r="AY1337" s="36">
        <f t="shared" si="452"/>
        <v>0.19436793071451505</v>
      </c>
      <c r="AZ1337" s="36">
        <f t="shared" si="447"/>
        <v>0.19475744560572653</v>
      </c>
    </row>
    <row r="1338" spans="1:52" ht="12" customHeight="1" x14ac:dyDescent="0.2">
      <c r="A1338" t="s">
        <v>108</v>
      </c>
      <c r="B1338" t="str">
        <f t="shared" si="441"/>
        <v>RUS</v>
      </c>
      <c r="C1338" t="str">
        <f t="shared" si="442"/>
        <v>NB</v>
      </c>
      <c r="D1338" s="36">
        <f t="shared" si="443"/>
        <v>0.14119694093872093</v>
      </c>
      <c r="E1338" s="36">
        <f t="shared" si="444"/>
        <v>0.14262317266537466</v>
      </c>
      <c r="F1338" s="36">
        <f t="shared" ref="F1338:AY1338" si="453">E1338*(1-INDEX($B$1267:$G$1267,,MATCH(F$1274,$B$1268:$G$1268,0)))</f>
        <v>0.1440494043920284</v>
      </c>
      <c r="G1338" s="56">
        <f t="shared" si="453"/>
        <v>0.1454898984359487</v>
      </c>
      <c r="H1338" s="36">
        <f t="shared" si="453"/>
        <v>0.14694479742030819</v>
      </c>
      <c r="I1338" s="36">
        <f t="shared" si="453"/>
        <v>0.14841424539451128</v>
      </c>
      <c r="J1338" s="36">
        <f t="shared" si="453"/>
        <v>0.14989838784845641</v>
      </c>
      <c r="K1338" s="36">
        <f t="shared" si="453"/>
        <v>0.15139737172694098</v>
      </c>
      <c r="L1338" s="36">
        <f t="shared" si="453"/>
        <v>0.15291134544421039</v>
      </c>
      <c r="M1338" s="36">
        <f t="shared" si="453"/>
        <v>0.15444045889865249</v>
      </c>
      <c r="N1338" s="36">
        <f t="shared" si="453"/>
        <v>0.15598486348763901</v>
      </c>
      <c r="O1338" s="36">
        <f t="shared" si="453"/>
        <v>0.15754471212251542</v>
      </c>
      <c r="P1338" s="36">
        <f t="shared" si="453"/>
        <v>0.15912015924374057</v>
      </c>
      <c r="Q1338" s="36">
        <f t="shared" si="453"/>
        <v>0.15991576003995925</v>
      </c>
      <c r="R1338" s="36">
        <f t="shared" si="453"/>
        <v>0.16071533884015904</v>
      </c>
      <c r="S1338" s="36">
        <f t="shared" si="453"/>
        <v>0.16151891553435982</v>
      </c>
      <c r="T1338" s="36">
        <f t="shared" si="453"/>
        <v>0.16232651011203161</v>
      </c>
      <c r="U1338" s="36">
        <f t="shared" si="453"/>
        <v>0.16313814266259175</v>
      </c>
      <c r="V1338" s="36">
        <f t="shared" si="453"/>
        <v>0.16395383337590469</v>
      </c>
      <c r="W1338" s="36">
        <f t="shared" si="453"/>
        <v>0.1647736025427842</v>
      </c>
      <c r="X1338" s="36">
        <f t="shared" si="453"/>
        <v>0.16559747055549809</v>
      </c>
      <c r="Y1338" s="36">
        <f t="shared" si="453"/>
        <v>0.16642545790827556</v>
      </c>
      <c r="Z1338" s="36">
        <f t="shared" si="453"/>
        <v>0.16725758519781692</v>
      </c>
      <c r="AA1338" s="36">
        <f t="shared" si="453"/>
        <v>0.16893016104979508</v>
      </c>
      <c r="AB1338" s="36">
        <f t="shared" si="453"/>
        <v>0.17061946266029304</v>
      </c>
      <c r="AC1338" s="36">
        <f t="shared" si="453"/>
        <v>0.17232565728689597</v>
      </c>
      <c r="AD1338" s="36">
        <f t="shared" si="453"/>
        <v>0.17404891385976493</v>
      </c>
      <c r="AE1338" s="36">
        <f t="shared" si="453"/>
        <v>0.17578940299836257</v>
      </c>
      <c r="AF1338" s="36">
        <f t="shared" si="453"/>
        <v>0.17754729702834621</v>
      </c>
      <c r="AG1338" s="36">
        <f t="shared" si="453"/>
        <v>0.17932276999862967</v>
      </c>
      <c r="AH1338" s="36">
        <f t="shared" si="453"/>
        <v>0.18111599769861597</v>
      </c>
      <c r="AI1338" s="36">
        <f t="shared" si="453"/>
        <v>0.18292715767560214</v>
      </c>
      <c r="AJ1338" s="36">
        <f t="shared" si="453"/>
        <v>0.18475642925235816</v>
      </c>
      <c r="AK1338" s="36">
        <f t="shared" si="453"/>
        <v>0.18826680140815294</v>
      </c>
      <c r="AL1338" s="36">
        <f t="shared" si="453"/>
        <v>0.19184387063490782</v>
      </c>
      <c r="AM1338" s="36">
        <f t="shared" si="453"/>
        <v>0.19548890417697104</v>
      </c>
      <c r="AN1338" s="36">
        <f t="shared" si="453"/>
        <v>0.19920319335633346</v>
      </c>
      <c r="AO1338" s="36">
        <f t="shared" si="453"/>
        <v>0.20298805403010378</v>
      </c>
      <c r="AP1338" s="36">
        <f t="shared" si="453"/>
        <v>0.20684482705667573</v>
      </c>
      <c r="AQ1338" s="36">
        <f t="shared" si="453"/>
        <v>0.21077487877075254</v>
      </c>
      <c r="AR1338" s="36">
        <f t="shared" si="453"/>
        <v>0.21477960146739683</v>
      </c>
      <c r="AS1338" s="36">
        <f t="shared" si="453"/>
        <v>0.21886041389527736</v>
      </c>
      <c r="AT1338" s="36">
        <f t="shared" si="453"/>
        <v>0.22301876175928761</v>
      </c>
      <c r="AU1338" s="36">
        <f t="shared" si="453"/>
        <v>0.22346479928280619</v>
      </c>
      <c r="AV1338" s="36">
        <f t="shared" si="453"/>
        <v>0.22391172888137181</v>
      </c>
      <c r="AW1338" s="36">
        <f t="shared" si="453"/>
        <v>0.22435955233913454</v>
      </c>
      <c r="AX1338" s="36">
        <f t="shared" si="453"/>
        <v>0.22480827144381282</v>
      </c>
      <c r="AY1338" s="36">
        <f t="shared" si="453"/>
        <v>0.22525788798670046</v>
      </c>
      <c r="AZ1338" s="36">
        <f t="shared" si="447"/>
        <v>0.22570930659990021</v>
      </c>
    </row>
    <row r="1339" spans="1:52" ht="12" customHeight="1" x14ac:dyDescent="0.2">
      <c r="A1339" t="s">
        <v>109</v>
      </c>
      <c r="B1339" t="str">
        <f t="shared" si="441"/>
        <v>URA</v>
      </c>
      <c r="C1339" t="str">
        <f t="shared" si="442"/>
        <v>NB</v>
      </c>
      <c r="D1339" s="36">
        <f t="shared" si="443"/>
        <v>8.0862189888571204E-2</v>
      </c>
      <c r="E1339" s="36">
        <f t="shared" si="444"/>
        <v>8.1678979685425465E-2</v>
      </c>
      <c r="F1339" s="36">
        <f t="shared" ref="F1339:AY1339" si="454">E1339*(1-INDEX($B$1267:$G$1267,,MATCH(F$1274,$B$1268:$G$1268,0)))</f>
        <v>8.2495769482279727E-2</v>
      </c>
      <c r="G1339" s="56">
        <f t="shared" si="454"/>
        <v>8.3320727177102524E-2</v>
      </c>
      <c r="H1339" s="36">
        <f t="shared" si="454"/>
        <v>8.4153934448873549E-2</v>
      </c>
      <c r="I1339" s="36">
        <f t="shared" si="454"/>
        <v>8.4995473793362281E-2</v>
      </c>
      <c r="J1339" s="36">
        <f t="shared" si="454"/>
        <v>8.5845428531295898E-2</v>
      </c>
      <c r="K1339" s="36">
        <f t="shared" si="454"/>
        <v>8.670388281660886E-2</v>
      </c>
      <c r="L1339" s="36">
        <f t="shared" si="454"/>
        <v>8.7570921644774952E-2</v>
      </c>
      <c r="M1339" s="36">
        <f t="shared" si="454"/>
        <v>8.8446630861222703E-2</v>
      </c>
      <c r="N1339" s="36">
        <f t="shared" si="454"/>
        <v>8.9331097169834936E-2</v>
      </c>
      <c r="O1339" s="36">
        <f t="shared" si="454"/>
        <v>9.0224408141533291E-2</v>
      </c>
      <c r="P1339" s="36">
        <f t="shared" si="454"/>
        <v>9.112665222294862E-2</v>
      </c>
      <c r="Q1339" s="36">
        <f t="shared" si="454"/>
        <v>9.1582285484063358E-2</v>
      </c>
      <c r="R1339" s="36">
        <f t="shared" si="454"/>
        <v>9.2040196911483671E-2</v>
      </c>
      <c r="S1339" s="36">
        <f t="shared" si="454"/>
        <v>9.2500397896041073E-2</v>
      </c>
      <c r="T1339" s="36">
        <f t="shared" si="454"/>
        <v>9.2962899885521269E-2</v>
      </c>
      <c r="U1339" s="36">
        <f t="shared" si="454"/>
        <v>9.3427714384948859E-2</v>
      </c>
      <c r="V1339" s="36">
        <f t="shared" si="454"/>
        <v>9.3894852956873595E-2</v>
      </c>
      <c r="W1339" s="36">
        <f t="shared" si="454"/>
        <v>9.4364327221657954E-2</v>
      </c>
      <c r="X1339" s="36">
        <f t="shared" si="454"/>
        <v>9.4836148857766228E-2</v>
      </c>
      <c r="Y1339" s="36">
        <f t="shared" si="454"/>
        <v>9.5310329602055044E-2</v>
      </c>
      <c r="Z1339" s="36">
        <f t="shared" si="454"/>
        <v>9.5786881250065306E-2</v>
      </c>
      <c r="AA1339" s="36">
        <f t="shared" si="454"/>
        <v>9.6744750062565957E-2</v>
      </c>
      <c r="AB1339" s="36">
        <f t="shared" si="454"/>
        <v>9.7712197563191619E-2</v>
      </c>
      <c r="AC1339" s="36">
        <f t="shared" si="454"/>
        <v>9.8689319538823539E-2</v>
      </c>
      <c r="AD1339" s="36">
        <f t="shared" si="454"/>
        <v>9.9676212734211775E-2</v>
      </c>
      <c r="AE1339" s="36">
        <f t="shared" si="454"/>
        <v>0.1006729748615539</v>
      </c>
      <c r="AF1339" s="36">
        <f t="shared" si="454"/>
        <v>0.10167970461016944</v>
      </c>
      <c r="AG1339" s="36">
        <f t="shared" si="454"/>
        <v>0.10269650165627113</v>
      </c>
      <c r="AH1339" s="36">
        <f t="shared" si="454"/>
        <v>0.10372346667283384</v>
      </c>
      <c r="AI1339" s="36">
        <f t="shared" si="454"/>
        <v>0.10476070133956218</v>
      </c>
      <c r="AJ1339" s="36">
        <f t="shared" si="454"/>
        <v>0.10580830835295781</v>
      </c>
      <c r="AK1339" s="36">
        <f t="shared" si="454"/>
        <v>0.107818666211664</v>
      </c>
      <c r="AL1339" s="36">
        <f t="shared" si="454"/>
        <v>0.1098672208696856</v>
      </c>
      <c r="AM1339" s="36">
        <f t="shared" si="454"/>
        <v>0.11195469806620961</v>
      </c>
      <c r="AN1339" s="36">
        <f t="shared" si="454"/>
        <v>0.11408183732946758</v>
      </c>
      <c r="AO1339" s="36">
        <f t="shared" si="454"/>
        <v>0.11624939223872746</v>
      </c>
      <c r="AP1339" s="36">
        <f t="shared" si="454"/>
        <v>0.11845813069126328</v>
      </c>
      <c r="AQ1339" s="36">
        <f t="shared" si="454"/>
        <v>0.12070883517439727</v>
      </c>
      <c r="AR1339" s="36">
        <f t="shared" si="454"/>
        <v>0.12300230304271081</v>
      </c>
      <c r="AS1339" s="36">
        <f t="shared" si="454"/>
        <v>0.12533934680052231</v>
      </c>
      <c r="AT1339" s="36">
        <f t="shared" si="454"/>
        <v>0.12772079438973222</v>
      </c>
      <c r="AU1339" s="36">
        <f t="shared" si="454"/>
        <v>0.12797623597851168</v>
      </c>
      <c r="AV1339" s="36">
        <f t="shared" si="454"/>
        <v>0.12823218845046871</v>
      </c>
      <c r="AW1339" s="36">
        <f t="shared" si="454"/>
        <v>0.12848865282736965</v>
      </c>
      <c r="AX1339" s="36">
        <f t="shared" si="454"/>
        <v>0.1287456301330244</v>
      </c>
      <c r="AY1339" s="36">
        <f t="shared" si="454"/>
        <v>0.12900312139329045</v>
      </c>
      <c r="AZ1339" s="36">
        <f t="shared" si="447"/>
        <v>0.12926164468265577</v>
      </c>
    </row>
    <row r="1340" spans="1:52" ht="12" customHeight="1" x14ac:dyDescent="0.2">
      <c r="A1340" t="s">
        <v>110</v>
      </c>
      <c r="B1340" t="str">
        <f t="shared" si="441"/>
        <v>CHI</v>
      </c>
      <c r="C1340" t="str">
        <f t="shared" si="442"/>
        <v>NB</v>
      </c>
      <c r="D1340" s="36">
        <f t="shared" si="443"/>
        <v>9.7979252340924777E-2</v>
      </c>
      <c r="E1340" s="36">
        <f t="shared" si="444"/>
        <v>9.8968941758509871E-2</v>
      </c>
      <c r="F1340" s="36">
        <f t="shared" ref="F1340:AY1340" si="455">E1340*(1-INDEX($B$1267:$G$1267,,MATCH(F$1274,$B$1268:$G$1268,0)))</f>
        <v>9.9958631176094964E-2</v>
      </c>
      <c r="G1340" s="56">
        <f t="shared" si="455"/>
        <v>0.10095821748785591</v>
      </c>
      <c r="H1340" s="36">
        <f t="shared" si="455"/>
        <v>0.10196779966273448</v>
      </c>
      <c r="I1340" s="36">
        <f t="shared" si="455"/>
        <v>0.10298747765936182</v>
      </c>
      <c r="J1340" s="36">
        <f t="shared" si="455"/>
        <v>0.10401735243595545</v>
      </c>
      <c r="K1340" s="36">
        <f t="shared" si="455"/>
        <v>0.10505752596031501</v>
      </c>
      <c r="L1340" s="36">
        <f t="shared" si="455"/>
        <v>0.10610810121991816</v>
      </c>
      <c r="M1340" s="36">
        <f t="shared" si="455"/>
        <v>0.10716918223211734</v>
      </c>
      <c r="N1340" s="36">
        <f t="shared" si="455"/>
        <v>0.10824087405443851</v>
      </c>
      <c r="O1340" s="36">
        <f t="shared" si="455"/>
        <v>0.10932328279498289</v>
      </c>
      <c r="P1340" s="36">
        <f t="shared" si="455"/>
        <v>0.11041651562293273</v>
      </c>
      <c r="Q1340" s="36">
        <f t="shared" si="455"/>
        <v>0.11096859820104737</v>
      </c>
      <c r="R1340" s="36">
        <f t="shared" si="455"/>
        <v>0.1115234411920526</v>
      </c>
      <c r="S1340" s="36">
        <f t="shared" si="455"/>
        <v>0.11208105839801284</v>
      </c>
      <c r="T1340" s="36">
        <f t="shared" si="455"/>
        <v>0.1126414636900029</v>
      </c>
      <c r="U1340" s="36">
        <f t="shared" si="455"/>
        <v>0.1132046710084529</v>
      </c>
      <c r="V1340" s="36">
        <f t="shared" si="455"/>
        <v>0.11377069436349516</v>
      </c>
      <c r="W1340" s="36">
        <f t="shared" si="455"/>
        <v>0.11433954783531262</v>
      </c>
      <c r="X1340" s="36">
        <f t="shared" si="455"/>
        <v>0.11491124557448917</v>
      </c>
      <c r="Y1340" s="36">
        <f t="shared" si="455"/>
        <v>0.11548580180236161</v>
      </c>
      <c r="Z1340" s="36">
        <f t="shared" si="455"/>
        <v>0.1160632308113734</v>
      </c>
      <c r="AA1340" s="36">
        <f t="shared" si="455"/>
        <v>0.11722386311948714</v>
      </c>
      <c r="AB1340" s="36">
        <f t="shared" si="455"/>
        <v>0.11839610175068201</v>
      </c>
      <c r="AC1340" s="36">
        <f t="shared" si="455"/>
        <v>0.11958006276818883</v>
      </c>
      <c r="AD1340" s="36">
        <f t="shared" si="455"/>
        <v>0.12077586339587072</v>
      </c>
      <c r="AE1340" s="36">
        <f t="shared" si="455"/>
        <v>0.12198362202982943</v>
      </c>
      <c r="AF1340" s="36">
        <f t="shared" si="455"/>
        <v>0.12320345825012773</v>
      </c>
      <c r="AG1340" s="36">
        <f t="shared" si="455"/>
        <v>0.124435492832629</v>
      </c>
      <c r="AH1340" s="36">
        <f t="shared" si="455"/>
        <v>0.12567984776095528</v>
      </c>
      <c r="AI1340" s="36">
        <f t="shared" si="455"/>
        <v>0.12693664623856485</v>
      </c>
      <c r="AJ1340" s="36">
        <f t="shared" si="455"/>
        <v>0.1282060127009505</v>
      </c>
      <c r="AK1340" s="36">
        <f t="shared" si="455"/>
        <v>0.13064192694226856</v>
      </c>
      <c r="AL1340" s="36">
        <f t="shared" si="455"/>
        <v>0.13312412355417166</v>
      </c>
      <c r="AM1340" s="36">
        <f t="shared" si="455"/>
        <v>0.1356534819017009</v>
      </c>
      <c r="AN1340" s="36">
        <f t="shared" si="455"/>
        <v>0.1382308980578332</v>
      </c>
      <c r="AO1340" s="36">
        <f t="shared" si="455"/>
        <v>0.14085728512093201</v>
      </c>
      <c r="AP1340" s="36">
        <f t="shared" si="455"/>
        <v>0.14353357353822971</v>
      </c>
      <c r="AQ1340" s="36">
        <f t="shared" si="455"/>
        <v>0.14626071143545605</v>
      </c>
      <c r="AR1340" s="36">
        <f t="shared" si="455"/>
        <v>0.14903966495272969</v>
      </c>
      <c r="AS1340" s="36">
        <f t="shared" si="455"/>
        <v>0.15187141858683154</v>
      </c>
      <c r="AT1340" s="36">
        <f t="shared" si="455"/>
        <v>0.15475697553998133</v>
      </c>
      <c r="AU1340" s="36">
        <f t="shared" si="455"/>
        <v>0.1550664894910613</v>
      </c>
      <c r="AV1340" s="36">
        <f t="shared" si="455"/>
        <v>0.15537662247004344</v>
      </c>
      <c r="AW1340" s="36">
        <f t="shared" si="455"/>
        <v>0.15568737571498353</v>
      </c>
      <c r="AX1340" s="36">
        <f t="shared" si="455"/>
        <v>0.15599875046641351</v>
      </c>
      <c r="AY1340" s="36">
        <f t="shared" si="455"/>
        <v>0.15631074796734634</v>
      </c>
      <c r="AZ1340" s="36">
        <f t="shared" si="447"/>
        <v>0.15662399595926488</v>
      </c>
    </row>
    <row r="1341" spans="1:52" ht="12" customHeight="1" x14ac:dyDescent="0.2">
      <c r="A1341" t="s">
        <v>111</v>
      </c>
      <c r="B1341" t="str">
        <f t="shared" si="441"/>
        <v>IND</v>
      </c>
      <c r="C1341" t="str">
        <f t="shared" si="442"/>
        <v>NB</v>
      </c>
      <c r="D1341" s="36">
        <f t="shared" si="443"/>
        <v>0.10406048260554106</v>
      </c>
      <c r="E1341" s="36">
        <f t="shared" si="444"/>
        <v>0.10511159859145562</v>
      </c>
      <c r="F1341" s="36">
        <f t="shared" ref="F1341:AY1341" si="456">E1341*(1-INDEX($B$1267:$G$1267,,MATCH(F$1274,$B$1268:$G$1268,0)))</f>
        <v>0.10616271457737018</v>
      </c>
      <c r="G1341" s="56">
        <f t="shared" si="456"/>
        <v>0.10722434172314389</v>
      </c>
      <c r="H1341" s="36">
        <f t="shared" si="456"/>
        <v>0.10829658514037534</v>
      </c>
      <c r="I1341" s="36">
        <f t="shared" si="456"/>
        <v>0.1093795509917791</v>
      </c>
      <c r="J1341" s="36">
        <f t="shared" si="456"/>
        <v>0.11047334650169689</v>
      </c>
      <c r="K1341" s="36">
        <f t="shared" si="456"/>
        <v>0.11157807996671386</v>
      </c>
      <c r="L1341" s="36">
        <f t="shared" si="456"/>
        <v>0.11269386076638099</v>
      </c>
      <c r="M1341" s="36">
        <f t="shared" si="456"/>
        <v>0.11382079937404481</v>
      </c>
      <c r="N1341" s="36">
        <f t="shared" si="456"/>
        <v>0.11495900736778526</v>
      </c>
      <c r="O1341" s="36">
        <f t="shared" si="456"/>
        <v>0.11610859744146311</v>
      </c>
      <c r="P1341" s="36">
        <f t="shared" si="456"/>
        <v>0.11726968341587775</v>
      </c>
      <c r="Q1341" s="36">
        <f t="shared" si="456"/>
        <v>0.11785603183295712</v>
      </c>
      <c r="R1341" s="36">
        <f t="shared" si="456"/>
        <v>0.1184453119921219</v>
      </c>
      <c r="S1341" s="36">
        <f t="shared" si="456"/>
        <v>0.11903753855208249</v>
      </c>
      <c r="T1341" s="36">
        <f t="shared" si="456"/>
        <v>0.11963272624484289</v>
      </c>
      <c r="U1341" s="36">
        <f t="shared" si="456"/>
        <v>0.12023088987606709</v>
      </c>
      <c r="V1341" s="36">
        <f t="shared" si="456"/>
        <v>0.1208320443254474</v>
      </c>
      <c r="W1341" s="36">
        <f t="shared" si="456"/>
        <v>0.12143620454707463</v>
      </c>
      <c r="X1341" s="36">
        <f t="shared" si="456"/>
        <v>0.12204338556980998</v>
      </c>
      <c r="Y1341" s="36">
        <f t="shared" si="456"/>
        <v>0.12265360249765901</v>
      </c>
      <c r="Z1341" s="36">
        <f t="shared" si="456"/>
        <v>0.1232668705101473</v>
      </c>
      <c r="AA1341" s="36">
        <f t="shared" si="456"/>
        <v>0.12449953921524877</v>
      </c>
      <c r="AB1341" s="36">
        <f t="shared" si="456"/>
        <v>0.12574453460740126</v>
      </c>
      <c r="AC1341" s="36">
        <f t="shared" si="456"/>
        <v>0.12700197995347529</v>
      </c>
      <c r="AD1341" s="36">
        <f t="shared" si="456"/>
        <v>0.12827199975301004</v>
      </c>
      <c r="AE1341" s="36">
        <f t="shared" si="456"/>
        <v>0.12955471975054014</v>
      </c>
      <c r="AF1341" s="36">
        <f t="shared" si="456"/>
        <v>0.13085026694804555</v>
      </c>
      <c r="AG1341" s="36">
        <f t="shared" si="456"/>
        <v>0.13215876961752601</v>
      </c>
      <c r="AH1341" s="36">
        <f t="shared" si="456"/>
        <v>0.13348035731370128</v>
      </c>
      <c r="AI1341" s="36">
        <f t="shared" si="456"/>
        <v>0.13481516088683829</v>
      </c>
      <c r="AJ1341" s="36">
        <f t="shared" si="456"/>
        <v>0.13616331249570668</v>
      </c>
      <c r="AK1341" s="36">
        <f t="shared" si="456"/>
        <v>0.13875041543312508</v>
      </c>
      <c r="AL1341" s="36">
        <f t="shared" si="456"/>
        <v>0.14138667332635443</v>
      </c>
      <c r="AM1341" s="36">
        <f t="shared" si="456"/>
        <v>0.14407302011955517</v>
      </c>
      <c r="AN1341" s="36">
        <f t="shared" si="456"/>
        <v>0.1468104075018267</v>
      </c>
      <c r="AO1341" s="36">
        <f t="shared" si="456"/>
        <v>0.14959980524436139</v>
      </c>
      <c r="AP1341" s="36">
        <f t="shared" si="456"/>
        <v>0.15244220154400426</v>
      </c>
      <c r="AQ1341" s="36">
        <f t="shared" si="456"/>
        <v>0.15533860337334032</v>
      </c>
      <c r="AR1341" s="36">
        <f t="shared" si="456"/>
        <v>0.15829003683743378</v>
      </c>
      <c r="AS1341" s="36">
        <f t="shared" si="456"/>
        <v>0.16129754753734502</v>
      </c>
      <c r="AT1341" s="36">
        <f t="shared" si="456"/>
        <v>0.16436220094055456</v>
      </c>
      <c r="AU1341" s="36">
        <f t="shared" si="456"/>
        <v>0.16469092534243568</v>
      </c>
      <c r="AV1341" s="36">
        <f t="shared" si="456"/>
        <v>0.16502030719312055</v>
      </c>
      <c r="AW1341" s="36">
        <f t="shared" si="456"/>
        <v>0.16535034780750679</v>
      </c>
      <c r="AX1341" s="36">
        <f t="shared" si="456"/>
        <v>0.16568104850312182</v>
      </c>
      <c r="AY1341" s="36">
        <f t="shared" si="456"/>
        <v>0.16601241060012806</v>
      </c>
      <c r="AZ1341" s="36">
        <f t="shared" si="447"/>
        <v>0.16634510080173151</v>
      </c>
    </row>
    <row r="1342" spans="1:52" ht="12" customHeight="1" x14ac:dyDescent="0.2">
      <c r="A1342" t="s">
        <v>112</v>
      </c>
      <c r="B1342" t="str">
        <f t="shared" si="441"/>
        <v>OAS</v>
      </c>
      <c r="C1342" t="str">
        <f t="shared" si="442"/>
        <v>NB</v>
      </c>
      <c r="D1342" s="36">
        <f t="shared" si="443"/>
        <v>0.1268838000489115</v>
      </c>
      <c r="E1342" s="36">
        <f t="shared" si="444"/>
        <v>0.12816545459486012</v>
      </c>
      <c r="F1342" s="36">
        <f t="shared" ref="F1342:AY1342" si="457">E1342*(1-INDEX($B$1267:$G$1267,,MATCH(F$1274,$B$1268:$G$1268,0)))</f>
        <v>0.12944710914080873</v>
      </c>
      <c r="G1342" s="56">
        <f t="shared" si="457"/>
        <v>0.13074158023221683</v>
      </c>
      <c r="H1342" s="36">
        <f t="shared" si="457"/>
        <v>0.13204899603453898</v>
      </c>
      <c r="I1342" s="36">
        <f t="shared" si="457"/>
        <v>0.13336948599488438</v>
      </c>
      <c r="J1342" s="36">
        <f t="shared" si="457"/>
        <v>0.13470318085483324</v>
      </c>
      <c r="K1342" s="36">
        <f t="shared" si="457"/>
        <v>0.13605021266338158</v>
      </c>
      <c r="L1342" s="36">
        <f t="shared" si="457"/>
        <v>0.1374107147900154</v>
      </c>
      <c r="M1342" s="36">
        <f t="shared" si="457"/>
        <v>0.13878482193791555</v>
      </c>
      <c r="N1342" s="36">
        <f t="shared" si="457"/>
        <v>0.1401726701572947</v>
      </c>
      <c r="O1342" s="36">
        <f t="shared" si="457"/>
        <v>0.14157439685886766</v>
      </c>
      <c r="P1342" s="36">
        <f t="shared" si="457"/>
        <v>0.14299014082745634</v>
      </c>
      <c r="Q1342" s="36">
        <f t="shared" si="457"/>
        <v>0.14370509153159361</v>
      </c>
      <c r="R1342" s="36">
        <f t="shared" si="457"/>
        <v>0.14442361698925157</v>
      </c>
      <c r="S1342" s="36">
        <f t="shared" si="457"/>
        <v>0.14514573507419781</v>
      </c>
      <c r="T1342" s="36">
        <f t="shared" si="457"/>
        <v>0.14587146374956877</v>
      </c>
      <c r="U1342" s="36">
        <f t="shared" si="457"/>
        <v>0.14660082106831659</v>
      </c>
      <c r="V1342" s="36">
        <f t="shared" si="457"/>
        <v>0.14733382517365817</v>
      </c>
      <c r="W1342" s="36">
        <f t="shared" si="457"/>
        <v>0.14807049429952646</v>
      </c>
      <c r="X1342" s="36">
        <f t="shared" si="457"/>
        <v>0.14881084677102407</v>
      </c>
      <c r="Y1342" s="36">
        <f t="shared" si="457"/>
        <v>0.14955490100487917</v>
      </c>
      <c r="Z1342" s="36">
        <f t="shared" si="457"/>
        <v>0.15030267550990356</v>
      </c>
      <c r="AA1342" s="36">
        <f t="shared" si="457"/>
        <v>0.15180570226500259</v>
      </c>
      <c r="AB1342" s="36">
        <f t="shared" si="457"/>
        <v>0.15332375928765263</v>
      </c>
      <c r="AC1342" s="36">
        <f t="shared" si="457"/>
        <v>0.15485699688052915</v>
      </c>
      <c r="AD1342" s="36">
        <f t="shared" si="457"/>
        <v>0.15640556684933443</v>
      </c>
      <c r="AE1342" s="36">
        <f t="shared" si="457"/>
        <v>0.15796962251782778</v>
      </c>
      <c r="AF1342" s="36">
        <f t="shared" si="457"/>
        <v>0.15954931874300607</v>
      </c>
      <c r="AG1342" s="36">
        <f t="shared" si="457"/>
        <v>0.16114481193043614</v>
      </c>
      <c r="AH1342" s="36">
        <f t="shared" si="457"/>
        <v>0.1627562600497405</v>
      </c>
      <c r="AI1342" s="36">
        <f t="shared" si="457"/>
        <v>0.1643838226502379</v>
      </c>
      <c r="AJ1342" s="36">
        <f t="shared" si="457"/>
        <v>0.16602766087674029</v>
      </c>
      <c r="AK1342" s="36">
        <f t="shared" si="457"/>
        <v>0.16918218643339833</v>
      </c>
      <c r="AL1342" s="36">
        <f t="shared" si="457"/>
        <v>0.17239664797563289</v>
      </c>
      <c r="AM1342" s="36">
        <f t="shared" si="457"/>
        <v>0.17567218428716991</v>
      </c>
      <c r="AN1342" s="36">
        <f t="shared" si="457"/>
        <v>0.17900995578862611</v>
      </c>
      <c r="AO1342" s="36">
        <f t="shared" si="457"/>
        <v>0.18241114494860999</v>
      </c>
      <c r="AP1342" s="36">
        <f t="shared" si="457"/>
        <v>0.18587695670263357</v>
      </c>
      <c r="AQ1342" s="36">
        <f t="shared" si="457"/>
        <v>0.18940861887998359</v>
      </c>
      <c r="AR1342" s="36">
        <f t="shared" si="457"/>
        <v>0.19300738263870326</v>
      </c>
      <c r="AS1342" s="36">
        <f t="shared" si="457"/>
        <v>0.19667452290883861</v>
      </c>
      <c r="AT1342" s="36">
        <f t="shared" si="457"/>
        <v>0.20041133884410653</v>
      </c>
      <c r="AU1342" s="36">
        <f t="shared" si="457"/>
        <v>0.20081216152179474</v>
      </c>
      <c r="AV1342" s="36">
        <f t="shared" si="457"/>
        <v>0.20121378584483832</v>
      </c>
      <c r="AW1342" s="36">
        <f t="shared" si="457"/>
        <v>0.201616213416528</v>
      </c>
      <c r="AX1342" s="36">
        <f t="shared" si="457"/>
        <v>0.20201944584336104</v>
      </c>
      <c r="AY1342" s="36">
        <f t="shared" si="457"/>
        <v>0.20242348473504776</v>
      </c>
      <c r="AZ1342" s="36">
        <f t="shared" si="447"/>
        <v>0.20282914302108992</v>
      </c>
    </row>
    <row r="1343" spans="1:52" ht="12" customHeight="1" x14ac:dyDescent="0.2">
      <c r="A1343" t="s">
        <v>113</v>
      </c>
      <c r="B1343" t="str">
        <f t="shared" si="441"/>
        <v>MID</v>
      </c>
      <c r="C1343" t="str">
        <f t="shared" si="442"/>
        <v>NB</v>
      </c>
      <c r="D1343" s="36">
        <f t="shared" si="443"/>
        <v>0.15960283113522253</v>
      </c>
      <c r="E1343" s="36">
        <f t="shared" si="444"/>
        <v>0.16121498094466921</v>
      </c>
      <c r="F1343" s="36">
        <f t="shared" ref="F1343:AY1343" si="458">E1343*(1-INDEX($B$1267:$G$1267,,MATCH(F$1274,$B$1268:$G$1268,0)))</f>
        <v>0.1628271307541159</v>
      </c>
      <c r="G1343" s="56">
        <f t="shared" si="458"/>
        <v>0.16445540206165707</v>
      </c>
      <c r="H1343" s="36">
        <f t="shared" si="458"/>
        <v>0.16609995608227365</v>
      </c>
      <c r="I1343" s="36">
        <f t="shared" si="458"/>
        <v>0.1677609556430964</v>
      </c>
      <c r="J1343" s="36">
        <f t="shared" si="458"/>
        <v>0.16943856519952735</v>
      </c>
      <c r="K1343" s="36">
        <f t="shared" si="458"/>
        <v>0.17113295085152264</v>
      </c>
      <c r="L1343" s="36">
        <f t="shared" si="458"/>
        <v>0.17284428036003788</v>
      </c>
      <c r="M1343" s="36">
        <f t="shared" si="458"/>
        <v>0.17457272316363825</v>
      </c>
      <c r="N1343" s="36">
        <f t="shared" si="458"/>
        <v>0.17631845039527463</v>
      </c>
      <c r="O1343" s="36">
        <f t="shared" si="458"/>
        <v>0.17808163489922738</v>
      </c>
      <c r="P1343" s="36">
        <f t="shared" si="458"/>
        <v>0.17986245124821965</v>
      </c>
      <c r="Q1343" s="36">
        <f t="shared" si="458"/>
        <v>0.18076176350446072</v>
      </c>
      <c r="R1343" s="36">
        <f t="shared" si="458"/>
        <v>0.18166557232198299</v>
      </c>
      <c r="S1343" s="36">
        <f t="shared" si="458"/>
        <v>0.1825739001835929</v>
      </c>
      <c r="T1343" s="36">
        <f t="shared" si="458"/>
        <v>0.18348676968451086</v>
      </c>
      <c r="U1343" s="36">
        <f t="shared" si="458"/>
        <v>0.18440420353293338</v>
      </c>
      <c r="V1343" s="36">
        <f t="shared" si="458"/>
        <v>0.18532622455059802</v>
      </c>
      <c r="W1343" s="36">
        <f t="shared" si="458"/>
        <v>0.18625285567335098</v>
      </c>
      <c r="X1343" s="36">
        <f t="shared" si="458"/>
        <v>0.18718411995171771</v>
      </c>
      <c r="Y1343" s="36">
        <f t="shared" si="458"/>
        <v>0.18812004055147627</v>
      </c>
      <c r="Z1343" s="36">
        <f t="shared" si="458"/>
        <v>0.18906064075423362</v>
      </c>
      <c r="AA1343" s="36">
        <f t="shared" si="458"/>
        <v>0.19095124716177597</v>
      </c>
      <c r="AB1343" s="36">
        <f t="shared" si="458"/>
        <v>0.19286075963339375</v>
      </c>
      <c r="AC1343" s="36">
        <f t="shared" si="458"/>
        <v>0.19478936722972767</v>
      </c>
      <c r="AD1343" s="36">
        <f t="shared" si="458"/>
        <v>0.19673726090202495</v>
      </c>
      <c r="AE1343" s="36">
        <f t="shared" si="458"/>
        <v>0.1987046335110452</v>
      </c>
      <c r="AF1343" s="36">
        <f t="shared" si="458"/>
        <v>0.20069167984615566</v>
      </c>
      <c r="AG1343" s="36">
        <f t="shared" si="458"/>
        <v>0.20269859664461723</v>
      </c>
      <c r="AH1343" s="36">
        <f t="shared" si="458"/>
        <v>0.20472558261106341</v>
      </c>
      <c r="AI1343" s="36">
        <f t="shared" si="458"/>
        <v>0.20677283843717403</v>
      </c>
      <c r="AJ1343" s="36">
        <f t="shared" si="458"/>
        <v>0.20884056682154578</v>
      </c>
      <c r="AK1343" s="36">
        <f t="shared" si="458"/>
        <v>0.21280853759115514</v>
      </c>
      <c r="AL1343" s="36">
        <f t="shared" si="458"/>
        <v>0.21685189980538708</v>
      </c>
      <c r="AM1343" s="36">
        <f t="shared" si="458"/>
        <v>0.2209720859016894</v>
      </c>
      <c r="AN1343" s="36">
        <f t="shared" si="458"/>
        <v>0.22517055553382148</v>
      </c>
      <c r="AO1343" s="36">
        <f t="shared" si="458"/>
        <v>0.22944879608896407</v>
      </c>
      <c r="AP1343" s="36">
        <f t="shared" si="458"/>
        <v>0.23380832321465436</v>
      </c>
      <c r="AQ1343" s="36">
        <f t="shared" si="458"/>
        <v>0.23825068135573277</v>
      </c>
      <c r="AR1343" s="36">
        <f t="shared" si="458"/>
        <v>0.24277744430149167</v>
      </c>
      <c r="AS1343" s="36">
        <f t="shared" si="458"/>
        <v>0.24739021574321998</v>
      </c>
      <c r="AT1343" s="36">
        <f t="shared" si="458"/>
        <v>0.25209062984234115</v>
      </c>
      <c r="AU1343" s="36">
        <f t="shared" si="458"/>
        <v>0.25259481110202581</v>
      </c>
      <c r="AV1343" s="36">
        <f t="shared" si="458"/>
        <v>0.25310000072422983</v>
      </c>
      <c r="AW1343" s="36">
        <f t="shared" si="458"/>
        <v>0.2536062007256783</v>
      </c>
      <c r="AX1343" s="36">
        <f t="shared" si="458"/>
        <v>0.25411341312712965</v>
      </c>
      <c r="AY1343" s="36">
        <f t="shared" si="458"/>
        <v>0.25462163995338388</v>
      </c>
      <c r="AZ1343" s="36">
        <f t="shared" si="447"/>
        <v>0.25513190376090572</v>
      </c>
    </row>
    <row r="1344" spans="1:52" ht="12" customHeight="1" x14ac:dyDescent="0.2">
      <c r="A1344" t="s">
        <v>114</v>
      </c>
      <c r="B1344" t="str">
        <f t="shared" si="441"/>
        <v>AFR</v>
      </c>
      <c r="C1344" t="str">
        <f t="shared" si="442"/>
        <v>NB</v>
      </c>
      <c r="D1344" s="36">
        <f t="shared" si="443"/>
        <v>0.1105438761386893</v>
      </c>
      <c r="E1344" s="36">
        <f t="shared" si="444"/>
        <v>0.11166048094817101</v>
      </c>
      <c r="F1344" s="36">
        <f t="shared" ref="F1344:AY1344" si="459">E1344*(1-INDEX($B$1267:$G$1267,,MATCH(F$1274,$B$1268:$G$1268,0)))</f>
        <v>0.11277708575765272</v>
      </c>
      <c r="G1344" s="56">
        <f t="shared" si="459"/>
        <v>0.11390485661522924</v>
      </c>
      <c r="H1344" s="36">
        <f t="shared" si="459"/>
        <v>0.11504390518138154</v>
      </c>
      <c r="I1344" s="36">
        <f t="shared" si="459"/>
        <v>0.11619434423319536</v>
      </c>
      <c r="J1344" s="36">
        <f t="shared" si="459"/>
        <v>0.11735628767552732</v>
      </c>
      <c r="K1344" s="36">
        <f t="shared" si="459"/>
        <v>0.11852985055228259</v>
      </c>
      <c r="L1344" s="36">
        <f t="shared" si="459"/>
        <v>0.11971514905780542</v>
      </c>
      <c r="M1344" s="36">
        <f t="shared" si="459"/>
        <v>0.12091230054838348</v>
      </c>
      <c r="N1344" s="36">
        <f t="shared" si="459"/>
        <v>0.12212142355386732</v>
      </c>
      <c r="O1344" s="36">
        <f t="shared" si="459"/>
        <v>0.12334263778940599</v>
      </c>
      <c r="P1344" s="36">
        <f t="shared" si="459"/>
        <v>0.12457606416730005</v>
      </c>
      <c r="Q1344" s="36">
        <f t="shared" si="459"/>
        <v>0.12519894448813654</v>
      </c>
      <c r="R1344" s="36">
        <f t="shared" si="459"/>
        <v>0.12582493921057722</v>
      </c>
      <c r="S1344" s="36">
        <f t="shared" si="459"/>
        <v>0.12645406390663008</v>
      </c>
      <c r="T1344" s="36">
        <f t="shared" si="459"/>
        <v>0.12708633422616322</v>
      </c>
      <c r="U1344" s="36">
        <f t="shared" si="459"/>
        <v>0.12772176589729403</v>
      </c>
      <c r="V1344" s="36">
        <f t="shared" si="459"/>
        <v>0.1283603747267805</v>
      </c>
      <c r="W1344" s="36">
        <f t="shared" si="459"/>
        <v>0.12900217660041438</v>
      </c>
      <c r="X1344" s="36">
        <f t="shared" si="459"/>
        <v>0.12964718748341644</v>
      </c>
      <c r="Y1344" s="36">
        <f t="shared" si="459"/>
        <v>0.1302954234208335</v>
      </c>
      <c r="Z1344" s="36">
        <f t="shared" si="459"/>
        <v>0.13094690053793764</v>
      </c>
      <c r="AA1344" s="36">
        <f t="shared" si="459"/>
        <v>0.13225636954331702</v>
      </c>
      <c r="AB1344" s="36">
        <f t="shared" si="459"/>
        <v>0.1335789332387502</v>
      </c>
      <c r="AC1344" s="36">
        <f t="shared" si="459"/>
        <v>0.13491472257113771</v>
      </c>
      <c r="AD1344" s="36">
        <f t="shared" si="459"/>
        <v>0.1362638697968491</v>
      </c>
      <c r="AE1344" s="36">
        <f t="shared" si="459"/>
        <v>0.13762650849481758</v>
      </c>
      <c r="AF1344" s="36">
        <f t="shared" si="459"/>
        <v>0.13900277357976576</v>
      </c>
      <c r="AG1344" s="36">
        <f t="shared" si="459"/>
        <v>0.14039280131556342</v>
      </c>
      <c r="AH1344" s="36">
        <f t="shared" si="459"/>
        <v>0.14179672932871906</v>
      </c>
      <c r="AI1344" s="36">
        <f t="shared" si="459"/>
        <v>0.14321469662200625</v>
      </c>
      <c r="AJ1344" s="36">
        <f t="shared" si="459"/>
        <v>0.14464684358822633</v>
      </c>
      <c r="AK1344" s="36">
        <f t="shared" si="459"/>
        <v>0.14739513361640261</v>
      </c>
      <c r="AL1344" s="36">
        <f t="shared" si="459"/>
        <v>0.15019564115511425</v>
      </c>
      <c r="AM1344" s="36">
        <f t="shared" si="459"/>
        <v>0.1530493583370614</v>
      </c>
      <c r="AN1344" s="36">
        <f t="shared" si="459"/>
        <v>0.15595729614546555</v>
      </c>
      <c r="AO1344" s="36">
        <f t="shared" si="459"/>
        <v>0.15892048477222939</v>
      </c>
      <c r="AP1344" s="36">
        <f t="shared" si="459"/>
        <v>0.16193997398290175</v>
      </c>
      <c r="AQ1344" s="36">
        <f t="shared" si="459"/>
        <v>0.16501683348857688</v>
      </c>
      <c r="AR1344" s="36">
        <f t="shared" si="459"/>
        <v>0.16815215332485983</v>
      </c>
      <c r="AS1344" s="36">
        <f t="shared" si="459"/>
        <v>0.17134704423803215</v>
      </c>
      <c r="AT1344" s="36">
        <f t="shared" si="459"/>
        <v>0.17460263807855475</v>
      </c>
      <c r="AU1344" s="36">
        <f t="shared" si="459"/>
        <v>0.17495184335471187</v>
      </c>
      <c r="AV1344" s="36">
        <f t="shared" si="459"/>
        <v>0.17530174704142129</v>
      </c>
      <c r="AW1344" s="36">
        <f t="shared" si="459"/>
        <v>0.17565235053550413</v>
      </c>
      <c r="AX1344" s="36">
        <f t="shared" si="459"/>
        <v>0.17600365523657513</v>
      </c>
      <c r="AY1344" s="36">
        <f t="shared" si="459"/>
        <v>0.17635566254704829</v>
      </c>
      <c r="AZ1344" s="36">
        <v>0.1591543927540218</v>
      </c>
    </row>
    <row r="1345" spans="1:52" ht="12" customHeight="1" x14ac:dyDescent="0.2">
      <c r="A1345" t="s">
        <v>115</v>
      </c>
      <c r="B1345" t="str">
        <f t="shared" si="441"/>
        <v>BRZ</v>
      </c>
      <c r="C1345" t="str">
        <f t="shared" si="442"/>
        <v>NB</v>
      </c>
      <c r="D1345" s="36">
        <f t="shared" si="443"/>
        <v>0.11165036232370991</v>
      </c>
      <c r="E1345" s="36">
        <f t="shared" si="444"/>
        <v>0.11277814376132314</v>
      </c>
      <c r="F1345" s="36">
        <f t="shared" ref="F1345:AY1345" si="460">E1345*(1-INDEX($B$1267:$G$1267,,MATCH(F$1274,$B$1268:$G$1268,0)))</f>
        <v>0.11390592519893637</v>
      </c>
      <c r="G1345" s="56">
        <f t="shared" si="460"/>
        <v>0.11504498445092574</v>
      </c>
      <c r="H1345" s="36">
        <f t="shared" si="460"/>
        <v>0.116195434295435</v>
      </c>
      <c r="I1345" s="36">
        <f t="shared" si="460"/>
        <v>0.11735738863838935</v>
      </c>
      <c r="J1345" s="36">
        <f t="shared" si="460"/>
        <v>0.11853096252477324</v>
      </c>
      <c r="K1345" s="36">
        <f t="shared" si="460"/>
        <v>0.11971627215002098</v>
      </c>
      <c r="L1345" s="36">
        <f t="shared" si="460"/>
        <v>0.12091343487152119</v>
      </c>
      <c r="M1345" s="36">
        <f t="shared" si="460"/>
        <v>0.1221225692202364</v>
      </c>
      <c r="N1345" s="36">
        <f t="shared" si="460"/>
        <v>0.12334379491243877</v>
      </c>
      <c r="O1345" s="36">
        <f t="shared" si="460"/>
        <v>0.12457723286156316</v>
      </c>
      <c r="P1345" s="36">
        <f t="shared" si="460"/>
        <v>0.1258230051901788</v>
      </c>
      <c r="Q1345" s="36">
        <f t="shared" si="460"/>
        <v>0.1264521202161297</v>
      </c>
      <c r="R1345" s="36">
        <f t="shared" si="460"/>
        <v>0.12708438081721032</v>
      </c>
      <c r="S1345" s="36">
        <f t="shared" si="460"/>
        <v>0.12771980272129635</v>
      </c>
      <c r="T1345" s="36">
        <f t="shared" si="460"/>
        <v>0.12835840173490282</v>
      </c>
      <c r="U1345" s="36">
        <f t="shared" si="460"/>
        <v>0.12900019374357732</v>
      </c>
      <c r="V1345" s="36">
        <f t="shared" si="460"/>
        <v>0.12964519471229519</v>
      </c>
      <c r="W1345" s="36">
        <f t="shared" si="460"/>
        <v>0.13029342068585664</v>
      </c>
      <c r="X1345" s="36">
        <f t="shared" si="460"/>
        <v>0.13094488778928592</v>
      </c>
      <c r="Y1345" s="36">
        <f t="shared" si="460"/>
        <v>0.13159961222823233</v>
      </c>
      <c r="Z1345" s="36">
        <f t="shared" si="460"/>
        <v>0.13225761028937347</v>
      </c>
      <c r="AA1345" s="36">
        <f t="shared" si="460"/>
        <v>0.13358018639226721</v>
      </c>
      <c r="AB1345" s="36">
        <f t="shared" si="460"/>
        <v>0.13491598825618989</v>
      </c>
      <c r="AC1345" s="36">
        <f t="shared" si="460"/>
        <v>0.13626514813875179</v>
      </c>
      <c r="AD1345" s="36">
        <f t="shared" si="460"/>
        <v>0.1376277996201393</v>
      </c>
      <c r="AE1345" s="36">
        <f t="shared" si="460"/>
        <v>0.13900407761634068</v>
      </c>
      <c r="AF1345" s="36">
        <f t="shared" si="460"/>
        <v>0.1403941183925041</v>
      </c>
      <c r="AG1345" s="36">
        <f t="shared" si="460"/>
        <v>0.14179805957642913</v>
      </c>
      <c r="AH1345" s="36">
        <f t="shared" si="460"/>
        <v>0.14321604017219342</v>
      </c>
      <c r="AI1345" s="36">
        <f t="shared" si="460"/>
        <v>0.14464820057391536</v>
      </c>
      <c r="AJ1345" s="36">
        <f t="shared" si="460"/>
        <v>0.14609468257965452</v>
      </c>
      <c r="AK1345" s="36">
        <f t="shared" si="460"/>
        <v>0.14887048154866794</v>
      </c>
      <c r="AL1345" s="36">
        <f t="shared" si="460"/>
        <v>0.15169902069809263</v>
      </c>
      <c r="AM1345" s="36">
        <f t="shared" si="460"/>
        <v>0.15458130209135637</v>
      </c>
      <c r="AN1345" s="36">
        <f t="shared" si="460"/>
        <v>0.15751834683109212</v>
      </c>
      <c r="AO1345" s="36">
        <f t="shared" si="460"/>
        <v>0.16051119542088285</v>
      </c>
      <c r="AP1345" s="36">
        <f t="shared" si="460"/>
        <v>0.16356090813387961</v>
      </c>
      <c r="AQ1345" s="36">
        <f t="shared" si="460"/>
        <v>0.16666856538842331</v>
      </c>
      <c r="AR1345" s="36">
        <f t="shared" si="460"/>
        <v>0.16983526813080335</v>
      </c>
      <c r="AS1345" s="36">
        <f t="shared" si="460"/>
        <v>0.1730621382252886</v>
      </c>
      <c r="AT1345" s="36">
        <f t="shared" si="460"/>
        <v>0.17635031885156907</v>
      </c>
      <c r="AU1345" s="36">
        <f t="shared" si="460"/>
        <v>0.17670301948927222</v>
      </c>
      <c r="AV1345" s="36">
        <f t="shared" si="460"/>
        <v>0.17705642552825077</v>
      </c>
      <c r="AW1345" s="36">
        <f t="shared" si="460"/>
        <v>0.17741053837930726</v>
      </c>
      <c r="AX1345" s="36">
        <f t="shared" si="460"/>
        <v>0.17776535945606586</v>
      </c>
      <c r="AY1345" s="36">
        <f t="shared" si="460"/>
        <v>0.17812089017497801</v>
      </c>
      <c r="AZ1345" s="36">
        <f t="shared" ref="AZ1345:AZ1356" si="461">((1+$C$1267)*(1/AY1345))^-1</f>
        <v>0.17847784586671145</v>
      </c>
    </row>
    <row r="1346" spans="1:52" ht="12" customHeight="1" x14ac:dyDescent="0.2">
      <c r="A1346" t="s">
        <v>116</v>
      </c>
      <c r="B1346" t="str">
        <f t="shared" si="441"/>
        <v>CSA</v>
      </c>
      <c r="C1346" t="str">
        <f t="shared" si="442"/>
        <v>NB</v>
      </c>
      <c r="D1346" s="36">
        <f t="shared" si="443"/>
        <v>9.861519967874334E-2</v>
      </c>
      <c r="E1346" s="36">
        <f t="shared" si="444"/>
        <v>9.9611312806811458E-2</v>
      </c>
      <c r="F1346" s="36">
        <f t="shared" ref="F1346:AY1346" si="462">E1346*(1-INDEX($B$1267:$G$1267,,MATCH(F$1274,$B$1268:$G$1268,0)))</f>
        <v>0.10060742593487958</v>
      </c>
      <c r="G1346" s="56">
        <f t="shared" si="462"/>
        <v>0.10161350019422838</v>
      </c>
      <c r="H1346" s="36">
        <f t="shared" si="462"/>
        <v>0.10262963519617066</v>
      </c>
      <c r="I1346" s="36">
        <f t="shared" si="462"/>
        <v>0.10365593154813237</v>
      </c>
      <c r="J1346" s="36">
        <f t="shared" si="462"/>
        <v>0.10469249086361369</v>
      </c>
      <c r="K1346" s="36">
        <f t="shared" si="462"/>
        <v>0.10573941577224984</v>
      </c>
      <c r="L1346" s="36">
        <f t="shared" si="462"/>
        <v>0.10679680992997234</v>
      </c>
      <c r="M1346" s="36">
        <f t="shared" si="462"/>
        <v>0.10786477802927207</v>
      </c>
      <c r="N1346" s="36">
        <f t="shared" si="462"/>
        <v>0.10894342580956479</v>
      </c>
      <c r="O1346" s="36">
        <f t="shared" si="462"/>
        <v>0.11003286006766043</v>
      </c>
      <c r="P1346" s="36">
        <f t="shared" si="462"/>
        <v>0.11113318866833703</v>
      </c>
      <c r="Q1346" s="36">
        <f t="shared" si="462"/>
        <v>0.11168885461167871</v>
      </c>
      <c r="R1346" s="36">
        <f t="shared" si="462"/>
        <v>0.1122472988847371</v>
      </c>
      <c r="S1346" s="36">
        <f t="shared" si="462"/>
        <v>0.11280853537916077</v>
      </c>
      <c r="T1346" s="36">
        <f t="shared" si="462"/>
        <v>0.11337257805605656</v>
      </c>
      <c r="U1346" s="36">
        <f t="shared" si="462"/>
        <v>0.11393944094633683</v>
      </c>
      <c r="V1346" s="36">
        <f t="shared" si="462"/>
        <v>0.1145091381510685</v>
      </c>
      <c r="W1346" s="36">
        <f t="shared" si="462"/>
        <v>0.11508168384182384</v>
      </c>
      <c r="X1346" s="36">
        <f t="shared" si="462"/>
        <v>0.11565709226103295</v>
      </c>
      <c r="Y1346" s="36">
        <f t="shared" si="462"/>
        <v>0.11623537772233811</v>
      </c>
      <c r="Z1346" s="36">
        <f t="shared" si="462"/>
        <v>0.11681655461094978</v>
      </c>
      <c r="AA1346" s="36">
        <f t="shared" si="462"/>
        <v>0.11798472015705928</v>
      </c>
      <c r="AB1346" s="36">
        <f t="shared" si="462"/>
        <v>0.11916456735862987</v>
      </c>
      <c r="AC1346" s="36">
        <f t="shared" si="462"/>
        <v>0.12035621303221618</v>
      </c>
      <c r="AD1346" s="36">
        <f t="shared" si="462"/>
        <v>0.12155977516253834</v>
      </c>
      <c r="AE1346" s="36">
        <f t="shared" si="462"/>
        <v>0.12277537291416372</v>
      </c>
      <c r="AF1346" s="36">
        <f t="shared" si="462"/>
        <v>0.12400312664330536</v>
      </c>
      <c r="AG1346" s="36">
        <f t="shared" si="462"/>
        <v>0.12524315790973842</v>
      </c>
      <c r="AH1346" s="36">
        <f t="shared" si="462"/>
        <v>0.1264955894888358</v>
      </c>
      <c r="AI1346" s="36">
        <f t="shared" si="462"/>
        <v>0.12776054538372417</v>
      </c>
      <c r="AJ1346" s="36">
        <f t="shared" si="462"/>
        <v>0.1290381508375614</v>
      </c>
      <c r="AK1346" s="36">
        <f t="shared" si="462"/>
        <v>0.13148987570347506</v>
      </c>
      <c r="AL1346" s="36">
        <f t="shared" si="462"/>
        <v>0.13398818334184107</v>
      </c>
      <c r="AM1346" s="36">
        <f t="shared" si="462"/>
        <v>0.13653395882533603</v>
      </c>
      <c r="AN1346" s="36">
        <f t="shared" si="462"/>
        <v>0.1391281040430174</v>
      </c>
      <c r="AO1346" s="36">
        <f t="shared" si="462"/>
        <v>0.14177153801983472</v>
      </c>
      <c r="AP1346" s="36">
        <f t="shared" si="462"/>
        <v>0.14446519724221157</v>
      </c>
      <c r="AQ1346" s="36">
        <f t="shared" si="462"/>
        <v>0.14721003598981358</v>
      </c>
      <c r="AR1346" s="36">
        <f t="shared" si="462"/>
        <v>0.15000702667362004</v>
      </c>
      <c r="AS1346" s="36">
        <f t="shared" si="462"/>
        <v>0.15285716018041881</v>
      </c>
      <c r="AT1346" s="36">
        <f t="shared" si="462"/>
        <v>0.15576144622384674</v>
      </c>
      <c r="AU1346" s="36">
        <f t="shared" si="462"/>
        <v>0.15607296911629445</v>
      </c>
      <c r="AV1346" s="36">
        <f t="shared" si="462"/>
        <v>0.15638511505452704</v>
      </c>
      <c r="AW1346" s="36">
        <f t="shared" si="462"/>
        <v>0.1566978852846361</v>
      </c>
      <c r="AX1346" s="36">
        <f t="shared" si="462"/>
        <v>0.15701128105520537</v>
      </c>
      <c r="AY1346" s="36">
        <f t="shared" si="462"/>
        <v>0.15732530361731578</v>
      </c>
      <c r="AZ1346" s="36">
        <f t="shared" si="461"/>
        <v>0.15764058478688955</v>
      </c>
    </row>
    <row r="1347" spans="1:52" ht="12" customHeight="1" x14ac:dyDescent="0.2">
      <c r="A1347" t="s">
        <v>117</v>
      </c>
      <c r="B1347" t="str">
        <f t="shared" si="441"/>
        <v>USA</v>
      </c>
      <c r="C1347" t="str">
        <f t="shared" si="442"/>
        <v>WB</v>
      </c>
      <c r="D1347" s="36">
        <f t="shared" si="443"/>
        <v>9.7762961716137242E-2</v>
      </c>
      <c r="E1347" s="36">
        <f t="shared" si="444"/>
        <v>9.8750466379936605E-2</v>
      </c>
      <c r="F1347" s="36">
        <f t="shared" ref="F1347:AY1347" si="463">E1347*(1-INDEX($B$1267:$G$1267,,MATCH(F$1274,$B$1268:$G$1268,0)))</f>
        <v>9.9737971043735968E-2</v>
      </c>
      <c r="G1347" s="56">
        <f t="shared" si="463"/>
        <v>0.10073535075417332</v>
      </c>
      <c r="H1347" s="36">
        <f t="shared" si="463"/>
        <v>0.10174270426171506</v>
      </c>
      <c r="I1347" s="36">
        <f t="shared" si="463"/>
        <v>0.1027601313043322</v>
      </c>
      <c r="J1347" s="36">
        <f t="shared" si="463"/>
        <v>0.10378773261737552</v>
      </c>
      <c r="K1347" s="36">
        <f t="shared" si="463"/>
        <v>0.10482560994354928</v>
      </c>
      <c r="L1347" s="36">
        <f t="shared" si="463"/>
        <v>0.10587386604298478</v>
      </c>
      <c r="M1347" s="36">
        <f t="shared" si="463"/>
        <v>0.10693260470341463</v>
      </c>
      <c r="N1347" s="36">
        <f t="shared" si="463"/>
        <v>0.10800193075044878</v>
      </c>
      <c r="O1347" s="36">
        <f t="shared" si="463"/>
        <v>0.10908195005795328</v>
      </c>
      <c r="P1347" s="36">
        <f t="shared" si="463"/>
        <v>0.11017276955853281</v>
      </c>
      <c r="Q1347" s="36">
        <f t="shared" si="463"/>
        <v>0.11072363340632546</v>
      </c>
      <c r="R1347" s="36">
        <f t="shared" si="463"/>
        <v>0.11127725157335708</v>
      </c>
      <c r="S1347" s="36">
        <f t="shared" si="463"/>
        <v>0.11183363783122385</v>
      </c>
      <c r="T1347" s="36">
        <f t="shared" si="463"/>
        <v>0.11239280602037996</v>
      </c>
      <c r="U1347" s="36">
        <f t="shared" si="463"/>
        <v>0.11295477005048185</v>
      </c>
      <c r="V1347" s="36">
        <f t="shared" si="463"/>
        <v>0.11351954390073425</v>
      </c>
      <c r="W1347" s="36">
        <f t="shared" si="463"/>
        <v>0.11408714162023791</v>
      </c>
      <c r="X1347" s="36">
        <f t="shared" si="463"/>
        <v>0.11465757732833909</v>
      </c>
      <c r="Y1347" s="36">
        <f t="shared" si="463"/>
        <v>0.11523086521498077</v>
      </c>
      <c r="Z1347" s="36">
        <f t="shared" si="463"/>
        <v>0.11580701954105566</v>
      </c>
      <c r="AA1347" s="36">
        <f t="shared" si="463"/>
        <v>0.11696508973646622</v>
      </c>
      <c r="AB1347" s="36">
        <f t="shared" si="463"/>
        <v>0.11813474063383088</v>
      </c>
      <c r="AC1347" s="36">
        <f t="shared" si="463"/>
        <v>0.11931608804016919</v>
      </c>
      <c r="AD1347" s="36">
        <f t="shared" si="463"/>
        <v>0.12050924892057088</v>
      </c>
      <c r="AE1347" s="36">
        <f t="shared" si="463"/>
        <v>0.12171434140977659</v>
      </c>
      <c r="AF1347" s="36">
        <f t="shared" si="463"/>
        <v>0.12293148482387437</v>
      </c>
      <c r="AG1347" s="36">
        <f t="shared" si="463"/>
        <v>0.1241607996721131</v>
      </c>
      <c r="AH1347" s="36">
        <f t="shared" si="463"/>
        <v>0.12540240766883423</v>
      </c>
      <c r="AI1347" s="36">
        <f t="shared" si="463"/>
        <v>0.12665643174552257</v>
      </c>
      <c r="AJ1347" s="36">
        <f t="shared" si="463"/>
        <v>0.1279229960629778</v>
      </c>
      <c r="AK1347" s="36">
        <f t="shared" si="463"/>
        <v>0.13035353298817437</v>
      </c>
      <c r="AL1347" s="36">
        <f t="shared" si="463"/>
        <v>0.13283025011494967</v>
      </c>
      <c r="AM1347" s="36">
        <f t="shared" si="463"/>
        <v>0.13535402486713372</v>
      </c>
      <c r="AN1347" s="36">
        <f t="shared" si="463"/>
        <v>0.13792575133960924</v>
      </c>
      <c r="AO1347" s="36">
        <f t="shared" si="463"/>
        <v>0.1405463406150618</v>
      </c>
      <c r="AP1347" s="36">
        <f t="shared" si="463"/>
        <v>0.14321672108674796</v>
      </c>
      <c r="AQ1347" s="36">
        <f t="shared" si="463"/>
        <v>0.14593783878739616</v>
      </c>
      <c r="AR1347" s="36">
        <f t="shared" si="463"/>
        <v>0.14871065772435668</v>
      </c>
      <c r="AS1347" s="36">
        <f t="shared" si="463"/>
        <v>0.15153616022111943</v>
      </c>
      <c r="AT1347" s="36">
        <f t="shared" si="463"/>
        <v>0.15441534726532069</v>
      </c>
      <c r="AU1347" s="36">
        <f t="shared" si="463"/>
        <v>0.15472417795985133</v>
      </c>
      <c r="AV1347" s="36">
        <f t="shared" si="463"/>
        <v>0.15503362631577103</v>
      </c>
      <c r="AW1347" s="36">
        <f t="shared" si="463"/>
        <v>0.15534369356840258</v>
      </c>
      <c r="AX1347" s="36">
        <f t="shared" si="463"/>
        <v>0.15565438095553938</v>
      </c>
      <c r="AY1347" s="36">
        <f t="shared" si="463"/>
        <v>0.15596568971745045</v>
      </c>
      <c r="AZ1347" s="36">
        <f t="shared" si="461"/>
        <v>0.15627824620987019</v>
      </c>
    </row>
    <row r="1348" spans="1:52" ht="12" customHeight="1" x14ac:dyDescent="0.2">
      <c r="A1348" t="s">
        <v>118</v>
      </c>
      <c r="B1348" t="str">
        <f t="shared" si="441"/>
        <v>CAN</v>
      </c>
      <c r="C1348" t="str">
        <f t="shared" si="442"/>
        <v>WB</v>
      </c>
      <c r="D1348" s="36">
        <f t="shared" si="443"/>
        <v>0.101694144555217</v>
      </c>
      <c r="E1348" s="36">
        <f t="shared" si="444"/>
        <v>0.10272135813658283</v>
      </c>
      <c r="F1348" s="36">
        <f t="shared" ref="F1348:AY1348" si="464">E1348*(1-INDEX($B$1267:$G$1267,,MATCH(F$1274,$B$1268:$G$1268,0)))</f>
        <v>0.10374857171794866</v>
      </c>
      <c r="G1348" s="56">
        <f t="shared" si="464"/>
        <v>0.10478605743512814</v>
      </c>
      <c r="H1348" s="36">
        <f t="shared" si="464"/>
        <v>0.10583391800947943</v>
      </c>
      <c r="I1348" s="36">
        <f t="shared" si="464"/>
        <v>0.10689225718957422</v>
      </c>
      <c r="J1348" s="36">
        <f t="shared" si="464"/>
        <v>0.10796117976146996</v>
      </c>
      <c r="K1348" s="36">
        <f t="shared" si="464"/>
        <v>0.10904079155908467</v>
      </c>
      <c r="L1348" s="36">
        <f t="shared" si="464"/>
        <v>0.11013119947467551</v>
      </c>
      <c r="M1348" s="36">
        <f t="shared" si="464"/>
        <v>0.11123251146942226</v>
      </c>
      <c r="N1348" s="36">
        <f t="shared" si="464"/>
        <v>0.11234483658411648</v>
      </c>
      <c r="O1348" s="36">
        <f t="shared" si="464"/>
        <v>0.11346828494995764</v>
      </c>
      <c r="P1348" s="36">
        <f t="shared" si="464"/>
        <v>0.11460296779945722</v>
      </c>
      <c r="Q1348" s="36">
        <f t="shared" si="464"/>
        <v>0.11517598263845449</v>
      </c>
      <c r="R1348" s="36">
        <f t="shared" si="464"/>
        <v>0.11575186255164675</v>
      </c>
      <c r="S1348" s="36">
        <f t="shared" si="464"/>
        <v>0.11633062186440497</v>
      </c>
      <c r="T1348" s="36">
        <f t="shared" si="464"/>
        <v>0.11691227497372698</v>
      </c>
      <c r="U1348" s="36">
        <f t="shared" si="464"/>
        <v>0.1174968363485956</v>
      </c>
      <c r="V1348" s="36">
        <f t="shared" si="464"/>
        <v>0.11808432053033857</v>
      </c>
      <c r="W1348" s="36">
        <f t="shared" si="464"/>
        <v>0.11867474213299026</v>
      </c>
      <c r="X1348" s="36">
        <f t="shared" si="464"/>
        <v>0.1192681158436552</v>
      </c>
      <c r="Y1348" s="36">
        <f t="shared" si="464"/>
        <v>0.11986445642287345</v>
      </c>
      <c r="Z1348" s="36">
        <f t="shared" si="464"/>
        <v>0.12046377870498781</v>
      </c>
      <c r="AA1348" s="36">
        <f t="shared" si="464"/>
        <v>0.12166841649203769</v>
      </c>
      <c r="AB1348" s="36">
        <f t="shared" si="464"/>
        <v>0.12288510065695807</v>
      </c>
      <c r="AC1348" s="36">
        <f t="shared" si="464"/>
        <v>0.12411395166352765</v>
      </c>
      <c r="AD1348" s="36">
        <f t="shared" si="464"/>
        <v>0.12535509118016291</v>
      </c>
      <c r="AE1348" s="36">
        <f t="shared" si="464"/>
        <v>0.12660864209196454</v>
      </c>
      <c r="AF1348" s="36">
        <f t="shared" si="464"/>
        <v>0.1278747285128842</v>
      </c>
      <c r="AG1348" s="36">
        <f t="shared" si="464"/>
        <v>0.12915347579801303</v>
      </c>
      <c r="AH1348" s="36">
        <f t="shared" si="464"/>
        <v>0.13044501055599317</v>
      </c>
      <c r="AI1348" s="36">
        <f t="shared" si="464"/>
        <v>0.1317494606615531</v>
      </c>
      <c r="AJ1348" s="36">
        <f t="shared" si="464"/>
        <v>0.13306695526816864</v>
      </c>
      <c r="AK1348" s="36">
        <f t="shared" si="464"/>
        <v>0.13559522741826383</v>
      </c>
      <c r="AL1348" s="36">
        <f t="shared" si="464"/>
        <v>0.13817153673921082</v>
      </c>
      <c r="AM1348" s="36">
        <f t="shared" si="464"/>
        <v>0.1407967959372558</v>
      </c>
      <c r="AN1348" s="36">
        <f t="shared" si="464"/>
        <v>0.14347193506006364</v>
      </c>
      <c r="AO1348" s="36">
        <f t="shared" si="464"/>
        <v>0.14619790182620485</v>
      </c>
      <c r="AP1348" s="36">
        <f t="shared" si="464"/>
        <v>0.14897566196090273</v>
      </c>
      <c r="AQ1348" s="36">
        <f t="shared" si="464"/>
        <v>0.15180619953815985</v>
      </c>
      <c r="AR1348" s="36">
        <f t="shared" si="464"/>
        <v>0.15469051732938488</v>
      </c>
      <c r="AS1348" s="36">
        <f t="shared" si="464"/>
        <v>0.15762963715864317</v>
      </c>
      <c r="AT1348" s="36">
        <f t="shared" si="464"/>
        <v>0.16062460026465739</v>
      </c>
      <c r="AU1348" s="36">
        <f t="shared" si="464"/>
        <v>0.1609458494651867</v>
      </c>
      <c r="AV1348" s="36">
        <f t="shared" si="464"/>
        <v>0.16126774116411707</v>
      </c>
      <c r="AW1348" s="36">
        <f t="shared" si="464"/>
        <v>0.16159027664644532</v>
      </c>
      <c r="AX1348" s="36">
        <f t="shared" si="464"/>
        <v>0.16191345719973821</v>
      </c>
      <c r="AY1348" s="36">
        <f t="shared" si="464"/>
        <v>0.16223728411413768</v>
      </c>
      <c r="AZ1348" s="36">
        <f t="shared" si="461"/>
        <v>0.16256240893200169</v>
      </c>
    </row>
    <row r="1349" spans="1:52" ht="12" customHeight="1" x14ac:dyDescent="0.2">
      <c r="A1349" t="s">
        <v>119</v>
      </c>
      <c r="B1349" t="str">
        <f t="shared" si="441"/>
        <v>MXC</v>
      </c>
      <c r="C1349" t="str">
        <f t="shared" si="442"/>
        <v>WB</v>
      </c>
      <c r="D1349" s="36">
        <f t="shared" si="443"/>
        <v>9.904110449758112E-2</v>
      </c>
      <c r="E1349" s="36">
        <f t="shared" si="444"/>
        <v>0.10004151969452639</v>
      </c>
      <c r="F1349" s="36">
        <f t="shared" ref="F1349:AY1349" si="465">E1349*(1-INDEX($B$1267:$G$1267,,MATCH(F$1274,$B$1268:$G$1268,0)))</f>
        <v>0.10104193489147166</v>
      </c>
      <c r="G1349" s="56">
        <f t="shared" si="465"/>
        <v>0.10205235424038638</v>
      </c>
      <c r="H1349" s="36">
        <f t="shared" si="465"/>
        <v>0.10307287778279024</v>
      </c>
      <c r="I1349" s="36">
        <f t="shared" si="465"/>
        <v>0.10410360656061815</v>
      </c>
      <c r="J1349" s="36">
        <f t="shared" si="465"/>
        <v>0.10514464262622433</v>
      </c>
      <c r="K1349" s="36">
        <f t="shared" si="465"/>
        <v>0.10619608905248658</v>
      </c>
      <c r="L1349" s="36">
        <f t="shared" si="465"/>
        <v>0.10725804994301144</v>
      </c>
      <c r="M1349" s="36">
        <f t="shared" si="465"/>
        <v>0.10833063044244155</v>
      </c>
      <c r="N1349" s="36">
        <f t="shared" si="465"/>
        <v>0.10941393674686598</v>
      </c>
      <c r="O1349" s="36">
        <f t="shared" si="465"/>
        <v>0.11050807611433464</v>
      </c>
      <c r="P1349" s="36">
        <f t="shared" si="465"/>
        <v>0.11161315687547799</v>
      </c>
      <c r="Q1349" s="36">
        <f t="shared" si="465"/>
        <v>0.11217122265985537</v>
      </c>
      <c r="R1349" s="36">
        <f t="shared" si="465"/>
        <v>0.11273207877315464</v>
      </c>
      <c r="S1349" s="36">
        <f t="shared" si="465"/>
        <v>0.1132957391670204</v>
      </c>
      <c r="T1349" s="36">
        <f t="shared" si="465"/>
        <v>0.1138622178628555</v>
      </c>
      <c r="U1349" s="36">
        <f t="shared" si="465"/>
        <v>0.11443152895216976</v>
      </c>
      <c r="V1349" s="36">
        <f t="shared" si="465"/>
        <v>0.1150036865969306</v>
      </c>
      <c r="W1349" s="36">
        <f t="shared" si="465"/>
        <v>0.11557870502991524</v>
      </c>
      <c r="X1349" s="36">
        <f t="shared" si="465"/>
        <v>0.1161565985550648</v>
      </c>
      <c r="Y1349" s="36">
        <f t="shared" si="465"/>
        <v>0.11673738154784011</v>
      </c>
      <c r="Z1349" s="36">
        <f t="shared" si="465"/>
        <v>0.1173210684555793</v>
      </c>
      <c r="AA1349" s="36">
        <f t="shared" si="465"/>
        <v>0.11849427914013509</v>
      </c>
      <c r="AB1349" s="36">
        <f t="shared" si="465"/>
        <v>0.11967922193153645</v>
      </c>
      <c r="AC1349" s="36">
        <f t="shared" si="465"/>
        <v>0.12087601415085181</v>
      </c>
      <c r="AD1349" s="36">
        <f t="shared" si="465"/>
        <v>0.12208477429236032</v>
      </c>
      <c r="AE1349" s="36">
        <f t="shared" si="465"/>
        <v>0.12330562203528393</v>
      </c>
      <c r="AF1349" s="36">
        <f t="shared" si="465"/>
        <v>0.12453867825563678</v>
      </c>
      <c r="AG1349" s="36">
        <f t="shared" si="465"/>
        <v>0.12578406503819314</v>
      </c>
      <c r="AH1349" s="36">
        <f t="shared" si="465"/>
        <v>0.12704190568857507</v>
      </c>
      <c r="AI1349" s="36">
        <f t="shared" si="465"/>
        <v>0.12831232474546081</v>
      </c>
      <c r="AJ1349" s="36">
        <f t="shared" si="465"/>
        <v>0.12959544799291542</v>
      </c>
      <c r="AK1349" s="36">
        <f t="shared" si="465"/>
        <v>0.1320577615047808</v>
      </c>
      <c r="AL1349" s="36">
        <f t="shared" si="465"/>
        <v>0.13456685897337162</v>
      </c>
      <c r="AM1349" s="36">
        <f t="shared" si="465"/>
        <v>0.13712362929386568</v>
      </c>
      <c r="AN1349" s="36">
        <f t="shared" si="465"/>
        <v>0.13972897825044911</v>
      </c>
      <c r="AO1349" s="36">
        <f t="shared" si="465"/>
        <v>0.14238382883720763</v>
      </c>
      <c r="AP1349" s="36">
        <f t="shared" si="465"/>
        <v>0.14508912158511456</v>
      </c>
      <c r="AQ1349" s="36">
        <f t="shared" si="465"/>
        <v>0.14784581489523171</v>
      </c>
      <c r="AR1349" s="36">
        <f t="shared" si="465"/>
        <v>0.15065488537824109</v>
      </c>
      <c r="AS1349" s="36">
        <f t="shared" si="465"/>
        <v>0.15351732820042766</v>
      </c>
      <c r="AT1349" s="36">
        <f t="shared" si="465"/>
        <v>0.15643415743623576</v>
      </c>
      <c r="AU1349" s="36">
        <f t="shared" si="465"/>
        <v>0.15674702575110824</v>
      </c>
      <c r="AV1349" s="36">
        <f t="shared" si="465"/>
        <v>0.15706051980261046</v>
      </c>
      <c r="AW1349" s="36">
        <f t="shared" si="465"/>
        <v>0.15737464084221567</v>
      </c>
      <c r="AX1349" s="36">
        <f t="shared" si="465"/>
        <v>0.1576893901239001</v>
      </c>
      <c r="AY1349" s="36">
        <f t="shared" si="465"/>
        <v>0.15800476890414789</v>
      </c>
      <c r="AZ1349" s="36">
        <f t="shared" si="461"/>
        <v>0.15832141172760308</v>
      </c>
    </row>
    <row r="1350" spans="1:52" ht="12" customHeight="1" x14ac:dyDescent="0.2">
      <c r="A1350" t="s">
        <v>120</v>
      </c>
      <c r="B1350" t="str">
        <f t="shared" si="441"/>
        <v>EUR</v>
      </c>
      <c r="C1350" t="str">
        <f t="shared" si="442"/>
        <v>WB</v>
      </c>
      <c r="D1350" s="36">
        <f t="shared" si="443"/>
        <v>8.0999562077192999E-2</v>
      </c>
      <c r="E1350" s="36">
        <f t="shared" si="444"/>
        <v>8.1817739471912121E-2</v>
      </c>
      <c r="F1350" s="36">
        <f t="shared" ref="F1350:AY1350" si="466">E1350*(1-INDEX($B$1267:$G$1267,,MATCH(F$1274,$B$1268:$G$1268,0)))</f>
        <v>8.2635916866631243E-2</v>
      </c>
      <c r="G1350" s="56">
        <f t="shared" si="466"/>
        <v>8.3462276035297558E-2</v>
      </c>
      <c r="H1350" s="36">
        <f t="shared" si="466"/>
        <v>8.4296898795650541E-2</v>
      </c>
      <c r="I1350" s="36">
        <f t="shared" si="466"/>
        <v>8.5139867783607048E-2</v>
      </c>
      <c r="J1350" s="36">
        <f t="shared" si="466"/>
        <v>8.5991266461443117E-2</v>
      </c>
      <c r="K1350" s="36">
        <f t="shared" si="466"/>
        <v>8.6851179126057554E-2</v>
      </c>
      <c r="L1350" s="36">
        <f t="shared" si="466"/>
        <v>8.7719690917318127E-2</v>
      </c>
      <c r="M1350" s="36">
        <f t="shared" si="466"/>
        <v>8.8596887826491305E-2</v>
      </c>
      <c r="N1350" s="36">
        <f t="shared" si="466"/>
        <v>8.9482856704756225E-2</v>
      </c>
      <c r="O1350" s="36">
        <f t="shared" si="466"/>
        <v>9.0377685271803787E-2</v>
      </c>
      <c r="P1350" s="36">
        <f t="shared" si="466"/>
        <v>9.1281462124521831E-2</v>
      </c>
      <c r="Q1350" s="36">
        <f t="shared" si="466"/>
        <v>9.1737869435144434E-2</v>
      </c>
      <c r="R1350" s="36">
        <f t="shared" si="466"/>
        <v>9.2196558782320151E-2</v>
      </c>
      <c r="S1350" s="36">
        <f t="shared" si="466"/>
        <v>9.2657541576231739E-2</v>
      </c>
      <c r="T1350" s="36">
        <f t="shared" si="466"/>
        <v>9.3120829284112888E-2</v>
      </c>
      <c r="U1350" s="36">
        <f t="shared" si="466"/>
        <v>9.3586433430533439E-2</v>
      </c>
      <c r="V1350" s="36">
        <f t="shared" si="466"/>
        <v>9.4054365597686096E-2</v>
      </c>
      <c r="W1350" s="36">
        <f t="shared" si="466"/>
        <v>9.4524637425674518E-2</v>
      </c>
      <c r="X1350" s="36">
        <f t="shared" si="466"/>
        <v>9.4997260612802878E-2</v>
      </c>
      <c r="Y1350" s="36">
        <f t="shared" si="466"/>
        <v>9.5472246915866879E-2</v>
      </c>
      <c r="Z1350" s="36">
        <f t="shared" si="466"/>
        <v>9.5949608150446203E-2</v>
      </c>
      <c r="AA1350" s="36">
        <f t="shared" si="466"/>
        <v>9.6909104231950663E-2</v>
      </c>
      <c r="AB1350" s="36">
        <f t="shared" si="466"/>
        <v>9.7878195274270177E-2</v>
      </c>
      <c r="AC1350" s="36">
        <f t="shared" si="466"/>
        <v>9.8856977227012879E-2</v>
      </c>
      <c r="AD1350" s="36">
        <f t="shared" si="466"/>
        <v>9.9845546999283011E-2</v>
      </c>
      <c r="AE1350" s="36">
        <f t="shared" si="466"/>
        <v>0.10084400246927584</v>
      </c>
      <c r="AF1350" s="36">
        <f t="shared" si="466"/>
        <v>0.1018524424939686</v>
      </c>
      <c r="AG1350" s="36">
        <f t="shared" si="466"/>
        <v>0.10287096691890829</v>
      </c>
      <c r="AH1350" s="36">
        <f t="shared" si="466"/>
        <v>0.10389967658809737</v>
      </c>
      <c r="AI1350" s="36">
        <f t="shared" si="466"/>
        <v>0.10493867335397834</v>
      </c>
      <c r="AJ1350" s="36">
        <f t="shared" si="466"/>
        <v>0.10598806008751813</v>
      </c>
      <c r="AK1350" s="36">
        <f t="shared" si="466"/>
        <v>0.10800183322918096</v>
      </c>
      <c r="AL1350" s="36">
        <f t="shared" si="466"/>
        <v>0.11005386806053538</v>
      </c>
      <c r="AM1350" s="36">
        <f t="shared" si="466"/>
        <v>0.11214489155368554</v>
      </c>
      <c r="AN1350" s="36">
        <f t="shared" si="466"/>
        <v>0.11427564449320556</v>
      </c>
      <c r="AO1350" s="36">
        <f t="shared" si="466"/>
        <v>0.11644688173857645</v>
      </c>
      <c r="AP1350" s="36">
        <f t="shared" si="466"/>
        <v>0.11865937249160939</v>
      </c>
      <c r="AQ1350" s="36">
        <f t="shared" si="466"/>
        <v>0.12091390056894996</v>
      </c>
      <c r="AR1350" s="36">
        <f t="shared" si="466"/>
        <v>0.12321126467976</v>
      </c>
      <c r="AS1350" s="36">
        <f t="shared" si="466"/>
        <v>0.12555227870867544</v>
      </c>
      <c r="AT1350" s="36">
        <f t="shared" si="466"/>
        <v>0.12793777200414025</v>
      </c>
      <c r="AU1350" s="36">
        <f t="shared" si="466"/>
        <v>0.12819364754814852</v>
      </c>
      <c r="AV1350" s="36">
        <f t="shared" si="466"/>
        <v>0.12845003484324483</v>
      </c>
      <c r="AW1350" s="36">
        <f t="shared" si="466"/>
        <v>0.12870693491293131</v>
      </c>
      <c r="AX1350" s="36">
        <f t="shared" si="466"/>
        <v>0.12896434878275717</v>
      </c>
      <c r="AY1350" s="36">
        <f t="shared" si="466"/>
        <v>0.12922227748032269</v>
      </c>
      <c r="AZ1350" s="36">
        <f t="shared" si="461"/>
        <v>0.12948123996024319</v>
      </c>
    </row>
    <row r="1351" spans="1:52" ht="12" customHeight="1" x14ac:dyDescent="0.2">
      <c r="A1351" t="s">
        <v>121</v>
      </c>
      <c r="B1351" t="str">
        <f t="shared" si="441"/>
        <v>JPN</v>
      </c>
      <c r="C1351" t="str">
        <f t="shared" si="442"/>
        <v>WB</v>
      </c>
      <c r="D1351" s="36">
        <f t="shared" si="443"/>
        <v>9.5964864638004355E-2</v>
      </c>
      <c r="E1351" s="36">
        <f t="shared" si="444"/>
        <v>9.6934206705054898E-2</v>
      </c>
      <c r="F1351" s="36">
        <f t="shared" ref="F1351:AY1351" si="467">E1351*(1-INDEX($B$1267:$G$1267,,MATCH(F$1274,$B$1268:$G$1268,0)))</f>
        <v>9.7903548772105442E-2</v>
      </c>
      <c r="G1351" s="56">
        <f t="shared" si="467"/>
        <v>9.8882584259826503E-2</v>
      </c>
      <c r="H1351" s="36">
        <f t="shared" si="467"/>
        <v>9.9871410102424771E-2</v>
      </c>
      <c r="I1351" s="36">
        <f t="shared" si="467"/>
        <v>0.10087012420344901</v>
      </c>
      <c r="J1351" s="36">
        <f t="shared" si="467"/>
        <v>0.1018788254454835</v>
      </c>
      <c r="K1351" s="36">
        <f t="shared" si="467"/>
        <v>0.10289761369993834</v>
      </c>
      <c r="L1351" s="36">
        <f t="shared" si="467"/>
        <v>0.10392658983693773</v>
      </c>
      <c r="M1351" s="36">
        <f t="shared" si="467"/>
        <v>0.1049658557353071</v>
      </c>
      <c r="N1351" s="36">
        <f t="shared" si="467"/>
        <v>0.10601551429266018</v>
      </c>
      <c r="O1351" s="36">
        <f t="shared" si="467"/>
        <v>0.10707566943558679</v>
      </c>
      <c r="P1351" s="36">
        <f t="shared" si="467"/>
        <v>0.10814642612994266</v>
      </c>
      <c r="Q1351" s="36">
        <f t="shared" si="467"/>
        <v>0.10868715826059236</v>
      </c>
      <c r="R1351" s="36">
        <f t="shared" si="467"/>
        <v>0.10923059405189531</v>
      </c>
      <c r="S1351" s="36">
        <f t="shared" si="467"/>
        <v>0.10977674702215477</v>
      </c>
      <c r="T1351" s="36">
        <f t="shared" si="467"/>
        <v>0.11032563075726554</v>
      </c>
      <c r="U1351" s="36">
        <f t="shared" si="467"/>
        <v>0.11087725891105185</v>
      </c>
      <c r="V1351" s="36">
        <f t="shared" si="467"/>
        <v>0.1114316452056071</v>
      </c>
      <c r="W1351" s="36">
        <f t="shared" si="467"/>
        <v>0.11198880343163511</v>
      </c>
      <c r="X1351" s="36">
        <f t="shared" si="467"/>
        <v>0.11254874744879328</v>
      </c>
      <c r="Y1351" s="36">
        <f t="shared" si="467"/>
        <v>0.11311149118603724</v>
      </c>
      <c r="Z1351" s="36">
        <f t="shared" si="467"/>
        <v>0.11367704864196741</v>
      </c>
      <c r="AA1351" s="36">
        <f t="shared" si="467"/>
        <v>0.11481381912838709</v>
      </c>
      <c r="AB1351" s="36">
        <f t="shared" si="467"/>
        <v>0.11596195731967096</v>
      </c>
      <c r="AC1351" s="36">
        <f t="shared" si="467"/>
        <v>0.11712157689286767</v>
      </c>
      <c r="AD1351" s="36">
        <f t="shared" si="467"/>
        <v>0.11829279266179635</v>
      </c>
      <c r="AE1351" s="36">
        <f t="shared" si="467"/>
        <v>0.11947572058841431</v>
      </c>
      <c r="AF1351" s="36">
        <f t="shared" si="467"/>
        <v>0.12067047779429846</v>
      </c>
      <c r="AG1351" s="36">
        <f t="shared" si="467"/>
        <v>0.12187718257224145</v>
      </c>
      <c r="AH1351" s="36">
        <f t="shared" si="467"/>
        <v>0.12309595439796386</v>
      </c>
      <c r="AI1351" s="36">
        <f t="shared" si="467"/>
        <v>0.12432691394194351</v>
      </c>
      <c r="AJ1351" s="36">
        <f t="shared" si="467"/>
        <v>0.12557018308136295</v>
      </c>
      <c r="AK1351" s="36">
        <f t="shared" si="467"/>
        <v>0.12795601655990882</v>
      </c>
      <c r="AL1351" s="36">
        <f t="shared" si="467"/>
        <v>0.13038718087454707</v>
      </c>
      <c r="AM1351" s="36">
        <f t="shared" si="467"/>
        <v>0.13286453731116346</v>
      </c>
      <c r="AN1351" s="36">
        <f t="shared" si="467"/>
        <v>0.13538896352007557</v>
      </c>
      <c r="AO1351" s="36">
        <f t="shared" si="467"/>
        <v>0.13796135382695698</v>
      </c>
      <c r="AP1351" s="36">
        <f t="shared" si="467"/>
        <v>0.14058261954966916</v>
      </c>
      <c r="AQ1351" s="36">
        <f t="shared" si="467"/>
        <v>0.14325368932111288</v>
      </c>
      <c r="AR1351" s="36">
        <f t="shared" si="467"/>
        <v>0.14597550941821399</v>
      </c>
      <c r="AS1351" s="36">
        <f t="shared" si="467"/>
        <v>0.14874904409716005</v>
      </c>
      <c r="AT1351" s="36">
        <f t="shared" si="467"/>
        <v>0.15157527593500608</v>
      </c>
      <c r="AU1351" s="36">
        <f t="shared" si="467"/>
        <v>0.15187842648687611</v>
      </c>
      <c r="AV1351" s="36">
        <f t="shared" si="467"/>
        <v>0.15218218333984987</v>
      </c>
      <c r="AW1351" s="36">
        <f t="shared" si="467"/>
        <v>0.15248654770652956</v>
      </c>
      <c r="AX1351" s="36">
        <f t="shared" si="467"/>
        <v>0.15279152080194261</v>
      </c>
      <c r="AY1351" s="36">
        <f t="shared" si="467"/>
        <v>0.15309710384354649</v>
      </c>
      <c r="AZ1351" s="36">
        <f t="shared" si="461"/>
        <v>0.15340391166688025</v>
      </c>
    </row>
    <row r="1352" spans="1:52" ht="12" customHeight="1" x14ac:dyDescent="0.2">
      <c r="A1352" t="s">
        <v>122</v>
      </c>
      <c r="B1352" t="str">
        <f t="shared" si="441"/>
        <v>ANZ</v>
      </c>
      <c r="C1352" t="str">
        <f t="shared" si="442"/>
        <v>WB</v>
      </c>
      <c r="D1352" s="36">
        <f t="shared" si="443"/>
        <v>9.6392178659759797E-2</v>
      </c>
      <c r="E1352" s="36">
        <f t="shared" si="444"/>
        <v>9.7365837030060395E-2</v>
      </c>
      <c r="F1352" s="36">
        <f t="shared" ref="F1352:AY1352" si="468">E1352*(1-INDEX($B$1267:$G$1267,,MATCH(F$1274,$B$1268:$G$1268,0)))</f>
        <v>9.8339495400360993E-2</v>
      </c>
      <c r="G1352" s="56">
        <f t="shared" si="468"/>
        <v>9.9322890354364604E-2</v>
      </c>
      <c r="H1352" s="36">
        <f t="shared" si="468"/>
        <v>0.10031611925790825</v>
      </c>
      <c r="I1352" s="36">
        <f t="shared" si="468"/>
        <v>0.10131928045048733</v>
      </c>
      <c r="J1352" s="36">
        <f t="shared" si="468"/>
        <v>0.1023324732549922</v>
      </c>
      <c r="K1352" s="36">
        <f t="shared" si="468"/>
        <v>0.10335579798754213</v>
      </c>
      <c r="L1352" s="36">
        <f t="shared" si="468"/>
        <v>0.10438935596741755</v>
      </c>
      <c r="M1352" s="36">
        <f t="shared" si="468"/>
        <v>0.10543324952709172</v>
      </c>
      <c r="N1352" s="36">
        <f t="shared" si="468"/>
        <v>0.10648758202236264</v>
      </c>
      <c r="O1352" s="36">
        <f t="shared" si="468"/>
        <v>0.10755245784258627</v>
      </c>
      <c r="P1352" s="36">
        <f t="shared" si="468"/>
        <v>0.10862798242101213</v>
      </c>
      <c r="Q1352" s="36">
        <f t="shared" si="468"/>
        <v>0.10917112233311717</v>
      </c>
      <c r="R1352" s="36">
        <f t="shared" si="468"/>
        <v>0.10971697794478275</v>
      </c>
      <c r="S1352" s="36">
        <f t="shared" si="468"/>
        <v>0.11026556283450664</v>
      </c>
      <c r="T1352" s="36">
        <f t="shared" si="468"/>
        <v>0.11081689064867917</v>
      </c>
      <c r="U1352" s="36">
        <f t="shared" si="468"/>
        <v>0.11137097510192255</v>
      </c>
      <c r="V1352" s="36">
        <f t="shared" si="468"/>
        <v>0.11192782997743216</v>
      </c>
      <c r="W1352" s="36">
        <f t="shared" si="468"/>
        <v>0.1124874691273193</v>
      </c>
      <c r="X1352" s="36">
        <f t="shared" si="468"/>
        <v>0.11304990647295589</v>
      </c>
      <c r="Y1352" s="36">
        <f t="shared" si="468"/>
        <v>0.11361515600532066</v>
      </c>
      <c r="Z1352" s="36">
        <f t="shared" si="468"/>
        <v>0.11418323178534724</v>
      </c>
      <c r="AA1352" s="36">
        <f t="shared" si="468"/>
        <v>0.11532506410320072</v>
      </c>
      <c r="AB1352" s="36">
        <f t="shared" si="468"/>
        <v>0.11647831474423273</v>
      </c>
      <c r="AC1352" s="36">
        <f t="shared" si="468"/>
        <v>0.11764309789167506</v>
      </c>
      <c r="AD1352" s="36">
        <f t="shared" si="468"/>
        <v>0.1188195288705918</v>
      </c>
      <c r="AE1352" s="36">
        <f t="shared" si="468"/>
        <v>0.12000772415929772</v>
      </c>
      <c r="AF1352" s="36">
        <f t="shared" si="468"/>
        <v>0.1212078014008907</v>
      </c>
      <c r="AG1352" s="36">
        <f t="shared" si="468"/>
        <v>0.12241987941489961</v>
      </c>
      <c r="AH1352" s="36">
        <f t="shared" si="468"/>
        <v>0.1236440782090486</v>
      </c>
      <c r="AI1352" s="36">
        <f t="shared" si="468"/>
        <v>0.12488051899113908</v>
      </c>
      <c r="AJ1352" s="36">
        <f t="shared" si="468"/>
        <v>0.12612932418105047</v>
      </c>
      <c r="AK1352" s="36">
        <f t="shared" si="468"/>
        <v>0.12852578134049042</v>
      </c>
      <c r="AL1352" s="36">
        <f t="shared" si="468"/>
        <v>0.13096777118595973</v>
      </c>
      <c r="AM1352" s="36">
        <f t="shared" si="468"/>
        <v>0.13345615883849296</v>
      </c>
      <c r="AN1352" s="36">
        <f t="shared" si="468"/>
        <v>0.1359918258564243</v>
      </c>
      <c r="AO1352" s="36">
        <f t="shared" si="468"/>
        <v>0.13857567054769634</v>
      </c>
      <c r="AP1352" s="36">
        <f t="shared" si="468"/>
        <v>0.14120860828810256</v>
      </c>
      <c r="AQ1352" s="36">
        <f t="shared" si="468"/>
        <v>0.14389157184557649</v>
      </c>
      <c r="AR1352" s="36">
        <f t="shared" si="468"/>
        <v>0.14662551171064242</v>
      </c>
      <c r="AS1352" s="36">
        <f t="shared" si="468"/>
        <v>0.14941139643314461</v>
      </c>
      <c r="AT1352" s="36">
        <f t="shared" si="468"/>
        <v>0.15225021296537433</v>
      </c>
      <c r="AU1352" s="36">
        <f t="shared" si="468"/>
        <v>0.15255471339130508</v>
      </c>
      <c r="AV1352" s="36">
        <f t="shared" si="468"/>
        <v>0.15285982281808769</v>
      </c>
      <c r="AW1352" s="36">
        <f t="shared" si="468"/>
        <v>0.15316554246372385</v>
      </c>
      <c r="AX1352" s="36">
        <f t="shared" si="468"/>
        <v>0.1534718735486513</v>
      </c>
      <c r="AY1352" s="36">
        <f t="shared" si="468"/>
        <v>0.1537788172957486</v>
      </c>
      <c r="AZ1352" s="36">
        <f t="shared" si="461"/>
        <v>0.15408699127830522</v>
      </c>
    </row>
    <row r="1353" spans="1:52" ht="12" customHeight="1" x14ac:dyDescent="0.2">
      <c r="A1353" t="s">
        <v>123</v>
      </c>
      <c r="B1353" t="str">
        <f t="shared" si="441"/>
        <v>SKO</v>
      </c>
      <c r="C1353" t="str">
        <f t="shared" si="442"/>
        <v>WB</v>
      </c>
      <c r="D1353" s="36">
        <f t="shared" si="443"/>
        <v>9.2539852550514223E-2</v>
      </c>
      <c r="E1353" s="36">
        <f t="shared" si="444"/>
        <v>9.3474598535872949E-2</v>
      </c>
      <c r="F1353" s="36">
        <f t="shared" ref="F1353:AY1353" si="469">E1353*(1-INDEX($B$1267:$G$1267,,MATCH(F$1274,$B$1268:$G$1268,0)))</f>
        <v>9.4409344521231675E-2</v>
      </c>
      <c r="G1353" s="56">
        <f t="shared" si="469"/>
        <v>9.5353437966443994E-2</v>
      </c>
      <c r="H1353" s="36">
        <f t="shared" si="469"/>
        <v>9.6306972346108438E-2</v>
      </c>
      <c r="I1353" s="36">
        <f t="shared" si="469"/>
        <v>9.7270042069569518E-2</v>
      </c>
      <c r="J1353" s="36">
        <f t="shared" si="469"/>
        <v>9.8242742490265211E-2</v>
      </c>
      <c r="K1353" s="36">
        <f t="shared" si="469"/>
        <v>9.922516991516786E-2</v>
      </c>
      <c r="L1353" s="36">
        <f t="shared" si="469"/>
        <v>0.10021742161431954</v>
      </c>
      <c r="M1353" s="36">
        <f t="shared" si="469"/>
        <v>0.10121959583046274</v>
      </c>
      <c r="N1353" s="36">
        <f t="shared" si="469"/>
        <v>0.10223179178876736</v>
      </c>
      <c r="O1353" s="36">
        <f t="shared" si="469"/>
        <v>0.10325410970665504</v>
      </c>
      <c r="P1353" s="36">
        <f t="shared" si="469"/>
        <v>0.10428665080372158</v>
      </c>
      <c r="Q1353" s="36">
        <f t="shared" si="469"/>
        <v>0.10480808405774018</v>
      </c>
      <c r="R1353" s="36">
        <f t="shared" si="469"/>
        <v>0.10533212447802888</v>
      </c>
      <c r="S1353" s="36">
        <f t="shared" si="469"/>
        <v>0.10585878510041902</v>
      </c>
      <c r="T1353" s="36">
        <f t="shared" si="469"/>
        <v>0.1063880790259211</v>
      </c>
      <c r="U1353" s="36">
        <f t="shared" si="469"/>
        <v>0.10692001942105069</v>
      </c>
      <c r="V1353" s="36">
        <f t="shared" si="469"/>
        <v>0.10745461951815592</v>
      </c>
      <c r="W1353" s="36">
        <f t="shared" si="469"/>
        <v>0.1079918926157467</v>
      </c>
      <c r="X1353" s="36">
        <f t="shared" si="469"/>
        <v>0.10853185207882542</v>
      </c>
      <c r="Y1353" s="36">
        <f t="shared" si="469"/>
        <v>0.10907451133921953</v>
      </c>
      <c r="Z1353" s="36">
        <f t="shared" si="469"/>
        <v>0.10961988389591561</v>
      </c>
      <c r="AA1353" s="36">
        <f t="shared" si="469"/>
        <v>0.11071608273487477</v>
      </c>
      <c r="AB1353" s="36">
        <f t="shared" si="469"/>
        <v>0.11182324356222352</v>
      </c>
      <c r="AC1353" s="36">
        <f t="shared" si="469"/>
        <v>0.11294147599784575</v>
      </c>
      <c r="AD1353" s="36">
        <f t="shared" si="469"/>
        <v>0.11407089075782421</v>
      </c>
      <c r="AE1353" s="36">
        <f t="shared" si="469"/>
        <v>0.11521159966540245</v>
      </c>
      <c r="AF1353" s="36">
        <f t="shared" si="469"/>
        <v>0.11636371566205649</v>
      </c>
      <c r="AG1353" s="36">
        <f t="shared" si="469"/>
        <v>0.11752735281867706</v>
      </c>
      <c r="AH1353" s="36">
        <f t="shared" si="469"/>
        <v>0.11870262634686383</v>
      </c>
      <c r="AI1353" s="36">
        <f t="shared" si="469"/>
        <v>0.11988965261033248</v>
      </c>
      <c r="AJ1353" s="36">
        <f t="shared" si="469"/>
        <v>0.12108854913643581</v>
      </c>
      <c r="AK1353" s="36">
        <f t="shared" si="469"/>
        <v>0.12338923157002808</v>
      </c>
      <c r="AL1353" s="36">
        <f t="shared" si="469"/>
        <v>0.1257336269698586</v>
      </c>
      <c r="AM1353" s="36">
        <f t="shared" si="469"/>
        <v>0.1281225658822859</v>
      </c>
      <c r="AN1353" s="36">
        <f t="shared" si="469"/>
        <v>0.13055689463404932</v>
      </c>
      <c r="AO1353" s="36">
        <f t="shared" si="469"/>
        <v>0.13303747563209625</v>
      </c>
      <c r="AP1353" s="36">
        <f t="shared" si="469"/>
        <v>0.13556518766910608</v>
      </c>
      <c r="AQ1353" s="36">
        <f t="shared" si="469"/>
        <v>0.13814092623481908</v>
      </c>
      <c r="AR1353" s="36">
        <f t="shared" si="469"/>
        <v>0.14076560383328063</v>
      </c>
      <c r="AS1353" s="36">
        <f t="shared" si="469"/>
        <v>0.14344015030611296</v>
      </c>
      <c r="AT1353" s="36">
        <f t="shared" si="469"/>
        <v>0.14616551316192908</v>
      </c>
      <c r="AU1353" s="36">
        <f t="shared" si="469"/>
        <v>0.14645784418825294</v>
      </c>
      <c r="AV1353" s="36">
        <f t="shared" si="469"/>
        <v>0.14675075987662944</v>
      </c>
      <c r="AW1353" s="36">
        <f t="shared" si="469"/>
        <v>0.14704426139638271</v>
      </c>
      <c r="AX1353" s="36">
        <f t="shared" si="469"/>
        <v>0.14733834991917549</v>
      </c>
      <c r="AY1353" s="36">
        <f t="shared" si="469"/>
        <v>0.14763302661901384</v>
      </c>
      <c r="AZ1353" s="36">
        <f t="shared" si="461"/>
        <v>0.14792888438778942</v>
      </c>
    </row>
    <row r="1354" spans="1:52" ht="12" customHeight="1" x14ac:dyDescent="0.2">
      <c r="A1354" t="s">
        <v>124</v>
      </c>
      <c r="B1354" t="str">
        <f t="shared" si="441"/>
        <v>RUS</v>
      </c>
      <c r="C1354" t="str">
        <f t="shared" si="442"/>
        <v>WB</v>
      </c>
      <c r="D1354" s="36">
        <f t="shared" si="443"/>
        <v>0.10713519659334951</v>
      </c>
      <c r="E1354" s="36">
        <f t="shared" si="444"/>
        <v>0.10821737029631263</v>
      </c>
      <c r="F1354" s="36">
        <f t="shared" ref="F1354:AY1354" si="470">E1354*(1-INDEX($B$1267:$G$1267,,MATCH(F$1274,$B$1268:$G$1268,0)))</f>
        <v>0.10929954399927576</v>
      </c>
      <c r="G1354" s="56">
        <f t="shared" si="470"/>
        <v>0.11039253943926852</v>
      </c>
      <c r="H1354" s="36">
        <f t="shared" si="470"/>
        <v>0.11149646483366121</v>
      </c>
      <c r="I1354" s="36">
        <f t="shared" si="470"/>
        <v>0.11261142948199783</v>
      </c>
      <c r="J1354" s="36">
        <f t="shared" si="470"/>
        <v>0.11373754377681781</v>
      </c>
      <c r="K1354" s="36">
        <f t="shared" si="470"/>
        <v>0.11487491921458599</v>
      </c>
      <c r="L1354" s="36">
        <f t="shared" si="470"/>
        <v>0.11602366840673185</v>
      </c>
      <c r="M1354" s="36">
        <f t="shared" si="470"/>
        <v>0.11718390509079918</v>
      </c>
      <c r="N1354" s="36">
        <f t="shared" si="470"/>
        <v>0.11835574414170717</v>
      </c>
      <c r="O1354" s="36">
        <f t="shared" si="470"/>
        <v>0.11953930158312424</v>
      </c>
      <c r="P1354" s="36">
        <f t="shared" si="470"/>
        <v>0.12073469459895549</v>
      </c>
      <c r="Q1354" s="36">
        <f t="shared" si="470"/>
        <v>0.12133836807195025</v>
      </c>
      <c r="R1354" s="36">
        <f t="shared" si="470"/>
        <v>0.12194505991230999</v>
      </c>
      <c r="S1354" s="36">
        <f t="shared" si="470"/>
        <v>0.12255478521187152</v>
      </c>
      <c r="T1354" s="36">
        <f t="shared" si="470"/>
        <v>0.12316755913793087</v>
      </c>
      <c r="U1354" s="36">
        <f t="shared" si="470"/>
        <v>0.12378339693362052</v>
      </c>
      <c r="V1354" s="36">
        <f t="shared" si="470"/>
        <v>0.12440231391828861</v>
      </c>
      <c r="W1354" s="36">
        <f t="shared" si="470"/>
        <v>0.12502432548788003</v>
      </c>
      <c r="X1354" s="36">
        <f t="shared" si="470"/>
        <v>0.12564944711531942</v>
      </c>
      <c r="Y1354" s="36">
        <f t="shared" si="470"/>
        <v>0.126277694350896</v>
      </c>
      <c r="Z1354" s="36">
        <f t="shared" si="470"/>
        <v>0.12690908282265048</v>
      </c>
      <c r="AA1354" s="36">
        <f t="shared" si="470"/>
        <v>0.128178173650877</v>
      </c>
      <c r="AB1354" s="36">
        <f t="shared" si="470"/>
        <v>0.12945995538738578</v>
      </c>
      <c r="AC1354" s="36">
        <f t="shared" si="470"/>
        <v>0.13075455494125965</v>
      </c>
      <c r="AD1354" s="36">
        <f t="shared" si="470"/>
        <v>0.13206210049067224</v>
      </c>
      <c r="AE1354" s="36">
        <f t="shared" si="470"/>
        <v>0.13338272149557898</v>
      </c>
      <c r="AF1354" s="36">
        <f t="shared" si="470"/>
        <v>0.13471654871053476</v>
      </c>
      <c r="AG1354" s="36">
        <f t="shared" si="470"/>
        <v>0.1360637141976401</v>
      </c>
      <c r="AH1354" s="36">
        <f t="shared" si="470"/>
        <v>0.1374243513396165</v>
      </c>
      <c r="AI1354" s="36">
        <f t="shared" si="470"/>
        <v>0.13879859485301266</v>
      </c>
      <c r="AJ1354" s="36">
        <f t="shared" si="470"/>
        <v>0.14018658080154278</v>
      </c>
      <c r="AK1354" s="36">
        <f t="shared" si="470"/>
        <v>0.14285012583677209</v>
      </c>
      <c r="AL1354" s="36">
        <f t="shared" si="470"/>
        <v>0.14556427822767073</v>
      </c>
      <c r="AM1354" s="36">
        <f t="shared" si="470"/>
        <v>0.14832999951399647</v>
      </c>
      <c r="AN1354" s="36">
        <f t="shared" si="470"/>
        <v>0.1511482695047624</v>
      </c>
      <c r="AO1354" s="36">
        <f t="shared" si="470"/>
        <v>0.15402008662535288</v>
      </c>
      <c r="AP1354" s="36">
        <f t="shared" si="470"/>
        <v>0.15694646827123457</v>
      </c>
      <c r="AQ1354" s="36">
        <f t="shared" si="470"/>
        <v>0.159928451168388</v>
      </c>
      <c r="AR1354" s="36">
        <f t="shared" si="470"/>
        <v>0.16296709174058735</v>
      </c>
      <c r="AS1354" s="36">
        <f t="shared" si="470"/>
        <v>0.1660634664836585</v>
      </c>
      <c r="AT1354" s="36">
        <f t="shared" si="470"/>
        <v>0.16921867234684798</v>
      </c>
      <c r="AU1354" s="36">
        <f t="shared" si="470"/>
        <v>0.16955710969154167</v>
      </c>
      <c r="AV1354" s="36">
        <f t="shared" si="470"/>
        <v>0.16989622391092477</v>
      </c>
      <c r="AW1354" s="36">
        <f t="shared" si="470"/>
        <v>0.17023601635874661</v>
      </c>
      <c r="AX1354" s="36">
        <f t="shared" si="470"/>
        <v>0.17057648839146411</v>
      </c>
      <c r="AY1354" s="36">
        <f t="shared" si="470"/>
        <v>0.17091764136824703</v>
      </c>
      <c r="AZ1354" s="36">
        <f t="shared" si="461"/>
        <v>0.17126016169163027</v>
      </c>
    </row>
    <row r="1355" spans="1:52" ht="12" customHeight="1" x14ac:dyDescent="0.2">
      <c r="A1355" t="s">
        <v>125</v>
      </c>
      <c r="B1355" t="str">
        <f t="shared" si="441"/>
        <v>URA</v>
      </c>
      <c r="C1355" t="str">
        <f t="shared" si="442"/>
        <v>WB</v>
      </c>
      <c r="D1355" s="36">
        <f t="shared" si="443"/>
        <v>8.2561272950467141E-2</v>
      </c>
      <c r="E1355" s="36">
        <f t="shared" si="444"/>
        <v>8.3395225202492068E-2</v>
      </c>
      <c r="F1355" s="36">
        <f t="shared" ref="F1355:AY1355" si="471">E1355*(1-INDEX($B$1267:$G$1267,,MATCH(F$1274,$B$1268:$G$1268,0)))</f>
        <v>8.4229177454516996E-2</v>
      </c>
      <c r="G1355" s="56">
        <f t="shared" si="471"/>
        <v>8.5071469229062169E-2</v>
      </c>
      <c r="H1355" s="36">
        <f t="shared" si="471"/>
        <v>8.5922183921352785E-2</v>
      </c>
      <c r="I1355" s="36">
        <f t="shared" si="471"/>
        <v>8.678140576056631E-2</v>
      </c>
      <c r="J1355" s="36">
        <f t="shared" si="471"/>
        <v>8.7649219818171975E-2</v>
      </c>
      <c r="K1355" s="36">
        <f t="shared" si="471"/>
        <v>8.8525712016353689E-2</v>
      </c>
      <c r="L1355" s="36">
        <f t="shared" si="471"/>
        <v>8.9410969136517221E-2</v>
      </c>
      <c r="M1355" s="36">
        <f t="shared" si="471"/>
        <v>9.0305078827882398E-2</v>
      </c>
      <c r="N1355" s="36">
        <f t="shared" si="471"/>
        <v>9.1208129616161218E-2</v>
      </c>
      <c r="O1355" s="36">
        <f t="shared" si="471"/>
        <v>9.2120210912322836E-2</v>
      </c>
      <c r="P1355" s="36">
        <f t="shared" si="471"/>
        <v>9.3041413021446071E-2</v>
      </c>
      <c r="Q1355" s="36">
        <f t="shared" si="471"/>
        <v>9.3506620086553291E-2</v>
      </c>
      <c r="R1355" s="36">
        <f t="shared" si="471"/>
        <v>9.3974153186986042E-2</v>
      </c>
      <c r="S1355" s="36">
        <f t="shared" si="471"/>
        <v>9.4444023952920966E-2</v>
      </c>
      <c r="T1355" s="36">
        <f t="shared" si="471"/>
        <v>9.4916244072685563E-2</v>
      </c>
      <c r="U1355" s="36">
        <f t="shared" si="471"/>
        <v>9.5390825293048986E-2</v>
      </c>
      <c r="V1355" s="36">
        <f t="shared" si="471"/>
        <v>9.5867779419514215E-2</v>
      </c>
      <c r="W1355" s="36">
        <f t="shared" si="471"/>
        <v>9.6347118316611774E-2</v>
      </c>
      <c r="X1355" s="36">
        <f t="shared" si="471"/>
        <v>9.6828853908194817E-2</v>
      </c>
      <c r="Y1355" s="36">
        <f t="shared" si="471"/>
        <v>9.7312998177735782E-2</v>
      </c>
      <c r="Z1355" s="36">
        <f t="shared" si="471"/>
        <v>9.7799563168624454E-2</v>
      </c>
      <c r="AA1355" s="36">
        <f t="shared" si="471"/>
        <v>9.8777558800310694E-2</v>
      </c>
      <c r="AB1355" s="36">
        <f t="shared" si="471"/>
        <v>9.9765334388313809E-2</v>
      </c>
      <c r="AC1355" s="36">
        <f t="shared" si="471"/>
        <v>0.10076298773219695</v>
      </c>
      <c r="AD1355" s="36">
        <f t="shared" si="471"/>
        <v>0.10177061760951893</v>
      </c>
      <c r="AE1355" s="36">
        <f t="shared" si="471"/>
        <v>0.10278832378561412</v>
      </c>
      <c r="AF1355" s="36">
        <f t="shared" si="471"/>
        <v>0.10381620702347026</v>
      </c>
      <c r="AG1355" s="36">
        <f t="shared" si="471"/>
        <v>0.10485436909370496</v>
      </c>
      <c r="AH1355" s="36">
        <f t="shared" si="471"/>
        <v>0.10590291278464202</v>
      </c>
      <c r="AI1355" s="36">
        <f t="shared" si="471"/>
        <v>0.10696194191248844</v>
      </c>
      <c r="AJ1355" s="36">
        <f t="shared" si="471"/>
        <v>0.10803156133161332</v>
      </c>
      <c r="AK1355" s="36">
        <f t="shared" si="471"/>
        <v>0.11008416099691395</v>
      </c>
      <c r="AL1355" s="36">
        <f t="shared" si="471"/>
        <v>0.11217576005585531</v>
      </c>
      <c r="AM1355" s="36">
        <f t="shared" si="471"/>
        <v>0.11430709949691654</v>
      </c>
      <c r="AN1355" s="36">
        <f t="shared" si="471"/>
        <v>0.11647893438735794</v>
      </c>
      <c r="AO1355" s="36">
        <f t="shared" si="471"/>
        <v>0.11869203414071773</v>
      </c>
      <c r="AP1355" s="36">
        <f t="shared" si="471"/>
        <v>0.12094718278939136</v>
      </c>
      <c r="AQ1355" s="36">
        <f t="shared" si="471"/>
        <v>0.12324517926238979</v>
      </c>
      <c r="AR1355" s="36">
        <f t="shared" si="471"/>
        <v>0.12558683766837517</v>
      </c>
      <c r="AS1355" s="36">
        <f t="shared" si="471"/>
        <v>0.12797298758407427</v>
      </c>
      <c r="AT1355" s="36">
        <f t="shared" si="471"/>
        <v>0.13040447434817168</v>
      </c>
      <c r="AU1355" s="36">
        <f t="shared" si="471"/>
        <v>0.13066528329686802</v>
      </c>
      <c r="AV1355" s="36">
        <f t="shared" si="471"/>
        <v>0.13092661386346177</v>
      </c>
      <c r="AW1355" s="36">
        <f t="shared" si="471"/>
        <v>0.1311884670911887</v>
      </c>
      <c r="AX1355" s="36">
        <f t="shared" si="471"/>
        <v>0.13145084402537108</v>
      </c>
      <c r="AY1355" s="36">
        <f t="shared" si="471"/>
        <v>0.13171374571342181</v>
      </c>
      <c r="AZ1355" s="36">
        <f t="shared" si="461"/>
        <v>0.13197770111565313</v>
      </c>
    </row>
    <row r="1356" spans="1:52" ht="12" customHeight="1" x14ac:dyDescent="0.2">
      <c r="A1356" t="s">
        <v>126</v>
      </c>
      <c r="B1356" t="str">
        <f t="shared" si="441"/>
        <v>CHI</v>
      </c>
      <c r="C1356" t="str">
        <f t="shared" si="442"/>
        <v>WB</v>
      </c>
      <c r="D1356" s="36">
        <f t="shared" si="443"/>
        <v>8.0906246546687821E-2</v>
      </c>
      <c r="E1356" s="36">
        <f t="shared" si="444"/>
        <v>8.1723481360290728E-2</v>
      </c>
      <c r="F1356" s="36">
        <f t="shared" ref="F1356:AY1356" si="472">E1356*(1-INDEX($B$1267:$G$1267,,MATCH(F$1274,$B$1268:$G$1268,0)))</f>
        <v>8.2540716173893636E-2</v>
      </c>
      <c r="G1356" s="56">
        <f t="shared" si="472"/>
        <v>8.3366123335632578E-2</v>
      </c>
      <c r="H1356" s="36">
        <f t="shared" si="472"/>
        <v>8.4199784568988897E-2</v>
      </c>
      <c r="I1356" s="36">
        <f t="shared" si="472"/>
        <v>8.5041782414678788E-2</v>
      </c>
      <c r="J1356" s="36">
        <f t="shared" si="472"/>
        <v>8.5892200238825572E-2</v>
      </c>
      <c r="K1356" s="36">
        <f t="shared" si="472"/>
        <v>8.6751122241213827E-2</v>
      </c>
      <c r="L1356" s="36">
        <f t="shared" si="472"/>
        <v>8.7618633463625972E-2</v>
      </c>
      <c r="M1356" s="36">
        <f t="shared" si="472"/>
        <v>8.8494819798262236E-2</v>
      </c>
      <c r="N1356" s="36">
        <f t="shared" si="472"/>
        <v>8.9379767996244863E-2</v>
      </c>
      <c r="O1356" s="36">
        <f t="shared" si="472"/>
        <v>9.0273565676207312E-2</v>
      </c>
      <c r="P1356" s="36">
        <f t="shared" si="472"/>
        <v>9.1176301332969389E-2</v>
      </c>
      <c r="Q1356" s="36">
        <f t="shared" si="472"/>
        <v>9.163218283963423E-2</v>
      </c>
      <c r="R1356" s="36">
        <f t="shared" si="472"/>
        <v>9.209034375383239E-2</v>
      </c>
      <c r="S1356" s="36">
        <f t="shared" si="472"/>
        <v>9.2550795472601546E-2</v>
      </c>
      <c r="T1356" s="36">
        <f t="shared" si="472"/>
        <v>9.3013549449964539E-2</v>
      </c>
      <c r="U1356" s="36">
        <f t="shared" si="472"/>
        <v>9.3478617197214356E-2</v>
      </c>
      <c r="V1356" s="36">
        <f t="shared" si="472"/>
        <v>9.3946010283200418E-2</v>
      </c>
      <c r="W1356" s="36">
        <f t="shared" si="472"/>
        <v>9.4415740334616416E-2</v>
      </c>
      <c r="X1356" s="36">
        <f t="shared" si="472"/>
        <v>9.4887819036289484E-2</v>
      </c>
      <c r="Y1356" s="36">
        <f t="shared" si="472"/>
        <v>9.5362258131470923E-2</v>
      </c>
      <c r="Z1356" s="36">
        <f t="shared" si="472"/>
        <v>9.5839069422128262E-2</v>
      </c>
      <c r="AA1356" s="36">
        <f t="shared" si="472"/>
        <v>9.6797460116349543E-2</v>
      </c>
      <c r="AB1356" s="36">
        <f t="shared" si="472"/>
        <v>9.7765434717513033E-2</v>
      </c>
      <c r="AC1356" s="36">
        <f t="shared" si="472"/>
        <v>9.8743089064688164E-2</v>
      </c>
      <c r="AD1356" s="36">
        <f t="shared" si="472"/>
        <v>9.9730519955335051E-2</v>
      </c>
      <c r="AE1356" s="36">
        <f t="shared" si="472"/>
        <v>0.1007278251548884</v>
      </c>
      <c r="AF1356" s="36">
        <f t="shared" si="472"/>
        <v>0.10173510340643728</v>
      </c>
      <c r="AG1356" s="36">
        <f t="shared" si="472"/>
        <v>0.10275245444050166</v>
      </c>
      <c r="AH1356" s="36">
        <f t="shared" si="472"/>
        <v>0.10377997898490668</v>
      </c>
      <c r="AI1356" s="36">
        <f t="shared" si="472"/>
        <v>0.10481777877475575</v>
      </c>
      <c r="AJ1356" s="36">
        <f t="shared" si="472"/>
        <v>0.1058659565625033</v>
      </c>
      <c r="AK1356" s="36">
        <f t="shared" si="472"/>
        <v>0.10787740973719086</v>
      </c>
      <c r="AL1356" s="36">
        <f t="shared" si="472"/>
        <v>0.10992708052219748</v>
      </c>
      <c r="AM1356" s="36">
        <f t="shared" si="472"/>
        <v>0.11201569505211922</v>
      </c>
      <c r="AN1356" s="36">
        <f t="shared" si="472"/>
        <v>0.11414399325810948</v>
      </c>
      <c r="AO1356" s="36">
        <f t="shared" si="472"/>
        <v>0.11631272913001355</v>
      </c>
      <c r="AP1356" s="36">
        <f t="shared" si="472"/>
        <v>0.11852267098348379</v>
      </c>
      <c r="AQ1356" s="36">
        <f t="shared" si="472"/>
        <v>0.12077460173216997</v>
      </c>
      <c r="AR1356" s="36">
        <f t="shared" si="472"/>
        <v>0.1230693191650812</v>
      </c>
      <c r="AS1356" s="36">
        <f t="shared" si="472"/>
        <v>0.12540763622921772</v>
      </c>
      <c r="AT1356" s="36">
        <f t="shared" si="472"/>
        <v>0.12779038131757284</v>
      </c>
      <c r="AU1356" s="36">
        <f t="shared" si="472"/>
        <v>0.12804596208020799</v>
      </c>
      <c r="AV1356" s="36">
        <f t="shared" si="472"/>
        <v>0.12830205400436842</v>
      </c>
      <c r="AW1356" s="36">
        <f t="shared" si="472"/>
        <v>0.12855865811237716</v>
      </c>
      <c r="AX1356" s="36">
        <f t="shared" si="472"/>
        <v>0.1288157754286019</v>
      </c>
      <c r="AY1356" s="36">
        <f t="shared" si="472"/>
        <v>0.1290734069794591</v>
      </c>
      <c r="AZ1356" s="36">
        <f t="shared" si="461"/>
        <v>0.1293320711217025</v>
      </c>
    </row>
    <row r="1357" spans="1:52" ht="12" customHeight="1" x14ac:dyDescent="0.2">
      <c r="A1357" t="s">
        <v>127</v>
      </c>
      <c r="B1357" t="str">
        <f t="shared" si="441"/>
        <v>IND</v>
      </c>
      <c r="C1357" t="str">
        <f t="shared" si="442"/>
        <v>WB</v>
      </c>
      <c r="D1357" s="36">
        <f t="shared" si="443"/>
        <v>8.2113271305543301E-2</v>
      </c>
      <c r="E1357" s="36">
        <f t="shared" si="444"/>
        <v>8.2942698288427583E-2</v>
      </c>
      <c r="F1357" s="36">
        <f t="shared" ref="F1357:AY1357" si="473">E1357*(1-INDEX($B$1267:$G$1267,,MATCH(F$1274,$B$1268:$G$1268,0)))</f>
        <v>8.3772125271311865E-2</v>
      </c>
      <c r="G1357" s="56">
        <f t="shared" si="473"/>
        <v>8.4609846524024979E-2</v>
      </c>
      <c r="H1357" s="36">
        <f t="shared" si="473"/>
        <v>8.5455944989265231E-2</v>
      </c>
      <c r="I1357" s="36">
        <f t="shared" si="473"/>
        <v>8.6310504439157887E-2</v>
      </c>
      <c r="J1357" s="36">
        <f t="shared" si="473"/>
        <v>8.7173609483549463E-2</v>
      </c>
      <c r="K1357" s="36">
        <f t="shared" si="473"/>
        <v>8.8045345578384962E-2</v>
      </c>
      <c r="L1357" s="36">
        <f t="shared" si="473"/>
        <v>8.8925799034168806E-2</v>
      </c>
      <c r="M1357" s="36">
        <f t="shared" si="473"/>
        <v>8.9815057024510495E-2</v>
      </c>
      <c r="N1357" s="36">
        <f t="shared" si="473"/>
        <v>9.0713207594755596E-2</v>
      </c>
      <c r="O1357" s="36">
        <f t="shared" si="473"/>
        <v>9.1620339670703155E-2</v>
      </c>
      <c r="P1357" s="36">
        <f t="shared" si="473"/>
        <v>9.2536543067410187E-2</v>
      </c>
      <c r="Q1357" s="36">
        <f t="shared" si="473"/>
        <v>9.2999225782747233E-2</v>
      </c>
      <c r="R1357" s="36">
        <f t="shared" si="473"/>
        <v>9.3464221911660955E-2</v>
      </c>
      <c r="S1357" s="36">
        <f t="shared" si="473"/>
        <v>9.3931543021219255E-2</v>
      </c>
      <c r="T1357" s="36">
        <f t="shared" si="473"/>
        <v>9.4401200736325339E-2</v>
      </c>
      <c r="U1357" s="36">
        <f t="shared" si="473"/>
        <v>9.487320674000696E-2</v>
      </c>
      <c r="V1357" s="36">
        <f t="shared" si="473"/>
        <v>9.5347572773706979E-2</v>
      </c>
      <c r="W1357" s="36">
        <f t="shared" si="473"/>
        <v>9.5824310637575502E-2</v>
      </c>
      <c r="X1357" s="36">
        <f t="shared" si="473"/>
        <v>9.6303432190763372E-2</v>
      </c>
      <c r="Y1357" s="36">
        <f t="shared" si="473"/>
        <v>9.6784949351717178E-2</v>
      </c>
      <c r="Z1357" s="36">
        <f t="shared" si="473"/>
        <v>9.726887409847576E-2</v>
      </c>
      <c r="AA1357" s="36">
        <f t="shared" si="473"/>
        <v>9.8241562839460519E-2</v>
      </c>
      <c r="AB1357" s="36">
        <f t="shared" si="473"/>
        <v>9.922397846785512E-2</v>
      </c>
      <c r="AC1357" s="36">
        <f t="shared" si="473"/>
        <v>0.10021621825253367</v>
      </c>
      <c r="AD1357" s="36">
        <f t="shared" si="473"/>
        <v>0.10121838043505901</v>
      </c>
      <c r="AE1357" s="36">
        <f t="shared" si="473"/>
        <v>0.1022305642394096</v>
      </c>
      <c r="AF1357" s="36">
        <f t="shared" si="473"/>
        <v>0.1032528698818037</v>
      </c>
      <c r="AG1357" s="36">
        <f t="shared" si="473"/>
        <v>0.10428539858062173</v>
      </c>
      <c r="AH1357" s="36">
        <f t="shared" si="473"/>
        <v>0.10532825256642796</v>
      </c>
      <c r="AI1357" s="36">
        <f t="shared" si="473"/>
        <v>0.10638153509209224</v>
      </c>
      <c r="AJ1357" s="36">
        <f t="shared" si="473"/>
        <v>0.10744535044301316</v>
      </c>
      <c r="AK1357" s="36">
        <f t="shared" si="473"/>
        <v>0.10948681210143041</v>
      </c>
      <c r="AL1357" s="36">
        <f t="shared" si="473"/>
        <v>0.11156706153135758</v>
      </c>
      <c r="AM1357" s="36">
        <f t="shared" si="473"/>
        <v>0.11368683570045336</v>
      </c>
      <c r="AN1357" s="36">
        <f t="shared" si="473"/>
        <v>0.11584688557876197</v>
      </c>
      <c r="AO1357" s="36">
        <f t="shared" si="473"/>
        <v>0.11804797640475843</v>
      </c>
      <c r="AP1357" s="36">
        <f t="shared" si="473"/>
        <v>0.12029088795644884</v>
      </c>
      <c r="AQ1357" s="36">
        <f t="shared" si="473"/>
        <v>0.12257641482762135</v>
      </c>
      <c r="AR1357" s="36">
        <f t="shared" si="473"/>
        <v>0.12490536670934616</v>
      </c>
      <c r="AS1357" s="36">
        <f t="shared" si="473"/>
        <v>0.12727856867682372</v>
      </c>
      <c r="AT1357" s="36">
        <f t="shared" si="473"/>
        <v>0.12969686148168336</v>
      </c>
      <c r="AU1357" s="36">
        <f t="shared" si="473"/>
        <v>0.12995625520464674</v>
      </c>
      <c r="AV1357" s="36">
        <f t="shared" si="473"/>
        <v>0.13021616771505604</v>
      </c>
      <c r="AW1357" s="36">
        <f t="shared" si="473"/>
        <v>0.13047660005048614</v>
      </c>
      <c r="AX1357" s="36">
        <f t="shared" si="473"/>
        <v>0.13073755325058711</v>
      </c>
      <c r="AY1357" s="36">
        <f t="shared" si="473"/>
        <v>0.13099902835708829</v>
      </c>
      <c r="AZ1357" s="36">
        <v>0.34007351924304485</v>
      </c>
    </row>
    <row r="1358" spans="1:52" ht="12" customHeight="1" x14ac:dyDescent="0.2">
      <c r="A1358" t="s">
        <v>128</v>
      </c>
      <c r="B1358" t="str">
        <f t="shared" si="441"/>
        <v>OAS</v>
      </c>
      <c r="C1358" t="str">
        <f t="shared" si="442"/>
        <v>WB</v>
      </c>
      <c r="D1358" s="36">
        <f t="shared" si="443"/>
        <v>9.8624215411166047E-2</v>
      </c>
      <c r="E1358" s="36">
        <f t="shared" si="444"/>
        <v>9.9620419607238428E-2</v>
      </c>
      <c r="F1358" s="36">
        <f t="shared" ref="F1358:AY1358" si="474">E1358*(1-INDEX($B$1267:$G$1267,,MATCH(F$1274,$B$1268:$G$1268,0)))</f>
        <v>0.10061662380331081</v>
      </c>
      <c r="G1358" s="56">
        <f t="shared" si="474"/>
        <v>0.10162279004134392</v>
      </c>
      <c r="H1358" s="36">
        <f t="shared" si="474"/>
        <v>0.10263901794175737</v>
      </c>
      <c r="I1358" s="36">
        <f t="shared" si="474"/>
        <v>0.10366540812117495</v>
      </c>
      <c r="J1358" s="36">
        <f t="shared" si="474"/>
        <v>0.10470206220238669</v>
      </c>
      <c r="K1358" s="36">
        <f t="shared" si="474"/>
        <v>0.10574908282441056</v>
      </c>
      <c r="L1358" s="36">
        <f t="shared" si="474"/>
        <v>0.10680657365265467</v>
      </c>
      <c r="M1358" s="36">
        <f t="shared" si="474"/>
        <v>0.10787463938918121</v>
      </c>
      <c r="N1358" s="36">
        <f t="shared" si="474"/>
        <v>0.10895338578307302</v>
      </c>
      <c r="O1358" s="36">
        <f t="shared" si="474"/>
        <v>0.11004291964090375</v>
      </c>
      <c r="P1358" s="36">
        <f t="shared" si="474"/>
        <v>0.11114334883731279</v>
      </c>
      <c r="Q1358" s="36">
        <f t="shared" si="474"/>
        <v>0.11169906558149935</v>
      </c>
      <c r="R1358" s="36">
        <f t="shared" si="474"/>
        <v>0.11225756090940683</v>
      </c>
      <c r="S1358" s="36">
        <f t="shared" si="474"/>
        <v>0.11281884871395385</v>
      </c>
      <c r="T1358" s="36">
        <f t="shared" si="474"/>
        <v>0.11338294295752362</v>
      </c>
      <c r="U1358" s="36">
        <f t="shared" si="474"/>
        <v>0.11394985767231122</v>
      </c>
      <c r="V1358" s="36">
        <f t="shared" si="474"/>
        <v>0.11451960696067276</v>
      </c>
      <c r="W1358" s="36">
        <f t="shared" si="474"/>
        <v>0.11509220499547611</v>
      </c>
      <c r="X1358" s="36">
        <f t="shared" si="474"/>
        <v>0.11566766602045347</v>
      </c>
      <c r="Y1358" s="36">
        <f t="shared" si="474"/>
        <v>0.11624600435055572</v>
      </c>
      <c r="Z1358" s="36">
        <f t="shared" si="474"/>
        <v>0.11682723437230849</v>
      </c>
      <c r="AA1358" s="36">
        <f t="shared" si="474"/>
        <v>0.11799550671603158</v>
      </c>
      <c r="AB1358" s="36">
        <f t="shared" si="474"/>
        <v>0.1191754617831919</v>
      </c>
      <c r="AC1358" s="36">
        <f t="shared" si="474"/>
        <v>0.12036721640102381</v>
      </c>
      <c r="AD1358" s="36">
        <f t="shared" si="474"/>
        <v>0.12157088856503405</v>
      </c>
      <c r="AE1358" s="36">
        <f t="shared" si="474"/>
        <v>0.12278659745068439</v>
      </c>
      <c r="AF1358" s="36">
        <f t="shared" si="474"/>
        <v>0.12401446342519123</v>
      </c>
      <c r="AG1358" s="36">
        <f t="shared" si="474"/>
        <v>0.12525460805944313</v>
      </c>
      <c r="AH1358" s="36">
        <f t="shared" si="474"/>
        <v>0.12650715414003758</v>
      </c>
      <c r="AI1358" s="36">
        <f t="shared" si="474"/>
        <v>0.12777222568143795</v>
      </c>
      <c r="AJ1358" s="36">
        <f t="shared" si="474"/>
        <v>0.12904994793825234</v>
      </c>
      <c r="AK1358" s="36">
        <f t="shared" si="474"/>
        <v>0.13150189694907913</v>
      </c>
      <c r="AL1358" s="36">
        <f t="shared" si="474"/>
        <v>0.13400043299111161</v>
      </c>
      <c r="AM1358" s="36">
        <f t="shared" si="474"/>
        <v>0.13654644121794271</v>
      </c>
      <c r="AN1358" s="36">
        <f t="shared" si="474"/>
        <v>0.1391408236010836</v>
      </c>
      <c r="AO1358" s="36">
        <f t="shared" si="474"/>
        <v>0.14178449924950418</v>
      </c>
      <c r="AP1358" s="36">
        <f t="shared" si="474"/>
        <v>0.14447840473524473</v>
      </c>
      <c r="AQ1358" s="36">
        <f t="shared" si="474"/>
        <v>0.14722349442521437</v>
      </c>
      <c r="AR1358" s="36">
        <f t="shared" si="474"/>
        <v>0.15002074081929342</v>
      </c>
      <c r="AS1358" s="36">
        <f t="shared" si="474"/>
        <v>0.15287113489485998</v>
      </c>
      <c r="AT1358" s="36">
        <f t="shared" si="474"/>
        <v>0.1557756864578623</v>
      </c>
      <c r="AU1358" s="36">
        <f t="shared" si="474"/>
        <v>0.15608723783077802</v>
      </c>
      <c r="AV1358" s="36">
        <f t="shared" si="474"/>
        <v>0.15639941230643958</v>
      </c>
      <c r="AW1358" s="36">
        <f t="shared" si="474"/>
        <v>0.15671221113105246</v>
      </c>
      <c r="AX1358" s="36">
        <f t="shared" si="474"/>
        <v>0.15702563555331456</v>
      </c>
      <c r="AY1358" s="36">
        <f t="shared" si="474"/>
        <v>0.15733968682442118</v>
      </c>
      <c r="AZ1358" s="36">
        <f t="shared" ref="AZ1358:AZ1378" si="475">((1+$C$1267)*(1/AY1358))^-1</f>
        <v>0.15765499681805731</v>
      </c>
    </row>
    <row r="1359" spans="1:52" ht="12" customHeight="1" x14ac:dyDescent="0.2">
      <c r="A1359" t="s">
        <v>129</v>
      </c>
      <c r="B1359" t="str">
        <f t="shared" si="441"/>
        <v>MID</v>
      </c>
      <c r="C1359" t="str">
        <f t="shared" si="442"/>
        <v>WB</v>
      </c>
      <c r="D1359" s="36">
        <f t="shared" si="443"/>
        <v>0.10753826892693073</v>
      </c>
      <c r="E1359" s="36">
        <f t="shared" si="444"/>
        <v>0.1086245140676068</v>
      </c>
      <c r="F1359" s="36">
        <f t="shared" ref="F1359:AY1359" si="476">E1359*(1-INDEX($B$1267:$G$1267,,MATCH(F$1274,$B$1268:$G$1268,0)))</f>
        <v>0.10971075920828287</v>
      </c>
      <c r="G1359" s="56">
        <f t="shared" si="476"/>
        <v>0.1108078668003657</v>
      </c>
      <c r="H1359" s="36">
        <f t="shared" si="476"/>
        <v>0.11191594546836936</v>
      </c>
      <c r="I1359" s="36">
        <f t="shared" si="476"/>
        <v>0.11303510492305305</v>
      </c>
      <c r="J1359" s="36">
        <f t="shared" si="476"/>
        <v>0.11416545597228359</v>
      </c>
      <c r="K1359" s="36">
        <f t="shared" si="476"/>
        <v>0.11530711053200643</v>
      </c>
      <c r="L1359" s="36">
        <f t="shared" si="476"/>
        <v>0.11646018163732649</v>
      </c>
      <c r="M1359" s="36">
        <f t="shared" si="476"/>
        <v>0.11762478345369975</v>
      </c>
      <c r="N1359" s="36">
        <f t="shared" si="476"/>
        <v>0.11880103128823676</v>
      </c>
      <c r="O1359" s="36">
        <f t="shared" si="476"/>
        <v>0.11998904160111912</v>
      </c>
      <c r="P1359" s="36">
        <f t="shared" si="476"/>
        <v>0.12118893201713031</v>
      </c>
      <c r="Q1359" s="36">
        <f t="shared" si="476"/>
        <v>0.12179487667721595</v>
      </c>
      <c r="R1359" s="36">
        <f t="shared" si="476"/>
        <v>0.12240385106060202</v>
      </c>
      <c r="S1359" s="36">
        <f t="shared" si="476"/>
        <v>0.12301587031590501</v>
      </c>
      <c r="T1359" s="36">
        <f t="shared" si="476"/>
        <v>0.12363094966748452</v>
      </c>
      <c r="U1359" s="36">
        <f t="shared" si="476"/>
        <v>0.12424910441582193</v>
      </c>
      <c r="V1359" s="36">
        <f t="shared" si="476"/>
        <v>0.12487034993790103</v>
      </c>
      <c r="W1359" s="36">
        <f t="shared" si="476"/>
        <v>0.12549470168759053</v>
      </c>
      <c r="X1359" s="36">
        <f t="shared" si="476"/>
        <v>0.12612217519602847</v>
      </c>
      <c r="Y1359" s="36">
        <f t="shared" si="476"/>
        <v>0.1267527860720086</v>
      </c>
      <c r="Z1359" s="36">
        <f t="shared" si="476"/>
        <v>0.12738655000236862</v>
      </c>
      <c r="AA1359" s="36">
        <f t="shared" si="476"/>
        <v>0.12866041550239229</v>
      </c>
      <c r="AB1359" s="36">
        <f t="shared" si="476"/>
        <v>0.12994701965741623</v>
      </c>
      <c r="AC1359" s="36">
        <f t="shared" si="476"/>
        <v>0.1312464898539904</v>
      </c>
      <c r="AD1359" s="36">
        <f t="shared" si="476"/>
        <v>0.13255895475253029</v>
      </c>
      <c r="AE1359" s="36">
        <f t="shared" si="476"/>
        <v>0.13388454430005559</v>
      </c>
      <c r="AF1359" s="36">
        <f t="shared" si="476"/>
        <v>0.13522338974305614</v>
      </c>
      <c r="AG1359" s="36">
        <f t="shared" si="476"/>
        <v>0.1365756236404867</v>
      </c>
      <c r="AH1359" s="36">
        <f t="shared" si="476"/>
        <v>0.13794137987689156</v>
      </c>
      <c r="AI1359" s="36">
        <f t="shared" si="476"/>
        <v>0.13932079367566047</v>
      </c>
      <c r="AJ1359" s="36">
        <f t="shared" si="476"/>
        <v>0.14071400161241707</v>
      </c>
      <c r="AK1359" s="36">
        <f t="shared" si="476"/>
        <v>0.14338756764305297</v>
      </c>
      <c r="AL1359" s="36">
        <f t="shared" si="476"/>
        <v>0.14611193142827095</v>
      </c>
      <c r="AM1359" s="36">
        <f t="shared" si="476"/>
        <v>0.14888805812540809</v>
      </c>
      <c r="AN1359" s="36">
        <f t="shared" si="476"/>
        <v>0.15171693122979082</v>
      </c>
      <c r="AO1359" s="36">
        <f t="shared" si="476"/>
        <v>0.15459955292315683</v>
      </c>
      <c r="AP1359" s="36">
        <f t="shared" si="476"/>
        <v>0.15753694442869678</v>
      </c>
      <c r="AQ1359" s="36">
        <f t="shared" si="476"/>
        <v>0.16053014637284202</v>
      </c>
      <c r="AR1359" s="36">
        <f t="shared" si="476"/>
        <v>0.16358021915392601</v>
      </c>
      <c r="AS1359" s="36">
        <f t="shared" si="476"/>
        <v>0.16668824331785059</v>
      </c>
      <c r="AT1359" s="36">
        <f t="shared" si="476"/>
        <v>0.16985531994088973</v>
      </c>
      <c r="AU1359" s="36">
        <f t="shared" si="476"/>
        <v>0.17019503058077151</v>
      </c>
      <c r="AV1359" s="36">
        <f t="shared" si="476"/>
        <v>0.17053542064193306</v>
      </c>
      <c r="AW1359" s="36">
        <f t="shared" si="476"/>
        <v>0.17087649148321693</v>
      </c>
      <c r="AX1359" s="36">
        <f t="shared" si="476"/>
        <v>0.17121824446618336</v>
      </c>
      <c r="AY1359" s="36">
        <f t="shared" si="476"/>
        <v>0.17156068095511573</v>
      </c>
      <c r="AZ1359" s="36">
        <f t="shared" si="475"/>
        <v>0.17190448993498572</v>
      </c>
    </row>
    <row r="1360" spans="1:52" ht="12" customHeight="1" x14ac:dyDescent="0.2">
      <c r="A1360" t="s">
        <v>130</v>
      </c>
      <c r="B1360" t="str">
        <f t="shared" si="441"/>
        <v>AFR</v>
      </c>
      <c r="C1360" t="str">
        <f t="shared" si="442"/>
        <v>WB</v>
      </c>
      <c r="D1360" s="36">
        <f t="shared" si="443"/>
        <v>9.5815438640173126E-2</v>
      </c>
      <c r="E1360" s="36">
        <f t="shared" si="444"/>
        <v>9.6783271353710232E-2</v>
      </c>
      <c r="F1360" s="36">
        <f t="shared" ref="F1360:AY1360" si="477">E1360*(1-INDEX($B$1267:$G$1267,,MATCH(F$1274,$B$1268:$G$1268,0)))</f>
        <v>9.7751104067247338E-2</v>
      </c>
      <c r="G1360" s="56">
        <f t="shared" si="477"/>
        <v>9.8728615107919818E-2</v>
      </c>
      <c r="H1360" s="36">
        <f t="shared" si="477"/>
        <v>9.9715901258999012E-2</v>
      </c>
      <c r="I1360" s="36">
        <f t="shared" si="477"/>
        <v>0.10071306027158901</v>
      </c>
      <c r="J1360" s="36">
        <f t="shared" si="477"/>
        <v>0.10172019087430489</v>
      </c>
      <c r="K1360" s="36">
        <f t="shared" si="477"/>
        <v>0.10273739278304794</v>
      </c>
      <c r="L1360" s="36">
        <f t="shared" si="477"/>
        <v>0.10376476671087842</v>
      </c>
      <c r="M1360" s="36">
        <f t="shared" si="477"/>
        <v>0.10480241437798721</v>
      </c>
      <c r="N1360" s="36">
        <f t="shared" si="477"/>
        <v>0.10585043852176708</v>
      </c>
      <c r="O1360" s="36">
        <f t="shared" si="477"/>
        <v>0.10690894290698474</v>
      </c>
      <c r="P1360" s="36">
        <f t="shared" si="477"/>
        <v>0.10797803233605459</v>
      </c>
      <c r="Q1360" s="36">
        <f t="shared" si="477"/>
        <v>0.10851792249773486</v>
      </c>
      <c r="R1360" s="36">
        <f t="shared" si="477"/>
        <v>0.10906051211022352</v>
      </c>
      <c r="S1360" s="36">
        <f t="shared" si="477"/>
        <v>0.10960581467077463</v>
      </c>
      <c r="T1360" s="36">
        <f t="shared" si="477"/>
        <v>0.11015384374412848</v>
      </c>
      <c r="U1360" s="36">
        <f t="shared" si="477"/>
        <v>0.11070461296284911</v>
      </c>
      <c r="V1360" s="36">
        <f t="shared" si="477"/>
        <v>0.11125813602766335</v>
      </c>
      <c r="W1360" s="36">
        <f t="shared" si="477"/>
        <v>0.11181442670780166</v>
      </c>
      <c r="X1360" s="36">
        <f t="shared" si="477"/>
        <v>0.11237349884134065</v>
      </c>
      <c r="Y1360" s="36">
        <f t="shared" si="477"/>
        <v>0.11293536633554735</v>
      </c>
      <c r="Z1360" s="36">
        <f t="shared" si="477"/>
        <v>0.11350004316722508</v>
      </c>
      <c r="AA1360" s="36">
        <f t="shared" si="477"/>
        <v>0.11463504359889733</v>
      </c>
      <c r="AB1360" s="36">
        <f t="shared" si="477"/>
        <v>0.1157813940348863</v>
      </c>
      <c r="AC1360" s="36">
        <f t="shared" si="477"/>
        <v>0.11693920797523516</v>
      </c>
      <c r="AD1360" s="36">
        <f t="shared" si="477"/>
        <v>0.11810860005498751</v>
      </c>
      <c r="AE1360" s="36">
        <f t="shared" si="477"/>
        <v>0.11928968605553739</v>
      </c>
      <c r="AF1360" s="36">
        <f t="shared" si="477"/>
        <v>0.12048258291609276</v>
      </c>
      <c r="AG1360" s="36">
        <f t="shared" si="477"/>
        <v>0.12168740874525369</v>
      </c>
      <c r="AH1360" s="36">
        <f t="shared" si="477"/>
        <v>0.12290428283270623</v>
      </c>
      <c r="AI1360" s="36">
        <f t="shared" si="477"/>
        <v>0.12413332566103329</v>
      </c>
      <c r="AJ1360" s="36">
        <f t="shared" si="477"/>
        <v>0.12537465891764363</v>
      </c>
      <c r="AK1360" s="36">
        <f t="shared" si="477"/>
        <v>0.12775677743707883</v>
      </c>
      <c r="AL1360" s="36">
        <f t="shared" si="477"/>
        <v>0.13018415620838331</v>
      </c>
      <c r="AM1360" s="36">
        <f t="shared" si="477"/>
        <v>0.13265765517634256</v>
      </c>
      <c r="AN1360" s="36">
        <f t="shared" si="477"/>
        <v>0.13517815062469307</v>
      </c>
      <c r="AO1360" s="36">
        <f t="shared" si="477"/>
        <v>0.13774653548656224</v>
      </c>
      <c r="AP1360" s="36">
        <f t="shared" si="477"/>
        <v>0.14036371966080691</v>
      </c>
      <c r="AQ1360" s="36">
        <f t="shared" si="477"/>
        <v>0.14303063033436222</v>
      </c>
      <c r="AR1360" s="36">
        <f t="shared" si="477"/>
        <v>0.14574821231071508</v>
      </c>
      <c r="AS1360" s="36">
        <f t="shared" si="477"/>
        <v>0.14851742834461865</v>
      </c>
      <c r="AT1360" s="36">
        <f t="shared" si="477"/>
        <v>0.1513392594831664</v>
      </c>
      <c r="AU1360" s="36">
        <f t="shared" si="477"/>
        <v>0.15164193800213274</v>
      </c>
      <c r="AV1360" s="36">
        <f t="shared" si="477"/>
        <v>0.151945221878137</v>
      </c>
      <c r="AW1360" s="36">
        <f t="shared" si="477"/>
        <v>0.15224911232189328</v>
      </c>
      <c r="AX1360" s="36">
        <f t="shared" si="477"/>
        <v>0.15255361054653707</v>
      </c>
      <c r="AY1360" s="36">
        <f t="shared" si="477"/>
        <v>0.15285871776763016</v>
      </c>
      <c r="AZ1360" s="36">
        <f t="shared" si="475"/>
        <v>0.15316504786335686</v>
      </c>
    </row>
    <row r="1361" spans="1:52" ht="12" customHeight="1" x14ac:dyDescent="0.2">
      <c r="A1361" t="s">
        <v>131</v>
      </c>
      <c r="B1361" t="str">
        <f t="shared" si="441"/>
        <v>BRZ</v>
      </c>
      <c r="C1361" t="str">
        <f t="shared" si="442"/>
        <v>WB</v>
      </c>
      <c r="D1361" s="36">
        <f t="shared" si="443"/>
        <v>9.5584300887135695E-2</v>
      </c>
      <c r="E1361" s="36">
        <f t="shared" si="444"/>
        <v>9.6549798875894641E-2</v>
      </c>
      <c r="F1361" s="36">
        <f t="shared" ref="F1361:AY1361" si="478">E1361*(1-INDEX($B$1267:$G$1267,,MATCH(F$1274,$B$1268:$G$1268,0)))</f>
        <v>9.7515296864653586E-2</v>
      </c>
      <c r="G1361" s="56">
        <f t="shared" si="478"/>
        <v>9.8490449833300117E-2</v>
      </c>
      <c r="H1361" s="36">
        <f t="shared" si="478"/>
        <v>9.9475354331633126E-2</v>
      </c>
      <c r="I1361" s="36">
        <f t="shared" si="478"/>
        <v>0.10047010787494946</v>
      </c>
      <c r="J1361" s="36">
        <f t="shared" si="478"/>
        <v>0.10147480895369895</v>
      </c>
      <c r="K1361" s="36">
        <f t="shared" si="478"/>
        <v>0.10248955704323594</v>
      </c>
      <c r="L1361" s="36">
        <f t="shared" si="478"/>
        <v>0.1035144526136683</v>
      </c>
      <c r="M1361" s="36">
        <f t="shared" si="478"/>
        <v>0.10454959713980498</v>
      </c>
      <c r="N1361" s="36">
        <f t="shared" si="478"/>
        <v>0.10559509311120303</v>
      </c>
      <c r="O1361" s="36">
        <f t="shared" si="478"/>
        <v>0.10665104404231507</v>
      </c>
      <c r="P1361" s="36">
        <f t="shared" si="478"/>
        <v>0.10771755448273822</v>
      </c>
      <c r="Q1361" s="36">
        <f t="shared" si="478"/>
        <v>0.1082561422551519</v>
      </c>
      <c r="R1361" s="36">
        <f t="shared" si="478"/>
        <v>0.10879742296642765</v>
      </c>
      <c r="S1361" s="36">
        <f t="shared" si="478"/>
        <v>0.10934141008125978</v>
      </c>
      <c r="T1361" s="36">
        <f t="shared" si="478"/>
        <v>0.10988811713166606</v>
      </c>
      <c r="U1361" s="36">
        <f t="shared" si="478"/>
        <v>0.11043755771732437</v>
      </c>
      <c r="V1361" s="36">
        <f t="shared" si="478"/>
        <v>0.11098974550591098</v>
      </c>
      <c r="W1361" s="36">
        <f t="shared" si="478"/>
        <v>0.11154469423344052</v>
      </c>
      <c r="X1361" s="36">
        <f t="shared" si="478"/>
        <v>0.1121024177046077</v>
      </c>
      <c r="Y1361" s="36">
        <f t="shared" si="478"/>
        <v>0.11266292979313072</v>
      </c>
      <c r="Z1361" s="36">
        <f t="shared" si="478"/>
        <v>0.11322624444209636</v>
      </c>
      <c r="AA1361" s="36">
        <f t="shared" si="478"/>
        <v>0.11435850688651733</v>
      </c>
      <c r="AB1361" s="36">
        <f t="shared" si="478"/>
        <v>0.11550209195538251</v>
      </c>
      <c r="AC1361" s="36">
        <f t="shared" si="478"/>
        <v>0.11665711287493634</v>
      </c>
      <c r="AD1361" s="36">
        <f t="shared" si="478"/>
        <v>0.1178236840036857</v>
      </c>
      <c r="AE1361" s="36">
        <f t="shared" si="478"/>
        <v>0.11900192084372256</v>
      </c>
      <c r="AF1361" s="36">
        <f t="shared" si="478"/>
        <v>0.12019194005215979</v>
      </c>
      <c r="AG1361" s="36">
        <f t="shared" si="478"/>
        <v>0.12139385945268139</v>
      </c>
      <c r="AH1361" s="36">
        <f t="shared" si="478"/>
        <v>0.1226077980472082</v>
      </c>
      <c r="AI1361" s="36">
        <f t="shared" si="478"/>
        <v>0.12383387602768028</v>
      </c>
      <c r="AJ1361" s="36">
        <f t="shared" si="478"/>
        <v>0.12507221478795708</v>
      </c>
      <c r="AK1361" s="36">
        <f t="shared" si="478"/>
        <v>0.12744858686892824</v>
      </c>
      <c r="AL1361" s="36">
        <f t="shared" si="478"/>
        <v>0.12987011001943785</v>
      </c>
      <c r="AM1361" s="36">
        <f t="shared" si="478"/>
        <v>0.13233764210980717</v>
      </c>
      <c r="AN1361" s="36">
        <f t="shared" si="478"/>
        <v>0.1348520573098935</v>
      </c>
      <c r="AO1361" s="36">
        <f t="shared" si="478"/>
        <v>0.13741424639878147</v>
      </c>
      <c r="AP1361" s="36">
        <f t="shared" si="478"/>
        <v>0.14002511708035831</v>
      </c>
      <c r="AQ1361" s="36">
        <f t="shared" si="478"/>
        <v>0.14268559430488512</v>
      </c>
      <c r="AR1361" s="36">
        <f t="shared" si="478"/>
        <v>0.14539662059667793</v>
      </c>
      <c r="AS1361" s="36">
        <f t="shared" si="478"/>
        <v>0.1481591563880148</v>
      </c>
      <c r="AT1361" s="36">
        <f t="shared" si="478"/>
        <v>0.15097418035938706</v>
      </c>
      <c r="AU1361" s="36">
        <f t="shared" si="478"/>
        <v>0.15127612872010585</v>
      </c>
      <c r="AV1361" s="36">
        <f t="shared" si="478"/>
        <v>0.15157868097754607</v>
      </c>
      <c r="AW1361" s="36">
        <f t="shared" si="478"/>
        <v>0.15188183833950117</v>
      </c>
      <c r="AX1361" s="36">
        <f t="shared" si="478"/>
        <v>0.15218560201618017</v>
      </c>
      <c r="AY1361" s="36">
        <f t="shared" si="478"/>
        <v>0.15248997322021254</v>
      </c>
      <c r="AZ1361" s="36">
        <f t="shared" si="475"/>
        <v>0.15279556434891037</v>
      </c>
    </row>
    <row r="1362" spans="1:52" ht="12" customHeight="1" x14ac:dyDescent="0.2">
      <c r="A1362" t="s">
        <v>132</v>
      </c>
      <c r="B1362" t="str">
        <f t="shared" si="441"/>
        <v>CSA</v>
      </c>
      <c r="C1362" t="str">
        <f t="shared" si="442"/>
        <v>WB</v>
      </c>
      <c r="D1362" s="36">
        <f t="shared" si="443"/>
        <v>9.5818874388535646E-2</v>
      </c>
      <c r="E1362" s="36">
        <f t="shared" si="444"/>
        <v>9.678674180660167E-2</v>
      </c>
      <c r="F1362" s="36">
        <f t="shared" ref="F1362:AY1362" si="479">E1362*(1-INDEX($B$1267:$G$1267,,MATCH(F$1274,$B$1268:$G$1268,0)))</f>
        <v>9.7754609224667693E-2</v>
      </c>
      <c r="G1362" s="56">
        <f t="shared" si="479"/>
        <v>9.8732155316914372E-2</v>
      </c>
      <c r="H1362" s="36">
        <f t="shared" si="479"/>
        <v>9.971947687008352E-2</v>
      </c>
      <c r="I1362" s="36">
        <f t="shared" si="479"/>
        <v>0.10071667163878435</v>
      </c>
      <c r="J1362" s="36">
        <f t="shared" si="479"/>
        <v>0.10172383835517219</v>
      </c>
      <c r="K1362" s="36">
        <f t="shared" si="479"/>
        <v>0.10274107673872392</v>
      </c>
      <c r="L1362" s="36">
        <f t="shared" si="479"/>
        <v>0.10376848750611116</v>
      </c>
      <c r="M1362" s="36">
        <f t="shared" si="479"/>
        <v>0.10480617238117228</v>
      </c>
      <c r="N1362" s="36">
        <f t="shared" si="479"/>
        <v>0.105854234104984</v>
      </c>
      <c r="O1362" s="36">
        <f t="shared" si="479"/>
        <v>0.10691277644603384</v>
      </c>
      <c r="P1362" s="36">
        <f t="shared" si="479"/>
        <v>0.10798190421049418</v>
      </c>
      <c r="Q1362" s="36">
        <f t="shared" si="479"/>
        <v>0.10852181373154664</v>
      </c>
      <c r="R1362" s="36">
        <f t="shared" si="479"/>
        <v>0.10906442280020436</v>
      </c>
      <c r="S1362" s="36">
        <f t="shared" si="479"/>
        <v>0.10960974491420536</v>
      </c>
      <c r="T1362" s="36">
        <f t="shared" si="479"/>
        <v>0.11015779363877637</v>
      </c>
      <c r="U1362" s="36">
        <f t="shared" si="479"/>
        <v>0.11070858260697024</v>
      </c>
      <c r="V1362" s="36">
        <f t="shared" si="479"/>
        <v>0.11126212552000508</v>
      </c>
      <c r="W1362" s="36">
        <f t="shared" si="479"/>
        <v>0.1118184361476051</v>
      </c>
      <c r="X1362" s="36">
        <f t="shared" si="479"/>
        <v>0.11237752832834312</v>
      </c>
      <c r="Y1362" s="36">
        <f t="shared" si="479"/>
        <v>0.11293941596998483</v>
      </c>
      <c r="Z1362" s="36">
        <f t="shared" si="479"/>
        <v>0.11350411304983474</v>
      </c>
      <c r="AA1362" s="36">
        <f t="shared" si="479"/>
        <v>0.11463915418033309</v>
      </c>
      <c r="AB1362" s="36">
        <f t="shared" si="479"/>
        <v>0.11578554572213642</v>
      </c>
      <c r="AC1362" s="36">
        <f t="shared" si="479"/>
        <v>0.11694340117935779</v>
      </c>
      <c r="AD1362" s="36">
        <f t="shared" si="479"/>
        <v>0.11811283519115137</v>
      </c>
      <c r="AE1362" s="36">
        <f t="shared" si="479"/>
        <v>0.11929396354306289</v>
      </c>
      <c r="AF1362" s="36">
        <f t="shared" si="479"/>
        <v>0.12048690317849352</v>
      </c>
      <c r="AG1362" s="36">
        <f t="shared" si="479"/>
        <v>0.12169177221027845</v>
      </c>
      <c r="AH1362" s="36">
        <f t="shared" si="479"/>
        <v>0.12290868993238124</v>
      </c>
      <c r="AI1362" s="36">
        <f t="shared" si="479"/>
        <v>0.12413777683170506</v>
      </c>
      <c r="AJ1362" s="36">
        <f t="shared" si="479"/>
        <v>0.12537915460002211</v>
      </c>
      <c r="AK1362" s="36">
        <f t="shared" si="479"/>
        <v>0.12776135853742251</v>
      </c>
      <c r="AL1362" s="36">
        <f t="shared" si="479"/>
        <v>0.13018882434963353</v>
      </c>
      <c r="AM1362" s="36">
        <f t="shared" si="479"/>
        <v>0.13266241201227655</v>
      </c>
      <c r="AN1362" s="36">
        <f t="shared" si="479"/>
        <v>0.1351829978405098</v>
      </c>
      <c r="AO1362" s="36">
        <f t="shared" si="479"/>
        <v>0.13775147479947947</v>
      </c>
      <c r="AP1362" s="36">
        <f t="shared" si="479"/>
        <v>0.14036875282066957</v>
      </c>
      <c r="AQ1362" s="36">
        <f t="shared" si="479"/>
        <v>0.14303575912426228</v>
      </c>
      <c r="AR1362" s="36">
        <f t="shared" si="479"/>
        <v>0.14575343854762324</v>
      </c>
      <c r="AS1362" s="36">
        <f t="shared" si="479"/>
        <v>0.14852275388002806</v>
      </c>
      <c r="AT1362" s="36">
        <f t="shared" si="479"/>
        <v>0.15134468620374858</v>
      </c>
      <c r="AU1362" s="36">
        <f t="shared" si="479"/>
        <v>0.15164737557615607</v>
      </c>
      <c r="AV1362" s="36">
        <f t="shared" si="479"/>
        <v>0.15195067032730838</v>
      </c>
      <c r="AW1362" s="36">
        <f t="shared" si="479"/>
        <v>0.152254571667963</v>
      </c>
      <c r="AX1362" s="36">
        <f t="shared" si="479"/>
        <v>0.15255908081129893</v>
      </c>
      <c r="AY1362" s="36">
        <f t="shared" si="479"/>
        <v>0.15286419897292153</v>
      </c>
      <c r="AZ1362" s="36">
        <f t="shared" si="475"/>
        <v>0.15317054005302758</v>
      </c>
    </row>
    <row r="1363" spans="1:52" ht="12" customHeight="1" x14ac:dyDescent="0.2">
      <c r="A1363" t="s">
        <v>133</v>
      </c>
      <c r="B1363" t="str">
        <f t="shared" si="441"/>
        <v>USA</v>
      </c>
      <c r="C1363" t="str">
        <f t="shared" si="442"/>
        <v>RJ</v>
      </c>
      <c r="D1363" s="36">
        <f t="shared" si="443"/>
        <v>0.21806869139174598</v>
      </c>
      <c r="E1363" s="36">
        <f t="shared" si="444"/>
        <v>0.22027140544620807</v>
      </c>
      <c r="F1363" s="36">
        <f t="shared" ref="F1363:AY1363" si="480">E1363*(1-INDEX($B$1267:$G$1267,,MATCH(F$1274,$B$1268:$G$1268,0)))</f>
        <v>0.22247411950067017</v>
      </c>
      <c r="G1363" s="56">
        <f t="shared" si="480"/>
        <v>0.22469886069567688</v>
      </c>
      <c r="H1363" s="36">
        <f t="shared" si="480"/>
        <v>0.22694584930263365</v>
      </c>
      <c r="I1363" s="36">
        <f t="shared" si="480"/>
        <v>0.22921530779565999</v>
      </c>
      <c r="J1363" s="36">
        <f t="shared" si="480"/>
        <v>0.23150746087361659</v>
      </c>
      <c r="K1363" s="36">
        <f t="shared" si="480"/>
        <v>0.23382253548235277</v>
      </c>
      <c r="L1363" s="36">
        <f t="shared" si="480"/>
        <v>0.2361607608371763</v>
      </c>
      <c r="M1363" s="36">
        <f t="shared" si="480"/>
        <v>0.23852236844554806</v>
      </c>
      <c r="N1363" s="36">
        <f t="shared" si="480"/>
        <v>0.24090759213000354</v>
      </c>
      <c r="O1363" s="36">
        <f t="shared" si="480"/>
        <v>0.24331666805130359</v>
      </c>
      <c r="P1363" s="36">
        <f t="shared" si="480"/>
        <v>0.24574983473181664</v>
      </c>
      <c r="Q1363" s="36">
        <f t="shared" si="480"/>
        <v>0.2469785839054757</v>
      </c>
      <c r="R1363" s="36">
        <f t="shared" si="480"/>
        <v>0.24821347682500305</v>
      </c>
      <c r="S1363" s="36">
        <f t="shared" si="480"/>
        <v>0.24945454420912805</v>
      </c>
      <c r="T1363" s="36">
        <f t="shared" si="480"/>
        <v>0.25070181693017368</v>
      </c>
      <c r="U1363" s="36">
        <f t="shared" si="480"/>
        <v>0.25195532601482451</v>
      </c>
      <c r="V1363" s="36">
        <f t="shared" si="480"/>
        <v>0.2532151026448986</v>
      </c>
      <c r="W1363" s="36">
        <f t="shared" si="480"/>
        <v>0.25448117815812304</v>
      </c>
      <c r="X1363" s="36">
        <f t="shared" si="480"/>
        <v>0.25575358404891363</v>
      </c>
      <c r="Y1363" s="36">
        <f t="shared" si="480"/>
        <v>0.25703235196915819</v>
      </c>
      <c r="Z1363" s="36">
        <f t="shared" si="480"/>
        <v>0.25831751372900397</v>
      </c>
      <c r="AA1363" s="36">
        <f t="shared" si="480"/>
        <v>0.26090068886629403</v>
      </c>
      <c r="AB1363" s="36">
        <f t="shared" si="480"/>
        <v>0.26350969575495697</v>
      </c>
      <c r="AC1363" s="36">
        <f t="shared" si="480"/>
        <v>0.26614479271250657</v>
      </c>
      <c r="AD1363" s="36">
        <f t="shared" si="480"/>
        <v>0.26880624063963166</v>
      </c>
      <c r="AE1363" s="36">
        <f t="shared" si="480"/>
        <v>0.27149430304602795</v>
      </c>
      <c r="AF1363" s="36">
        <f t="shared" si="480"/>
        <v>0.27420924607648822</v>
      </c>
      <c r="AG1363" s="36">
        <f t="shared" si="480"/>
        <v>0.27695133853725312</v>
      </c>
      <c r="AH1363" s="36">
        <f t="shared" si="480"/>
        <v>0.27972085192262564</v>
      </c>
      <c r="AI1363" s="36">
        <f t="shared" si="480"/>
        <v>0.2825180604418519</v>
      </c>
      <c r="AJ1363" s="36">
        <f t="shared" si="480"/>
        <v>0.2853432410462704</v>
      </c>
      <c r="AK1363" s="36">
        <f t="shared" si="480"/>
        <v>0.29076476262614953</v>
      </c>
      <c r="AL1363" s="36">
        <f t="shared" si="480"/>
        <v>0.29628929311604635</v>
      </c>
      <c r="AM1363" s="36">
        <f t="shared" si="480"/>
        <v>0.30191878968525121</v>
      </c>
      <c r="AN1363" s="36">
        <f t="shared" si="480"/>
        <v>0.30765524668927097</v>
      </c>
      <c r="AO1363" s="36">
        <f t="shared" si="480"/>
        <v>0.31350069637636707</v>
      </c>
      <c r="AP1363" s="36">
        <f t="shared" si="480"/>
        <v>0.319457209607518</v>
      </c>
      <c r="AQ1363" s="36">
        <f t="shared" si="480"/>
        <v>0.32552689659006079</v>
      </c>
      <c r="AR1363" s="36">
        <f t="shared" si="480"/>
        <v>0.33171190762527192</v>
      </c>
      <c r="AS1363" s="36">
        <f t="shared" si="480"/>
        <v>0.33801443387015206</v>
      </c>
      <c r="AT1363" s="36">
        <f t="shared" si="480"/>
        <v>0.34443670811368493</v>
      </c>
      <c r="AU1363" s="36">
        <f t="shared" si="480"/>
        <v>0.3451255815299123</v>
      </c>
      <c r="AV1363" s="36">
        <f t="shared" si="480"/>
        <v>0.34581583269297211</v>
      </c>
      <c r="AW1363" s="36">
        <f t="shared" si="480"/>
        <v>0.34650746435835805</v>
      </c>
      <c r="AX1363" s="36">
        <f t="shared" si="480"/>
        <v>0.34720047928707476</v>
      </c>
      <c r="AY1363" s="36">
        <f t="shared" si="480"/>
        <v>0.34789488024564891</v>
      </c>
      <c r="AZ1363" s="36">
        <f t="shared" si="475"/>
        <v>0.34859206437439771</v>
      </c>
    </row>
    <row r="1364" spans="1:52" ht="12" customHeight="1" x14ac:dyDescent="0.2">
      <c r="A1364" t="s">
        <v>134</v>
      </c>
      <c r="B1364" t="str">
        <f t="shared" si="441"/>
        <v>CAN</v>
      </c>
      <c r="C1364" t="str">
        <f t="shared" si="442"/>
        <v>RJ</v>
      </c>
      <c r="D1364" s="36">
        <f t="shared" si="443"/>
        <v>0.21824521130991117</v>
      </c>
      <c r="E1364" s="36">
        <f t="shared" si="444"/>
        <v>0.22044970839384967</v>
      </c>
      <c r="F1364" s="36">
        <f t="shared" ref="F1364:AY1364" si="481">E1364*(1-INDEX($B$1267:$G$1267,,MATCH(F$1274,$B$1268:$G$1268,0)))</f>
        <v>0.22265420547778816</v>
      </c>
      <c r="G1364" s="56">
        <f t="shared" si="481"/>
        <v>0.22488074753256604</v>
      </c>
      <c r="H1364" s="36">
        <f t="shared" si="481"/>
        <v>0.2271295550078917</v>
      </c>
      <c r="I1364" s="36">
        <f t="shared" si="481"/>
        <v>0.2294008505579706</v>
      </c>
      <c r="J1364" s="36">
        <f t="shared" si="481"/>
        <v>0.23169485906355031</v>
      </c>
      <c r="K1364" s="36">
        <f t="shared" si="481"/>
        <v>0.2340118076541858</v>
      </c>
      <c r="L1364" s="36">
        <f t="shared" si="481"/>
        <v>0.23635192573072766</v>
      </c>
      <c r="M1364" s="36">
        <f t="shared" si="481"/>
        <v>0.23871544498803493</v>
      </c>
      <c r="N1364" s="36">
        <f t="shared" si="481"/>
        <v>0.24110259943791529</v>
      </c>
      <c r="O1364" s="36">
        <f t="shared" si="481"/>
        <v>0.24351362543229443</v>
      </c>
      <c r="P1364" s="36">
        <f t="shared" si="481"/>
        <v>0.24594876168661739</v>
      </c>
      <c r="Q1364" s="36">
        <f t="shared" si="481"/>
        <v>0.24717850549505044</v>
      </c>
      <c r="R1364" s="36">
        <f t="shared" si="481"/>
        <v>0.24841439802252566</v>
      </c>
      <c r="S1364" s="36">
        <f t="shared" si="481"/>
        <v>0.24965647001263827</v>
      </c>
      <c r="T1364" s="36">
        <f t="shared" si="481"/>
        <v>0.25090475236270143</v>
      </c>
      <c r="U1364" s="36">
        <f t="shared" si="481"/>
        <v>0.25215927612451489</v>
      </c>
      <c r="V1364" s="36">
        <f t="shared" si="481"/>
        <v>0.25342007250513743</v>
      </c>
      <c r="W1364" s="36">
        <f t="shared" si="481"/>
        <v>0.25468717286766307</v>
      </c>
      <c r="X1364" s="36">
        <f t="shared" si="481"/>
        <v>0.25596060873200138</v>
      </c>
      <c r="Y1364" s="36">
        <f t="shared" si="481"/>
        <v>0.25724041177566137</v>
      </c>
      <c r="Z1364" s="36">
        <f t="shared" si="481"/>
        <v>0.25852661383453968</v>
      </c>
      <c r="AA1364" s="36">
        <f t="shared" si="481"/>
        <v>0.2611118799728851</v>
      </c>
      <c r="AB1364" s="36">
        <f t="shared" si="481"/>
        <v>0.26372299877261396</v>
      </c>
      <c r="AC1364" s="36">
        <f t="shared" si="481"/>
        <v>0.2663602287603401</v>
      </c>
      <c r="AD1364" s="36">
        <f t="shared" si="481"/>
        <v>0.26902383104794353</v>
      </c>
      <c r="AE1364" s="36">
        <f t="shared" si="481"/>
        <v>0.27171406935842296</v>
      </c>
      <c r="AF1364" s="36">
        <f t="shared" si="481"/>
        <v>0.27443121005200721</v>
      </c>
      <c r="AG1364" s="36">
        <f t="shared" si="481"/>
        <v>0.27717552215252728</v>
      </c>
      <c r="AH1364" s="36">
        <f t="shared" si="481"/>
        <v>0.27994727737405256</v>
      </c>
      <c r="AI1364" s="36">
        <f t="shared" si="481"/>
        <v>0.2827467501477931</v>
      </c>
      <c r="AJ1364" s="36">
        <f t="shared" si="481"/>
        <v>0.28557421764927104</v>
      </c>
      <c r="AK1364" s="36">
        <f t="shared" si="481"/>
        <v>0.29100012778460715</v>
      </c>
      <c r="AL1364" s="36">
        <f t="shared" si="481"/>
        <v>0.29652913021251465</v>
      </c>
      <c r="AM1364" s="36">
        <f t="shared" si="481"/>
        <v>0.30216318368655237</v>
      </c>
      <c r="AN1364" s="36">
        <f t="shared" si="481"/>
        <v>0.30790428417659682</v>
      </c>
      <c r="AO1364" s="36">
        <f t="shared" si="481"/>
        <v>0.31375446557595216</v>
      </c>
      <c r="AP1364" s="36">
        <f t="shared" si="481"/>
        <v>0.31971580042189524</v>
      </c>
      <c r="AQ1364" s="36">
        <f t="shared" si="481"/>
        <v>0.32579040062991121</v>
      </c>
      <c r="AR1364" s="36">
        <f t="shared" si="481"/>
        <v>0.33198041824187952</v>
      </c>
      <c r="AS1364" s="36">
        <f t="shared" si="481"/>
        <v>0.33828804618847519</v>
      </c>
      <c r="AT1364" s="36">
        <f t="shared" si="481"/>
        <v>0.34471551906605619</v>
      </c>
      <c r="AU1364" s="36">
        <f t="shared" si="481"/>
        <v>0.34540495010418831</v>
      </c>
      <c r="AV1364" s="36">
        <f t="shared" si="481"/>
        <v>0.34609576000439668</v>
      </c>
      <c r="AW1364" s="36">
        <f t="shared" si="481"/>
        <v>0.34678795152440545</v>
      </c>
      <c r="AX1364" s="36">
        <f t="shared" si="481"/>
        <v>0.34748152742745425</v>
      </c>
      <c r="AY1364" s="36">
        <f t="shared" si="481"/>
        <v>0.34817649048230914</v>
      </c>
      <c r="AZ1364" s="36">
        <f t="shared" si="475"/>
        <v>0.34887423896022962</v>
      </c>
    </row>
    <row r="1365" spans="1:52" ht="12" customHeight="1" x14ac:dyDescent="0.2">
      <c r="A1365" t="s">
        <v>135</v>
      </c>
      <c r="B1365" t="str">
        <f t="shared" si="441"/>
        <v>MXC</v>
      </c>
      <c r="C1365" t="str">
        <f t="shared" si="442"/>
        <v>RJ</v>
      </c>
      <c r="D1365" s="36">
        <f t="shared" si="443"/>
        <v>0.15357050435514627</v>
      </c>
      <c r="E1365" s="36">
        <f t="shared" si="444"/>
        <v>0.15512172157085483</v>
      </c>
      <c r="F1365" s="36">
        <f t="shared" ref="F1365:AY1365" si="482">E1365*(1-INDEX($B$1267:$G$1267,,MATCH(F$1274,$B$1268:$G$1268,0)))</f>
        <v>0.15667293878656338</v>
      </c>
      <c r="G1365" s="56">
        <f t="shared" si="482"/>
        <v>0.15823966817442903</v>
      </c>
      <c r="H1365" s="36">
        <f t="shared" si="482"/>
        <v>0.15982206485617331</v>
      </c>
      <c r="I1365" s="36">
        <f t="shared" si="482"/>
        <v>0.16142028550473506</v>
      </c>
      <c r="J1365" s="36">
        <f t="shared" si="482"/>
        <v>0.1630344883597824</v>
      </c>
      <c r="K1365" s="36">
        <f t="shared" si="482"/>
        <v>0.16466483324338022</v>
      </c>
      <c r="L1365" s="36">
        <f t="shared" si="482"/>
        <v>0.16631148157581402</v>
      </c>
      <c r="M1365" s="36">
        <f t="shared" si="482"/>
        <v>0.16797459639157217</v>
      </c>
      <c r="N1365" s="36">
        <f t="shared" si="482"/>
        <v>0.1696543423554879</v>
      </c>
      <c r="O1365" s="36">
        <f t="shared" si="482"/>
        <v>0.17135088577904278</v>
      </c>
      <c r="P1365" s="36">
        <f t="shared" si="482"/>
        <v>0.17306439463683321</v>
      </c>
      <c r="Q1365" s="36">
        <f t="shared" si="482"/>
        <v>0.17392971661001735</v>
      </c>
      <c r="R1365" s="36">
        <f t="shared" si="482"/>
        <v>0.17479936519306744</v>
      </c>
      <c r="S1365" s="36">
        <f t="shared" si="482"/>
        <v>0.17567336201903275</v>
      </c>
      <c r="T1365" s="36">
        <f t="shared" si="482"/>
        <v>0.1765517288291279</v>
      </c>
      <c r="U1365" s="36">
        <f t="shared" si="482"/>
        <v>0.17743448747327351</v>
      </c>
      <c r="V1365" s="36">
        <f t="shared" si="482"/>
        <v>0.17832165991063986</v>
      </c>
      <c r="W1365" s="36">
        <f t="shared" si="482"/>
        <v>0.17921326821019304</v>
      </c>
      <c r="X1365" s="36">
        <f t="shared" si="482"/>
        <v>0.18010933455124398</v>
      </c>
      <c r="Y1365" s="36">
        <f t="shared" si="482"/>
        <v>0.18100988122400019</v>
      </c>
      <c r="Z1365" s="36">
        <f t="shared" si="482"/>
        <v>0.18191493063012018</v>
      </c>
      <c r="AA1365" s="36">
        <f t="shared" si="482"/>
        <v>0.18373407993642138</v>
      </c>
      <c r="AB1365" s="36">
        <f t="shared" si="482"/>
        <v>0.18557142073578559</v>
      </c>
      <c r="AC1365" s="36">
        <f t="shared" si="482"/>
        <v>0.18742713494314345</v>
      </c>
      <c r="AD1365" s="36">
        <f t="shared" si="482"/>
        <v>0.18930140629257489</v>
      </c>
      <c r="AE1365" s="36">
        <f t="shared" si="482"/>
        <v>0.19119442035550063</v>
      </c>
      <c r="AF1365" s="36">
        <f t="shared" si="482"/>
        <v>0.19310636455905564</v>
      </c>
      <c r="AG1365" s="36">
        <f t="shared" si="482"/>
        <v>0.1950374282046462</v>
      </c>
      <c r="AH1365" s="36">
        <f t="shared" si="482"/>
        <v>0.19698780248669268</v>
      </c>
      <c r="AI1365" s="36">
        <f t="shared" si="482"/>
        <v>0.1989576805115596</v>
      </c>
      <c r="AJ1365" s="36">
        <f t="shared" si="482"/>
        <v>0.2009472573166752</v>
      </c>
      <c r="AK1365" s="36">
        <f t="shared" si="482"/>
        <v>0.20476525520569203</v>
      </c>
      <c r="AL1365" s="36">
        <f t="shared" si="482"/>
        <v>0.20865579505460016</v>
      </c>
      <c r="AM1365" s="36">
        <f t="shared" si="482"/>
        <v>0.21262025516063754</v>
      </c>
      <c r="AN1365" s="36">
        <f t="shared" si="482"/>
        <v>0.21666004000868963</v>
      </c>
      <c r="AO1365" s="36">
        <f t="shared" si="482"/>
        <v>0.2207765807688547</v>
      </c>
      <c r="AP1365" s="36">
        <f t="shared" si="482"/>
        <v>0.22497133580346293</v>
      </c>
      <c r="AQ1365" s="36">
        <f t="shared" si="482"/>
        <v>0.2292457911837287</v>
      </c>
      <c r="AR1365" s="36">
        <f t="shared" si="482"/>
        <v>0.23360146121621952</v>
      </c>
      <c r="AS1365" s="36">
        <f t="shared" si="482"/>
        <v>0.23803988897932768</v>
      </c>
      <c r="AT1365" s="36">
        <f t="shared" si="482"/>
        <v>0.24256264686993489</v>
      </c>
      <c r="AU1365" s="36">
        <f t="shared" si="482"/>
        <v>0.24304777216367476</v>
      </c>
      <c r="AV1365" s="36">
        <f t="shared" si="482"/>
        <v>0.24353386770800212</v>
      </c>
      <c r="AW1365" s="36">
        <f t="shared" si="482"/>
        <v>0.24402093544341813</v>
      </c>
      <c r="AX1365" s="36">
        <f t="shared" si="482"/>
        <v>0.24450897731430496</v>
      </c>
      <c r="AY1365" s="36">
        <f t="shared" si="482"/>
        <v>0.24499799526893357</v>
      </c>
      <c r="AZ1365" s="36">
        <f t="shared" si="475"/>
        <v>0.24548897321536431</v>
      </c>
    </row>
    <row r="1366" spans="1:52" ht="12" customHeight="1" x14ac:dyDescent="0.2">
      <c r="A1366" t="s">
        <v>136</v>
      </c>
      <c r="B1366" t="str">
        <f t="shared" si="441"/>
        <v>EUR</v>
      </c>
      <c r="C1366" t="str">
        <f t="shared" si="442"/>
        <v>RJ</v>
      </c>
      <c r="D1366" s="36">
        <f t="shared" si="443"/>
        <v>0.18187797081848922</v>
      </c>
      <c r="E1366" s="36">
        <f t="shared" si="444"/>
        <v>0.18371512203887799</v>
      </c>
      <c r="F1366" s="36">
        <f t="shared" ref="F1366:AY1366" si="483">E1366*(1-INDEX($B$1267:$G$1267,,MATCH(F$1274,$B$1268:$G$1268,0)))</f>
        <v>0.18555227325926676</v>
      </c>
      <c r="G1366" s="56">
        <f t="shared" si="483"/>
        <v>0.18740779599185944</v>
      </c>
      <c r="H1366" s="36">
        <f t="shared" si="483"/>
        <v>0.18928187395177803</v>
      </c>
      <c r="I1366" s="36">
        <f t="shared" si="483"/>
        <v>0.19117469269129581</v>
      </c>
      <c r="J1366" s="36">
        <f t="shared" si="483"/>
        <v>0.19308643961820876</v>
      </c>
      <c r="K1366" s="36">
        <f t="shared" si="483"/>
        <v>0.19501730401439085</v>
      </c>
      <c r="L1366" s="36">
        <f t="shared" si="483"/>
        <v>0.19696747705453477</v>
      </c>
      <c r="M1366" s="36">
        <f t="shared" si="483"/>
        <v>0.19893715182508012</v>
      </c>
      <c r="N1366" s="36">
        <f t="shared" si="483"/>
        <v>0.20092652334333092</v>
      </c>
      <c r="O1366" s="36">
        <f t="shared" si="483"/>
        <v>0.20293578857676423</v>
      </c>
      <c r="P1366" s="36">
        <f t="shared" si="483"/>
        <v>0.20496514646253186</v>
      </c>
      <c r="Q1366" s="36">
        <f t="shared" si="483"/>
        <v>0.2059899721948445</v>
      </c>
      <c r="R1366" s="36">
        <f t="shared" si="483"/>
        <v>0.20701992205581871</v>
      </c>
      <c r="S1366" s="36">
        <f t="shared" si="483"/>
        <v>0.20805502166609777</v>
      </c>
      <c r="T1366" s="36">
        <f t="shared" si="483"/>
        <v>0.20909529677442823</v>
      </c>
      <c r="U1366" s="36">
        <f t="shared" si="483"/>
        <v>0.21014077325830036</v>
      </c>
      <c r="V1366" s="36">
        <f t="shared" si="483"/>
        <v>0.21119147712459183</v>
      </c>
      <c r="W1366" s="36">
        <f t="shared" si="483"/>
        <v>0.21224743451021477</v>
      </c>
      <c r="X1366" s="36">
        <f t="shared" si="483"/>
        <v>0.21330867168276582</v>
      </c>
      <c r="Y1366" s="36">
        <f t="shared" si="483"/>
        <v>0.21437521504117962</v>
      </c>
      <c r="Z1366" s="36">
        <f t="shared" si="483"/>
        <v>0.21544709111638549</v>
      </c>
      <c r="AA1366" s="36">
        <f t="shared" si="483"/>
        <v>0.21760156202754935</v>
      </c>
      <c r="AB1366" s="36">
        <f t="shared" si="483"/>
        <v>0.21977757764782485</v>
      </c>
      <c r="AC1366" s="36">
        <f t="shared" si="483"/>
        <v>0.22197535342430311</v>
      </c>
      <c r="AD1366" s="36">
        <f t="shared" si="483"/>
        <v>0.22419510695854614</v>
      </c>
      <c r="AE1366" s="36">
        <f t="shared" si="483"/>
        <v>0.2264370580281316</v>
      </c>
      <c r="AF1366" s="36">
        <f t="shared" si="483"/>
        <v>0.22870142860841292</v>
      </c>
      <c r="AG1366" s="36">
        <f t="shared" si="483"/>
        <v>0.23098844289449705</v>
      </c>
      <c r="AH1366" s="36">
        <f t="shared" si="483"/>
        <v>0.23329832732344202</v>
      </c>
      <c r="AI1366" s="36">
        <f t="shared" si="483"/>
        <v>0.23563131059667644</v>
      </c>
      <c r="AJ1366" s="36">
        <f t="shared" si="483"/>
        <v>0.2379876237026432</v>
      </c>
      <c r="AK1366" s="36">
        <f t="shared" si="483"/>
        <v>0.24250938855299339</v>
      </c>
      <c r="AL1366" s="36">
        <f t="shared" si="483"/>
        <v>0.24711706693550026</v>
      </c>
      <c r="AM1366" s="36">
        <f t="shared" si="483"/>
        <v>0.25181229120727472</v>
      </c>
      <c r="AN1366" s="36">
        <f t="shared" si="483"/>
        <v>0.25659672474021289</v>
      </c>
      <c r="AO1366" s="36">
        <f t="shared" si="483"/>
        <v>0.26147206251027694</v>
      </c>
      <c r="AP1366" s="36">
        <f t="shared" si="483"/>
        <v>0.2664400316979722</v>
      </c>
      <c r="AQ1366" s="36">
        <f t="shared" si="483"/>
        <v>0.27150239230023365</v>
      </c>
      <c r="AR1366" s="36">
        <f t="shared" si="483"/>
        <v>0.27666093775393807</v>
      </c>
      <c r="AS1366" s="36">
        <f t="shared" si="483"/>
        <v>0.28191749557126289</v>
      </c>
      <c r="AT1366" s="36">
        <f t="shared" si="483"/>
        <v>0.28727392798711687</v>
      </c>
      <c r="AU1366" s="36">
        <f t="shared" si="483"/>
        <v>0.28784847584309109</v>
      </c>
      <c r="AV1366" s="36">
        <f t="shared" si="483"/>
        <v>0.28842417279477728</v>
      </c>
      <c r="AW1366" s="36">
        <f t="shared" si="483"/>
        <v>0.28900102114036685</v>
      </c>
      <c r="AX1366" s="36">
        <f t="shared" si="483"/>
        <v>0.28957902318264761</v>
      </c>
      <c r="AY1366" s="36">
        <f t="shared" si="483"/>
        <v>0.29015818122901288</v>
      </c>
      <c r="AZ1366" s="36">
        <f t="shared" si="475"/>
        <v>0.29073966055011308</v>
      </c>
    </row>
    <row r="1367" spans="1:52" ht="12" customHeight="1" x14ac:dyDescent="0.2">
      <c r="A1367" t="s">
        <v>137</v>
      </c>
      <c r="B1367" t="str">
        <f t="shared" si="441"/>
        <v>JPN</v>
      </c>
      <c r="C1367" t="str">
        <f t="shared" si="442"/>
        <v>RJ</v>
      </c>
      <c r="D1367" s="36">
        <f t="shared" si="443"/>
        <v>0.20487342324129867</v>
      </c>
      <c r="E1367" s="36">
        <f t="shared" si="444"/>
        <v>0.20694285175888755</v>
      </c>
      <c r="F1367" s="36">
        <f t="shared" ref="F1367:AY1367" si="484">E1367*(1-INDEX($B$1267:$G$1267,,MATCH(F$1274,$B$1268:$G$1268,0)))</f>
        <v>0.20901228027647642</v>
      </c>
      <c r="G1367" s="56">
        <f t="shared" si="484"/>
        <v>0.21110240307924119</v>
      </c>
      <c r="H1367" s="36">
        <f t="shared" si="484"/>
        <v>0.2132134271100336</v>
      </c>
      <c r="I1367" s="36">
        <f t="shared" si="484"/>
        <v>0.21534556138113395</v>
      </c>
      <c r="J1367" s="36">
        <f t="shared" si="484"/>
        <v>0.21749901699494528</v>
      </c>
      <c r="K1367" s="36">
        <f t="shared" si="484"/>
        <v>0.21967400716489474</v>
      </c>
      <c r="L1367" s="36">
        <f t="shared" si="484"/>
        <v>0.22187074723654368</v>
      </c>
      <c r="M1367" s="36">
        <f t="shared" si="484"/>
        <v>0.22408945470890912</v>
      </c>
      <c r="N1367" s="36">
        <f t="shared" si="484"/>
        <v>0.22633034925599821</v>
      </c>
      <c r="O1367" s="36">
        <f t="shared" si="484"/>
        <v>0.2285936527485582</v>
      </c>
      <c r="P1367" s="36">
        <f t="shared" si="484"/>
        <v>0.23087958927604377</v>
      </c>
      <c r="Q1367" s="36">
        <f t="shared" si="484"/>
        <v>0.23203398722242397</v>
      </c>
      <c r="R1367" s="36">
        <f t="shared" si="484"/>
        <v>0.23319415715853606</v>
      </c>
      <c r="S1367" s="36">
        <f t="shared" si="484"/>
        <v>0.2343601279443287</v>
      </c>
      <c r="T1367" s="36">
        <f t="shared" si="484"/>
        <v>0.23553192858405031</v>
      </c>
      <c r="U1367" s="36">
        <f t="shared" si="484"/>
        <v>0.23670958822697052</v>
      </c>
      <c r="V1367" s="36">
        <f t="shared" si="484"/>
        <v>0.23789313616810534</v>
      </c>
      <c r="W1367" s="36">
        <f t="shared" si="484"/>
        <v>0.23908260184894584</v>
      </c>
      <c r="X1367" s="36">
        <f t="shared" si="484"/>
        <v>0.24027801485819053</v>
      </c>
      <c r="Y1367" s="36">
        <f t="shared" si="484"/>
        <v>0.24147940493248146</v>
      </c>
      <c r="Z1367" s="36">
        <f t="shared" si="484"/>
        <v>0.24268680195714384</v>
      </c>
      <c r="AA1367" s="36">
        <f t="shared" si="484"/>
        <v>0.2451136699767153</v>
      </c>
      <c r="AB1367" s="36">
        <f t="shared" si="484"/>
        <v>0.24756480667648245</v>
      </c>
      <c r="AC1367" s="36">
        <f t="shared" si="484"/>
        <v>0.25004045474324726</v>
      </c>
      <c r="AD1367" s="36">
        <f t="shared" si="484"/>
        <v>0.25254085929067976</v>
      </c>
      <c r="AE1367" s="36">
        <f t="shared" si="484"/>
        <v>0.25506626788358655</v>
      </c>
      <c r="AF1367" s="36">
        <f t="shared" si="484"/>
        <v>0.25761693056242241</v>
      </c>
      <c r="AG1367" s="36">
        <f t="shared" si="484"/>
        <v>0.26019309986804662</v>
      </c>
      <c r="AH1367" s="36">
        <f t="shared" si="484"/>
        <v>0.26279503086672706</v>
      </c>
      <c r="AI1367" s="36">
        <f t="shared" si="484"/>
        <v>0.26542298117539431</v>
      </c>
      <c r="AJ1367" s="36">
        <f t="shared" si="484"/>
        <v>0.26807721098714826</v>
      </c>
      <c r="AK1367" s="36">
        <f t="shared" si="484"/>
        <v>0.27317067799590405</v>
      </c>
      <c r="AL1367" s="36">
        <f t="shared" si="484"/>
        <v>0.27836092087782621</v>
      </c>
      <c r="AM1367" s="36">
        <f t="shared" si="484"/>
        <v>0.28364977837450489</v>
      </c>
      <c r="AN1367" s="36">
        <f t="shared" si="484"/>
        <v>0.28903912416362043</v>
      </c>
      <c r="AO1367" s="36">
        <f t="shared" si="484"/>
        <v>0.29453086752272917</v>
      </c>
      <c r="AP1367" s="36">
        <f t="shared" si="484"/>
        <v>0.30012695400566097</v>
      </c>
      <c r="AQ1367" s="36">
        <f t="shared" si="484"/>
        <v>0.30582936613176848</v>
      </c>
      <c r="AR1367" s="36">
        <f t="shared" si="484"/>
        <v>0.31164012408827207</v>
      </c>
      <c r="AS1367" s="36">
        <f t="shared" si="484"/>
        <v>0.31756128644594922</v>
      </c>
      <c r="AT1367" s="36">
        <f t="shared" si="484"/>
        <v>0.32359495088842222</v>
      </c>
      <c r="AU1367" s="36">
        <f t="shared" si="484"/>
        <v>0.32424214079019908</v>
      </c>
      <c r="AV1367" s="36">
        <f t="shared" si="484"/>
        <v>0.32489062507177946</v>
      </c>
      <c r="AW1367" s="36">
        <f t="shared" si="484"/>
        <v>0.32554040632192299</v>
      </c>
      <c r="AX1367" s="36">
        <f t="shared" si="484"/>
        <v>0.32619148713456686</v>
      </c>
      <c r="AY1367" s="36">
        <f t="shared" si="484"/>
        <v>0.32684387010883598</v>
      </c>
      <c r="AZ1367" s="36">
        <f t="shared" si="475"/>
        <v>0.32749886784452498</v>
      </c>
    </row>
    <row r="1368" spans="1:52" ht="12" customHeight="1" x14ac:dyDescent="0.2">
      <c r="A1368" t="s">
        <v>138</v>
      </c>
      <c r="B1368" t="str">
        <f t="shared" si="441"/>
        <v>ANZ</v>
      </c>
      <c r="C1368" t="str">
        <f t="shared" si="442"/>
        <v>RJ</v>
      </c>
      <c r="D1368" s="36">
        <f t="shared" si="443"/>
        <v>0.20985671580192822</v>
      </c>
      <c r="E1368" s="36">
        <f t="shared" si="444"/>
        <v>0.21197648060800831</v>
      </c>
      <c r="F1368" s="36">
        <f t="shared" ref="F1368:AY1368" si="485">E1368*(1-INDEX($B$1267:$G$1267,,MATCH(F$1274,$B$1268:$G$1268,0)))</f>
        <v>0.21409624541408839</v>
      </c>
      <c r="G1368" s="56">
        <f t="shared" si="485"/>
        <v>0.21623720786822928</v>
      </c>
      <c r="H1368" s="36">
        <f t="shared" si="485"/>
        <v>0.21839957994691159</v>
      </c>
      <c r="I1368" s="36">
        <f t="shared" si="485"/>
        <v>0.22058357574638071</v>
      </c>
      <c r="J1368" s="36">
        <f t="shared" si="485"/>
        <v>0.22278941150384451</v>
      </c>
      <c r="K1368" s="36">
        <f t="shared" si="485"/>
        <v>0.22501730561888297</v>
      </c>
      <c r="L1368" s="36">
        <f t="shared" si="485"/>
        <v>0.2272674786750718</v>
      </c>
      <c r="M1368" s="36">
        <f t="shared" si="485"/>
        <v>0.22954015346182252</v>
      </c>
      <c r="N1368" s="36">
        <f t="shared" si="485"/>
        <v>0.23183555499644076</v>
      </c>
      <c r="O1368" s="36">
        <f t="shared" si="485"/>
        <v>0.23415391054640516</v>
      </c>
      <c r="P1368" s="36">
        <f t="shared" si="485"/>
        <v>0.23649544965186922</v>
      </c>
      <c r="Q1368" s="36">
        <f t="shared" si="485"/>
        <v>0.23767792690012854</v>
      </c>
      <c r="R1368" s="36">
        <f t="shared" si="485"/>
        <v>0.23886631653462917</v>
      </c>
      <c r="S1368" s="36">
        <f t="shared" si="485"/>
        <v>0.24006064811730229</v>
      </c>
      <c r="T1368" s="36">
        <f t="shared" si="485"/>
        <v>0.24126095135788878</v>
      </c>
      <c r="U1368" s="36">
        <f t="shared" si="485"/>
        <v>0.2424672561146782</v>
      </c>
      <c r="V1368" s="36">
        <f t="shared" si="485"/>
        <v>0.24367959239525158</v>
      </c>
      <c r="W1368" s="36">
        <f t="shared" si="485"/>
        <v>0.24489799035722781</v>
      </c>
      <c r="X1368" s="36">
        <f t="shared" si="485"/>
        <v>0.24612248030901393</v>
      </c>
      <c r="Y1368" s="36">
        <f t="shared" si="485"/>
        <v>0.24735309271055897</v>
      </c>
      <c r="Z1368" s="36">
        <f t="shared" si="485"/>
        <v>0.24858985817411175</v>
      </c>
      <c r="AA1368" s="36">
        <f t="shared" si="485"/>
        <v>0.25107575675585286</v>
      </c>
      <c r="AB1368" s="36">
        <f t="shared" si="485"/>
        <v>0.25358651432341139</v>
      </c>
      <c r="AC1368" s="36">
        <f t="shared" si="485"/>
        <v>0.25612237946664551</v>
      </c>
      <c r="AD1368" s="36">
        <f t="shared" si="485"/>
        <v>0.25868360326131196</v>
      </c>
      <c r="AE1368" s="36">
        <f t="shared" si="485"/>
        <v>0.26127043929392507</v>
      </c>
      <c r="AF1368" s="36">
        <f t="shared" si="485"/>
        <v>0.26388314368686433</v>
      </c>
      <c r="AG1368" s="36">
        <f t="shared" si="485"/>
        <v>0.26652197512373299</v>
      </c>
      <c r="AH1368" s="36">
        <f t="shared" si="485"/>
        <v>0.26918719487497034</v>
      </c>
      <c r="AI1368" s="36">
        <f t="shared" si="485"/>
        <v>0.27187906682372004</v>
      </c>
      <c r="AJ1368" s="36">
        <f t="shared" si="485"/>
        <v>0.27459785749195725</v>
      </c>
      <c r="AK1368" s="36">
        <f t="shared" si="485"/>
        <v>0.27981521678430443</v>
      </c>
      <c r="AL1368" s="36">
        <f t="shared" si="485"/>
        <v>0.28513170590320619</v>
      </c>
      <c r="AM1368" s="36">
        <f t="shared" si="485"/>
        <v>0.29054920831536707</v>
      </c>
      <c r="AN1368" s="36">
        <f t="shared" si="485"/>
        <v>0.296069643273359</v>
      </c>
      <c r="AO1368" s="36">
        <f t="shared" si="485"/>
        <v>0.30169496649555277</v>
      </c>
      <c r="AP1368" s="36">
        <f t="shared" si="485"/>
        <v>0.30742717085896826</v>
      </c>
      <c r="AQ1368" s="36">
        <f t="shared" si="485"/>
        <v>0.31326828710528865</v>
      </c>
      <c r="AR1368" s="36">
        <f t="shared" si="485"/>
        <v>0.31922038456028912</v>
      </c>
      <c r="AS1368" s="36">
        <f t="shared" si="485"/>
        <v>0.32528557186693458</v>
      </c>
      <c r="AT1368" s="36">
        <f t="shared" si="485"/>
        <v>0.33146599773240631</v>
      </c>
      <c r="AU1368" s="36">
        <f t="shared" si="485"/>
        <v>0.33212892972787111</v>
      </c>
      <c r="AV1368" s="36">
        <f t="shared" si="485"/>
        <v>0.33279318758732684</v>
      </c>
      <c r="AW1368" s="36">
        <f t="shared" si="485"/>
        <v>0.33345877396250151</v>
      </c>
      <c r="AX1368" s="36">
        <f t="shared" si="485"/>
        <v>0.33412569151042654</v>
      </c>
      <c r="AY1368" s="36">
        <f t="shared" si="485"/>
        <v>0.33479394289344738</v>
      </c>
      <c r="AZ1368" s="36">
        <f t="shared" si="475"/>
        <v>0.33546487263872482</v>
      </c>
    </row>
    <row r="1369" spans="1:52" ht="12" customHeight="1" x14ac:dyDescent="0.2">
      <c r="A1369" t="s">
        <v>139</v>
      </c>
      <c r="B1369" t="str">
        <f t="shared" si="441"/>
        <v>SKO</v>
      </c>
      <c r="C1369" t="str">
        <f t="shared" si="442"/>
        <v>RJ</v>
      </c>
      <c r="D1369" s="36">
        <f t="shared" si="443"/>
        <v>0.28564045571737334</v>
      </c>
      <c r="E1369" s="36">
        <f t="shared" si="444"/>
        <v>0.28852571284583167</v>
      </c>
      <c r="F1369" s="36">
        <f t="shared" ref="F1369:AY1369" si="486">E1369*(1-INDEX($B$1267:$G$1267,,MATCH(F$1274,$B$1268:$G$1268,0)))</f>
        <v>0.29141096997429</v>
      </c>
      <c r="G1369" s="56">
        <f t="shared" si="486"/>
        <v>0.29432507967403293</v>
      </c>
      <c r="H1369" s="36">
        <f t="shared" si="486"/>
        <v>0.29726833047077328</v>
      </c>
      <c r="I1369" s="36">
        <f t="shared" si="486"/>
        <v>0.30024101377548101</v>
      </c>
      <c r="J1369" s="36">
        <f t="shared" si="486"/>
        <v>0.30324342391323583</v>
      </c>
      <c r="K1369" s="36">
        <f t="shared" si="486"/>
        <v>0.30627585815236819</v>
      </c>
      <c r="L1369" s="36">
        <f t="shared" si="486"/>
        <v>0.30933861673389185</v>
      </c>
      <c r="M1369" s="36">
        <f t="shared" si="486"/>
        <v>0.31243200290123074</v>
      </c>
      <c r="N1369" s="36">
        <f t="shared" si="486"/>
        <v>0.31555632293024305</v>
      </c>
      <c r="O1369" s="36">
        <f t="shared" si="486"/>
        <v>0.31871188615954549</v>
      </c>
      <c r="P1369" s="36">
        <f t="shared" si="486"/>
        <v>0.32189900502114094</v>
      </c>
      <c r="Q1369" s="36">
        <f t="shared" si="486"/>
        <v>0.32350850004624659</v>
      </c>
      <c r="R1369" s="36">
        <f t="shared" si="486"/>
        <v>0.32512604254647781</v>
      </c>
      <c r="S1369" s="36">
        <f t="shared" si="486"/>
        <v>0.32675167275921019</v>
      </c>
      <c r="T1369" s="36">
        <f t="shared" si="486"/>
        <v>0.32838543112300622</v>
      </c>
      <c r="U1369" s="36">
        <f t="shared" si="486"/>
        <v>0.33002735827862123</v>
      </c>
      <c r="V1369" s="36">
        <f t="shared" si="486"/>
        <v>0.33167749507001432</v>
      </c>
      <c r="W1369" s="36">
        <f t="shared" si="486"/>
        <v>0.33333588254536434</v>
      </c>
      <c r="X1369" s="36">
        <f t="shared" si="486"/>
        <v>0.33500256195809114</v>
      </c>
      <c r="Y1369" s="36">
        <f t="shared" si="486"/>
        <v>0.33667757476788157</v>
      </c>
      <c r="Z1369" s="36">
        <f t="shared" si="486"/>
        <v>0.33836096264172094</v>
      </c>
      <c r="AA1369" s="36">
        <f t="shared" si="486"/>
        <v>0.34174457226813815</v>
      </c>
      <c r="AB1369" s="36">
        <f t="shared" si="486"/>
        <v>0.34516201799081953</v>
      </c>
      <c r="AC1369" s="36">
        <f t="shared" si="486"/>
        <v>0.34861363817072771</v>
      </c>
      <c r="AD1369" s="36">
        <f t="shared" si="486"/>
        <v>0.35209977455243502</v>
      </c>
      <c r="AE1369" s="36">
        <f t="shared" si="486"/>
        <v>0.35562077229795935</v>
      </c>
      <c r="AF1369" s="36">
        <f t="shared" si="486"/>
        <v>0.35917698002093895</v>
      </c>
      <c r="AG1369" s="36">
        <f t="shared" si="486"/>
        <v>0.36276874982114832</v>
      </c>
      <c r="AH1369" s="36">
        <f t="shared" si="486"/>
        <v>0.36639643731935978</v>
      </c>
      <c r="AI1369" s="36">
        <f t="shared" si="486"/>
        <v>0.37006040169255339</v>
      </c>
      <c r="AJ1369" s="36">
        <f t="shared" si="486"/>
        <v>0.3737610057094789</v>
      </c>
      <c r="AK1369" s="36">
        <f t="shared" si="486"/>
        <v>0.38086246481795899</v>
      </c>
      <c r="AL1369" s="36">
        <f t="shared" si="486"/>
        <v>0.3880988516495002</v>
      </c>
      <c r="AM1369" s="36">
        <f t="shared" si="486"/>
        <v>0.39547272983084064</v>
      </c>
      <c r="AN1369" s="36">
        <f t="shared" si="486"/>
        <v>0.40298671169762657</v>
      </c>
      <c r="AO1369" s="36">
        <f t="shared" si="486"/>
        <v>0.41064345921988143</v>
      </c>
      <c r="AP1369" s="36">
        <f t="shared" si="486"/>
        <v>0.41844568494505913</v>
      </c>
      <c r="AQ1369" s="36">
        <f t="shared" si="486"/>
        <v>0.42639615295901523</v>
      </c>
      <c r="AR1369" s="36">
        <f t="shared" si="486"/>
        <v>0.43449767986523646</v>
      </c>
      <c r="AS1369" s="36">
        <f t="shared" si="486"/>
        <v>0.44275313578267589</v>
      </c>
      <c r="AT1369" s="36">
        <f t="shared" si="486"/>
        <v>0.45116544536254671</v>
      </c>
      <c r="AU1369" s="36">
        <f t="shared" si="486"/>
        <v>0.45206777625327182</v>
      </c>
      <c r="AV1369" s="36">
        <f t="shared" si="486"/>
        <v>0.45297191180577839</v>
      </c>
      <c r="AW1369" s="36">
        <f t="shared" si="486"/>
        <v>0.45387785562938993</v>
      </c>
      <c r="AX1369" s="36">
        <f t="shared" si="486"/>
        <v>0.45478561134064871</v>
      </c>
      <c r="AY1369" s="36">
        <f t="shared" si="486"/>
        <v>0.45569518256333003</v>
      </c>
      <c r="AZ1369" s="36">
        <f t="shared" si="475"/>
        <v>0.45660839936205416</v>
      </c>
    </row>
    <row r="1370" spans="1:52" ht="12" customHeight="1" x14ac:dyDescent="0.2">
      <c r="A1370" t="s">
        <v>140</v>
      </c>
      <c r="B1370" t="str">
        <f t="shared" si="441"/>
        <v>RUS</v>
      </c>
      <c r="C1370" t="str">
        <f t="shared" si="442"/>
        <v>RJ</v>
      </c>
      <c r="D1370" s="36">
        <f t="shared" si="443"/>
        <v>0.21718440763834643</v>
      </c>
      <c r="E1370" s="36">
        <f t="shared" si="444"/>
        <v>0.21937818953368327</v>
      </c>
      <c r="F1370" s="36">
        <f t="shared" ref="F1370:AY1370" si="487">E1370*(1-INDEX($B$1267:$G$1267,,MATCH(F$1274,$B$1268:$G$1268,0)))</f>
        <v>0.2215719714290201</v>
      </c>
      <c r="G1370" s="56">
        <f t="shared" si="487"/>
        <v>0.22378769114331032</v>
      </c>
      <c r="H1370" s="36">
        <f t="shared" si="487"/>
        <v>0.22602556805474341</v>
      </c>
      <c r="I1370" s="36">
        <f t="shared" si="487"/>
        <v>0.22828582373529085</v>
      </c>
      <c r="J1370" s="36">
        <f t="shared" si="487"/>
        <v>0.23056868197264377</v>
      </c>
      <c r="K1370" s="36">
        <f t="shared" si="487"/>
        <v>0.2328743687923702</v>
      </c>
      <c r="L1370" s="36">
        <f t="shared" si="487"/>
        <v>0.23520311248029391</v>
      </c>
      <c r="M1370" s="36">
        <f t="shared" si="487"/>
        <v>0.23755514360509686</v>
      </c>
      <c r="N1370" s="36">
        <f t="shared" si="487"/>
        <v>0.23993069504114783</v>
      </c>
      <c r="O1370" s="36">
        <f t="shared" si="487"/>
        <v>0.24233000199155932</v>
      </c>
      <c r="P1370" s="36">
        <f t="shared" si="487"/>
        <v>0.24475330201147491</v>
      </c>
      <c r="Q1370" s="36">
        <f t="shared" si="487"/>
        <v>0.24597706852153225</v>
      </c>
      <c r="R1370" s="36">
        <f t="shared" si="487"/>
        <v>0.24720695386413988</v>
      </c>
      <c r="S1370" s="36">
        <f t="shared" si="487"/>
        <v>0.24844298863346054</v>
      </c>
      <c r="T1370" s="36">
        <f t="shared" si="487"/>
        <v>0.24968520357662782</v>
      </c>
      <c r="U1370" s="36">
        <f t="shared" si="487"/>
        <v>0.25093362959451093</v>
      </c>
      <c r="V1370" s="36">
        <f t="shared" si="487"/>
        <v>0.25218829774248347</v>
      </c>
      <c r="W1370" s="36">
        <f t="shared" si="487"/>
        <v>0.25344923923119583</v>
      </c>
      <c r="X1370" s="36">
        <f t="shared" si="487"/>
        <v>0.25471648542735176</v>
      </c>
      <c r="Y1370" s="36">
        <f t="shared" si="487"/>
        <v>0.25599006785448847</v>
      </c>
      <c r="Z1370" s="36">
        <f t="shared" si="487"/>
        <v>0.25727001819376089</v>
      </c>
      <c r="AA1370" s="36">
        <f t="shared" si="487"/>
        <v>0.2598427183756985</v>
      </c>
      <c r="AB1370" s="36">
        <f t="shared" si="487"/>
        <v>0.26244114555945547</v>
      </c>
      <c r="AC1370" s="36">
        <f t="shared" si="487"/>
        <v>0.26506555701505002</v>
      </c>
      <c r="AD1370" s="36">
        <f t="shared" si="487"/>
        <v>0.26771621258520051</v>
      </c>
      <c r="AE1370" s="36">
        <f t="shared" si="487"/>
        <v>0.27039337471105251</v>
      </c>
      <c r="AF1370" s="36">
        <f t="shared" si="487"/>
        <v>0.27309730845816305</v>
      </c>
      <c r="AG1370" s="36">
        <f t="shared" si="487"/>
        <v>0.27582828154274469</v>
      </c>
      <c r="AH1370" s="36">
        <f t="shared" si="487"/>
        <v>0.27858656435817214</v>
      </c>
      <c r="AI1370" s="36">
        <f t="shared" si="487"/>
        <v>0.28137243000175388</v>
      </c>
      <c r="AJ1370" s="36">
        <f t="shared" si="487"/>
        <v>0.28418615430177141</v>
      </c>
      <c r="AK1370" s="36">
        <f t="shared" si="487"/>
        <v>0.28958569123350503</v>
      </c>
      <c r="AL1370" s="36">
        <f t="shared" si="487"/>
        <v>0.29508781936694162</v>
      </c>
      <c r="AM1370" s="36">
        <f t="shared" si="487"/>
        <v>0.30069448793491349</v>
      </c>
      <c r="AN1370" s="36">
        <f t="shared" si="487"/>
        <v>0.3064076832056768</v>
      </c>
      <c r="AO1370" s="36">
        <f t="shared" si="487"/>
        <v>0.31222942918658464</v>
      </c>
      <c r="AP1370" s="36">
        <f t="shared" si="487"/>
        <v>0.31816178834112974</v>
      </c>
      <c r="AQ1370" s="36">
        <f t="shared" si="487"/>
        <v>0.32420686231961116</v>
      </c>
      <c r="AR1370" s="36">
        <f t="shared" si="487"/>
        <v>0.33036679270368374</v>
      </c>
      <c r="AS1370" s="36">
        <f t="shared" si="487"/>
        <v>0.33664376176505373</v>
      </c>
      <c r="AT1370" s="36">
        <f t="shared" si="487"/>
        <v>0.34303999323858969</v>
      </c>
      <c r="AU1370" s="36">
        <f t="shared" si="487"/>
        <v>0.34372607322506687</v>
      </c>
      <c r="AV1370" s="36">
        <f t="shared" si="487"/>
        <v>0.34441352537151698</v>
      </c>
      <c r="AW1370" s="36">
        <f t="shared" si="487"/>
        <v>0.34510235242226001</v>
      </c>
      <c r="AX1370" s="36">
        <f t="shared" si="487"/>
        <v>0.34579255712710455</v>
      </c>
      <c r="AY1370" s="36">
        <f t="shared" si="487"/>
        <v>0.34648414224135876</v>
      </c>
      <c r="AZ1370" s="36">
        <f t="shared" si="475"/>
        <v>0.34717849923983846</v>
      </c>
    </row>
    <row r="1371" spans="1:52" ht="12" customHeight="1" x14ac:dyDescent="0.2">
      <c r="A1371" t="s">
        <v>141</v>
      </c>
      <c r="B1371" t="str">
        <f t="shared" si="441"/>
        <v>URA</v>
      </c>
      <c r="C1371" t="str">
        <f t="shared" si="442"/>
        <v>RJ</v>
      </c>
      <c r="D1371" s="36">
        <f t="shared" si="443"/>
        <v>0.12921702015516787</v>
      </c>
      <c r="E1371" s="36">
        <f t="shared" si="444"/>
        <v>0.13052224258097764</v>
      </c>
      <c r="F1371" s="36">
        <f t="shared" ref="F1371:AY1371" si="488">E1371*(1-INDEX($B$1267:$G$1267,,MATCH(F$1274,$B$1268:$G$1268,0)))</f>
        <v>0.13182746500678741</v>
      </c>
      <c r="G1371" s="56">
        <f t="shared" si="488"/>
        <v>0.13314573965685528</v>
      </c>
      <c r="H1371" s="36">
        <f t="shared" si="488"/>
        <v>0.13447719705342384</v>
      </c>
      <c r="I1371" s="36">
        <f t="shared" si="488"/>
        <v>0.13582196902395807</v>
      </c>
      <c r="J1371" s="36">
        <f t="shared" si="488"/>
        <v>0.13718018871419765</v>
      </c>
      <c r="K1371" s="36">
        <f t="shared" si="488"/>
        <v>0.13855199060133963</v>
      </c>
      <c r="L1371" s="36">
        <f t="shared" si="488"/>
        <v>0.13993751050735304</v>
      </c>
      <c r="M1371" s="36">
        <f t="shared" si="488"/>
        <v>0.14133688561242658</v>
      </c>
      <c r="N1371" s="36">
        <f t="shared" si="488"/>
        <v>0.14275025446855086</v>
      </c>
      <c r="O1371" s="36">
        <f t="shared" si="488"/>
        <v>0.14417775701323637</v>
      </c>
      <c r="P1371" s="36">
        <f t="shared" si="488"/>
        <v>0.14561953458336874</v>
      </c>
      <c r="Q1371" s="36">
        <f t="shared" si="488"/>
        <v>0.14634763225628555</v>
      </c>
      <c r="R1371" s="36">
        <f t="shared" si="488"/>
        <v>0.14707937041756697</v>
      </c>
      <c r="S1371" s="36">
        <f t="shared" si="488"/>
        <v>0.14781476726965478</v>
      </c>
      <c r="T1371" s="36">
        <f t="shared" si="488"/>
        <v>0.14855384110600303</v>
      </c>
      <c r="U1371" s="36">
        <f t="shared" si="488"/>
        <v>0.14929661031153302</v>
      </c>
      <c r="V1371" s="36">
        <f t="shared" si="488"/>
        <v>0.15004309336309066</v>
      </c>
      <c r="W1371" s="36">
        <f t="shared" si="488"/>
        <v>0.1507933088299061</v>
      </c>
      <c r="X1371" s="36">
        <f t="shared" si="488"/>
        <v>0.15154727537405563</v>
      </c>
      <c r="Y1371" s="36">
        <f t="shared" si="488"/>
        <v>0.15230501175092589</v>
      </c>
      <c r="Z1371" s="36">
        <f t="shared" si="488"/>
        <v>0.15306653680968052</v>
      </c>
      <c r="AA1371" s="36">
        <f t="shared" si="488"/>
        <v>0.15459720217777734</v>
      </c>
      <c r="AB1371" s="36">
        <f t="shared" si="488"/>
        <v>0.15614317419955512</v>
      </c>
      <c r="AC1371" s="36">
        <f t="shared" si="488"/>
        <v>0.15770460594155067</v>
      </c>
      <c r="AD1371" s="36">
        <f t="shared" si="488"/>
        <v>0.15928165200096617</v>
      </c>
      <c r="AE1371" s="36">
        <f t="shared" si="488"/>
        <v>0.16087446852097584</v>
      </c>
      <c r="AF1371" s="36">
        <f t="shared" si="488"/>
        <v>0.16248321320618561</v>
      </c>
      <c r="AG1371" s="36">
        <f t="shared" si="488"/>
        <v>0.16410804533824747</v>
      </c>
      <c r="AH1371" s="36">
        <f t="shared" si="488"/>
        <v>0.16574912579162995</v>
      </c>
      <c r="AI1371" s="36">
        <f t="shared" si="488"/>
        <v>0.16740661704954626</v>
      </c>
      <c r="AJ1371" s="36">
        <f t="shared" si="488"/>
        <v>0.16908068322004172</v>
      </c>
      <c r="AK1371" s="36">
        <f t="shared" si="488"/>
        <v>0.17229321620122248</v>
      </c>
      <c r="AL1371" s="36">
        <f t="shared" si="488"/>
        <v>0.17556678730904568</v>
      </c>
      <c r="AM1371" s="36">
        <f t="shared" si="488"/>
        <v>0.17890255626791754</v>
      </c>
      <c r="AN1371" s="36">
        <f t="shared" si="488"/>
        <v>0.18230170483700794</v>
      </c>
      <c r="AO1371" s="36">
        <f t="shared" si="488"/>
        <v>0.18576543722891109</v>
      </c>
      <c r="AP1371" s="36">
        <f t="shared" si="488"/>
        <v>0.18929498053626037</v>
      </c>
      <c r="AQ1371" s="36">
        <f t="shared" si="488"/>
        <v>0.1928915851664493</v>
      </c>
      <c r="AR1371" s="36">
        <f t="shared" si="488"/>
        <v>0.19655652528461182</v>
      </c>
      <c r="AS1371" s="36">
        <f t="shared" si="488"/>
        <v>0.20029109926501942</v>
      </c>
      <c r="AT1371" s="36">
        <f t="shared" si="488"/>
        <v>0.20409663015105478</v>
      </c>
      <c r="AU1371" s="36">
        <f t="shared" si="488"/>
        <v>0.2045048234113569</v>
      </c>
      <c r="AV1371" s="36">
        <f t="shared" si="488"/>
        <v>0.20491383305817962</v>
      </c>
      <c r="AW1371" s="36">
        <f t="shared" si="488"/>
        <v>0.20532366072429598</v>
      </c>
      <c r="AX1371" s="36">
        <f t="shared" si="488"/>
        <v>0.20573430804574458</v>
      </c>
      <c r="AY1371" s="36">
        <f t="shared" si="488"/>
        <v>0.20614577666183606</v>
      </c>
      <c r="AZ1371" s="36">
        <f t="shared" si="475"/>
        <v>0.20655889445073755</v>
      </c>
    </row>
    <row r="1372" spans="1:52" ht="12" customHeight="1" x14ac:dyDescent="0.2">
      <c r="A1372" t="s">
        <v>142</v>
      </c>
      <c r="B1372" t="str">
        <f t="shared" si="441"/>
        <v>CHI</v>
      </c>
      <c r="C1372" t="str">
        <f t="shared" si="442"/>
        <v>RJ</v>
      </c>
      <c r="D1372" s="36">
        <f t="shared" si="443"/>
        <v>0.13938605489676772</v>
      </c>
      <c r="E1372" s="36">
        <f t="shared" si="444"/>
        <v>0.14079399484521993</v>
      </c>
      <c r="F1372" s="36">
        <f t="shared" ref="F1372:AY1372" si="489">E1372*(1-INDEX($B$1267:$G$1267,,MATCH(F$1274,$B$1268:$G$1268,0)))</f>
        <v>0.14220193479367213</v>
      </c>
      <c r="G1372" s="56">
        <f t="shared" si="489"/>
        <v>0.14362395414160886</v>
      </c>
      <c r="H1372" s="36">
        <f t="shared" si="489"/>
        <v>0.14506019368302495</v>
      </c>
      <c r="I1372" s="36">
        <f t="shared" si="489"/>
        <v>0.14651079561985519</v>
      </c>
      <c r="J1372" s="36">
        <f t="shared" si="489"/>
        <v>0.14797590357605375</v>
      </c>
      <c r="K1372" s="36">
        <f t="shared" si="489"/>
        <v>0.14945566261181428</v>
      </c>
      <c r="L1372" s="36">
        <f t="shared" si="489"/>
        <v>0.15095021923793242</v>
      </c>
      <c r="M1372" s="36">
        <f t="shared" si="489"/>
        <v>0.15245972143031175</v>
      </c>
      <c r="N1372" s="36">
        <f t="shared" si="489"/>
        <v>0.15398431864461487</v>
      </c>
      <c r="O1372" s="36">
        <f t="shared" si="489"/>
        <v>0.15552416183106102</v>
      </c>
      <c r="P1372" s="36">
        <f t="shared" si="489"/>
        <v>0.15707940344937163</v>
      </c>
      <c r="Q1372" s="36">
        <f t="shared" si="489"/>
        <v>0.15786480046661847</v>
      </c>
      <c r="R1372" s="36">
        <f t="shared" si="489"/>
        <v>0.15865412446895155</v>
      </c>
      <c r="S1372" s="36">
        <f t="shared" si="489"/>
        <v>0.1594473950912963</v>
      </c>
      <c r="T1372" s="36">
        <f t="shared" si="489"/>
        <v>0.16024463206675277</v>
      </c>
      <c r="U1372" s="36">
        <f t="shared" si="489"/>
        <v>0.1610458552270865</v>
      </c>
      <c r="V1372" s="36">
        <f t="shared" si="489"/>
        <v>0.16185108450322191</v>
      </c>
      <c r="W1372" s="36">
        <f t="shared" si="489"/>
        <v>0.162660339925738</v>
      </c>
      <c r="X1372" s="36">
        <f t="shared" si="489"/>
        <v>0.16347364162536668</v>
      </c>
      <c r="Y1372" s="36">
        <f t="shared" si="489"/>
        <v>0.16429100983349348</v>
      </c>
      <c r="Z1372" s="36">
        <f t="shared" si="489"/>
        <v>0.16511246488266093</v>
      </c>
      <c r="AA1372" s="36">
        <f t="shared" si="489"/>
        <v>0.16676358953148754</v>
      </c>
      <c r="AB1372" s="36">
        <f t="shared" si="489"/>
        <v>0.16843122542680242</v>
      </c>
      <c r="AC1372" s="36">
        <f t="shared" si="489"/>
        <v>0.17011553768107043</v>
      </c>
      <c r="AD1372" s="36">
        <f t="shared" si="489"/>
        <v>0.17181669305788114</v>
      </c>
      <c r="AE1372" s="36">
        <f t="shared" si="489"/>
        <v>0.17353485998845994</v>
      </c>
      <c r="AF1372" s="36">
        <f t="shared" si="489"/>
        <v>0.17527020858834455</v>
      </c>
      <c r="AG1372" s="36">
        <f t="shared" si="489"/>
        <v>0.17702291067422798</v>
      </c>
      <c r="AH1372" s="36">
        <f t="shared" si="489"/>
        <v>0.17879313978097028</v>
      </c>
      <c r="AI1372" s="36">
        <f t="shared" si="489"/>
        <v>0.18058107117877997</v>
      </c>
      <c r="AJ1372" s="36">
        <f t="shared" si="489"/>
        <v>0.18238688189056779</v>
      </c>
      <c r="AK1372" s="36">
        <f t="shared" si="489"/>
        <v>0.18585223264648856</v>
      </c>
      <c r="AL1372" s="36">
        <f t="shared" si="489"/>
        <v>0.18938342506677183</v>
      </c>
      <c r="AM1372" s="36">
        <f t="shared" si="489"/>
        <v>0.19298171014304047</v>
      </c>
      <c r="AN1372" s="36">
        <f t="shared" si="489"/>
        <v>0.19664836263575822</v>
      </c>
      <c r="AO1372" s="36">
        <f t="shared" si="489"/>
        <v>0.2003846815258376</v>
      </c>
      <c r="AP1372" s="36">
        <f t="shared" si="489"/>
        <v>0.2041919904748285</v>
      </c>
      <c r="AQ1372" s="36">
        <f t="shared" si="489"/>
        <v>0.20807163829385023</v>
      </c>
      <c r="AR1372" s="36">
        <f t="shared" si="489"/>
        <v>0.21202499942143335</v>
      </c>
      <c r="AS1372" s="36">
        <f t="shared" si="489"/>
        <v>0.21605347441044057</v>
      </c>
      <c r="AT1372" s="36">
        <f t="shared" si="489"/>
        <v>0.22015849042423891</v>
      </c>
      <c r="AU1372" s="36">
        <f t="shared" si="489"/>
        <v>0.22059880740508739</v>
      </c>
      <c r="AV1372" s="36">
        <f t="shared" si="489"/>
        <v>0.22104000501989757</v>
      </c>
      <c r="AW1372" s="36">
        <f t="shared" si="489"/>
        <v>0.22148208502993735</v>
      </c>
      <c r="AX1372" s="36">
        <f t="shared" si="489"/>
        <v>0.22192504919999723</v>
      </c>
      <c r="AY1372" s="36">
        <f t="shared" si="489"/>
        <v>0.22236889929839723</v>
      </c>
      <c r="AZ1372" s="36">
        <f t="shared" si="475"/>
        <v>0.22281452835510743</v>
      </c>
    </row>
    <row r="1373" spans="1:52" ht="12" customHeight="1" x14ac:dyDescent="0.2">
      <c r="A1373" t="s">
        <v>143</v>
      </c>
      <c r="B1373" t="str">
        <f t="shared" si="441"/>
        <v>IND</v>
      </c>
      <c r="C1373" t="str">
        <f t="shared" si="442"/>
        <v>RJ</v>
      </c>
      <c r="D1373" s="36">
        <f t="shared" si="443"/>
        <v>0.19839947306847397</v>
      </c>
      <c r="E1373" s="36">
        <f t="shared" si="444"/>
        <v>0.20040350814997371</v>
      </c>
      <c r="F1373" s="36">
        <f t="shared" ref="F1373:AY1373" si="490">E1373*(1-INDEX($B$1267:$G$1267,,MATCH(F$1274,$B$1268:$G$1268,0)))</f>
        <v>0.20240754323147345</v>
      </c>
      <c r="G1373" s="56">
        <f t="shared" si="490"/>
        <v>0.20443161866378817</v>
      </c>
      <c r="H1373" s="36">
        <f t="shared" si="490"/>
        <v>0.20647593485042606</v>
      </c>
      <c r="I1373" s="36">
        <f t="shared" si="490"/>
        <v>0.20854069419893032</v>
      </c>
      <c r="J1373" s="36">
        <f t="shared" si="490"/>
        <v>0.21062610114091962</v>
      </c>
      <c r="K1373" s="36">
        <f t="shared" si="490"/>
        <v>0.21273236215232882</v>
      </c>
      <c r="L1373" s="36">
        <f t="shared" si="490"/>
        <v>0.21485968577385212</v>
      </c>
      <c r="M1373" s="36">
        <f t="shared" si="490"/>
        <v>0.21700828263159064</v>
      </c>
      <c r="N1373" s="36">
        <f t="shared" si="490"/>
        <v>0.21917836545790653</v>
      </c>
      <c r="O1373" s="36">
        <f t="shared" si="490"/>
        <v>0.22137014911248559</v>
      </c>
      <c r="P1373" s="36">
        <f t="shared" si="490"/>
        <v>0.22358385060361044</v>
      </c>
      <c r="Q1373" s="36">
        <f t="shared" si="490"/>
        <v>0.22470176985662846</v>
      </c>
      <c r="R1373" s="36">
        <f t="shared" si="490"/>
        <v>0.22582527870591157</v>
      </c>
      <c r="S1373" s="36">
        <f t="shared" si="490"/>
        <v>0.22695440509944109</v>
      </c>
      <c r="T1373" s="36">
        <f t="shared" si="490"/>
        <v>0.22808917712493829</v>
      </c>
      <c r="U1373" s="36">
        <f t="shared" si="490"/>
        <v>0.22922962301056296</v>
      </c>
      <c r="V1373" s="36">
        <f t="shared" si="490"/>
        <v>0.23037577112561575</v>
      </c>
      <c r="W1373" s="36">
        <f t="shared" si="490"/>
        <v>0.23152764998124381</v>
      </c>
      <c r="X1373" s="36">
        <f t="shared" si="490"/>
        <v>0.23268528823115001</v>
      </c>
      <c r="Y1373" s="36">
        <f t="shared" si="490"/>
        <v>0.23384871467230572</v>
      </c>
      <c r="Z1373" s="36">
        <f t="shared" si="490"/>
        <v>0.23501795824566724</v>
      </c>
      <c r="AA1373" s="36">
        <f t="shared" si="490"/>
        <v>0.23736813782812391</v>
      </c>
      <c r="AB1373" s="36">
        <f t="shared" si="490"/>
        <v>0.23974181920640514</v>
      </c>
      <c r="AC1373" s="36">
        <f t="shared" si="490"/>
        <v>0.24213923739846918</v>
      </c>
      <c r="AD1373" s="36">
        <f t="shared" si="490"/>
        <v>0.24456062977245388</v>
      </c>
      <c r="AE1373" s="36">
        <f t="shared" si="490"/>
        <v>0.24700623607017841</v>
      </c>
      <c r="AF1373" s="36">
        <f t="shared" si="490"/>
        <v>0.24947629843088021</v>
      </c>
      <c r="AG1373" s="36">
        <f t="shared" si="490"/>
        <v>0.25197106141518899</v>
      </c>
      <c r="AH1373" s="36">
        <f t="shared" si="490"/>
        <v>0.25449077202934089</v>
      </c>
      <c r="AI1373" s="36">
        <f t="shared" si="490"/>
        <v>0.25703567974963432</v>
      </c>
      <c r="AJ1373" s="36">
        <f t="shared" si="490"/>
        <v>0.25960603654713066</v>
      </c>
      <c r="AK1373" s="36">
        <f t="shared" si="490"/>
        <v>0.26453855124152614</v>
      </c>
      <c r="AL1373" s="36">
        <f t="shared" si="490"/>
        <v>0.26956478371511511</v>
      </c>
      <c r="AM1373" s="36">
        <f t="shared" si="490"/>
        <v>0.27468651460570226</v>
      </c>
      <c r="AN1373" s="36">
        <f t="shared" si="490"/>
        <v>0.27990555838321057</v>
      </c>
      <c r="AO1373" s="36">
        <f t="shared" si="490"/>
        <v>0.28522376399249155</v>
      </c>
      <c r="AP1373" s="36">
        <f t="shared" si="490"/>
        <v>0.29064301550834887</v>
      </c>
      <c r="AQ1373" s="36">
        <f t="shared" si="490"/>
        <v>0.29616523280300749</v>
      </c>
      <c r="AR1373" s="36">
        <f t="shared" si="490"/>
        <v>0.30179237222626459</v>
      </c>
      <c r="AS1373" s="36">
        <f t="shared" si="490"/>
        <v>0.30752642729856361</v>
      </c>
      <c r="AT1373" s="36">
        <f t="shared" si="490"/>
        <v>0.31336942941723628</v>
      </c>
      <c r="AU1373" s="36">
        <f t="shared" si="490"/>
        <v>0.31399616827607074</v>
      </c>
      <c r="AV1373" s="36">
        <f t="shared" si="490"/>
        <v>0.31462416061262288</v>
      </c>
      <c r="AW1373" s="36">
        <f t="shared" si="490"/>
        <v>0.31525340893384812</v>
      </c>
      <c r="AX1373" s="36">
        <f t="shared" si="490"/>
        <v>0.31588391575171582</v>
      </c>
      <c r="AY1373" s="36">
        <f t="shared" si="490"/>
        <v>0.31651568358321924</v>
      </c>
      <c r="AZ1373" s="36">
        <f t="shared" si="475"/>
        <v>0.31714998355031987</v>
      </c>
    </row>
    <row r="1374" spans="1:52" ht="12" customHeight="1" x14ac:dyDescent="0.2">
      <c r="A1374" t="s">
        <v>144</v>
      </c>
      <c r="B1374" t="str">
        <f t="shared" si="441"/>
        <v>OAS</v>
      </c>
      <c r="C1374" t="str">
        <f t="shared" si="442"/>
        <v>RJ</v>
      </c>
      <c r="D1374" s="36">
        <f t="shared" si="443"/>
        <v>0.23739881030910012</v>
      </c>
      <c r="E1374" s="36">
        <f t="shared" si="444"/>
        <v>0.23979677809000013</v>
      </c>
      <c r="F1374" s="36">
        <f t="shared" ref="F1374:AY1374" si="491">E1374*(1-INDEX($B$1267:$G$1267,,MATCH(F$1274,$B$1268:$G$1268,0)))</f>
        <v>0.24219474587090015</v>
      </c>
      <c r="G1374" s="56">
        <f t="shared" si="491"/>
        <v>0.24461669332960914</v>
      </c>
      <c r="H1374" s="36">
        <f t="shared" si="491"/>
        <v>0.24706286026290525</v>
      </c>
      <c r="I1374" s="36">
        <f t="shared" si="491"/>
        <v>0.24953348886553431</v>
      </c>
      <c r="J1374" s="36">
        <f t="shared" si="491"/>
        <v>0.25202882375418967</v>
      </c>
      <c r="K1374" s="36">
        <f t="shared" si="491"/>
        <v>0.25454911199173158</v>
      </c>
      <c r="L1374" s="36">
        <f t="shared" si="491"/>
        <v>0.25709460311164889</v>
      </c>
      <c r="M1374" s="36">
        <f t="shared" si="491"/>
        <v>0.25966554914276541</v>
      </c>
      <c r="N1374" s="36">
        <f t="shared" si="491"/>
        <v>0.26226220463419309</v>
      </c>
      <c r="O1374" s="36">
        <f t="shared" si="491"/>
        <v>0.26488482668053503</v>
      </c>
      <c r="P1374" s="36">
        <f t="shared" si="491"/>
        <v>0.26753367494734037</v>
      </c>
      <c r="Q1374" s="36">
        <f t="shared" si="491"/>
        <v>0.26887134332207707</v>
      </c>
      <c r="R1374" s="36">
        <f t="shared" si="491"/>
        <v>0.27021570003868745</v>
      </c>
      <c r="S1374" s="36">
        <f t="shared" si="491"/>
        <v>0.27156677853888084</v>
      </c>
      <c r="T1374" s="36">
        <f t="shared" si="491"/>
        <v>0.27292461243157523</v>
      </c>
      <c r="U1374" s="36">
        <f t="shared" si="491"/>
        <v>0.27428923549373307</v>
      </c>
      <c r="V1374" s="36">
        <f t="shared" si="491"/>
        <v>0.27566068167120172</v>
      </c>
      <c r="W1374" s="36">
        <f t="shared" si="491"/>
        <v>0.27703898507955771</v>
      </c>
      <c r="X1374" s="36">
        <f t="shared" si="491"/>
        <v>0.27842418000495545</v>
      </c>
      <c r="Y1374" s="36">
        <f t="shared" si="491"/>
        <v>0.27981630090498022</v>
      </c>
      <c r="Z1374" s="36">
        <f t="shared" si="491"/>
        <v>0.28121538240950511</v>
      </c>
      <c r="AA1374" s="36">
        <f t="shared" si="491"/>
        <v>0.28402753623360016</v>
      </c>
      <c r="AB1374" s="36">
        <f t="shared" si="491"/>
        <v>0.28686781159593616</v>
      </c>
      <c r="AC1374" s="36">
        <f t="shared" si="491"/>
        <v>0.28973648971189553</v>
      </c>
      <c r="AD1374" s="36">
        <f t="shared" si="491"/>
        <v>0.29263385460901448</v>
      </c>
      <c r="AE1374" s="36">
        <f t="shared" si="491"/>
        <v>0.29556019315510462</v>
      </c>
      <c r="AF1374" s="36">
        <f t="shared" si="491"/>
        <v>0.29851579508665566</v>
      </c>
      <c r="AG1374" s="36">
        <f t="shared" si="491"/>
        <v>0.30150095303752222</v>
      </c>
      <c r="AH1374" s="36">
        <f t="shared" si="491"/>
        <v>0.30451596256789742</v>
      </c>
      <c r="AI1374" s="36">
        <f t="shared" si="491"/>
        <v>0.3075611221935764</v>
      </c>
      <c r="AJ1374" s="36">
        <f t="shared" si="491"/>
        <v>0.31063673341551218</v>
      </c>
      <c r="AK1374" s="36">
        <f t="shared" si="491"/>
        <v>0.31653883135040689</v>
      </c>
      <c r="AL1374" s="36">
        <f t="shared" si="491"/>
        <v>0.32255306914606457</v>
      </c>
      <c r="AM1374" s="36">
        <f t="shared" si="491"/>
        <v>0.32868157745983978</v>
      </c>
      <c r="AN1374" s="36">
        <f t="shared" si="491"/>
        <v>0.33492652743157669</v>
      </c>
      <c r="AO1374" s="36">
        <f t="shared" si="491"/>
        <v>0.34129013145277665</v>
      </c>
      <c r="AP1374" s="36">
        <f t="shared" si="491"/>
        <v>0.34777464395037938</v>
      </c>
      <c r="AQ1374" s="36">
        <f t="shared" si="491"/>
        <v>0.35438236218543656</v>
      </c>
      <c r="AR1374" s="36">
        <f t="shared" si="491"/>
        <v>0.36111562706695982</v>
      </c>
      <c r="AS1374" s="36">
        <f t="shared" si="491"/>
        <v>0.36797682398123205</v>
      </c>
      <c r="AT1374" s="36">
        <f t="shared" si="491"/>
        <v>0.3749683836368754</v>
      </c>
      <c r="AU1374" s="36">
        <f t="shared" si="491"/>
        <v>0.37571832040414915</v>
      </c>
      <c r="AV1374" s="36">
        <f t="shared" si="491"/>
        <v>0.37646975704495744</v>
      </c>
      <c r="AW1374" s="36">
        <f t="shared" si="491"/>
        <v>0.37722269655904733</v>
      </c>
      <c r="AX1374" s="36">
        <f t="shared" si="491"/>
        <v>0.37797714195216542</v>
      </c>
      <c r="AY1374" s="36">
        <f t="shared" si="491"/>
        <v>0.37873309623606977</v>
      </c>
      <c r="AZ1374" s="36">
        <f t="shared" si="475"/>
        <v>0.37949208039686344</v>
      </c>
    </row>
    <row r="1375" spans="1:52" ht="12" customHeight="1" x14ac:dyDescent="0.2">
      <c r="A1375" t="s">
        <v>145</v>
      </c>
      <c r="B1375" t="str">
        <f t="shared" si="441"/>
        <v>MID</v>
      </c>
      <c r="C1375" t="str">
        <f t="shared" si="442"/>
        <v>RJ</v>
      </c>
      <c r="D1375" s="36">
        <f t="shared" si="443"/>
        <v>0.22167171849288822</v>
      </c>
      <c r="E1375" s="36">
        <f t="shared" si="444"/>
        <v>0.22391082676049315</v>
      </c>
      <c r="F1375" s="36">
        <f t="shared" ref="F1375:AY1375" si="492">E1375*(1-INDEX($B$1267:$G$1267,,MATCH(F$1274,$B$1268:$G$1268,0)))</f>
        <v>0.22614993502809808</v>
      </c>
      <c r="G1375" s="56">
        <f t="shared" si="492"/>
        <v>0.22841143437837905</v>
      </c>
      <c r="H1375" s="36">
        <f t="shared" si="492"/>
        <v>0.23069554872216283</v>
      </c>
      <c r="I1375" s="36">
        <f t="shared" si="492"/>
        <v>0.23300250420938445</v>
      </c>
      <c r="J1375" s="36">
        <f t="shared" si="492"/>
        <v>0.2353325292514783</v>
      </c>
      <c r="K1375" s="36">
        <f t="shared" si="492"/>
        <v>0.23768585454399307</v>
      </c>
      <c r="L1375" s="36">
        <f t="shared" si="492"/>
        <v>0.240062713089433</v>
      </c>
      <c r="M1375" s="36">
        <f t="shared" si="492"/>
        <v>0.24246334022032734</v>
      </c>
      <c r="N1375" s="36">
        <f t="shared" si="492"/>
        <v>0.24488797362253062</v>
      </c>
      <c r="O1375" s="36">
        <f t="shared" si="492"/>
        <v>0.24733685335875594</v>
      </c>
      <c r="P1375" s="36">
        <f t="shared" si="492"/>
        <v>0.2498102218923435</v>
      </c>
      <c r="Q1375" s="36">
        <f t="shared" si="492"/>
        <v>0.25105927300180519</v>
      </c>
      <c r="R1375" s="36">
        <f t="shared" si="492"/>
        <v>0.25231456936681418</v>
      </c>
      <c r="S1375" s="36">
        <f t="shared" si="492"/>
        <v>0.25357614221364821</v>
      </c>
      <c r="T1375" s="36">
        <f t="shared" si="492"/>
        <v>0.25484402292471642</v>
      </c>
      <c r="U1375" s="36">
        <f t="shared" si="492"/>
        <v>0.25611824303934</v>
      </c>
      <c r="V1375" s="36">
        <f t="shared" si="492"/>
        <v>0.25739883425453669</v>
      </c>
      <c r="W1375" s="36">
        <f t="shared" si="492"/>
        <v>0.25868582842580934</v>
      </c>
      <c r="X1375" s="36">
        <f t="shared" si="492"/>
        <v>0.25997925756793838</v>
      </c>
      <c r="Y1375" s="36">
        <f t="shared" si="492"/>
        <v>0.26127915385577805</v>
      </c>
      <c r="Z1375" s="36">
        <f t="shared" si="492"/>
        <v>0.26258554962505692</v>
      </c>
      <c r="AA1375" s="36">
        <f t="shared" si="492"/>
        <v>0.26521140512130748</v>
      </c>
      <c r="AB1375" s="36">
        <f t="shared" si="492"/>
        <v>0.26786351917252055</v>
      </c>
      <c r="AC1375" s="36">
        <f t="shared" si="492"/>
        <v>0.27054215436424578</v>
      </c>
      <c r="AD1375" s="36">
        <f t="shared" si="492"/>
        <v>0.27324757590788823</v>
      </c>
      <c r="AE1375" s="36">
        <f t="shared" si="492"/>
        <v>0.2759800516669671</v>
      </c>
      <c r="AF1375" s="36">
        <f t="shared" si="492"/>
        <v>0.27873985218363678</v>
      </c>
      <c r="AG1375" s="36">
        <f t="shared" si="492"/>
        <v>0.28152725070547313</v>
      </c>
      <c r="AH1375" s="36">
        <f t="shared" si="492"/>
        <v>0.28434252321252784</v>
      </c>
      <c r="AI1375" s="36">
        <f t="shared" si="492"/>
        <v>0.28718594844465312</v>
      </c>
      <c r="AJ1375" s="36">
        <f t="shared" si="492"/>
        <v>0.29005780792909963</v>
      </c>
      <c r="AK1375" s="36">
        <f t="shared" si="492"/>
        <v>0.29556890627975252</v>
      </c>
      <c r="AL1375" s="36">
        <f t="shared" si="492"/>
        <v>0.30118471549906778</v>
      </c>
      <c r="AM1375" s="36">
        <f t="shared" si="492"/>
        <v>0.30690722509355006</v>
      </c>
      <c r="AN1375" s="36">
        <f t="shared" si="492"/>
        <v>0.31273846237032749</v>
      </c>
      <c r="AO1375" s="36">
        <f t="shared" si="492"/>
        <v>0.31868049315536368</v>
      </c>
      <c r="AP1375" s="36">
        <f t="shared" si="492"/>
        <v>0.32473542252531556</v>
      </c>
      <c r="AQ1375" s="36">
        <f t="shared" si="492"/>
        <v>0.33090539555329651</v>
      </c>
      <c r="AR1375" s="36">
        <f t="shared" si="492"/>
        <v>0.33719259806880914</v>
      </c>
      <c r="AS1375" s="36">
        <f t="shared" si="492"/>
        <v>0.3435992574321165</v>
      </c>
      <c r="AT1375" s="36">
        <f t="shared" si="492"/>
        <v>0.35012764332332669</v>
      </c>
      <c r="AU1375" s="36">
        <f t="shared" si="492"/>
        <v>0.35082789860997332</v>
      </c>
      <c r="AV1375" s="36">
        <f t="shared" si="492"/>
        <v>0.35152955440719325</v>
      </c>
      <c r="AW1375" s="36">
        <f t="shared" si="492"/>
        <v>0.35223261351600765</v>
      </c>
      <c r="AX1375" s="36">
        <f t="shared" si="492"/>
        <v>0.35293707874303965</v>
      </c>
      <c r="AY1375" s="36">
        <f t="shared" si="492"/>
        <v>0.35364295290052572</v>
      </c>
      <c r="AZ1375" s="36">
        <f t="shared" si="475"/>
        <v>0.35435165621295162</v>
      </c>
    </row>
    <row r="1376" spans="1:52" ht="12" customHeight="1" x14ac:dyDescent="0.2">
      <c r="A1376" t="s">
        <v>146</v>
      </c>
      <c r="B1376" t="str">
        <f t="shared" si="441"/>
        <v>AFR</v>
      </c>
      <c r="C1376" t="str">
        <f t="shared" si="442"/>
        <v>RJ</v>
      </c>
      <c r="D1376" s="36">
        <f t="shared" si="443"/>
        <v>0.21625445312919933</v>
      </c>
      <c r="E1376" s="36">
        <f t="shared" si="444"/>
        <v>0.2184388415446458</v>
      </c>
      <c r="F1376" s="36">
        <f t="shared" ref="F1376:AY1376" si="493">E1376*(1-INDEX($B$1267:$G$1267,,MATCH(F$1274,$B$1268:$G$1268,0)))</f>
        <v>0.22062322996009226</v>
      </c>
      <c r="G1376" s="56">
        <f t="shared" si="493"/>
        <v>0.22282946225969319</v>
      </c>
      <c r="H1376" s="36">
        <f t="shared" si="493"/>
        <v>0.22505775688229013</v>
      </c>
      <c r="I1376" s="36">
        <f t="shared" si="493"/>
        <v>0.22730833445111304</v>
      </c>
      <c r="J1376" s="36">
        <f t="shared" si="493"/>
        <v>0.22958141779562416</v>
      </c>
      <c r="K1376" s="36">
        <f t="shared" si="493"/>
        <v>0.2318772319735804</v>
      </c>
      <c r="L1376" s="36">
        <f t="shared" si="493"/>
        <v>0.23419600429331622</v>
      </c>
      <c r="M1376" s="36">
        <f t="shared" si="493"/>
        <v>0.23653796433624938</v>
      </c>
      <c r="N1376" s="36">
        <f t="shared" si="493"/>
        <v>0.23890334397961188</v>
      </c>
      <c r="O1376" s="36">
        <f t="shared" si="493"/>
        <v>0.24129237741940801</v>
      </c>
      <c r="P1376" s="36">
        <f t="shared" si="493"/>
        <v>0.24370530119360209</v>
      </c>
      <c r="Q1376" s="36">
        <f t="shared" si="493"/>
        <v>0.24492382769957008</v>
      </c>
      <c r="R1376" s="36">
        <f t="shared" si="493"/>
        <v>0.24614844683806791</v>
      </c>
      <c r="S1376" s="36">
        <f t="shared" si="493"/>
        <v>0.24737918907225823</v>
      </c>
      <c r="T1376" s="36">
        <f t="shared" si="493"/>
        <v>0.2486160850176195</v>
      </c>
      <c r="U1376" s="36">
        <f t="shared" si="493"/>
        <v>0.24985916544270759</v>
      </c>
      <c r="V1376" s="36">
        <f t="shared" si="493"/>
        <v>0.25110846126992109</v>
      </c>
      <c r="W1376" s="36">
        <f t="shared" si="493"/>
        <v>0.25236400357627065</v>
      </c>
      <c r="X1376" s="36">
        <f t="shared" si="493"/>
        <v>0.25362582359415198</v>
      </c>
      <c r="Y1376" s="36">
        <f t="shared" si="493"/>
        <v>0.25489395271212273</v>
      </c>
      <c r="Z1376" s="36">
        <f t="shared" si="493"/>
        <v>0.25616842247568333</v>
      </c>
      <c r="AA1376" s="36">
        <f t="shared" si="493"/>
        <v>0.25873010670044017</v>
      </c>
      <c r="AB1376" s="36">
        <f t="shared" si="493"/>
        <v>0.26131740776744455</v>
      </c>
      <c r="AC1376" s="36">
        <f t="shared" si="493"/>
        <v>0.26393058184511903</v>
      </c>
      <c r="AD1376" s="36">
        <f t="shared" si="493"/>
        <v>0.2665698876635702</v>
      </c>
      <c r="AE1376" s="36">
        <f t="shared" si="493"/>
        <v>0.26923558654020591</v>
      </c>
      <c r="AF1376" s="36">
        <f t="shared" si="493"/>
        <v>0.27192794240560797</v>
      </c>
      <c r="AG1376" s="36">
        <f t="shared" si="493"/>
        <v>0.27464722182966406</v>
      </c>
      <c r="AH1376" s="36">
        <f t="shared" si="493"/>
        <v>0.27739369404796071</v>
      </c>
      <c r="AI1376" s="36">
        <f t="shared" si="493"/>
        <v>0.28016763098844033</v>
      </c>
      <c r="AJ1376" s="36">
        <f t="shared" si="493"/>
        <v>0.28296930729832476</v>
      </c>
      <c r="AK1376" s="36">
        <f t="shared" si="493"/>
        <v>0.28834572413699289</v>
      </c>
      <c r="AL1376" s="36">
        <f t="shared" si="493"/>
        <v>0.29382429289559575</v>
      </c>
      <c r="AM1376" s="36">
        <f t="shared" si="493"/>
        <v>0.29940695446061205</v>
      </c>
      <c r="AN1376" s="36">
        <f t="shared" si="493"/>
        <v>0.30509568659536368</v>
      </c>
      <c r="AO1376" s="36">
        <f t="shared" si="493"/>
        <v>0.31089250464067558</v>
      </c>
      <c r="AP1376" s="36">
        <f t="shared" si="493"/>
        <v>0.31679946222884842</v>
      </c>
      <c r="AQ1376" s="36">
        <f t="shared" si="493"/>
        <v>0.32281865201119653</v>
      </c>
      <c r="AR1376" s="36">
        <f t="shared" si="493"/>
        <v>0.32895220639940925</v>
      </c>
      <c r="AS1376" s="36">
        <f t="shared" si="493"/>
        <v>0.33520229832099802</v>
      </c>
      <c r="AT1376" s="36">
        <f t="shared" si="493"/>
        <v>0.34157114198909694</v>
      </c>
      <c r="AU1376" s="36">
        <f t="shared" si="493"/>
        <v>0.34225428427307514</v>
      </c>
      <c r="AV1376" s="36">
        <f t="shared" si="493"/>
        <v>0.34293879284162126</v>
      </c>
      <c r="AW1376" s="36">
        <f t="shared" si="493"/>
        <v>0.34362467042730449</v>
      </c>
      <c r="AX1376" s="36">
        <f t="shared" si="493"/>
        <v>0.34431191976815911</v>
      </c>
      <c r="AY1376" s="36">
        <f t="shared" si="493"/>
        <v>0.34500054360769544</v>
      </c>
      <c r="AZ1376" s="36">
        <f t="shared" si="475"/>
        <v>0.34569192746262067</v>
      </c>
    </row>
    <row r="1377" spans="1:52" ht="12" customHeight="1" x14ac:dyDescent="0.2">
      <c r="A1377" t="s">
        <v>147</v>
      </c>
      <c r="B1377" t="str">
        <f t="shared" si="441"/>
        <v>BRZ</v>
      </c>
      <c r="C1377" t="str">
        <f t="shared" si="442"/>
        <v>RJ</v>
      </c>
      <c r="D1377" s="36">
        <f t="shared" si="443"/>
        <v>0.18477285563731216</v>
      </c>
      <c r="E1377" s="36">
        <f t="shared" si="444"/>
        <v>0.18663924811849714</v>
      </c>
      <c r="F1377" s="36">
        <f t="shared" ref="F1377:AY1377" si="494">E1377*(1-INDEX($B$1267:$G$1267,,MATCH(F$1274,$B$1268:$G$1268,0)))</f>
        <v>0.18850564059968211</v>
      </c>
      <c r="G1377" s="56">
        <f t="shared" si="494"/>
        <v>0.19039069700567893</v>
      </c>
      <c r="H1377" s="36">
        <f t="shared" si="494"/>
        <v>0.19229460397573572</v>
      </c>
      <c r="I1377" s="36">
        <f t="shared" si="494"/>
        <v>0.1942175500154931</v>
      </c>
      <c r="J1377" s="36">
        <f t="shared" si="494"/>
        <v>0.19615972551564803</v>
      </c>
      <c r="K1377" s="36">
        <f t="shared" si="494"/>
        <v>0.19812132277080452</v>
      </c>
      <c r="L1377" s="36">
        <f t="shared" si="494"/>
        <v>0.20010253599851258</v>
      </c>
      <c r="M1377" s="36">
        <f t="shared" si="494"/>
        <v>0.20210356135849769</v>
      </c>
      <c r="N1377" s="36">
        <f t="shared" si="494"/>
        <v>0.20412459697208266</v>
      </c>
      <c r="O1377" s="36">
        <f t="shared" si="494"/>
        <v>0.20616584294180348</v>
      </c>
      <c r="P1377" s="36">
        <f t="shared" si="494"/>
        <v>0.20822750137122151</v>
      </c>
      <c r="Q1377" s="36">
        <f t="shared" si="494"/>
        <v>0.20926863887807759</v>
      </c>
      <c r="R1377" s="36">
        <f t="shared" si="494"/>
        <v>0.21031498207246796</v>
      </c>
      <c r="S1377" s="36">
        <f t="shared" si="494"/>
        <v>0.21136655698283027</v>
      </c>
      <c r="T1377" s="36">
        <f t="shared" si="494"/>
        <v>0.21242338976774441</v>
      </c>
      <c r="U1377" s="36">
        <f t="shared" si="494"/>
        <v>0.21348550671658312</v>
      </c>
      <c r="V1377" s="36">
        <f t="shared" si="494"/>
        <v>0.214552934250166</v>
      </c>
      <c r="W1377" s="36">
        <f t="shared" si="494"/>
        <v>0.21562569892141681</v>
      </c>
      <c r="X1377" s="36">
        <f t="shared" si="494"/>
        <v>0.21670382741602387</v>
      </c>
      <c r="Y1377" s="36">
        <f t="shared" si="494"/>
        <v>0.21778734655310397</v>
      </c>
      <c r="Z1377" s="36">
        <f t="shared" si="494"/>
        <v>0.21887628328586947</v>
      </c>
      <c r="AA1377" s="36">
        <f t="shared" si="494"/>
        <v>0.22106504611872818</v>
      </c>
      <c r="AB1377" s="36">
        <f t="shared" si="494"/>
        <v>0.22327569657991547</v>
      </c>
      <c r="AC1377" s="36">
        <f t="shared" si="494"/>
        <v>0.22550845354571464</v>
      </c>
      <c r="AD1377" s="36">
        <f t="shared" si="494"/>
        <v>0.22776353808117178</v>
      </c>
      <c r="AE1377" s="36">
        <f t="shared" si="494"/>
        <v>0.23004117346198349</v>
      </c>
      <c r="AF1377" s="36">
        <f t="shared" si="494"/>
        <v>0.23234158519660333</v>
      </c>
      <c r="AG1377" s="36">
        <f t="shared" si="494"/>
        <v>0.23466500104856938</v>
      </c>
      <c r="AH1377" s="36">
        <f t="shared" si="494"/>
        <v>0.23701165105905508</v>
      </c>
      <c r="AI1377" s="36">
        <f t="shared" si="494"/>
        <v>0.23938176756964563</v>
      </c>
      <c r="AJ1377" s="36">
        <f t="shared" si="494"/>
        <v>0.2417755852453421</v>
      </c>
      <c r="AK1377" s="36">
        <f t="shared" si="494"/>
        <v>0.24636932136500359</v>
      </c>
      <c r="AL1377" s="36">
        <f t="shared" si="494"/>
        <v>0.25105033847093861</v>
      </c>
      <c r="AM1377" s="36">
        <f t="shared" si="494"/>
        <v>0.2558202949018864</v>
      </c>
      <c r="AN1377" s="36">
        <f t="shared" si="494"/>
        <v>0.26068088050502219</v>
      </c>
      <c r="AO1377" s="36">
        <f t="shared" si="494"/>
        <v>0.2656338172346176</v>
      </c>
      <c r="AP1377" s="36">
        <f t="shared" si="494"/>
        <v>0.27068085976207529</v>
      </c>
      <c r="AQ1377" s="36">
        <f t="shared" si="494"/>
        <v>0.2758237960975547</v>
      </c>
      <c r="AR1377" s="36">
        <f t="shared" si="494"/>
        <v>0.2810644482234082</v>
      </c>
      <c r="AS1377" s="36">
        <f t="shared" si="494"/>
        <v>0.28640467273965292</v>
      </c>
      <c r="AT1377" s="36">
        <f t="shared" si="494"/>
        <v>0.29184636152170629</v>
      </c>
      <c r="AU1377" s="36">
        <f t="shared" si="494"/>
        <v>0.29243005424474972</v>
      </c>
      <c r="AV1377" s="36">
        <f t="shared" si="494"/>
        <v>0.29301491435323923</v>
      </c>
      <c r="AW1377" s="36">
        <f t="shared" si="494"/>
        <v>0.29360094418194571</v>
      </c>
      <c r="AX1377" s="36">
        <f t="shared" si="494"/>
        <v>0.29418814607030963</v>
      </c>
      <c r="AY1377" s="36">
        <f t="shared" si="494"/>
        <v>0.29477652236245028</v>
      </c>
      <c r="AZ1377" s="36">
        <f t="shared" si="475"/>
        <v>0.29536725687620269</v>
      </c>
    </row>
    <row r="1378" spans="1:52" ht="12" customHeight="1" x14ac:dyDescent="0.2">
      <c r="A1378" t="s">
        <v>148</v>
      </c>
      <c r="B1378" t="str">
        <f t="shared" si="441"/>
        <v>CSA</v>
      </c>
      <c r="C1378" t="str">
        <f t="shared" si="442"/>
        <v>RJ</v>
      </c>
      <c r="D1378" s="36">
        <f t="shared" si="443"/>
        <v>0.16968026635548908</v>
      </c>
      <c r="E1378" s="36">
        <f t="shared" si="444"/>
        <v>0.17139420843988795</v>
      </c>
      <c r="F1378" s="36">
        <f t="shared" ref="F1378:AY1378" si="495">E1378*(1-INDEX($B$1267:$G$1267,,MATCH(F$1274,$B$1268:$G$1268,0)))</f>
        <v>0.17310815052428682</v>
      </c>
      <c r="G1378" s="56">
        <f t="shared" si="495"/>
        <v>0.1748392320295297</v>
      </c>
      <c r="H1378" s="36">
        <f t="shared" si="495"/>
        <v>0.176587624349825</v>
      </c>
      <c r="I1378" s="36">
        <f t="shared" si="495"/>
        <v>0.17835350059332325</v>
      </c>
      <c r="J1378" s="36">
        <f t="shared" si="495"/>
        <v>0.18013703559925648</v>
      </c>
      <c r="K1378" s="36">
        <f t="shared" si="495"/>
        <v>0.18193840595524904</v>
      </c>
      <c r="L1378" s="36">
        <f t="shared" si="495"/>
        <v>0.18375779001480153</v>
      </c>
      <c r="M1378" s="36">
        <f t="shared" si="495"/>
        <v>0.18559536791494954</v>
      </c>
      <c r="N1378" s="36">
        <f t="shared" si="495"/>
        <v>0.18745132159409905</v>
      </c>
      <c r="O1378" s="36">
        <f t="shared" si="495"/>
        <v>0.18932583481004003</v>
      </c>
      <c r="P1378" s="36">
        <f t="shared" si="495"/>
        <v>0.19121909315814042</v>
      </c>
      <c r="Q1378" s="36">
        <f t="shared" si="495"/>
        <v>0.1921751886239311</v>
      </c>
      <c r="R1378" s="36">
        <f t="shared" si="495"/>
        <v>0.19313606456705074</v>
      </c>
      <c r="S1378" s="36">
        <f t="shared" si="495"/>
        <v>0.19410174488988596</v>
      </c>
      <c r="T1378" s="36">
        <f t="shared" si="495"/>
        <v>0.19507225361433536</v>
      </c>
      <c r="U1378" s="36">
        <f t="shared" si="495"/>
        <v>0.19604761488240702</v>
      </c>
      <c r="V1378" s="36">
        <f t="shared" si="495"/>
        <v>0.19702785295681904</v>
      </c>
      <c r="W1378" s="36">
        <f t="shared" si="495"/>
        <v>0.19801299222160312</v>
      </c>
      <c r="X1378" s="36">
        <f t="shared" si="495"/>
        <v>0.19900305718271111</v>
      </c>
      <c r="Y1378" s="36">
        <f t="shared" si="495"/>
        <v>0.19999807246862464</v>
      </c>
      <c r="Z1378" s="36">
        <f t="shared" si="495"/>
        <v>0.20099806283096774</v>
      </c>
      <c r="AA1378" s="36">
        <f t="shared" si="495"/>
        <v>0.20300804345927742</v>
      </c>
      <c r="AB1378" s="36">
        <f t="shared" si="495"/>
        <v>0.20503812389387019</v>
      </c>
      <c r="AC1378" s="36">
        <f t="shared" si="495"/>
        <v>0.20708850513280888</v>
      </c>
      <c r="AD1378" s="36">
        <f t="shared" si="495"/>
        <v>0.20915939018413698</v>
      </c>
      <c r="AE1378" s="36">
        <f t="shared" si="495"/>
        <v>0.21125098408597837</v>
      </c>
      <c r="AF1378" s="36">
        <f t="shared" si="495"/>
        <v>0.21336349392683815</v>
      </c>
      <c r="AG1378" s="36">
        <f t="shared" si="495"/>
        <v>0.21549712886610653</v>
      </c>
      <c r="AH1378" s="36">
        <f t="shared" si="495"/>
        <v>0.2176521001547676</v>
      </c>
      <c r="AI1378" s="36">
        <f t="shared" si="495"/>
        <v>0.21982862115631527</v>
      </c>
      <c r="AJ1378" s="36">
        <f t="shared" si="495"/>
        <v>0.22202690736787842</v>
      </c>
      <c r="AK1378" s="36">
        <f t="shared" si="495"/>
        <v>0.22624541860786809</v>
      </c>
      <c r="AL1378" s="36">
        <f t="shared" si="495"/>
        <v>0.23054408156141756</v>
      </c>
      <c r="AM1378" s="36">
        <f t="shared" si="495"/>
        <v>0.23492441911108447</v>
      </c>
      <c r="AN1378" s="36">
        <f t="shared" si="495"/>
        <v>0.23938798307419507</v>
      </c>
      <c r="AO1378" s="36">
        <f t="shared" si="495"/>
        <v>0.24393635475260475</v>
      </c>
      <c r="AP1378" s="36">
        <f t="shared" si="495"/>
        <v>0.24857114549290421</v>
      </c>
      <c r="AQ1378" s="36">
        <f t="shared" si="495"/>
        <v>0.25329399725726937</v>
      </c>
      <c r="AR1378" s="36">
        <f t="shared" si="495"/>
        <v>0.25810658320515745</v>
      </c>
      <c r="AS1378" s="36">
        <f t="shared" si="495"/>
        <v>0.26301060828605544</v>
      </c>
      <c r="AT1378" s="36">
        <f t="shared" si="495"/>
        <v>0.26800780984349049</v>
      </c>
      <c r="AU1378" s="36">
        <f t="shared" si="495"/>
        <v>0.26854382546317745</v>
      </c>
      <c r="AV1378" s="36">
        <f t="shared" si="495"/>
        <v>0.26908091311410381</v>
      </c>
      <c r="AW1378" s="36">
        <f t="shared" si="495"/>
        <v>0.26961907494033205</v>
      </c>
      <c r="AX1378" s="36">
        <f t="shared" si="495"/>
        <v>0.27015831309021271</v>
      </c>
      <c r="AY1378" s="36">
        <f t="shared" si="495"/>
        <v>0.27069862971639314</v>
      </c>
      <c r="AZ1378" s="36">
        <f t="shared" si="475"/>
        <v>0.27124111194027367</v>
      </c>
    </row>
    <row r="1379" spans="1:52" ht="12" customHeight="1" x14ac:dyDescent="0.2">
      <c r="A1379" t="s">
        <v>310</v>
      </c>
      <c r="E1379" s="20"/>
      <c r="AD1379" s="20"/>
    </row>
    <row r="1381" spans="1:52" ht="12" customHeight="1" x14ac:dyDescent="0.2">
      <c r="A1381" t="s">
        <v>311</v>
      </c>
    </row>
    <row r="1382" spans="1:52" ht="12" customHeight="1" x14ac:dyDescent="0.2">
      <c r="A1382" t="s">
        <v>312</v>
      </c>
    </row>
    <row r="1383" spans="1:52" ht="12" customHeight="1" x14ac:dyDescent="0.2">
      <c r="A1383" t="s">
        <v>313</v>
      </c>
    </row>
    <row r="1384" spans="1:52" ht="12" customHeight="1" x14ac:dyDescent="0.2">
      <c r="C1384">
        <v>2019</v>
      </c>
      <c r="D1384">
        <v>2020</v>
      </c>
      <c r="E1384">
        <v>2021</v>
      </c>
      <c r="F1384">
        <v>2022</v>
      </c>
      <c r="G1384">
        <v>2023</v>
      </c>
      <c r="H1384">
        <v>2024</v>
      </c>
      <c r="I1384">
        <v>2025</v>
      </c>
      <c r="J1384">
        <v>2026</v>
      </c>
    </row>
    <row r="1385" spans="1:52" ht="12" customHeight="1" x14ac:dyDescent="0.2">
      <c r="A1385" t="s">
        <v>44</v>
      </c>
      <c r="B1385" t="s">
        <v>46</v>
      </c>
      <c r="C1385">
        <v>0</v>
      </c>
      <c r="D1385" s="57">
        <v>0.98566913335570827</v>
      </c>
      <c r="E1385" s="57">
        <v>0.95604096214836876</v>
      </c>
      <c r="F1385" s="57">
        <v>0.9736245772890213</v>
      </c>
      <c r="G1385" s="57">
        <v>0.98681228864451065</v>
      </c>
      <c r="H1385" s="57">
        <v>0.99340614432225527</v>
      </c>
      <c r="I1385" s="57">
        <v>0.99670307216112763</v>
      </c>
      <c r="J1385" s="57">
        <v>0.99967030721611272</v>
      </c>
    </row>
    <row r="1386" spans="1:52" ht="12" customHeight="1" x14ac:dyDescent="0.2">
      <c r="A1386" t="s">
        <v>47</v>
      </c>
      <c r="B1386" t="s">
        <v>46</v>
      </c>
      <c r="C1386">
        <v>0</v>
      </c>
      <c r="D1386" s="57">
        <v>0.97809852413283682</v>
      </c>
      <c r="E1386" s="57">
        <v>0.95234987085500755</v>
      </c>
      <c r="F1386" s="57">
        <v>0.97140992251300451</v>
      </c>
      <c r="G1386" s="57">
        <v>0.98570496125650231</v>
      </c>
      <c r="H1386" s="57">
        <v>0.99285248062825116</v>
      </c>
      <c r="I1386" s="57">
        <v>0.99642624031412552</v>
      </c>
      <c r="J1386" s="57">
        <v>0.99964262403141257</v>
      </c>
    </row>
    <row r="1387" spans="1:52" ht="12" customHeight="1" x14ac:dyDescent="0.2">
      <c r="A1387" t="s">
        <v>48</v>
      </c>
      <c r="B1387" t="s">
        <v>46</v>
      </c>
      <c r="C1387">
        <v>0</v>
      </c>
      <c r="D1387" s="57">
        <v>0.99139722896955496</v>
      </c>
      <c r="E1387" s="57">
        <v>0.95720193952580701</v>
      </c>
      <c r="F1387" s="57">
        <v>0.97432116371548416</v>
      </c>
      <c r="G1387" s="57">
        <v>0.98716058185774203</v>
      </c>
      <c r="H1387" s="57">
        <v>0.99358029092887101</v>
      </c>
      <c r="I1387" s="57">
        <v>0.99679014546443545</v>
      </c>
      <c r="J1387" s="57">
        <v>0.99967901454644359</v>
      </c>
    </row>
    <row r="1388" spans="1:52" ht="12" customHeight="1" x14ac:dyDescent="0.2">
      <c r="A1388" t="s">
        <v>49</v>
      </c>
      <c r="B1388" t="s">
        <v>46</v>
      </c>
      <c r="C1388">
        <v>0</v>
      </c>
      <c r="D1388" s="57">
        <v>0.98492887739478308</v>
      </c>
      <c r="E1388" s="57">
        <v>0.97844771919979612</v>
      </c>
      <c r="F1388" s="57">
        <v>0.98706863151987767</v>
      </c>
      <c r="G1388" s="57">
        <v>0.99353431575993878</v>
      </c>
      <c r="H1388" s="57">
        <v>0.99676715787996939</v>
      </c>
      <c r="I1388" s="57">
        <v>0.99838357893998464</v>
      </c>
      <c r="J1388" s="57">
        <v>0.99983835789399844</v>
      </c>
    </row>
    <row r="1389" spans="1:52" ht="12" customHeight="1" x14ac:dyDescent="0.2">
      <c r="A1389" t="s">
        <v>50</v>
      </c>
      <c r="B1389" t="s">
        <v>46</v>
      </c>
      <c r="C1389">
        <v>0</v>
      </c>
      <c r="D1389" s="57">
        <v>1.0161155024734425</v>
      </c>
      <c r="E1389" s="57">
        <v>0.98207248893009103</v>
      </c>
      <c r="F1389" s="57">
        <v>0.98924349335805462</v>
      </c>
      <c r="G1389" s="57">
        <v>0.99462174667902725</v>
      </c>
      <c r="H1389" s="57">
        <v>0.99731087333951363</v>
      </c>
      <c r="I1389" s="57">
        <v>0.99865543666975687</v>
      </c>
      <c r="J1389" s="57">
        <v>0.99986554366697566</v>
      </c>
    </row>
    <row r="1390" spans="1:52" ht="12" customHeight="1" x14ac:dyDescent="0.2">
      <c r="A1390" t="s">
        <v>51</v>
      </c>
      <c r="B1390" t="s">
        <v>46</v>
      </c>
      <c r="C1390">
        <v>0</v>
      </c>
      <c r="D1390" s="57">
        <v>0.89830849751393138</v>
      </c>
      <c r="E1390" s="57">
        <v>0.88261235154969031</v>
      </c>
      <c r="F1390" s="57">
        <v>0.92956741092981421</v>
      </c>
      <c r="G1390" s="57">
        <v>0.9647837054649071</v>
      </c>
      <c r="H1390" s="57">
        <v>0.98239185273245355</v>
      </c>
      <c r="I1390" s="57">
        <v>0.99119592636622678</v>
      </c>
      <c r="J1390" s="57">
        <v>0.99911959263662264</v>
      </c>
    </row>
    <row r="1391" spans="1:52" ht="12" customHeight="1" x14ac:dyDescent="0.2">
      <c r="A1391" t="s">
        <v>52</v>
      </c>
      <c r="B1391" t="s">
        <v>46</v>
      </c>
      <c r="C1391">
        <v>0</v>
      </c>
      <c r="D1391" s="57">
        <v>0.90296316308386226</v>
      </c>
      <c r="E1391" s="57">
        <v>0.8505469900588295</v>
      </c>
      <c r="F1391" s="57">
        <v>0.91032819403529774</v>
      </c>
      <c r="G1391" s="57">
        <v>0.95516409701764893</v>
      </c>
      <c r="H1391" s="57">
        <v>0.97758204850882446</v>
      </c>
      <c r="I1391" s="57">
        <v>0.98879102425441223</v>
      </c>
      <c r="J1391" s="57">
        <v>0.9988791024254412</v>
      </c>
    </row>
    <row r="1392" spans="1:52" ht="12" customHeight="1" x14ac:dyDescent="0.2">
      <c r="A1392" t="s">
        <v>53</v>
      </c>
      <c r="B1392" t="s">
        <v>46</v>
      </c>
      <c r="C1392">
        <v>0</v>
      </c>
      <c r="D1392" s="57">
        <v>0.97471806986704301</v>
      </c>
      <c r="E1392" s="57">
        <v>0.95246803326370466</v>
      </c>
      <c r="F1392" s="57">
        <v>0.97148081995822277</v>
      </c>
      <c r="G1392" s="57">
        <v>0.98574040997911139</v>
      </c>
      <c r="H1392" s="57">
        <v>0.99287020498955569</v>
      </c>
      <c r="I1392" s="57">
        <v>0.99643510249477785</v>
      </c>
      <c r="J1392" s="57">
        <v>0.99964351024947784</v>
      </c>
    </row>
    <row r="1393" spans="1:10" ht="12" customHeight="1" x14ac:dyDescent="0.2">
      <c r="A1393" t="s">
        <v>54</v>
      </c>
      <c r="B1393" t="s">
        <v>46</v>
      </c>
      <c r="C1393">
        <v>0</v>
      </c>
      <c r="D1393" s="57">
        <v>1.2935457535472541</v>
      </c>
      <c r="E1393" s="57">
        <v>1.2564726806744606</v>
      </c>
      <c r="F1393" s="57">
        <v>1.1538836084046764</v>
      </c>
      <c r="G1393" s="57">
        <v>1.0769418042023382</v>
      </c>
      <c r="H1393" s="57">
        <v>1.0384709021011691</v>
      </c>
      <c r="I1393" s="57">
        <v>1.0192354510505846</v>
      </c>
      <c r="J1393" s="57">
        <v>1.0019235451050585</v>
      </c>
    </row>
    <row r="1394" spans="1:10" ht="12" customHeight="1" x14ac:dyDescent="0.2">
      <c r="A1394" t="s">
        <v>55</v>
      </c>
      <c r="B1394" t="s">
        <v>46</v>
      </c>
      <c r="C1394">
        <v>0</v>
      </c>
      <c r="D1394" s="57">
        <v>1.166754981602528</v>
      </c>
      <c r="E1394" s="57">
        <v>1.1370376187129665</v>
      </c>
      <c r="F1394" s="57">
        <v>1.08222257122778</v>
      </c>
      <c r="G1394" s="57">
        <v>1.04111128561389</v>
      </c>
      <c r="H1394" s="57">
        <v>1.0205556428069449</v>
      </c>
      <c r="I1394" s="57">
        <v>1.0102778214034724</v>
      </c>
      <c r="J1394" s="57">
        <v>1.0010277821403473</v>
      </c>
    </row>
    <row r="1395" spans="1:10" ht="12" customHeight="1" x14ac:dyDescent="0.2">
      <c r="A1395" t="s">
        <v>56</v>
      </c>
      <c r="B1395" t="s">
        <v>46</v>
      </c>
      <c r="C1395">
        <v>0</v>
      </c>
      <c r="D1395" s="57">
        <v>1.0475883256056759</v>
      </c>
      <c r="E1395" s="57">
        <v>1.0258276771586334</v>
      </c>
      <c r="F1395" s="57">
        <v>1.01549660629518</v>
      </c>
      <c r="G1395" s="57">
        <v>1.00774830314759</v>
      </c>
      <c r="H1395" s="57">
        <v>1.003874151573795</v>
      </c>
      <c r="I1395" s="57">
        <v>1.0019370757868975</v>
      </c>
      <c r="J1395" s="57">
        <v>1.0001937075786898</v>
      </c>
    </row>
    <row r="1396" spans="1:10" ht="12" customHeight="1" x14ac:dyDescent="0.2">
      <c r="A1396" t="s">
        <v>57</v>
      </c>
      <c r="B1396" t="s">
        <v>46</v>
      </c>
      <c r="C1396">
        <v>0</v>
      </c>
      <c r="D1396" s="57">
        <v>0.98493404810813723</v>
      </c>
      <c r="E1396" s="57">
        <v>0.96164388573472726</v>
      </c>
      <c r="F1396" s="57">
        <v>0.97698633144083635</v>
      </c>
      <c r="G1396" s="57">
        <v>0.98849316572041812</v>
      </c>
      <c r="H1396" s="57">
        <v>0.99424658286020906</v>
      </c>
      <c r="I1396" s="57">
        <v>0.99712329143010447</v>
      </c>
      <c r="J1396" s="57">
        <v>0.99971232914301045</v>
      </c>
    </row>
    <row r="1397" spans="1:10" ht="12" customHeight="1" x14ac:dyDescent="0.2">
      <c r="A1397" t="s">
        <v>58</v>
      </c>
      <c r="B1397" t="s">
        <v>46</v>
      </c>
      <c r="C1397">
        <v>0</v>
      </c>
      <c r="D1397" s="57">
        <v>0.94755083885180447</v>
      </c>
      <c r="E1397" s="57">
        <v>0.88997183043527117</v>
      </c>
      <c r="F1397" s="57">
        <v>0.93398309826116266</v>
      </c>
      <c r="G1397" s="57">
        <v>0.96699154913058138</v>
      </c>
      <c r="H1397" s="57">
        <v>0.98349577456529069</v>
      </c>
      <c r="I1397" s="57">
        <v>0.99174788728264529</v>
      </c>
      <c r="J1397" s="57">
        <v>0.99917478872826448</v>
      </c>
    </row>
    <row r="1398" spans="1:10" ht="12" customHeight="1" x14ac:dyDescent="0.2">
      <c r="A1398" t="s">
        <v>59</v>
      </c>
      <c r="B1398" t="s">
        <v>46</v>
      </c>
      <c r="C1398">
        <v>0</v>
      </c>
      <c r="D1398" s="57">
        <v>1.010987820104144</v>
      </c>
      <c r="E1398" s="57">
        <v>0.99419683112667101</v>
      </c>
      <c r="F1398" s="57">
        <v>0.99651809867600261</v>
      </c>
      <c r="G1398" s="57">
        <v>0.99825904933800125</v>
      </c>
      <c r="H1398" s="57">
        <v>0.99912952466900062</v>
      </c>
      <c r="I1398" s="57">
        <v>0.99956476233450031</v>
      </c>
      <c r="J1398" s="57">
        <v>0.99995647623345008</v>
      </c>
    </row>
    <row r="1399" spans="1:10" ht="12" customHeight="1" x14ac:dyDescent="0.2">
      <c r="A1399" t="s">
        <v>60</v>
      </c>
      <c r="B1399" t="s">
        <v>46</v>
      </c>
      <c r="C1399">
        <v>0</v>
      </c>
      <c r="D1399" s="57">
        <v>0.96461460509215413</v>
      </c>
      <c r="E1399" s="57">
        <v>0.89273363740228162</v>
      </c>
      <c r="F1399" s="57">
        <v>0.93564018244136893</v>
      </c>
      <c r="G1399" s="57">
        <v>0.96782009122068446</v>
      </c>
      <c r="H1399" s="57">
        <v>0.98391004561034223</v>
      </c>
      <c r="I1399" s="57">
        <v>0.99195502280517112</v>
      </c>
      <c r="J1399" s="57">
        <v>0.99919550228051712</v>
      </c>
    </row>
    <row r="1400" spans="1:10" ht="12" customHeight="1" x14ac:dyDescent="0.2">
      <c r="A1400" t="s">
        <v>61</v>
      </c>
      <c r="B1400" t="s">
        <v>46</v>
      </c>
      <c r="C1400">
        <v>0</v>
      </c>
      <c r="D1400" s="57">
        <v>1.1181571219100146</v>
      </c>
      <c r="E1400" s="57">
        <v>1.0478014802959197</v>
      </c>
      <c r="F1400" s="57">
        <v>1.0286808881775518</v>
      </c>
      <c r="G1400" s="57">
        <v>1.0143404440887758</v>
      </c>
      <c r="H1400" s="57">
        <v>1.0071702220443879</v>
      </c>
      <c r="I1400" s="57">
        <v>1.0035851110221938</v>
      </c>
      <c r="J1400" s="57">
        <v>1.0003585111022193</v>
      </c>
    </row>
    <row r="1401" spans="1:10" ht="12" customHeight="1" x14ac:dyDescent="0.2">
      <c r="A1401" t="s">
        <v>44</v>
      </c>
      <c r="B1401" t="s">
        <v>62</v>
      </c>
      <c r="C1401">
        <v>0</v>
      </c>
      <c r="D1401" s="57">
        <v>1.0657228798135649</v>
      </c>
      <c r="E1401" s="57">
        <v>1.1180104841996934</v>
      </c>
      <c r="F1401" s="57">
        <v>1.0708062905198161</v>
      </c>
      <c r="G1401" s="57">
        <v>1.0354031452599082</v>
      </c>
      <c r="H1401" s="57">
        <v>1.0177015726299541</v>
      </c>
      <c r="I1401" s="57">
        <v>1.0088507863149769</v>
      </c>
      <c r="J1401" s="57">
        <v>1.0008850786314978</v>
      </c>
    </row>
    <row r="1402" spans="1:10" ht="12" customHeight="1" x14ac:dyDescent="0.2">
      <c r="A1402" t="s">
        <v>47</v>
      </c>
      <c r="B1402" t="s">
        <v>62</v>
      </c>
      <c r="C1402">
        <v>0</v>
      </c>
      <c r="D1402" s="57">
        <v>1.0342329512585557</v>
      </c>
      <c r="E1402" s="57">
        <v>1.0648696411455818</v>
      </c>
      <c r="F1402" s="57">
        <v>1.0389217846873491</v>
      </c>
      <c r="G1402" s="57">
        <v>1.0194608923436745</v>
      </c>
      <c r="H1402" s="57">
        <v>1.0097304461718373</v>
      </c>
      <c r="I1402" s="57">
        <v>1.0048652230859187</v>
      </c>
      <c r="J1402" s="57">
        <v>1.0004865223085919</v>
      </c>
    </row>
    <row r="1403" spans="1:10" ht="12" customHeight="1" x14ac:dyDescent="0.2">
      <c r="A1403" t="s">
        <v>48</v>
      </c>
      <c r="B1403" t="s">
        <v>62</v>
      </c>
      <c r="C1403">
        <v>0</v>
      </c>
      <c r="D1403" s="57">
        <v>0.95818756542619188</v>
      </c>
      <c r="E1403" s="57">
        <v>0.99520812275766346</v>
      </c>
      <c r="F1403" s="57">
        <v>0.99712487365459812</v>
      </c>
      <c r="G1403" s="57">
        <v>0.99856243682729906</v>
      </c>
      <c r="H1403" s="57">
        <v>0.99928121841364947</v>
      </c>
      <c r="I1403" s="57">
        <v>0.99964060920682474</v>
      </c>
      <c r="J1403" s="57">
        <v>0.99996406092068246</v>
      </c>
    </row>
    <row r="1404" spans="1:10" ht="12" customHeight="1" x14ac:dyDescent="0.2">
      <c r="A1404" t="s">
        <v>49</v>
      </c>
      <c r="B1404" t="s">
        <v>62</v>
      </c>
      <c r="C1404">
        <v>0</v>
      </c>
      <c r="D1404" s="57">
        <v>1.1385406387633408</v>
      </c>
      <c r="E1404" s="57">
        <v>1.189939824463111</v>
      </c>
      <c r="F1404" s="57">
        <v>1.1139638946778665</v>
      </c>
      <c r="G1404" s="57">
        <v>1.0569819473389332</v>
      </c>
      <c r="H1404" s="57">
        <v>1.0284909736694665</v>
      </c>
      <c r="I1404" s="57">
        <v>1.0142454868347333</v>
      </c>
      <c r="J1404" s="57">
        <v>1.0014245486834734</v>
      </c>
    </row>
    <row r="1405" spans="1:10" ht="12" customHeight="1" x14ac:dyDescent="0.2">
      <c r="A1405" t="s">
        <v>50</v>
      </c>
      <c r="B1405" t="s">
        <v>62</v>
      </c>
      <c r="C1405">
        <v>0</v>
      </c>
      <c r="D1405" s="57">
        <v>1.0942733097907453</v>
      </c>
      <c r="E1405" s="57">
        <v>1.201112101636288</v>
      </c>
      <c r="F1405" s="57">
        <v>1.1206672609817727</v>
      </c>
      <c r="G1405" s="57">
        <v>1.0603336304908864</v>
      </c>
      <c r="H1405" s="57">
        <v>1.0301668152454431</v>
      </c>
      <c r="I1405" s="57">
        <v>1.0150834076227215</v>
      </c>
      <c r="J1405" s="57">
        <v>1.0015083407622722</v>
      </c>
    </row>
    <row r="1406" spans="1:10" ht="12" customHeight="1" x14ac:dyDescent="0.2">
      <c r="A1406" t="s">
        <v>51</v>
      </c>
      <c r="B1406" t="s">
        <v>62</v>
      </c>
      <c r="C1406">
        <v>0</v>
      </c>
      <c r="D1406" s="57">
        <v>1.1279096513331364</v>
      </c>
      <c r="E1406" s="57">
        <v>1.1965842368480142</v>
      </c>
      <c r="F1406" s="57">
        <v>1.1179505421088085</v>
      </c>
      <c r="G1406" s="57">
        <v>1.0589752710544043</v>
      </c>
      <c r="H1406" s="57">
        <v>1.029487635527202</v>
      </c>
      <c r="I1406" s="57">
        <v>1.014743817763601</v>
      </c>
      <c r="J1406" s="57">
        <v>1.0014743817763601</v>
      </c>
    </row>
    <row r="1407" spans="1:10" ht="12" customHeight="1" x14ac:dyDescent="0.2">
      <c r="A1407" t="s">
        <v>52</v>
      </c>
      <c r="B1407" t="s">
        <v>62</v>
      </c>
      <c r="C1407">
        <v>0</v>
      </c>
      <c r="D1407" s="57">
        <v>1.0346511339906526</v>
      </c>
      <c r="E1407" s="57">
        <v>1.0273839750548814</v>
      </c>
      <c r="F1407" s="57">
        <v>1.0164303850329288</v>
      </c>
      <c r="G1407" s="57">
        <v>1.0082151925164644</v>
      </c>
      <c r="H1407" s="57">
        <v>1.0041075962582322</v>
      </c>
      <c r="I1407" s="57">
        <v>1.0020537981291162</v>
      </c>
      <c r="J1407" s="57">
        <v>1.0002053798129116</v>
      </c>
    </row>
    <row r="1408" spans="1:10" ht="12" customHeight="1" x14ac:dyDescent="0.2">
      <c r="A1408" t="s">
        <v>53</v>
      </c>
      <c r="B1408" t="s">
        <v>62</v>
      </c>
      <c r="C1408">
        <v>0</v>
      </c>
      <c r="D1408" s="57">
        <v>1.0822803726891919</v>
      </c>
      <c r="E1408" s="57">
        <v>1.0760987418374774</v>
      </c>
      <c r="F1408" s="57">
        <v>1.0456592451024864</v>
      </c>
      <c r="G1408" s="57">
        <v>1.0228296225512432</v>
      </c>
      <c r="H1408" s="57">
        <v>1.0114148112756216</v>
      </c>
      <c r="I1408" s="57">
        <v>1.0057074056378108</v>
      </c>
      <c r="J1408" s="57">
        <v>1.0005707405637811</v>
      </c>
    </row>
    <row r="1409" spans="1:10" ht="12" customHeight="1" x14ac:dyDescent="0.2">
      <c r="A1409" t="s">
        <v>54</v>
      </c>
      <c r="B1409" t="s">
        <v>62</v>
      </c>
      <c r="C1409">
        <v>0</v>
      </c>
      <c r="D1409" s="57">
        <v>1.389760593102634</v>
      </c>
      <c r="E1409" s="57">
        <v>1.3789548114455794</v>
      </c>
      <c r="F1409" s="57">
        <v>1.2273728868673477</v>
      </c>
      <c r="G1409" s="57">
        <v>1.1136864434336737</v>
      </c>
      <c r="H1409" s="57">
        <v>1.0568432217168369</v>
      </c>
      <c r="I1409" s="57">
        <v>1.0284216108584183</v>
      </c>
      <c r="J1409" s="57">
        <v>1.0028421610858418</v>
      </c>
    </row>
    <row r="1410" spans="1:10" ht="12" customHeight="1" x14ac:dyDescent="0.2">
      <c r="A1410" t="s">
        <v>55</v>
      </c>
      <c r="B1410" t="s">
        <v>62</v>
      </c>
      <c r="C1410">
        <v>0</v>
      </c>
      <c r="D1410" s="57">
        <v>1.2905528733442369</v>
      </c>
      <c r="E1410" s="57">
        <v>1.3425990842377717</v>
      </c>
      <c r="F1410" s="57">
        <v>1.205559450542663</v>
      </c>
      <c r="G1410" s="57">
        <v>1.1027797252713314</v>
      </c>
      <c r="H1410" s="57">
        <v>1.0513898626356657</v>
      </c>
      <c r="I1410" s="57">
        <v>1.0256949313178327</v>
      </c>
      <c r="J1410" s="57">
        <v>1.0025694931317832</v>
      </c>
    </row>
    <row r="1411" spans="1:10" ht="12" customHeight="1" x14ac:dyDescent="0.2">
      <c r="A1411" t="s">
        <v>56</v>
      </c>
      <c r="B1411" t="s">
        <v>62</v>
      </c>
      <c r="C1411">
        <v>0</v>
      </c>
      <c r="D1411" s="57">
        <v>1.1941173439931336</v>
      </c>
      <c r="E1411" s="57">
        <v>1.2483864707769088</v>
      </c>
      <c r="F1411" s="57">
        <v>1.1490318824661452</v>
      </c>
      <c r="G1411" s="57">
        <v>1.0745159412330727</v>
      </c>
      <c r="H1411" s="57">
        <v>1.0372579706165364</v>
      </c>
      <c r="I1411" s="57">
        <v>1.0186289853082682</v>
      </c>
      <c r="J1411" s="57">
        <v>1.0018628985308269</v>
      </c>
    </row>
    <row r="1412" spans="1:10" ht="12" customHeight="1" x14ac:dyDescent="0.2">
      <c r="A1412" t="s">
        <v>57</v>
      </c>
      <c r="B1412" t="s">
        <v>62</v>
      </c>
      <c r="C1412">
        <v>0</v>
      </c>
      <c r="D1412" s="57">
        <v>1.1040231840133961</v>
      </c>
      <c r="E1412" s="57">
        <v>1.1444017579029127</v>
      </c>
      <c r="F1412" s="57">
        <v>1.0866410547417475</v>
      </c>
      <c r="G1412" s="57">
        <v>1.0433205273708737</v>
      </c>
      <c r="H1412" s="57">
        <v>1.0216602636854368</v>
      </c>
      <c r="I1412" s="57">
        <v>1.0108301318427184</v>
      </c>
      <c r="J1412" s="57">
        <v>1.0010830131842718</v>
      </c>
    </row>
    <row r="1413" spans="1:10" ht="12" customHeight="1" x14ac:dyDescent="0.2">
      <c r="A1413" t="s">
        <v>58</v>
      </c>
      <c r="B1413" t="s">
        <v>62</v>
      </c>
      <c r="C1413">
        <v>0</v>
      </c>
      <c r="D1413" s="57">
        <v>1.1126615884822941</v>
      </c>
      <c r="E1413" s="57">
        <v>1.0553041862139401</v>
      </c>
      <c r="F1413" s="57">
        <v>1.033182511728364</v>
      </c>
      <c r="G1413" s="57">
        <v>1.0165912558641819</v>
      </c>
      <c r="H1413" s="57">
        <v>1.0082956279320909</v>
      </c>
      <c r="I1413" s="57">
        <v>1.0041478139660454</v>
      </c>
      <c r="J1413" s="57">
        <v>1.0004147813966044</v>
      </c>
    </row>
    <row r="1414" spans="1:10" ht="12" customHeight="1" x14ac:dyDescent="0.2">
      <c r="A1414" t="s">
        <v>59</v>
      </c>
      <c r="B1414" t="s">
        <v>62</v>
      </c>
      <c r="C1414">
        <v>0</v>
      </c>
      <c r="D1414" s="57">
        <v>1.088785376034511</v>
      </c>
      <c r="E1414" s="57">
        <v>1.1657357034310394</v>
      </c>
      <c r="F1414" s="57">
        <v>1.0994414220586237</v>
      </c>
      <c r="G1414" s="57">
        <v>1.0497207110293119</v>
      </c>
      <c r="H1414" s="57">
        <v>1.0248603555146558</v>
      </c>
      <c r="I1414" s="57">
        <v>1.0124301777573279</v>
      </c>
      <c r="J1414" s="57">
        <v>1.0012430177757328</v>
      </c>
    </row>
    <row r="1415" spans="1:10" ht="12" customHeight="1" x14ac:dyDescent="0.2">
      <c r="A1415" t="s">
        <v>60</v>
      </c>
      <c r="B1415" t="s">
        <v>62</v>
      </c>
      <c r="C1415">
        <v>0</v>
      </c>
      <c r="D1415" s="57">
        <v>0.99824388742219572</v>
      </c>
      <c r="E1415" s="57">
        <v>0.95690907912432155</v>
      </c>
      <c r="F1415" s="57">
        <v>0.97414544747459297</v>
      </c>
      <c r="G1415" s="57">
        <v>0.98707272373729649</v>
      </c>
      <c r="H1415" s="57">
        <v>0.99353636186864824</v>
      </c>
      <c r="I1415" s="57">
        <v>0.99676818093432407</v>
      </c>
      <c r="J1415" s="57">
        <v>0.99967681809343245</v>
      </c>
    </row>
    <row r="1416" spans="1:10" ht="12" customHeight="1" x14ac:dyDescent="0.2">
      <c r="A1416" t="s">
        <v>61</v>
      </c>
      <c r="B1416" t="s">
        <v>62</v>
      </c>
      <c r="C1416">
        <v>0</v>
      </c>
      <c r="D1416" s="57">
        <v>1.1652984904395458</v>
      </c>
      <c r="E1416" s="57">
        <v>1.160485843541631</v>
      </c>
      <c r="F1416" s="57">
        <v>1.0962915061249785</v>
      </c>
      <c r="G1416" s="57">
        <v>1.0481457530624891</v>
      </c>
      <c r="H1416" s="57">
        <v>1.0240728765312446</v>
      </c>
      <c r="I1416" s="57">
        <v>1.0120364382656222</v>
      </c>
      <c r="J1416" s="57">
        <v>1.0012036438265621</v>
      </c>
    </row>
    <row r="1417" spans="1:10" ht="12" customHeight="1" x14ac:dyDescent="0.2">
      <c r="A1417" t="s">
        <v>44</v>
      </c>
      <c r="B1417" t="s">
        <v>63</v>
      </c>
      <c r="C1417">
        <v>0</v>
      </c>
      <c r="D1417" s="57">
        <v>1.1636192009655031</v>
      </c>
      <c r="E1417" s="57">
        <v>1.3840749381494615</v>
      </c>
      <c r="F1417" s="57">
        <v>1.2304449628896768</v>
      </c>
      <c r="G1417" s="57">
        <v>1.1152224814448384</v>
      </c>
      <c r="H1417" s="57">
        <v>1.0576112407224192</v>
      </c>
      <c r="I1417" s="57">
        <v>1.0288056203612097</v>
      </c>
      <c r="J1417" s="57">
        <v>1.002880562036121</v>
      </c>
    </row>
    <row r="1418" spans="1:10" ht="12" customHeight="1" x14ac:dyDescent="0.2">
      <c r="A1418" t="s">
        <v>47</v>
      </c>
      <c r="B1418" t="s">
        <v>63</v>
      </c>
      <c r="C1418">
        <v>0</v>
      </c>
      <c r="D1418" s="57">
        <v>1.213215433139317</v>
      </c>
      <c r="E1418" s="57">
        <v>1.4259510291578117</v>
      </c>
      <c r="F1418" s="57">
        <v>1.255570617494687</v>
      </c>
      <c r="G1418" s="57">
        <v>1.1277853087473435</v>
      </c>
      <c r="H1418" s="57">
        <v>1.0638926543736718</v>
      </c>
      <c r="I1418" s="57">
        <v>1.0319463271868359</v>
      </c>
      <c r="J1418" s="57">
        <v>1.0031946327186836</v>
      </c>
    </row>
    <row r="1419" spans="1:10" ht="12" customHeight="1" x14ac:dyDescent="0.2">
      <c r="A1419" t="s">
        <v>48</v>
      </c>
      <c r="B1419" t="s">
        <v>63</v>
      </c>
      <c r="C1419">
        <v>0</v>
      </c>
      <c r="D1419" s="57">
        <v>1.1503231243334802</v>
      </c>
      <c r="E1419" s="57">
        <v>1.3397903913776283</v>
      </c>
      <c r="F1419" s="57">
        <v>1.203874234826577</v>
      </c>
      <c r="G1419" s="57">
        <v>1.1019371174132884</v>
      </c>
      <c r="H1419" s="57">
        <v>1.0509685587066442</v>
      </c>
      <c r="I1419" s="57">
        <v>1.0254842793533221</v>
      </c>
      <c r="J1419" s="57">
        <v>1.0025484279353323</v>
      </c>
    </row>
    <row r="1420" spans="1:10" ht="12" customHeight="1" x14ac:dyDescent="0.2">
      <c r="A1420" t="s">
        <v>49</v>
      </c>
      <c r="B1420" t="s">
        <v>63</v>
      </c>
      <c r="C1420">
        <v>0</v>
      </c>
      <c r="D1420" s="57">
        <v>1.2060975417961408</v>
      </c>
      <c r="E1420" s="57">
        <v>1.4625412005460792</v>
      </c>
      <c r="F1420" s="57">
        <v>1.2775247203276474</v>
      </c>
      <c r="G1420" s="57">
        <v>1.1387623601638237</v>
      </c>
      <c r="H1420" s="57">
        <v>1.069381180081912</v>
      </c>
      <c r="I1420" s="57">
        <v>1.034690590040956</v>
      </c>
      <c r="J1420" s="57">
        <v>1.0034690590040956</v>
      </c>
    </row>
    <row r="1421" spans="1:10" ht="12" customHeight="1" x14ac:dyDescent="0.2">
      <c r="A1421" t="s">
        <v>50</v>
      </c>
      <c r="B1421" t="s">
        <v>63</v>
      </c>
      <c r="C1421">
        <v>0</v>
      </c>
      <c r="D1421" s="57">
        <v>1.2462142164654675</v>
      </c>
      <c r="E1421" s="57">
        <v>1.4408972306730337</v>
      </c>
      <c r="F1421" s="57">
        <v>1.2645383384038202</v>
      </c>
      <c r="G1421" s="57">
        <v>1.1322691692019102</v>
      </c>
      <c r="H1421" s="57">
        <v>1.0661345846009551</v>
      </c>
      <c r="I1421" s="57">
        <v>1.0330672923004776</v>
      </c>
      <c r="J1421" s="57">
        <v>1.0033067292300477</v>
      </c>
    </row>
    <row r="1422" spans="1:10" ht="12" customHeight="1" x14ac:dyDescent="0.2">
      <c r="A1422" t="s">
        <v>51</v>
      </c>
      <c r="B1422" t="s">
        <v>63</v>
      </c>
      <c r="C1422">
        <v>0</v>
      </c>
      <c r="D1422" s="57">
        <v>1.1321854073174697</v>
      </c>
      <c r="E1422" s="57">
        <v>1.3486013647725927</v>
      </c>
      <c r="F1422" s="57">
        <v>1.2091608188635556</v>
      </c>
      <c r="G1422" s="57">
        <v>1.1045804094317777</v>
      </c>
      <c r="H1422" s="57">
        <v>1.0522902047158889</v>
      </c>
      <c r="I1422" s="57">
        <v>1.0261451023579444</v>
      </c>
      <c r="J1422" s="57">
        <v>1.0026145102357944</v>
      </c>
    </row>
    <row r="1423" spans="1:10" ht="12" customHeight="1" x14ac:dyDescent="0.2">
      <c r="A1423" t="s">
        <v>52</v>
      </c>
      <c r="B1423" t="s">
        <v>63</v>
      </c>
      <c r="C1423">
        <v>0</v>
      </c>
      <c r="D1423" s="57">
        <v>0.92143596065944067</v>
      </c>
      <c r="E1423" s="57">
        <v>1.058636025234535</v>
      </c>
      <c r="F1423" s="57">
        <v>1.0351816151407209</v>
      </c>
      <c r="G1423" s="57">
        <v>1.0175908075703606</v>
      </c>
      <c r="H1423" s="57">
        <v>1.0087954037851803</v>
      </c>
      <c r="I1423" s="57">
        <v>1.0043977018925903</v>
      </c>
      <c r="J1423" s="57">
        <v>1.0004397701892591</v>
      </c>
    </row>
    <row r="1424" spans="1:10" ht="12" customHeight="1" x14ac:dyDescent="0.2">
      <c r="A1424" t="s">
        <v>53</v>
      </c>
      <c r="B1424" t="s">
        <v>63</v>
      </c>
      <c r="C1424">
        <v>0</v>
      </c>
      <c r="D1424" s="57">
        <v>1.1437706340189804</v>
      </c>
      <c r="E1424" s="57">
        <v>1.3675489390824707</v>
      </c>
      <c r="F1424" s="57">
        <v>1.2205293634494825</v>
      </c>
      <c r="G1424" s="57">
        <v>1.1102646817247412</v>
      </c>
      <c r="H1424" s="57">
        <v>1.0551323408623707</v>
      </c>
      <c r="I1424" s="57">
        <v>1.0275661704311854</v>
      </c>
      <c r="J1424" s="57">
        <v>1.0027566170431186</v>
      </c>
    </row>
    <row r="1425" spans="1:10" ht="12" customHeight="1" x14ac:dyDescent="0.2">
      <c r="A1425" t="s">
        <v>54</v>
      </c>
      <c r="B1425" t="s">
        <v>63</v>
      </c>
      <c r="C1425">
        <v>0</v>
      </c>
      <c r="D1425" s="57">
        <v>1.6940034607472192</v>
      </c>
      <c r="E1425" s="57">
        <v>2.0913689301794296</v>
      </c>
      <c r="F1425" s="57">
        <v>1.6548213581076578</v>
      </c>
      <c r="G1425" s="57">
        <v>1.3274106790538289</v>
      </c>
      <c r="H1425" s="57">
        <v>1.1637053395269144</v>
      </c>
      <c r="I1425" s="57">
        <v>1.0818526697634572</v>
      </c>
      <c r="J1425" s="57">
        <v>1.0081852669763458</v>
      </c>
    </row>
    <row r="1426" spans="1:10" ht="12" customHeight="1" x14ac:dyDescent="0.2">
      <c r="A1426" t="s">
        <v>55</v>
      </c>
      <c r="B1426" t="s">
        <v>63</v>
      </c>
      <c r="C1426">
        <v>0</v>
      </c>
      <c r="D1426" s="57">
        <v>1.4429661300188341</v>
      </c>
      <c r="E1426" s="57">
        <v>1.7338891665279712</v>
      </c>
      <c r="F1426" s="57">
        <v>1.4403334999167827</v>
      </c>
      <c r="G1426" s="57">
        <v>1.2201667499583913</v>
      </c>
      <c r="H1426" s="57">
        <v>1.1100833749791956</v>
      </c>
      <c r="I1426" s="57">
        <v>1.0550416874895978</v>
      </c>
      <c r="J1426" s="57">
        <v>1.0055041687489599</v>
      </c>
    </row>
    <row r="1427" spans="1:10" ht="12" customHeight="1" x14ac:dyDescent="0.2">
      <c r="A1427" t="s">
        <v>56</v>
      </c>
      <c r="B1427" t="s">
        <v>63</v>
      </c>
      <c r="C1427">
        <v>0</v>
      </c>
      <c r="D1427" s="57">
        <v>1.260856869305051</v>
      </c>
      <c r="E1427" s="57">
        <v>1.5348711154127366</v>
      </c>
      <c r="F1427" s="57">
        <v>1.3209226692476419</v>
      </c>
      <c r="G1427" s="57">
        <v>1.1604613346238208</v>
      </c>
      <c r="H1427" s="57">
        <v>1.0802306673119104</v>
      </c>
      <c r="I1427" s="57">
        <v>1.0401153336559552</v>
      </c>
      <c r="J1427" s="57">
        <v>1.0040115333655955</v>
      </c>
    </row>
    <row r="1428" spans="1:10" ht="12" customHeight="1" x14ac:dyDescent="0.2">
      <c r="A1428" t="s">
        <v>57</v>
      </c>
      <c r="B1428" t="s">
        <v>63</v>
      </c>
      <c r="C1428">
        <v>0</v>
      </c>
      <c r="D1428" s="57">
        <v>1.219935542785989</v>
      </c>
      <c r="E1428" s="57">
        <v>1.4584144589422774</v>
      </c>
      <c r="F1428" s="57">
        <v>1.2750486753653665</v>
      </c>
      <c r="G1428" s="57">
        <v>1.1375243376826831</v>
      </c>
      <c r="H1428" s="57">
        <v>1.0687621688413416</v>
      </c>
      <c r="I1428" s="57">
        <v>1.0343810844206707</v>
      </c>
      <c r="J1428" s="57">
        <v>1.0034381084420672</v>
      </c>
    </row>
    <row r="1429" spans="1:10" ht="12" customHeight="1" x14ac:dyDescent="0.2">
      <c r="A1429" t="s">
        <v>58</v>
      </c>
      <c r="B1429" t="s">
        <v>63</v>
      </c>
      <c r="C1429">
        <v>0</v>
      </c>
      <c r="D1429" s="57">
        <v>1.1473728585065053</v>
      </c>
      <c r="E1429" s="57">
        <v>1.3269423517319883</v>
      </c>
      <c r="F1429" s="57">
        <v>1.196165411039193</v>
      </c>
      <c r="G1429" s="57">
        <v>1.0980827055195965</v>
      </c>
      <c r="H1429" s="57">
        <v>1.0490413527597982</v>
      </c>
      <c r="I1429" s="57">
        <v>1.0245206763798991</v>
      </c>
      <c r="J1429" s="57">
        <v>1.00245206763799</v>
      </c>
    </row>
    <row r="1430" spans="1:10" ht="12" customHeight="1" x14ac:dyDescent="0.2">
      <c r="A1430" t="s">
        <v>59</v>
      </c>
      <c r="B1430" t="s">
        <v>63</v>
      </c>
      <c r="C1430">
        <v>0</v>
      </c>
      <c r="D1430" s="57">
        <v>1.255713285433897</v>
      </c>
      <c r="E1430" s="57">
        <v>1.4674146923881475</v>
      </c>
      <c r="F1430" s="57">
        <v>1.2804488154328886</v>
      </c>
      <c r="G1430" s="57">
        <v>1.1402244077164443</v>
      </c>
      <c r="H1430" s="57">
        <v>1.0701122038582223</v>
      </c>
      <c r="I1430" s="57">
        <v>1.0350561019291111</v>
      </c>
      <c r="J1430" s="57">
        <v>1.0035056101929112</v>
      </c>
    </row>
    <row r="1431" spans="1:10" ht="12" customHeight="1" x14ac:dyDescent="0.2">
      <c r="A1431" t="s">
        <v>60</v>
      </c>
      <c r="B1431" t="s">
        <v>63</v>
      </c>
      <c r="C1431">
        <v>0</v>
      </c>
      <c r="D1431" s="57">
        <v>1.2112238495351397</v>
      </c>
      <c r="E1431" s="57">
        <v>1.444384477124103</v>
      </c>
      <c r="F1431" s="57">
        <v>1.2666306862744618</v>
      </c>
      <c r="G1431" s="57">
        <v>1.1333153431372309</v>
      </c>
      <c r="H1431" s="57">
        <v>1.0666576715686156</v>
      </c>
      <c r="I1431" s="57">
        <v>1.0333288357843078</v>
      </c>
      <c r="J1431" s="57">
        <v>1.0033328835784308</v>
      </c>
    </row>
    <row r="1432" spans="1:10" ht="12" customHeight="1" x14ac:dyDescent="0.2">
      <c r="A1432" t="s">
        <v>61</v>
      </c>
      <c r="B1432" t="s">
        <v>63</v>
      </c>
      <c r="C1432">
        <v>0</v>
      </c>
      <c r="D1432" s="57">
        <v>1.3954246870206821</v>
      </c>
      <c r="E1432" s="57">
        <v>1.6657122426052799</v>
      </c>
      <c r="F1432" s="57">
        <v>1.3994273455631681</v>
      </c>
      <c r="G1432" s="57">
        <v>1.199713672781584</v>
      </c>
      <c r="H1432" s="57">
        <v>1.0998568363907921</v>
      </c>
      <c r="I1432" s="57">
        <v>1.0499284181953961</v>
      </c>
      <c r="J1432" s="57">
        <v>1.0049928418195395</v>
      </c>
    </row>
    <row r="1433" spans="1:10" ht="12" customHeight="1" x14ac:dyDescent="0.2">
      <c r="A1433" t="s">
        <v>314</v>
      </c>
    </row>
    <row r="1436" spans="1:10" s="6" customFormat="1" ht="12" customHeight="1" thickBot="1" x14ac:dyDescent="0.3">
      <c r="A1436" s="6" t="s">
        <v>315</v>
      </c>
    </row>
    <row r="1437" spans="1:10" ht="12" customHeight="1" thickTop="1" x14ac:dyDescent="0.2">
      <c r="A1437" t="s">
        <v>316</v>
      </c>
      <c r="D1437" t="s">
        <v>317</v>
      </c>
    </row>
    <row r="1438" spans="1:10" ht="12" customHeight="1" x14ac:dyDescent="0.2">
      <c r="B1438" t="s">
        <v>318</v>
      </c>
      <c r="C1438">
        <v>14.4666</v>
      </c>
      <c r="E1438" t="s">
        <v>319</v>
      </c>
      <c r="F1438">
        <v>6.1665000000000001</v>
      </c>
    </row>
    <row r="1439" spans="1:10" ht="12" customHeight="1" x14ac:dyDescent="0.2">
      <c r="B1439" t="s">
        <v>320</v>
      </c>
      <c r="C1439">
        <v>0.95950000000000002</v>
      </c>
      <c r="E1439" t="s">
        <v>321</v>
      </c>
      <c r="F1439">
        <v>0.62150000000000005</v>
      </c>
    </row>
    <row r="1440" spans="1:10" ht="12" customHeight="1" x14ac:dyDescent="0.2">
      <c r="B1440" t="s">
        <v>322</v>
      </c>
      <c r="C1440">
        <v>0.19950000000000001</v>
      </c>
      <c r="E1440" t="s">
        <v>323</v>
      </c>
      <c r="F1440">
        <v>0.05</v>
      </c>
    </row>
    <row r="1441" spans="1:58" ht="12" customHeight="1" x14ac:dyDescent="0.2">
      <c r="A1441" t="s">
        <v>324</v>
      </c>
      <c r="B1441" t="s">
        <v>325</v>
      </c>
      <c r="C1441">
        <v>0</v>
      </c>
      <c r="E1441" t="s">
        <v>326</v>
      </c>
      <c r="F1441">
        <v>0.1782</v>
      </c>
    </row>
    <row r="1443" spans="1:58" ht="12" customHeight="1" x14ac:dyDescent="0.2">
      <c r="A1443" t="s">
        <v>327</v>
      </c>
      <c r="Q1443">
        <v>1.1157167530224525</v>
      </c>
      <c r="R1443">
        <v>1.0874613003095976</v>
      </c>
      <c r="S1443">
        <v>1.0213523131672597</v>
      </c>
      <c r="T1443">
        <v>1.0271777003484321</v>
      </c>
    </row>
    <row r="1444" spans="1:58" ht="12" customHeight="1" x14ac:dyDescent="0.2">
      <c r="A1444" t="s">
        <v>328</v>
      </c>
      <c r="B1444">
        <v>1995</v>
      </c>
      <c r="C1444">
        <v>1996</v>
      </c>
      <c r="D1444">
        <v>1997</v>
      </c>
      <c r="E1444">
        <v>1998</v>
      </c>
      <c r="F1444">
        <v>1999</v>
      </c>
      <c r="G1444">
        <v>2000</v>
      </c>
      <c r="H1444">
        <v>2001</v>
      </c>
      <c r="I1444">
        <v>2002</v>
      </c>
      <c r="J1444">
        <v>2003</v>
      </c>
      <c r="K1444">
        <v>2004</v>
      </c>
      <c r="L1444">
        <v>2005</v>
      </c>
      <c r="M1444">
        <v>2006</v>
      </c>
      <c r="N1444">
        <v>2007</v>
      </c>
      <c r="O1444">
        <v>2008</v>
      </c>
      <c r="P1444">
        <v>2009</v>
      </c>
      <c r="Q1444">
        <v>2010</v>
      </c>
      <c r="R1444">
        <v>2011</v>
      </c>
      <c r="S1444">
        <v>2012</v>
      </c>
      <c r="T1444">
        <v>2013</v>
      </c>
      <c r="U1444">
        <v>2014</v>
      </c>
      <c r="V1444">
        <v>2015</v>
      </c>
      <c r="W1444">
        <v>2016</v>
      </c>
      <c r="X1444">
        <v>2017</v>
      </c>
      <c r="Y1444">
        <v>2018</v>
      </c>
      <c r="Z1444">
        <v>2019</v>
      </c>
      <c r="AA1444">
        <v>2020</v>
      </c>
      <c r="AB1444">
        <v>2021</v>
      </c>
      <c r="AC1444">
        <v>2022</v>
      </c>
      <c r="AD1444">
        <v>2023</v>
      </c>
      <c r="AE1444">
        <v>2024</v>
      </c>
      <c r="AF1444">
        <v>2025</v>
      </c>
      <c r="AG1444">
        <v>2026</v>
      </c>
      <c r="AH1444">
        <v>2027</v>
      </c>
      <c r="AI1444">
        <v>2028</v>
      </c>
      <c r="AJ1444">
        <v>2029</v>
      </c>
      <c r="AK1444">
        <v>2030</v>
      </c>
      <c r="AL1444">
        <v>2031</v>
      </c>
      <c r="AM1444">
        <v>2032</v>
      </c>
      <c r="AN1444">
        <v>2033</v>
      </c>
      <c r="AO1444">
        <v>2034</v>
      </c>
      <c r="AP1444">
        <v>2035</v>
      </c>
      <c r="AQ1444">
        <v>2036</v>
      </c>
      <c r="AR1444">
        <v>2037</v>
      </c>
      <c r="AS1444">
        <v>2038</v>
      </c>
      <c r="AT1444">
        <v>2039</v>
      </c>
      <c r="AU1444">
        <v>2040</v>
      </c>
      <c r="AV1444">
        <v>2041</v>
      </c>
      <c r="AW1444">
        <v>2042</v>
      </c>
      <c r="AX1444">
        <v>2043</v>
      </c>
      <c r="AY1444">
        <v>2044</v>
      </c>
      <c r="AZ1444">
        <v>2045</v>
      </c>
      <c r="BA1444">
        <v>2046</v>
      </c>
      <c r="BB1444">
        <v>2047</v>
      </c>
      <c r="BC1444">
        <v>2048</v>
      </c>
      <c r="BD1444">
        <v>2049</v>
      </c>
      <c r="BE1444">
        <v>2050</v>
      </c>
    </row>
    <row r="1445" spans="1:58" ht="12" customHeight="1" x14ac:dyDescent="0.2">
      <c r="A1445" t="s">
        <v>329</v>
      </c>
      <c r="B1445">
        <v>13.643434035236014</v>
      </c>
      <c r="C1445">
        <v>13.488942815892711</v>
      </c>
      <c r="D1445">
        <v>13.314858282367169</v>
      </c>
      <c r="E1445">
        <v>13.172591416928269</v>
      </c>
      <c r="F1445">
        <v>12.783939137091098</v>
      </c>
      <c r="G1445">
        <v>13.018354028458612</v>
      </c>
      <c r="H1445">
        <v>11.523904107193971</v>
      </c>
      <c r="I1445">
        <v>10.351276084987383</v>
      </c>
      <c r="J1445">
        <v>10.035057355666661</v>
      </c>
      <c r="K1445">
        <v>9.4246766723502144</v>
      </c>
      <c r="L1445">
        <v>9.2881860477887557</v>
      </c>
      <c r="M1445">
        <v>9.67266357706389</v>
      </c>
      <c r="N1445">
        <v>9.4992290021696029</v>
      </c>
      <c r="O1445">
        <v>9.6412639306551124</v>
      </c>
      <c r="P1445">
        <v>8.526549108129851</v>
      </c>
      <c r="Q1445">
        <v>9.1886733933008813</v>
      </c>
      <c r="R1445">
        <v>9.6682708247689373</v>
      </c>
      <c r="S1445">
        <v>9.6146246715527983</v>
      </c>
      <c r="T1445">
        <v>9.830594380453304</v>
      </c>
      <c r="U1445">
        <v>10.036801917134243</v>
      </c>
      <c r="V1445">
        <v>9.6525876987522068</v>
      </c>
      <c r="W1445">
        <v>9.0602346049805096</v>
      </c>
      <c r="X1445">
        <v>8.915919119049887</v>
      </c>
      <c r="Y1445">
        <v>8.9526033396088209</v>
      </c>
      <c r="Z1445">
        <f>Y1445</f>
        <v>8.9526033396088209</v>
      </c>
      <c r="AA1445">
        <f>Z1445</f>
        <v>8.9526033396088209</v>
      </c>
    </row>
    <row r="1446" spans="1:58" ht="12" customHeight="1" x14ac:dyDescent="0.2">
      <c r="A1446" t="s">
        <v>330</v>
      </c>
      <c r="B1446">
        <v>11.443315240560558</v>
      </c>
      <c r="C1446">
        <v>11.001821345938893</v>
      </c>
      <c r="D1446">
        <v>10.807168567158824</v>
      </c>
      <c r="E1446">
        <v>10.013684377386417</v>
      </c>
      <c r="F1446">
        <v>9.4217780670113136</v>
      </c>
      <c r="G1446">
        <v>9.5838768683778444</v>
      </c>
      <c r="H1446">
        <v>8.8578332616099633</v>
      </c>
      <c r="I1446">
        <v>8.4935886199458626</v>
      </c>
      <c r="J1446">
        <v>8.391674381439314</v>
      </c>
      <c r="K1446">
        <v>8.6123875789644426</v>
      </c>
      <c r="L1446">
        <v>8.8132963433896485</v>
      </c>
      <c r="M1446">
        <v>9.1565885605574344</v>
      </c>
      <c r="N1446">
        <v>9.5444755238779386</v>
      </c>
      <c r="O1446">
        <v>9.7786899104931706</v>
      </c>
      <c r="P1446">
        <v>8.2660915650846238</v>
      </c>
      <c r="Q1446">
        <v>9.4153417268923327</v>
      </c>
      <c r="R1446">
        <v>9.9474691494133314</v>
      </c>
      <c r="S1446">
        <v>9.9943605597758225</v>
      </c>
      <c r="T1446">
        <v>9.925995659485551</v>
      </c>
      <c r="U1446">
        <v>9.805705494968036</v>
      </c>
      <c r="V1446">
        <v>9.0593059284372739</v>
      </c>
      <c r="W1446">
        <v>8.3885500085381075</v>
      </c>
      <c r="X1446">
        <v>8.3082254217841474</v>
      </c>
      <c r="Y1446">
        <v>8.7179261447891232</v>
      </c>
      <c r="Z1446">
        <f>Y1446</f>
        <v>8.7179261447891232</v>
      </c>
      <c r="AA1446">
        <f>Z1446</f>
        <v>8.7179261447891232</v>
      </c>
    </row>
    <row r="1447" spans="1:58" ht="12" customHeight="1" x14ac:dyDescent="0.2">
      <c r="A1447" t="s">
        <v>331</v>
      </c>
      <c r="Y1447" s="36"/>
      <c r="Z1447" s="16"/>
      <c r="AA1447" s="16"/>
    </row>
    <row r="1449" spans="1:58" ht="12" customHeight="1" x14ac:dyDescent="0.2">
      <c r="A1449" t="s">
        <v>332</v>
      </c>
    </row>
    <row r="1450" spans="1:58" ht="12" customHeight="1" x14ac:dyDescent="0.2">
      <c r="A1450" s="2" t="s">
        <v>333</v>
      </c>
      <c r="B1450">
        <v>1995</v>
      </c>
      <c r="C1450">
        <v>1996</v>
      </c>
      <c r="D1450">
        <v>1997</v>
      </c>
      <c r="E1450">
        <v>1998</v>
      </c>
      <c r="F1450">
        <v>1999</v>
      </c>
      <c r="G1450">
        <v>2000</v>
      </c>
      <c r="H1450">
        <v>2001</v>
      </c>
      <c r="I1450">
        <v>2002</v>
      </c>
      <c r="J1450">
        <v>2003</v>
      </c>
      <c r="K1450">
        <v>2004</v>
      </c>
      <c r="L1450">
        <v>2005</v>
      </c>
      <c r="M1450">
        <v>2006</v>
      </c>
      <c r="N1450">
        <v>2007</v>
      </c>
      <c r="O1450">
        <v>2008</v>
      </c>
      <c r="P1450">
        <v>2009</v>
      </c>
      <c r="Q1450">
        <v>2010</v>
      </c>
      <c r="R1450">
        <v>2011</v>
      </c>
      <c r="S1450">
        <v>2012</v>
      </c>
      <c r="T1450">
        <v>2013</v>
      </c>
      <c r="U1450">
        <v>2014</v>
      </c>
      <c r="V1450">
        <v>2015</v>
      </c>
      <c r="W1450">
        <v>2016</v>
      </c>
      <c r="X1450">
        <v>2017</v>
      </c>
      <c r="Y1450">
        <v>2018</v>
      </c>
      <c r="Z1450">
        <v>2019</v>
      </c>
      <c r="AA1450">
        <v>2020</v>
      </c>
      <c r="AB1450">
        <v>2021</v>
      </c>
      <c r="AC1450">
        <v>2022</v>
      </c>
      <c r="AD1450">
        <v>2023</v>
      </c>
      <c r="AE1450">
        <v>2024</v>
      </c>
      <c r="AF1450">
        <v>2025</v>
      </c>
      <c r="AG1450">
        <v>2026</v>
      </c>
      <c r="AH1450">
        <v>2027</v>
      </c>
      <c r="AI1450">
        <v>2028</v>
      </c>
      <c r="AJ1450">
        <v>2029</v>
      </c>
      <c r="AK1450">
        <v>2030</v>
      </c>
      <c r="AL1450">
        <v>2031</v>
      </c>
      <c r="AM1450">
        <v>2032</v>
      </c>
      <c r="AN1450">
        <v>2033</v>
      </c>
      <c r="AO1450">
        <v>2034</v>
      </c>
      <c r="AP1450">
        <v>2035</v>
      </c>
      <c r="AQ1450">
        <v>2036</v>
      </c>
      <c r="AR1450">
        <v>2037</v>
      </c>
      <c r="AS1450">
        <v>2038</v>
      </c>
      <c r="AT1450">
        <v>2039</v>
      </c>
      <c r="AU1450">
        <v>2040</v>
      </c>
      <c r="AV1450">
        <v>2041</v>
      </c>
      <c r="AW1450">
        <v>2042</v>
      </c>
      <c r="AX1450">
        <v>2043</v>
      </c>
      <c r="AY1450">
        <v>2044</v>
      </c>
      <c r="AZ1450">
        <v>2045</v>
      </c>
      <c r="BA1450">
        <v>2046</v>
      </c>
      <c r="BB1450">
        <v>2047</v>
      </c>
      <c r="BC1450">
        <v>2048</v>
      </c>
      <c r="BD1450">
        <v>2049</v>
      </c>
      <c r="BE1450">
        <v>2050</v>
      </c>
    </row>
    <row r="1451" spans="1:58" ht="12" customHeight="1" x14ac:dyDescent="0.2">
      <c r="A1451" t="s">
        <v>334</v>
      </c>
      <c r="B1451">
        <v>39.581000000000003</v>
      </c>
      <c r="C1451">
        <v>37.354999999999997</v>
      </c>
      <c r="D1451">
        <v>39.697000000000003</v>
      </c>
      <c r="E1451">
        <v>35.497999999999998</v>
      </c>
      <c r="F1451">
        <v>39.171999999999997</v>
      </c>
      <c r="G1451">
        <v>36.284999999999997</v>
      </c>
      <c r="H1451">
        <v>34.936999999999998</v>
      </c>
      <c r="I1451">
        <v>33.731000000000002</v>
      </c>
      <c r="J1451">
        <v>30.222000000000001</v>
      </c>
      <c r="K1451">
        <v>31.242000000000001</v>
      </c>
      <c r="L1451">
        <v>35.366</v>
      </c>
      <c r="M1451">
        <v>33.448</v>
      </c>
      <c r="N1451">
        <v>31.59</v>
      </c>
      <c r="O1451">
        <v>28.283999999999999</v>
      </c>
      <c r="P1451">
        <v>26.558</v>
      </c>
      <c r="Q1451">
        <v>27.047000000000001</v>
      </c>
      <c r="R1451">
        <v>27.056999999999999</v>
      </c>
      <c r="S1451">
        <v>25.114000000000001</v>
      </c>
      <c r="T1451">
        <v>22.358000000000001</v>
      </c>
      <c r="U1451">
        <v>21.696000000000002</v>
      </c>
      <c r="V1451">
        <v>21.140999999999998</v>
      </c>
      <c r="W1451">
        <v>20.465</v>
      </c>
      <c r="X1451">
        <v>20.949000000000002</v>
      </c>
      <c r="Y1451">
        <v>22.393000000000001</v>
      </c>
      <c r="Z1451" s="36">
        <v>23.387</v>
      </c>
      <c r="AA1451" s="36">
        <v>20.202000000000002</v>
      </c>
      <c r="AB1451">
        <v>21.55</v>
      </c>
      <c r="AC1451">
        <v>22.306999999999999</v>
      </c>
      <c r="AD1451">
        <v>21.170999999999999</v>
      </c>
      <c r="AE1451">
        <v>22.721</v>
      </c>
    </row>
    <row r="1452" spans="1:58" ht="12" customHeight="1" x14ac:dyDescent="0.2">
      <c r="A1452" t="s">
        <v>335</v>
      </c>
    </row>
    <row r="1455" spans="1:58" ht="12" customHeight="1" x14ac:dyDescent="0.2">
      <c r="A1455" t="s">
        <v>336</v>
      </c>
      <c r="Y1455" t="s">
        <v>337</v>
      </c>
    </row>
    <row r="1456" spans="1:58" ht="12" customHeight="1" x14ac:dyDescent="0.2">
      <c r="C1456">
        <v>1995</v>
      </c>
      <c r="D1456">
        <v>1996</v>
      </c>
      <c r="E1456">
        <v>1997</v>
      </c>
      <c r="F1456">
        <v>1998</v>
      </c>
      <c r="G1456">
        <v>1999</v>
      </c>
      <c r="H1456">
        <v>2000</v>
      </c>
      <c r="I1456">
        <v>2001</v>
      </c>
      <c r="J1456">
        <v>2002</v>
      </c>
      <c r="K1456">
        <v>2003</v>
      </c>
      <c r="L1456">
        <v>2004</v>
      </c>
      <c r="M1456">
        <v>2005</v>
      </c>
      <c r="N1456">
        <v>2006</v>
      </c>
      <c r="O1456">
        <v>2007</v>
      </c>
      <c r="P1456">
        <v>2008</v>
      </c>
      <c r="Q1456">
        <v>2009</v>
      </c>
      <c r="R1456">
        <v>2010</v>
      </c>
      <c r="S1456">
        <v>2011</v>
      </c>
      <c r="T1456">
        <v>2012</v>
      </c>
      <c r="U1456">
        <v>2013</v>
      </c>
      <c r="V1456">
        <v>2014</v>
      </c>
      <c r="W1456">
        <v>2015</v>
      </c>
      <c r="X1456">
        <v>2016</v>
      </c>
      <c r="Y1456">
        <v>2017</v>
      </c>
      <c r="Z1456" s="58">
        <v>2018</v>
      </c>
      <c r="AA1456">
        <v>2019</v>
      </c>
      <c r="AB1456">
        <v>2020</v>
      </c>
      <c r="AC1456">
        <v>2021</v>
      </c>
      <c r="AD1456">
        <v>2022</v>
      </c>
      <c r="AE1456">
        <v>2023</v>
      </c>
      <c r="AF1456">
        <v>2024</v>
      </c>
      <c r="AG1456">
        <v>2025</v>
      </c>
      <c r="AH1456">
        <v>2026</v>
      </c>
      <c r="AI1456">
        <v>2027</v>
      </c>
      <c r="AJ1456">
        <v>2028</v>
      </c>
      <c r="AK1456">
        <v>2029</v>
      </c>
      <c r="AL1456">
        <v>2030</v>
      </c>
      <c r="AM1456">
        <v>2031</v>
      </c>
      <c r="AN1456">
        <v>2032</v>
      </c>
      <c r="AO1456">
        <v>2033</v>
      </c>
      <c r="AP1456">
        <v>2034</v>
      </c>
      <c r="AQ1456">
        <v>2035</v>
      </c>
      <c r="AR1456">
        <v>2036</v>
      </c>
      <c r="AS1456">
        <v>2037</v>
      </c>
      <c r="AT1456">
        <v>2038</v>
      </c>
      <c r="AU1456">
        <v>2039</v>
      </c>
      <c r="AV1456">
        <v>2040</v>
      </c>
      <c r="AW1456">
        <v>2041</v>
      </c>
      <c r="AX1456">
        <v>2042</v>
      </c>
      <c r="AY1456">
        <v>2043</v>
      </c>
      <c r="AZ1456">
        <v>2044</v>
      </c>
      <c r="BA1456">
        <v>2045</v>
      </c>
      <c r="BB1456">
        <v>2046</v>
      </c>
      <c r="BC1456">
        <v>2047</v>
      </c>
      <c r="BD1456">
        <v>2048</v>
      </c>
      <c r="BE1456">
        <v>2049</v>
      </c>
      <c r="BF1456">
        <v>2050</v>
      </c>
    </row>
    <row r="1457" spans="1:58" ht="12" customHeight="1" x14ac:dyDescent="0.2">
      <c r="A1457" t="s">
        <v>44</v>
      </c>
      <c r="B1457" t="s">
        <v>45</v>
      </c>
      <c r="C1457" s="36">
        <v>1.21</v>
      </c>
      <c r="D1457" s="36">
        <v>1.21</v>
      </c>
      <c r="E1457" s="36">
        <v>1.21</v>
      </c>
      <c r="F1457" s="36">
        <v>1.21</v>
      </c>
      <c r="G1457" s="36">
        <v>1.2</v>
      </c>
      <c r="H1457" s="36">
        <v>1.18</v>
      </c>
      <c r="I1457" s="36">
        <v>1.19</v>
      </c>
      <c r="J1457" s="36">
        <v>1.2</v>
      </c>
      <c r="K1457" s="36">
        <v>1.17</v>
      </c>
      <c r="L1457" s="36">
        <v>1.1000000000000001</v>
      </c>
      <c r="M1457" s="36">
        <v>1.1100000000000001</v>
      </c>
      <c r="N1457" s="36">
        <v>1.07</v>
      </c>
      <c r="O1457" s="36">
        <v>1.06</v>
      </c>
      <c r="P1457" s="36">
        <v>1.05</v>
      </c>
      <c r="Q1457" s="36">
        <v>1.03</v>
      </c>
      <c r="R1457" s="36">
        <v>1.03</v>
      </c>
      <c r="S1457" s="36">
        <v>1.03</v>
      </c>
      <c r="T1457" s="36">
        <v>1.03</v>
      </c>
      <c r="U1457" s="36">
        <v>1.03</v>
      </c>
      <c r="V1457" s="36">
        <v>1.03</v>
      </c>
      <c r="W1457" s="36">
        <v>1.03</v>
      </c>
      <c r="X1457" s="36">
        <v>1.03</v>
      </c>
      <c r="Y1457" s="36">
        <v>1.03</v>
      </c>
      <c r="Z1457" s="59">
        <v>1.03</v>
      </c>
      <c r="AA1457" s="36">
        <v>1.03</v>
      </c>
      <c r="AB1457" s="36">
        <v>1.03</v>
      </c>
      <c r="AC1457" s="36">
        <v>1.03</v>
      </c>
      <c r="AD1457" s="36">
        <f>AC1457</f>
        <v>1.03</v>
      </c>
      <c r="AE1457" s="36">
        <f t="shared" ref="AE1457:BF1457" si="496">AD1457</f>
        <v>1.03</v>
      </c>
      <c r="AF1457" s="36">
        <f t="shared" si="496"/>
        <v>1.03</v>
      </c>
      <c r="AG1457" s="36">
        <f t="shared" si="496"/>
        <v>1.03</v>
      </c>
      <c r="AH1457" s="36">
        <f t="shared" si="496"/>
        <v>1.03</v>
      </c>
      <c r="AI1457" s="36">
        <f t="shared" si="496"/>
        <v>1.03</v>
      </c>
      <c r="AJ1457" s="36">
        <f t="shared" si="496"/>
        <v>1.03</v>
      </c>
      <c r="AK1457" s="36">
        <f t="shared" si="496"/>
        <v>1.03</v>
      </c>
      <c r="AL1457" s="36">
        <f t="shared" si="496"/>
        <v>1.03</v>
      </c>
      <c r="AM1457" s="36">
        <f t="shared" si="496"/>
        <v>1.03</v>
      </c>
      <c r="AN1457" s="36">
        <f t="shared" si="496"/>
        <v>1.03</v>
      </c>
      <c r="AO1457" s="36">
        <f t="shared" si="496"/>
        <v>1.03</v>
      </c>
      <c r="AP1457" s="36">
        <f t="shared" si="496"/>
        <v>1.03</v>
      </c>
      <c r="AQ1457" s="36">
        <f t="shared" si="496"/>
        <v>1.03</v>
      </c>
      <c r="AR1457" s="36">
        <f t="shared" si="496"/>
        <v>1.03</v>
      </c>
      <c r="AS1457" s="36">
        <f t="shared" si="496"/>
        <v>1.03</v>
      </c>
      <c r="AT1457" s="36">
        <f t="shared" si="496"/>
        <v>1.03</v>
      </c>
      <c r="AU1457" s="36">
        <f t="shared" si="496"/>
        <v>1.03</v>
      </c>
      <c r="AV1457" s="36">
        <f t="shared" si="496"/>
        <v>1.03</v>
      </c>
      <c r="AW1457" s="36">
        <f t="shared" si="496"/>
        <v>1.03</v>
      </c>
      <c r="AX1457" s="36">
        <f t="shared" si="496"/>
        <v>1.03</v>
      </c>
      <c r="AY1457" s="36">
        <f t="shared" si="496"/>
        <v>1.03</v>
      </c>
      <c r="AZ1457" s="36">
        <f t="shared" si="496"/>
        <v>1.03</v>
      </c>
      <c r="BA1457" s="36">
        <f t="shared" si="496"/>
        <v>1.03</v>
      </c>
      <c r="BB1457" s="36">
        <f t="shared" si="496"/>
        <v>1.03</v>
      </c>
      <c r="BC1457" s="36">
        <f t="shared" si="496"/>
        <v>1.03</v>
      </c>
      <c r="BD1457" s="36">
        <f t="shared" si="496"/>
        <v>1.03</v>
      </c>
      <c r="BE1457" s="36">
        <f t="shared" si="496"/>
        <v>1.03</v>
      </c>
      <c r="BF1457" s="36">
        <f t="shared" si="496"/>
        <v>1.03</v>
      </c>
    </row>
    <row r="1458" spans="1:58" ht="12" customHeight="1" x14ac:dyDescent="0.2">
      <c r="A1458" t="s">
        <v>47</v>
      </c>
      <c r="B1458" t="s">
        <v>45</v>
      </c>
      <c r="C1458" s="36">
        <v>1.0602649397301247</v>
      </c>
      <c r="D1458" s="36">
        <v>1.0602649397301247</v>
      </c>
      <c r="E1458" s="36">
        <v>1.0602649397301247</v>
      </c>
      <c r="F1458" s="36">
        <v>1.0602649397301247</v>
      </c>
      <c r="G1458" s="36">
        <v>1.0602649397301247</v>
      </c>
      <c r="H1458" s="36">
        <v>1.0602649397301247</v>
      </c>
      <c r="I1458" s="36">
        <v>1.0602649397301247</v>
      </c>
      <c r="J1458" s="36">
        <v>1.0602649397301247</v>
      </c>
      <c r="K1458" s="36">
        <v>1.0602649397301247</v>
      </c>
      <c r="L1458" s="36">
        <v>1.0602649397301247</v>
      </c>
      <c r="M1458" s="36">
        <v>1.0602649397301247</v>
      </c>
      <c r="N1458" s="36">
        <v>1.0602649397301247</v>
      </c>
      <c r="O1458" s="36">
        <v>1.0602649397301247</v>
      </c>
      <c r="P1458" s="36">
        <v>1.0602649397301247</v>
      </c>
      <c r="Q1458" s="36">
        <v>1.0602649397301247</v>
      </c>
      <c r="R1458" s="36">
        <v>1.0602649397301247</v>
      </c>
      <c r="S1458" s="36">
        <v>1.0602649397301247</v>
      </c>
      <c r="T1458" s="36">
        <v>1.0602649397301247</v>
      </c>
      <c r="U1458" s="36">
        <v>1.0602649397301247</v>
      </c>
      <c r="V1458" s="36">
        <v>1.0602649397301247</v>
      </c>
      <c r="W1458" s="36">
        <v>1.0602649397301247</v>
      </c>
      <c r="X1458" s="36">
        <v>1.0602649397301247</v>
      </c>
      <c r="Y1458" s="36">
        <v>1.0602649397301247</v>
      </c>
      <c r="Z1458" s="59">
        <v>1.0602649397301247</v>
      </c>
      <c r="AA1458" s="36">
        <v>1.0599468602482056</v>
      </c>
      <c r="AB1458" s="36">
        <v>1.4356939248941207</v>
      </c>
      <c r="AC1458" s="36">
        <v>1.2770325464244245</v>
      </c>
      <c r="AD1458" s="36">
        <v>1.1243096619001611</v>
      </c>
      <c r="AE1458" s="36">
        <v>1.0913337301073192</v>
      </c>
      <c r="AF1458" s="36">
        <v>1.0746870105411512</v>
      </c>
      <c r="AG1458" s="36">
        <v>1.0662049447144208</v>
      </c>
      <c r="AH1458" s="36">
        <v>1.0618052533692226</v>
      </c>
      <c r="AI1458" s="36">
        <v>1.0594467968623198</v>
      </c>
      <c r="AJ1458" s="36">
        <v>1.0581090053578153</v>
      </c>
      <c r="AK1458" s="36">
        <v>1.0572815939234848</v>
      </c>
      <c r="AL1458" s="36">
        <v>1.0567094200789464</v>
      </c>
      <c r="AM1458" s="36">
        <v>1.0562649125697421</v>
      </c>
      <c r="AN1458" s="36">
        <v>1.0558842857543809</v>
      </c>
      <c r="AO1458" s="36">
        <v>1.0555356467978594</v>
      </c>
      <c r="AP1458" s="36">
        <v>1.0552030492684223</v>
      </c>
      <c r="AQ1458" s="36">
        <v>1.0548785199359432</v>
      </c>
      <c r="AR1458" s="36">
        <v>1.054558072171113</v>
      </c>
      <c r="AS1458" s="36">
        <v>1.0542397126450369</v>
      </c>
      <c r="AT1458" s="36">
        <v>1.053922444679031</v>
      </c>
      <c r="AU1458" s="36">
        <v>1.0536057699195212</v>
      </c>
      <c r="AV1458" s="36">
        <v>1.0532894391754923</v>
      </c>
      <c r="AW1458" s="36">
        <v>1.0529733278372131</v>
      </c>
      <c r="AX1458" s="36">
        <v>1.0526573735855989</v>
      </c>
      <c r="AY1458" s="36">
        <v>1.0523415452468914</v>
      </c>
      <c r="AZ1458" s="36">
        <v>1.0520258272200016</v>
      </c>
      <c r="BA1458" s="36">
        <v>1.0517102116901778</v>
      </c>
      <c r="BB1458" s="36">
        <v>1.0513946947358417</v>
      </c>
      <c r="BC1458" s="36">
        <v>1.0510792743820065</v>
      </c>
      <c r="BD1458" s="36">
        <v>1.0507639496269847</v>
      </c>
      <c r="BE1458" s="36">
        <v>1.0504487199557431</v>
      </c>
      <c r="BF1458" s="36">
        <v>1.0501335850965794</v>
      </c>
    </row>
    <row r="1459" spans="1:58" ht="12" customHeight="1" x14ac:dyDescent="0.2">
      <c r="A1459" t="s">
        <v>48</v>
      </c>
      <c r="B1459" t="s">
        <v>45</v>
      </c>
      <c r="C1459" s="36">
        <v>1.0649993144337619</v>
      </c>
      <c r="D1459" s="36">
        <v>1.0649993144337619</v>
      </c>
      <c r="E1459" s="36">
        <v>1.0649993144337619</v>
      </c>
      <c r="F1459" s="36">
        <v>1.0649993144337619</v>
      </c>
      <c r="G1459" s="36">
        <v>1.0649993144337619</v>
      </c>
      <c r="H1459" s="36">
        <v>1.0649993144337619</v>
      </c>
      <c r="I1459" s="36">
        <v>1.0649993144337619</v>
      </c>
      <c r="J1459" s="36">
        <v>1.0649993144337619</v>
      </c>
      <c r="K1459" s="36">
        <v>1.0649993144337619</v>
      </c>
      <c r="L1459" s="36">
        <v>1.0649993144337619</v>
      </c>
      <c r="M1459" s="36">
        <v>1.0649993144337619</v>
      </c>
      <c r="N1459" s="36">
        <v>1.0649993144337619</v>
      </c>
      <c r="O1459" s="36">
        <v>1.0649993144337619</v>
      </c>
      <c r="P1459" s="36">
        <v>1.0649993144337619</v>
      </c>
      <c r="Q1459" s="36">
        <v>1.0649993144337619</v>
      </c>
      <c r="R1459" s="36">
        <v>1.0649993144337619</v>
      </c>
      <c r="S1459" s="36">
        <v>1.0649993144337619</v>
      </c>
      <c r="T1459" s="36">
        <v>1.0649993144337619</v>
      </c>
      <c r="U1459" s="36">
        <v>1.0649993144337619</v>
      </c>
      <c r="V1459" s="36">
        <v>1.0649993144337619</v>
      </c>
      <c r="W1459" s="36">
        <v>1.0649993144337619</v>
      </c>
      <c r="X1459" s="36">
        <v>1.0649993144337619</v>
      </c>
      <c r="Y1459" s="36">
        <v>1.0649993144337619</v>
      </c>
      <c r="Z1459" s="59">
        <v>1.0649993144337619</v>
      </c>
      <c r="AA1459" s="36">
        <v>1.0646798146394318</v>
      </c>
      <c r="AB1459" s="36">
        <v>1.01</v>
      </c>
      <c r="AC1459" s="36">
        <v>1.01</v>
      </c>
      <c r="AD1459" s="36">
        <v>1.0238239487431329</v>
      </c>
      <c r="AE1459" s="36">
        <v>1.0434538029250242</v>
      </c>
      <c r="AF1459" s="36">
        <v>1.0531092674674036</v>
      </c>
      <c r="AG1459" s="36">
        <v>1.057777585028792</v>
      </c>
      <c r="AH1459" s="36">
        <v>1.0599523769240977</v>
      </c>
      <c r="AI1459" s="36">
        <v>1.0608804537964276</v>
      </c>
      <c r="AJ1459" s="36">
        <v>1.0611852209529922</v>
      </c>
      <c r="AK1459" s="36">
        <v>1.0611783810330579</v>
      </c>
      <c r="AL1459" s="36">
        <v>1.061015785341924</v>
      </c>
      <c r="AM1459" s="36">
        <v>1.0607753595179095</v>
      </c>
      <c r="AN1459" s="36">
        <v>1.060496066365848</v>
      </c>
      <c r="AO1459" s="36">
        <v>1.0601973872738353</v>
      </c>
      <c r="AP1459" s="36">
        <v>1.0598890629216018</v>
      </c>
      <c r="AQ1459" s="36">
        <v>1.0595759636346995</v>
      </c>
      <c r="AR1459" s="36">
        <v>1.0592605245615965</v>
      </c>
      <c r="AS1459" s="36">
        <v>1.0589439632622215</v>
      </c>
      <c r="AT1459" s="36">
        <v>1.0586268885022396</v>
      </c>
      <c r="AU1459" s="36">
        <v>1.0583096046501876</v>
      </c>
      <c r="AV1459" s="36">
        <v>1.0579922638760417</v>
      </c>
      <c r="AW1459" s="36">
        <v>1.0576749422505036</v>
      </c>
      <c r="AX1459" s="36">
        <v>1.0573576777946407</v>
      </c>
      <c r="AY1459" s="36">
        <v>1.0570404895047085</v>
      </c>
      <c r="AZ1459" s="36">
        <v>1.0567233868645602</v>
      </c>
      <c r="BA1459" s="36">
        <v>1.0564063746018524</v>
      </c>
      <c r="BB1459" s="36">
        <v>1.0560894550661477</v>
      </c>
      <c r="BC1459" s="36">
        <v>1.0557726294179657</v>
      </c>
      <c r="BD1459" s="36">
        <v>1.0554558982233091</v>
      </c>
      <c r="BE1459" s="36">
        <v>1.0551392617509268</v>
      </c>
      <c r="BF1459" s="36">
        <v>1.0548227201209439</v>
      </c>
    </row>
    <row r="1460" spans="1:58" ht="12" customHeight="1" x14ac:dyDescent="0.2">
      <c r="A1460" t="s">
        <v>49</v>
      </c>
      <c r="B1460" t="s">
        <v>45</v>
      </c>
      <c r="C1460" s="36">
        <v>1.0638977851509095</v>
      </c>
      <c r="D1460" s="36">
        <v>1.0638977851509095</v>
      </c>
      <c r="E1460" s="36">
        <v>1.0638977851509095</v>
      </c>
      <c r="F1460" s="36">
        <v>1.0638977851509095</v>
      </c>
      <c r="G1460" s="36">
        <v>1.0638977851509095</v>
      </c>
      <c r="H1460" s="36">
        <v>1.0638977851509095</v>
      </c>
      <c r="I1460" s="36">
        <v>1.0638977851509095</v>
      </c>
      <c r="J1460" s="36">
        <v>1.0638977851509095</v>
      </c>
      <c r="K1460" s="36">
        <v>1.0638977851509095</v>
      </c>
      <c r="L1460" s="36">
        <v>1.0638977851509095</v>
      </c>
      <c r="M1460" s="36">
        <v>1.0638977851509095</v>
      </c>
      <c r="N1460" s="36">
        <v>1.0638977851509095</v>
      </c>
      <c r="O1460" s="36">
        <v>1.0638977851509095</v>
      </c>
      <c r="P1460" s="36">
        <v>1.0638977851509095</v>
      </c>
      <c r="Q1460" s="36">
        <v>1.0638977851509095</v>
      </c>
      <c r="R1460" s="36">
        <v>1.0638977851509095</v>
      </c>
      <c r="S1460" s="36">
        <v>1.0638977851509095</v>
      </c>
      <c r="T1460" s="36">
        <v>1.0638977851509095</v>
      </c>
      <c r="U1460" s="36">
        <v>1.0638977851509095</v>
      </c>
      <c r="V1460" s="36">
        <v>1.0638977851509095</v>
      </c>
      <c r="W1460" s="36">
        <v>1.0638977851509095</v>
      </c>
      <c r="X1460" s="36">
        <v>1.0638977851509095</v>
      </c>
      <c r="Y1460" s="36">
        <v>1.0638977851509095</v>
      </c>
      <c r="Z1460" s="59">
        <v>1.0638977851509095</v>
      </c>
      <c r="AA1460" s="36">
        <v>1.0635786158153642</v>
      </c>
      <c r="AB1460" s="36">
        <v>1.0632595422306197</v>
      </c>
      <c r="AC1460" s="36">
        <v>1.0629405643679506</v>
      </c>
      <c r="AD1460" s="36">
        <v>1.0626216821986403</v>
      </c>
      <c r="AE1460" s="36">
        <v>1.0623028956939806</v>
      </c>
      <c r="AF1460" s="36">
        <v>1.0619842048252726</v>
      </c>
      <c r="AG1460" s="36">
        <v>1.0616656095638251</v>
      </c>
      <c r="AH1460" s="36">
        <v>1.0613471098809559</v>
      </c>
      <c r="AI1460" s="36">
        <v>1.0610287057479917</v>
      </c>
      <c r="AJ1460" s="36">
        <v>1.0607103971362672</v>
      </c>
      <c r="AK1460" s="36">
        <v>1.0603921840171264</v>
      </c>
      <c r="AL1460" s="36">
        <v>1.0600740663619213</v>
      </c>
      <c r="AM1460" s="36">
        <v>1.0597560441420126</v>
      </c>
      <c r="AN1460" s="36">
        <v>1.0594381173287701</v>
      </c>
      <c r="AO1460" s="36">
        <v>1.0591202858935715</v>
      </c>
      <c r="AP1460" s="36">
        <v>1.0588025498078035</v>
      </c>
      <c r="AQ1460" s="36">
        <v>1.0584849090428612</v>
      </c>
      <c r="AR1460" s="36">
        <v>1.0581673635701483</v>
      </c>
      <c r="AS1460" s="36">
        <v>1.0578499133610773</v>
      </c>
      <c r="AT1460" s="36">
        <v>1.0575325583870689</v>
      </c>
      <c r="AU1460" s="36">
        <v>1.0572152986195529</v>
      </c>
      <c r="AV1460" s="36">
        <v>1.056898134029967</v>
      </c>
      <c r="AW1460" s="36">
        <v>1.056581064589758</v>
      </c>
      <c r="AX1460" s="36">
        <v>1.056264090270381</v>
      </c>
      <c r="AY1460" s="36">
        <v>1.0559472110432999</v>
      </c>
      <c r="AZ1460" s="36">
        <v>1.055630426879987</v>
      </c>
      <c r="BA1460" s="36">
        <v>1.0553137377519231</v>
      </c>
      <c r="BB1460" s="36">
        <v>1.0549971436305976</v>
      </c>
      <c r="BC1460" s="36">
        <v>1.0546806444875085</v>
      </c>
      <c r="BD1460" s="36">
        <v>1.0543642402941624</v>
      </c>
      <c r="BE1460" s="36">
        <v>1.0540479310220743</v>
      </c>
      <c r="BF1460" s="36">
        <v>1.0537317166427678</v>
      </c>
    </row>
    <row r="1461" spans="1:58" ht="12" customHeight="1" x14ac:dyDescent="0.2">
      <c r="A1461" t="s">
        <v>50</v>
      </c>
      <c r="B1461" t="s">
        <v>45</v>
      </c>
      <c r="C1461" s="36">
        <v>1.0892053365927092</v>
      </c>
      <c r="D1461" s="36">
        <v>1.0892053365927092</v>
      </c>
      <c r="E1461" s="36">
        <v>1.0892053365927092</v>
      </c>
      <c r="F1461" s="36">
        <v>1.0892053365927092</v>
      </c>
      <c r="G1461" s="36">
        <v>1.0892053365927092</v>
      </c>
      <c r="H1461" s="36">
        <v>1.0892053365927092</v>
      </c>
      <c r="I1461" s="36">
        <v>1.0892053365927092</v>
      </c>
      <c r="J1461" s="36">
        <v>1.0892053365927092</v>
      </c>
      <c r="K1461" s="36">
        <v>1.0892053365927092</v>
      </c>
      <c r="L1461" s="36">
        <v>1.0892053365927092</v>
      </c>
      <c r="M1461" s="36">
        <v>1.0892053365927092</v>
      </c>
      <c r="N1461" s="36">
        <v>1.0892053365927092</v>
      </c>
      <c r="O1461" s="36">
        <v>1.0892053365927092</v>
      </c>
      <c r="P1461" s="36">
        <v>1.0892053365927092</v>
      </c>
      <c r="Q1461" s="36">
        <v>1.0892053365927092</v>
      </c>
      <c r="R1461" s="36">
        <v>1.0892053365927092</v>
      </c>
      <c r="S1461" s="36">
        <v>1.0892053365927092</v>
      </c>
      <c r="T1461" s="36">
        <v>1.0892053365927092</v>
      </c>
      <c r="U1461" s="36">
        <v>1.0892053365927092</v>
      </c>
      <c r="V1461" s="36">
        <v>1.0892053365927092</v>
      </c>
      <c r="W1461" s="36">
        <v>1.0892053365927092</v>
      </c>
      <c r="X1461" s="36">
        <v>1.0892053365927092</v>
      </c>
      <c r="Y1461" s="36">
        <v>1.0892053365927092</v>
      </c>
      <c r="Z1461" s="59">
        <v>1.0892053365927092</v>
      </c>
      <c r="AA1461" s="36">
        <v>1.0871915944638517</v>
      </c>
      <c r="AB1461" s="36">
        <v>1.0853476099951633</v>
      </c>
      <c r="AC1461" s="36">
        <v>1.083656371234138</v>
      </c>
      <c r="AD1461" s="36">
        <v>1.0821025720138524</v>
      </c>
      <c r="AE1461" s="36">
        <v>1.0806724409138482</v>
      </c>
      <c r="AF1461" s="36">
        <v>1.0793535873711022</v>
      </c>
      <c r="AG1461" s="36">
        <v>1.0781348632214554</v>
      </c>
      <c r="AH1461" s="36">
        <v>1.0770062381242769</v>
      </c>
      <c r="AI1461" s="36">
        <v>1.0759586874783009</v>
      </c>
      <c r="AJ1461" s="36">
        <v>1.0749840915761417</v>
      </c>
      <c r="AK1461" s="36">
        <v>1.0740751448705845</v>
      </c>
      <c r="AL1461" s="36">
        <v>1.0732252743387467</v>
      </c>
      <c r="AM1461" s="36">
        <v>1.0724285660318631</v>
      </c>
      <c r="AN1461" s="36">
        <v>1.0716796989899253</v>
      </c>
      <c r="AO1461" s="36">
        <v>1.0709738857827003</v>
      </c>
      <c r="AP1461" s="36">
        <v>1.0703068190127005</v>
      </c>
      <c r="AQ1461" s="36">
        <v>1.0696746231823013</v>
      </c>
      <c r="AR1461" s="36">
        <v>1.069073811387143</v>
      </c>
      <c r="AS1461" s="36">
        <v>1.0685012463518835</v>
      </c>
      <c r="AT1461" s="36">
        <v>1.0679541053729</v>
      </c>
      <c r="AU1461" s="36">
        <v>1.0674298487761813</v>
      </c>
      <c r="AV1461" s="36">
        <v>1.0669261915379507</v>
      </c>
      <c r="AW1461" s="36">
        <v>1.0664410777508879</v>
      </c>
      <c r="AX1461" s="36">
        <v>1.0659726576506228</v>
      </c>
      <c r="AY1461" s="36">
        <v>1.0655192669457814</v>
      </c>
      <c r="AZ1461" s="36">
        <v>1.0650794082206108</v>
      </c>
      <c r="BA1461" s="36">
        <v>1.0646517342023616</v>
      </c>
      <c r="BB1461" s="36">
        <v>1.0642350327064494</v>
      </c>
      <c r="BC1461" s="36">
        <v>1.0638282130911643</v>
      </c>
      <c r="BD1461" s="36">
        <v>1.0634302940705695</v>
      </c>
      <c r="BE1461" s="36">
        <v>1.0630403927493981</v>
      </c>
      <c r="BF1461" s="36">
        <v>1.0626577147574212</v>
      </c>
    </row>
    <row r="1462" spans="1:58" ht="12" customHeight="1" x14ac:dyDescent="0.2">
      <c r="A1462" t="s">
        <v>51</v>
      </c>
      <c r="B1462" t="s">
        <v>45</v>
      </c>
      <c r="C1462" s="36">
        <v>1.0560858799347295</v>
      </c>
      <c r="D1462" s="36">
        <v>1.0560858799347295</v>
      </c>
      <c r="E1462" s="36">
        <v>1.0560858799347295</v>
      </c>
      <c r="F1462" s="36">
        <v>1.0560858799347295</v>
      </c>
      <c r="G1462" s="36">
        <v>1.0560858799347295</v>
      </c>
      <c r="H1462" s="36">
        <v>1.0560858799347295</v>
      </c>
      <c r="I1462" s="36">
        <v>1.0560858799347295</v>
      </c>
      <c r="J1462" s="36">
        <v>1.0560858799347295</v>
      </c>
      <c r="K1462" s="36">
        <v>1.0560858799347295</v>
      </c>
      <c r="L1462" s="36">
        <v>1.0560858799347295</v>
      </c>
      <c r="M1462" s="36">
        <v>1.0560858799347295</v>
      </c>
      <c r="N1462" s="36">
        <v>1.0560858799347295</v>
      </c>
      <c r="O1462" s="36">
        <v>1.0560858799347295</v>
      </c>
      <c r="P1462" s="36">
        <v>1.0560858799347295</v>
      </c>
      <c r="Q1462" s="36">
        <v>1.0560858799347295</v>
      </c>
      <c r="R1462" s="36">
        <v>1.0560858799347295</v>
      </c>
      <c r="S1462" s="36">
        <v>1.0560858799347295</v>
      </c>
      <c r="T1462" s="36">
        <v>1.0560858799347295</v>
      </c>
      <c r="U1462" s="36">
        <v>1.0560858799347295</v>
      </c>
      <c r="V1462" s="36">
        <v>1.0560858799347295</v>
      </c>
      <c r="W1462" s="36">
        <v>1.0560858799347295</v>
      </c>
      <c r="X1462" s="36">
        <v>1.0560858799347295</v>
      </c>
      <c r="Y1462" s="36">
        <v>1.0560858799347295</v>
      </c>
      <c r="Z1462" s="59">
        <v>1.0560858799347295</v>
      </c>
      <c r="AA1462" s="36">
        <v>1.0557690541707492</v>
      </c>
      <c r="AB1462" s="36">
        <v>1.0554523234544979</v>
      </c>
      <c r="AC1462" s="36">
        <v>1.0551356877574616</v>
      </c>
      <c r="AD1462" s="36">
        <v>1.0548191470511343</v>
      </c>
      <c r="AE1462" s="36">
        <v>1.054502701307019</v>
      </c>
      <c r="AF1462" s="36">
        <v>1.0541863504966269</v>
      </c>
      <c r="AG1462" s="36">
        <v>1.0538700945914778</v>
      </c>
      <c r="AH1462" s="36">
        <v>1.0535539335631003</v>
      </c>
      <c r="AI1462" s="36">
        <v>1.0532378673830314</v>
      </c>
      <c r="AJ1462" s="36">
        <v>1.0529218960228166</v>
      </c>
      <c r="AK1462" s="36">
        <v>1.0526060194540099</v>
      </c>
      <c r="AL1462" s="36">
        <v>1.0522902376481738</v>
      </c>
      <c r="AM1462" s="36">
        <v>1.0519745505768794</v>
      </c>
      <c r="AN1462" s="36">
        <v>1.0516589582117064</v>
      </c>
      <c r="AO1462" s="36">
        <v>1.0513434605242429</v>
      </c>
      <c r="AP1462" s="36">
        <v>1.0510280574860857</v>
      </c>
      <c r="AQ1462" s="36">
        <v>1.0507127490688399</v>
      </c>
      <c r="AR1462" s="36">
        <v>1.0503975352441193</v>
      </c>
      <c r="AS1462" s="36">
        <v>1.050082415983546</v>
      </c>
      <c r="AT1462" s="36">
        <v>1.0497673912587511</v>
      </c>
      <c r="AU1462" s="36">
        <v>1.0494524610413736</v>
      </c>
      <c r="AV1462" s="36">
        <v>1.0491376253030611</v>
      </c>
      <c r="AW1462" s="36">
        <v>1.0488228840154703</v>
      </c>
      <c r="AX1462" s="36">
        <v>1.0485082371502656</v>
      </c>
      <c r="AY1462" s="36">
        <v>1.0481936846791207</v>
      </c>
      <c r="AZ1462" s="36">
        <v>1.0478792265737169</v>
      </c>
      <c r="BA1462" s="36">
        <v>1.0475648628057448</v>
      </c>
      <c r="BB1462" s="36">
        <v>1.0472505933469032</v>
      </c>
      <c r="BC1462" s="36">
        <v>1.0469364181688992</v>
      </c>
      <c r="BD1462" s="36">
        <v>1.0466223372434484</v>
      </c>
      <c r="BE1462" s="36">
        <v>1.0463083505422754</v>
      </c>
      <c r="BF1462" s="36">
        <v>1.0459944580371128</v>
      </c>
    </row>
    <row r="1463" spans="1:58" ht="12" customHeight="1" x14ac:dyDescent="0.2">
      <c r="A1463" t="s">
        <v>52</v>
      </c>
      <c r="B1463" t="s">
        <v>45</v>
      </c>
      <c r="C1463" s="36">
        <v>1.2080700474835739</v>
      </c>
      <c r="D1463" s="36">
        <v>1.2080700474835739</v>
      </c>
      <c r="E1463" s="36">
        <v>1.2080700474835739</v>
      </c>
      <c r="F1463" s="36">
        <v>1.2080700474835739</v>
      </c>
      <c r="G1463" s="36">
        <v>1.2080700474835739</v>
      </c>
      <c r="H1463" s="36">
        <v>1.2080700474835739</v>
      </c>
      <c r="I1463" s="36">
        <v>1.2080700474835739</v>
      </c>
      <c r="J1463" s="36">
        <v>1.2080700474835739</v>
      </c>
      <c r="K1463" s="36">
        <v>1.2080700474835739</v>
      </c>
      <c r="L1463" s="36">
        <v>1.2080700474835739</v>
      </c>
      <c r="M1463" s="36">
        <v>1.2080700474835739</v>
      </c>
      <c r="N1463" s="36">
        <v>1.2080700474835739</v>
      </c>
      <c r="O1463" s="36">
        <v>1.2080700474835739</v>
      </c>
      <c r="P1463" s="36">
        <v>1.2080700474835739</v>
      </c>
      <c r="Q1463" s="36">
        <v>1.2080700474835739</v>
      </c>
      <c r="R1463" s="36">
        <v>1.2080700474835739</v>
      </c>
      <c r="S1463" s="36">
        <v>1.2080700474835739</v>
      </c>
      <c r="T1463" s="36">
        <v>1.2080700474835739</v>
      </c>
      <c r="U1463" s="36">
        <v>1.2080700474835739</v>
      </c>
      <c r="V1463" s="36">
        <v>1.2080700474835739</v>
      </c>
      <c r="W1463" s="36">
        <v>1.2080700474835739</v>
      </c>
      <c r="X1463" s="36">
        <v>1.2080700474835739</v>
      </c>
      <c r="Y1463" s="36">
        <v>1.2080700474835739</v>
      </c>
      <c r="Z1463" s="59">
        <v>1.2080700474835739</v>
      </c>
      <c r="AA1463" s="36">
        <v>1.1941377407936895</v>
      </c>
      <c r="AB1463" s="36">
        <v>1.181570266232508</v>
      </c>
      <c r="AC1463" s="36">
        <v>1.1702307817305644</v>
      </c>
      <c r="AD1463" s="36">
        <v>1.1599961663698022</v>
      </c>
      <c r="AE1463" s="36">
        <v>1.1507556445637266</v>
      </c>
      <c r="AF1463" s="36">
        <v>1.1424095481910075</v>
      </c>
      <c r="AG1463" s="36">
        <v>1.1348682028499486</v>
      </c>
      <c r="AH1463" s="36">
        <v>1.1280509257882212</v>
      </c>
      <c r="AI1463" s="36">
        <v>1.1218851243101813</v>
      </c>
      <c r="AJ1463" s="36">
        <v>1.1163054845868896</v>
      </c>
      <c r="AK1463" s="36">
        <v>1.1112532418041448</v>
      </c>
      <c r="AL1463" s="36">
        <v>1.106675523492779</v>
      </c>
      <c r="AM1463" s="36">
        <v>1.1025247587032205</v>
      </c>
      <c r="AN1463" s="36">
        <v>1.0987581464221257</v>
      </c>
      <c r="AO1463" s="36">
        <v>1.0953371772908738</v>
      </c>
      <c r="AP1463" s="36">
        <v>1.0922272032813494</v>
      </c>
      <c r="AQ1463" s="36">
        <v>1.089397050520333</v>
      </c>
      <c r="AR1463" s="36">
        <v>1.0868186709359902</v>
      </c>
      <c r="AS1463" s="36">
        <v>1.084466828833768</v>
      </c>
      <c r="AT1463" s="36">
        <v>1.0823188188993256</v>
      </c>
      <c r="AU1463" s="36">
        <v>1.0803542124773122</v>
      </c>
      <c r="AV1463" s="36">
        <v>1.0785546292907693</v>
      </c>
      <c r="AW1463" s="36">
        <v>1.0769035320502316</v>
      </c>
      <c r="AX1463" s="36">
        <v>1.0753860416573711</v>
      </c>
      <c r="AY1463" s="36">
        <v>1.0739887709381728</v>
      </c>
      <c r="AZ1463" s="36">
        <v>1.0726996750476852</v>
      </c>
      <c r="BA1463" s="36">
        <v>1.0715079168746857</v>
      </c>
      <c r="BB1463" s="36">
        <v>1.0704037459422193</v>
      </c>
      <c r="BC1463" s="36">
        <v>1.0693783894507833</v>
      </c>
      <c r="BD1463" s="36">
        <v>1.0684239542466099</v>
      </c>
      <c r="BE1463" s="36">
        <v>1.0675333386195869</v>
      </c>
      <c r="BF1463" s="36">
        <v>1.066700152945206</v>
      </c>
    </row>
    <row r="1464" spans="1:58" ht="12" customHeight="1" x14ac:dyDescent="0.2">
      <c r="A1464" t="s">
        <v>53</v>
      </c>
      <c r="B1464" t="s">
        <v>45</v>
      </c>
      <c r="C1464" s="36">
        <v>1.1255655367172663</v>
      </c>
      <c r="D1464" s="36">
        <v>1.1255655367172663</v>
      </c>
      <c r="E1464" s="36">
        <v>1.1255655367172663</v>
      </c>
      <c r="F1464" s="36">
        <v>1.1255655367172663</v>
      </c>
      <c r="G1464" s="36">
        <v>1.1255655367172663</v>
      </c>
      <c r="H1464" s="36">
        <v>1.1255655367172663</v>
      </c>
      <c r="I1464" s="36">
        <v>1.1255655367172663</v>
      </c>
      <c r="J1464" s="36">
        <v>1.1255655367172663</v>
      </c>
      <c r="K1464" s="36">
        <v>1.1255655367172663</v>
      </c>
      <c r="L1464" s="36">
        <v>1.1255655367172663</v>
      </c>
      <c r="M1464" s="36">
        <v>1.1255655367172663</v>
      </c>
      <c r="N1464" s="36">
        <v>1.1255655367172663</v>
      </c>
      <c r="O1464" s="36">
        <v>1.1255655367172663</v>
      </c>
      <c r="P1464" s="36">
        <v>1.1255655367172663</v>
      </c>
      <c r="Q1464" s="36">
        <v>1.1255655367172663</v>
      </c>
      <c r="R1464" s="36">
        <v>1.1255655367172663</v>
      </c>
      <c r="S1464" s="36">
        <v>1.1177413472862625</v>
      </c>
      <c r="T1464" s="36">
        <v>1.1099715464610354</v>
      </c>
      <c r="U1464" s="36">
        <v>1.1022557561678605</v>
      </c>
      <c r="V1464" s="36">
        <v>1.0945936009611328</v>
      </c>
      <c r="W1464" s="36">
        <v>1.0869847080050972</v>
      </c>
      <c r="X1464" s="36">
        <v>1.0794287070557074</v>
      </c>
      <c r="Y1464" s="36">
        <v>1.0719252304426092</v>
      </c>
      <c r="Z1464" s="59">
        <v>1.0644739130512506</v>
      </c>
      <c r="AA1464" s="36">
        <v>1.0641545708773352</v>
      </c>
      <c r="AB1464" s="36">
        <v>1.4333887973219275</v>
      </c>
      <c r="AC1464" s="36">
        <v>1.1868110902159128</v>
      </c>
      <c r="AD1464" s="36">
        <v>1.1001855939487055</v>
      </c>
      <c r="AE1464" s="36">
        <v>1.0813723973669096</v>
      </c>
      <c r="AF1464" s="36">
        <v>1.0718064151958939</v>
      </c>
      <c r="AG1464" s="36">
        <v>1.0668640880454325</v>
      </c>
      <c r="AH1464" s="36">
        <v>1.0642336362060676</v>
      </c>
      <c r="AI1464" s="36">
        <v>1.06275916980873</v>
      </c>
      <c r="AJ1464" s="36">
        <v>1.0618627439045496</v>
      </c>
      <c r="AK1464" s="36">
        <v>1.0612553860047593</v>
      </c>
      <c r="AL1464" s="36">
        <v>1.0607926098506484</v>
      </c>
      <c r="AM1464" s="36">
        <v>1.0604021722985384</v>
      </c>
      <c r="AN1464" s="36">
        <v>1.0600479517622716</v>
      </c>
      <c r="AO1464" s="36">
        <v>1.0597118874344542</v>
      </c>
      <c r="AP1464" s="36">
        <v>1.0593849488970797</v>
      </c>
      <c r="AQ1464" s="36">
        <v>1.0590626209268383</v>
      </c>
      <c r="AR1464" s="36">
        <v>1.058742645897774</v>
      </c>
      <c r="AS1464" s="36">
        <v>1.0584238949826119</v>
      </c>
      <c r="AT1464" s="36">
        <v>1.0581058037534206</v>
      </c>
      <c r="AU1464" s="36">
        <v>1.0577880899819463</v>
      </c>
      <c r="AV1464" s="36">
        <v>1.0574706125397777</v>
      </c>
      <c r="AW1464" s="36">
        <v>1.0571533008484286</v>
      </c>
      <c r="AX1464" s="36">
        <v>1.0568361196043805</v>
      </c>
      <c r="AY1464" s="36">
        <v>1.0565190511416025</v>
      </c>
      <c r="AZ1464" s="36">
        <v>1.0562020866128115</v>
      </c>
      <c r="BA1464" s="36">
        <v>1.0558852215801036</v>
      </c>
      <c r="BB1464" s="36">
        <v>1.0555684538102674</v>
      </c>
      <c r="BC1464" s="36">
        <v>1.0552517821724434</v>
      </c>
      <c r="BD1464" s="36">
        <v>1.0549352060869512</v>
      </c>
      <c r="BE1464" s="36">
        <v>1.0546187252497048</v>
      </c>
      <c r="BF1464" s="36">
        <v>1.05430233949442</v>
      </c>
    </row>
    <row r="1465" spans="1:58" ht="12" customHeight="1" x14ac:dyDescent="0.2">
      <c r="A1465" t="s">
        <v>54</v>
      </c>
      <c r="B1465" t="s">
        <v>45</v>
      </c>
      <c r="C1465" s="36">
        <v>1.0780809468402253</v>
      </c>
      <c r="D1465" s="36">
        <v>1.0780809468402253</v>
      </c>
      <c r="E1465" s="36">
        <v>1.0780809468402253</v>
      </c>
      <c r="F1465" s="36">
        <v>1.0780809468402253</v>
      </c>
      <c r="G1465" s="36">
        <v>1.0780809468402253</v>
      </c>
      <c r="H1465" s="36">
        <v>1.0780809468402253</v>
      </c>
      <c r="I1465" s="36">
        <v>1.0780809468402253</v>
      </c>
      <c r="J1465" s="36">
        <v>1.0780809468402253</v>
      </c>
      <c r="K1465" s="36">
        <v>1.0780809468402253</v>
      </c>
      <c r="L1465" s="36">
        <v>1.0780809468402253</v>
      </c>
      <c r="M1465" s="36">
        <v>1.0780809468402253</v>
      </c>
      <c r="N1465" s="36">
        <v>1.0780809468402253</v>
      </c>
      <c r="O1465" s="36">
        <v>1.0780809468402253</v>
      </c>
      <c r="P1465" s="36">
        <v>1.0780809468402253</v>
      </c>
      <c r="Q1465" s="36">
        <v>1.0780809468402253</v>
      </c>
      <c r="R1465" s="36">
        <v>1.0780809468402253</v>
      </c>
      <c r="S1465" s="36">
        <v>1.0780809468402253</v>
      </c>
      <c r="T1465" s="36">
        <v>1.0780809468402253</v>
      </c>
      <c r="U1465" s="36">
        <v>1.0780809468402253</v>
      </c>
      <c r="V1465" s="36">
        <v>1.0780809468402253</v>
      </c>
      <c r="W1465" s="36">
        <v>1.0780809468402253</v>
      </c>
      <c r="X1465" s="36">
        <v>1.0780809468402253</v>
      </c>
      <c r="Y1465" s="36">
        <v>1.0780809468402253</v>
      </c>
      <c r="Z1465" s="59">
        <v>1.0780809468402253</v>
      </c>
      <c r="AA1465" s="36">
        <v>1.0771826472718493</v>
      </c>
      <c r="AB1465" s="36">
        <v>1.076342259938103</v>
      </c>
      <c r="AC1465" s="36">
        <v>1.075553987627299</v>
      </c>
      <c r="AD1465" s="36">
        <v>1.0748126144112713</v>
      </c>
      <c r="AE1465" s="36">
        <v>1.0741134473600777</v>
      </c>
      <c r="AF1465" s="36">
        <v>1.0734522641009685</v>
      </c>
      <c r="AG1465" s="36">
        <v>1.0728252656356179</v>
      </c>
      <c r="AH1465" s="36">
        <v>1.0722290338883711</v>
      </c>
      <c r="AI1465" s="36">
        <v>1.0716604935111294</v>
      </c>
      <c r="AJ1465" s="36">
        <v>1.0711168775180586</v>
      </c>
      <c r="AK1465" s="36">
        <v>1.0705956963661056</v>
      </c>
      <c r="AL1465" s="36">
        <v>1.0700947101358118</v>
      </c>
      <c r="AM1465" s="36">
        <v>1.0696119035015565</v>
      </c>
      <c r="AN1465" s="36">
        <v>1.0691454632115323</v>
      </c>
      <c r="AO1465" s="36">
        <v>1.0686937578258069</v>
      </c>
      <c r="AP1465" s="36">
        <v>1.0682553194860447</v>
      </c>
      <c r="AQ1465" s="36">
        <v>1.0678288275131835</v>
      </c>
      <c r="AR1465" s="36">
        <v>1.0674130936497674</v>
      </c>
      <c r="AS1465" s="36">
        <v>1.0670070487820347</v>
      </c>
      <c r="AT1465" s="36">
        <v>1.06660973099338</v>
      </c>
      <c r="AU1465" s="36">
        <v>1.0662202748156957</v>
      </c>
      <c r="AV1465" s="36">
        <v>1.0658379015584829</v>
      </c>
      <c r="AW1465" s="36">
        <v>1.0654619106076617</v>
      </c>
      <c r="AX1465" s="36">
        <v>1.0650916715968475</v>
      </c>
      <c r="AY1465" s="36">
        <v>1.0647266173636181</v>
      </c>
      <c r="AZ1465" s="36">
        <v>1.0643662376120511</v>
      </c>
      <c r="BA1465" s="36">
        <v>1.0640100732107225</v>
      </c>
      <c r="BB1465" s="36">
        <v>1.0636577110624417</v>
      </c>
      <c r="BC1465" s="36">
        <v>1.0633087794884013</v>
      </c>
      <c r="BD1465" s="36">
        <v>1.0629629440751556</v>
      </c>
      <c r="BE1465" s="36">
        <v>1.0626199039380244</v>
      </c>
      <c r="BF1465" s="36">
        <v>1.0622793883591637</v>
      </c>
    </row>
    <row r="1466" spans="1:58" ht="12" customHeight="1" x14ac:dyDescent="0.2">
      <c r="A1466" t="s">
        <v>55</v>
      </c>
      <c r="B1466" t="s">
        <v>45</v>
      </c>
      <c r="C1466" s="36">
        <v>1.0916021644839746</v>
      </c>
      <c r="D1466" s="36">
        <v>1.0916021644839746</v>
      </c>
      <c r="E1466" s="36">
        <v>1.0916021644839746</v>
      </c>
      <c r="F1466" s="36">
        <v>1.0916021644839746</v>
      </c>
      <c r="G1466" s="36">
        <v>1.0916021644839746</v>
      </c>
      <c r="H1466" s="36">
        <v>1.0916021644839746</v>
      </c>
      <c r="I1466" s="36">
        <v>1.0916021644839746</v>
      </c>
      <c r="J1466" s="36">
        <v>1.0916021644839746</v>
      </c>
      <c r="K1466" s="36">
        <v>1.0916021644839746</v>
      </c>
      <c r="L1466" s="36">
        <v>1.0916021644839746</v>
      </c>
      <c r="M1466" s="36">
        <v>1.0916021644839746</v>
      </c>
      <c r="N1466" s="36">
        <v>1.0916021644839746</v>
      </c>
      <c r="O1466" s="36">
        <v>1.0916021644839746</v>
      </c>
      <c r="P1466" s="36">
        <v>1.0916021644839746</v>
      </c>
      <c r="Q1466" s="36">
        <v>1.0916021644839746</v>
      </c>
      <c r="R1466" s="36">
        <v>1.0916021644839746</v>
      </c>
      <c r="S1466" s="36">
        <v>1.0992972452003773</v>
      </c>
      <c r="T1466" s="36">
        <v>1.1070465711987687</v>
      </c>
      <c r="U1466" s="36">
        <v>1.1148505248728788</v>
      </c>
      <c r="V1466" s="36">
        <v>1.1227094913120632</v>
      </c>
      <c r="W1466" s="36">
        <v>1.1306238583203054</v>
      </c>
      <c r="X1466" s="36">
        <v>1.138594016435353</v>
      </c>
      <c r="Y1466" s="36">
        <v>1.1466203589479889</v>
      </c>
      <c r="Z1466" s="59">
        <v>1.1547032819214389</v>
      </c>
      <c r="AA1466" s="36">
        <v>1.1461220608144693</v>
      </c>
      <c r="AB1466" s="36">
        <v>1.1862159808123725</v>
      </c>
      <c r="AC1466" s="36">
        <v>1.1792082753950908</v>
      </c>
      <c r="AD1466" s="36">
        <v>1.1393782880008743</v>
      </c>
      <c r="AE1466" s="36">
        <v>1.1264673729753916</v>
      </c>
      <c r="AF1466" s="36">
        <v>1.1176877876531048</v>
      </c>
      <c r="AG1466" s="36">
        <v>1.1111908562703168</v>
      </c>
      <c r="AH1466" s="36">
        <v>1.1060304882646965</v>
      </c>
      <c r="AI1466" s="36">
        <v>1.1017140668144243</v>
      </c>
      <c r="AJ1466" s="36">
        <v>1.0979776744048739</v>
      </c>
      <c r="AK1466" s="36">
        <v>1.094673508838401</v>
      </c>
      <c r="AL1466" s="36">
        <v>1.0917134141961704</v>
      </c>
      <c r="AM1466" s="36">
        <v>1.0890404870281132</v>
      </c>
      <c r="AN1466" s="36">
        <v>1.0866147361290466</v>
      </c>
      <c r="AO1466" s="36">
        <v>1.0844057834784644</v>
      </c>
      <c r="AP1466" s="36">
        <v>1.0823890986918017</v>
      </c>
      <c r="AQ1466" s="36">
        <v>1.0805440118606249</v>
      </c>
      <c r="AR1466" s="36">
        <v>1.0788526260540137</v>
      </c>
      <c r="AS1466" s="36">
        <v>1.0772991890677688</v>
      </c>
      <c r="AT1466" s="36">
        <v>1.075869703270494</v>
      </c>
      <c r="AU1466" s="36">
        <v>1.0745516621214986</v>
      </c>
      <c r="AV1466" s="36">
        <v>1.0733338568835911</v>
      </c>
      <c r="AW1466" s="36">
        <v>1.0722062246045498</v>
      </c>
      <c r="AX1466" s="36">
        <v>1.0711597222853824</v>
      </c>
      <c r="AY1466" s="36">
        <v>1.0701862191376703</v>
      </c>
      <c r="AZ1466" s="36">
        <v>1.0692784023802477</v>
      </c>
      <c r="BA1466" s="36">
        <v>1.0684296938496265</v>
      </c>
      <c r="BB1466" s="36">
        <v>1.0676341756558898</v>
      </c>
      <c r="BC1466" s="36">
        <v>1.066886523635068</v>
      </c>
      <c r="BD1466" s="36">
        <v>1.0661819476452381</v>
      </c>
      <c r="BE1466" s="36">
        <v>1.0655161379346354</v>
      </c>
      <c r="BF1466" s="36">
        <v>1.064885216930185</v>
      </c>
    </row>
    <row r="1467" spans="1:58" ht="12" customHeight="1" x14ac:dyDescent="0.2">
      <c r="A1467" t="s">
        <v>56</v>
      </c>
      <c r="B1467" t="s">
        <v>45</v>
      </c>
      <c r="C1467" s="36">
        <v>1.0637598718831436</v>
      </c>
      <c r="D1467" s="36">
        <v>1.0637598718831436</v>
      </c>
      <c r="E1467" s="36">
        <v>1.0637598718831436</v>
      </c>
      <c r="F1467" s="36">
        <v>1.0637598718831436</v>
      </c>
      <c r="G1467" s="36">
        <v>1.0637598718831436</v>
      </c>
      <c r="H1467" s="36">
        <v>1.0637598718831436</v>
      </c>
      <c r="I1467" s="36">
        <v>1.0637598718831436</v>
      </c>
      <c r="J1467" s="36">
        <v>1.0637598718831436</v>
      </c>
      <c r="K1467" s="36">
        <v>1.0637598718831436</v>
      </c>
      <c r="L1467" s="36">
        <v>1.0637598718831436</v>
      </c>
      <c r="M1467" s="36">
        <v>1.0637598718831436</v>
      </c>
      <c r="N1467" s="36">
        <v>1.0637598718831436</v>
      </c>
      <c r="O1467" s="36">
        <v>1.0637598718831436</v>
      </c>
      <c r="P1467" s="36">
        <v>1.0637598718831436</v>
      </c>
      <c r="Q1467" s="36">
        <v>1.0637598718831436</v>
      </c>
      <c r="R1467" s="36">
        <v>1.0637598718831436</v>
      </c>
      <c r="S1467" s="36">
        <v>1.0658916551935307</v>
      </c>
      <c r="T1467" s="36">
        <v>1.0680277106147602</v>
      </c>
      <c r="U1467" s="36">
        <v>1.0701680467081767</v>
      </c>
      <c r="V1467" s="36">
        <v>1.0723126720522813</v>
      </c>
      <c r="W1467" s="36">
        <v>1.0744615952427667</v>
      </c>
      <c r="X1467" s="36">
        <v>1.0766148248925518</v>
      </c>
      <c r="Y1467" s="36">
        <v>1.0787723696318154</v>
      </c>
      <c r="Z1467" s="59">
        <v>1.0809342381080316</v>
      </c>
      <c r="AA1467" s="36">
        <v>1.0797498390242326</v>
      </c>
      <c r="AB1467" s="36">
        <v>1.0786520393734749</v>
      </c>
      <c r="AC1467" s="36">
        <v>1.01</v>
      </c>
      <c r="AD1467" s="36">
        <v>1.0521804897588538</v>
      </c>
      <c r="AE1467" s="36">
        <v>1.0635447997714416</v>
      </c>
      <c r="AF1467" s="36">
        <v>1.0688404117684864</v>
      </c>
      <c r="AG1467" s="36">
        <v>1.071124382217735</v>
      </c>
      <c r="AH1467" s="36">
        <v>1.0719229672914099</v>
      </c>
      <c r="AI1467" s="36">
        <v>1.0719972508321509</v>
      </c>
      <c r="AJ1467" s="36">
        <v>1.0717259354926538</v>
      </c>
      <c r="AK1467" s="36">
        <v>1.0712967177526642</v>
      </c>
      <c r="AL1467" s="36">
        <v>1.0708019569354783</v>
      </c>
      <c r="AM1467" s="36">
        <v>1.0702864930783897</v>
      </c>
      <c r="AN1467" s="36">
        <v>1.069771540898381</v>
      </c>
      <c r="AO1467" s="36">
        <v>1.0692666233064374</v>
      </c>
      <c r="AP1467" s="36">
        <v>1.0687755260466536</v>
      </c>
      <c r="AQ1467" s="36">
        <v>1.0682992641128208</v>
      </c>
      <c r="AR1467" s="36">
        <v>1.0678375551469894</v>
      </c>
      <c r="AS1467" s="36">
        <v>1.0673895473126453</v>
      </c>
      <c r="AT1467" s="36">
        <v>1.0669541752901837</v>
      </c>
      <c r="AU1467" s="36">
        <v>1.0665303311297876</v>
      </c>
      <c r="AV1467" s="36">
        <v>1.0661169432494255</v>
      </c>
      <c r="AW1467" s="36">
        <v>1.0657130101499854</v>
      </c>
      <c r="AX1467" s="36">
        <v>1.0653176120689287</v>
      </c>
      <c r="AY1467" s="36">
        <v>1.0649299121249967</v>
      </c>
      <c r="AZ1467" s="36">
        <v>1.0645491526779229</v>
      </c>
      <c r="BA1467" s="36">
        <v>1.0641746497180475</v>
      </c>
      <c r="BB1467" s="36">
        <v>1.0638057866509314</v>
      </c>
      <c r="BC1467" s="36">
        <v>1.06344200812141</v>
      </c>
      <c r="BD1467" s="36">
        <v>1.0630828141650215</v>
      </c>
      <c r="BE1467" s="36">
        <v>1.0627277547999234</v>
      </c>
      <c r="BF1467" s="36">
        <v>1.0623764250881123</v>
      </c>
    </row>
    <row r="1468" spans="1:58" ht="12" customHeight="1" x14ac:dyDescent="0.2">
      <c r="A1468" t="s">
        <v>57</v>
      </c>
      <c r="B1468" t="s">
        <v>45</v>
      </c>
      <c r="C1468" s="36">
        <v>1.0909751423475829</v>
      </c>
      <c r="D1468" s="36">
        <v>1.0909751423475829</v>
      </c>
      <c r="E1468" s="36">
        <v>1.0909751423475829</v>
      </c>
      <c r="F1468" s="36">
        <v>1.0909751423475829</v>
      </c>
      <c r="G1468" s="36">
        <v>1.0909751423475829</v>
      </c>
      <c r="H1468" s="36">
        <v>1.0909751423475829</v>
      </c>
      <c r="I1468" s="36">
        <v>1.0909751423475829</v>
      </c>
      <c r="J1468" s="36">
        <v>1.0909751423475829</v>
      </c>
      <c r="K1468" s="36">
        <v>1.0909751423475829</v>
      </c>
      <c r="L1468" s="36">
        <v>1.0909751423475829</v>
      </c>
      <c r="M1468" s="36">
        <v>1.0909751423475829</v>
      </c>
      <c r="N1468" s="36">
        <v>1.0909751423475829</v>
      </c>
      <c r="O1468" s="36">
        <v>1.0909751423475829</v>
      </c>
      <c r="P1468" s="36">
        <v>1.0909751423475829</v>
      </c>
      <c r="Q1468" s="36">
        <v>1.0909751423475829</v>
      </c>
      <c r="R1468" s="36">
        <v>1.0909751423475829</v>
      </c>
      <c r="S1468" s="36">
        <v>1.0909751423475829</v>
      </c>
      <c r="T1468" s="36">
        <v>1.0909751423475829</v>
      </c>
      <c r="U1468" s="36">
        <v>1.0909751423475829</v>
      </c>
      <c r="V1468" s="36">
        <v>1.0909751423475829</v>
      </c>
      <c r="W1468" s="36">
        <v>1.0909751423475829</v>
      </c>
      <c r="X1468" s="36">
        <v>1.0909751423475829</v>
      </c>
      <c r="Y1468" s="36">
        <v>1.0909751423475829</v>
      </c>
      <c r="Z1468" s="59">
        <v>1.0909751423475829</v>
      </c>
      <c r="AA1468" s="36">
        <v>1.0887839417956842</v>
      </c>
      <c r="AB1468" s="36">
        <v>1.4289528156393034</v>
      </c>
      <c r="AC1468" s="36">
        <v>1.4271179217874719</v>
      </c>
      <c r="AD1468" s="36">
        <v>1.1859141056868454</v>
      </c>
      <c r="AE1468" s="36">
        <v>1.133041805322299</v>
      </c>
      <c r="AF1468" s="36">
        <v>1.1059553822187422</v>
      </c>
      <c r="AG1468" s="36">
        <v>1.0918110494039348</v>
      </c>
      <c r="AH1468" s="36">
        <v>1.0841819897703449</v>
      </c>
      <c r="AI1468" s="36">
        <v>1.0798503648328708</v>
      </c>
      <c r="AJ1468" s="36">
        <v>1.0772032696053953</v>
      </c>
      <c r="AK1468" s="36">
        <v>1.0754306655003583</v>
      </c>
      <c r="AL1468" s="36">
        <v>1.0741243067057298</v>
      </c>
      <c r="AM1468" s="36">
        <v>1.0730771673187869</v>
      </c>
      <c r="AN1468" s="36">
        <v>1.0721831224734983</v>
      </c>
      <c r="AO1468" s="36">
        <v>1.07138675971742</v>
      </c>
      <c r="AP1468" s="36">
        <v>1.0706582584399083</v>
      </c>
      <c r="AQ1468" s="36">
        <v>1.0699808059591043</v>
      </c>
      <c r="AR1468" s="36">
        <v>1.0693442843073964</v>
      </c>
      <c r="AS1468" s="36">
        <v>1.0687420944976636</v>
      </c>
      <c r="AT1468" s="36">
        <v>1.0681695514477227</v>
      </c>
      <c r="AU1468" s="36">
        <v>1.0676230659593915</v>
      </c>
      <c r="AV1468" s="36">
        <v>1.0670997217773555</v>
      </c>
      <c r="AW1468" s="36">
        <v>1.0665970515847651</v>
      </c>
      <c r="AX1468" s="36">
        <v>1.066112913723966</v>
      </c>
      <c r="AY1468" s="36">
        <v>1.0656454204105443</v>
      </c>
      <c r="AZ1468" s="36">
        <v>1.0651928927114096</v>
      </c>
      <c r="BA1468" s="36">
        <v>1.0647538298202417</v>
      </c>
      <c r="BB1468" s="36">
        <v>1.0643268863052111</v>
      </c>
      <c r="BC1468" s="36">
        <v>1.0639108540838218</v>
      </c>
      <c r="BD1468" s="36">
        <v>1.063504647428015</v>
      </c>
      <c r="BE1468" s="36">
        <v>1.0631072900842533</v>
      </c>
      <c r="BF1468" s="36">
        <v>1.0627179039907908</v>
      </c>
    </row>
    <row r="1469" spans="1:58" ht="12" customHeight="1" x14ac:dyDescent="0.2">
      <c r="A1469" t="s">
        <v>58</v>
      </c>
      <c r="B1469" t="s">
        <v>45</v>
      </c>
      <c r="C1469" s="36">
        <v>1.1495647244348477</v>
      </c>
      <c r="D1469" s="36">
        <v>1.1495647244348477</v>
      </c>
      <c r="E1469" s="36">
        <v>1.1495647244348477</v>
      </c>
      <c r="F1469" s="36">
        <v>1.1495647244348477</v>
      </c>
      <c r="G1469" s="36">
        <v>1.1495647244348477</v>
      </c>
      <c r="H1469" s="36">
        <v>1.1495647244348477</v>
      </c>
      <c r="I1469" s="36">
        <v>1.1495647244348477</v>
      </c>
      <c r="J1469" s="36">
        <v>1.1495647244348477</v>
      </c>
      <c r="K1469" s="36">
        <v>1.1495647244348477</v>
      </c>
      <c r="L1469" s="36">
        <v>1.1495647244348477</v>
      </c>
      <c r="M1469" s="36">
        <v>1.1495647244348477</v>
      </c>
      <c r="N1469" s="36">
        <v>1.1495647244348477</v>
      </c>
      <c r="O1469" s="36">
        <v>1.1495647244348477</v>
      </c>
      <c r="P1469" s="36">
        <v>1.1495647244348477</v>
      </c>
      <c r="Q1469" s="36">
        <v>1.1495647244348477</v>
      </c>
      <c r="R1469" s="36">
        <v>1.1495647244348477</v>
      </c>
      <c r="S1469" s="36">
        <v>1.1461263453986519</v>
      </c>
      <c r="T1469" s="36">
        <v>1.1426982506467118</v>
      </c>
      <c r="U1469" s="36">
        <v>1.1392804094184565</v>
      </c>
      <c r="V1469" s="36">
        <v>1.1358727910453208</v>
      </c>
      <c r="W1469" s="36">
        <v>1.1324753649504695</v>
      </c>
      <c r="X1469" s="36">
        <v>1.1290881006485241</v>
      </c>
      <c r="Y1469" s="36">
        <v>1.1257109677452883</v>
      </c>
      <c r="Z1469" s="59">
        <v>1.1223439359374761</v>
      </c>
      <c r="AA1469" s="36">
        <v>1.1170073864523189</v>
      </c>
      <c r="AB1469" s="36">
        <v>1.3273111986695592</v>
      </c>
      <c r="AC1469" s="36">
        <v>1.2153613875177671</v>
      </c>
      <c r="AD1469" s="36">
        <v>1.1360893420226685</v>
      </c>
      <c r="AE1469" s="36">
        <v>1.1163464249907225</v>
      </c>
      <c r="AF1469" s="36">
        <v>1.1050007748130095</v>
      </c>
      <c r="AG1469" s="36">
        <v>1.0979855240527732</v>
      </c>
      <c r="AH1469" s="36">
        <v>1.0932540316311439</v>
      </c>
      <c r="AI1469" s="36">
        <v>1.0897710939487868</v>
      </c>
      <c r="AJ1469" s="36">
        <v>1.0870084176591084</v>
      </c>
      <c r="AK1469" s="36">
        <v>1.0846922365818503</v>
      </c>
      <c r="AL1469" s="36">
        <v>1.0826770126664429</v>
      </c>
      <c r="AM1469" s="36">
        <v>1.0808821897586007</v>
      </c>
      <c r="AN1469" s="36">
        <v>1.0792604834661628</v>
      </c>
      <c r="AO1469" s="36">
        <v>1.0777819477997952</v>
      </c>
      <c r="AP1469" s="36">
        <v>1.0764259380514865</v>
      </c>
      <c r="AQ1469" s="36">
        <v>1.0751770288551408</v>
      </c>
      <c r="AR1469" s="36">
        <v>1.0740229161932029</v>
      </c>
      <c r="AS1469" s="36">
        <v>1.0729533170940579</v>
      </c>
      <c r="AT1469" s="36">
        <v>1.0719593733192656</v>
      </c>
      <c r="AU1469" s="36">
        <v>1.0710333116743191</v>
      </c>
      <c r="AV1469" s="36">
        <v>1.0701682367956697</v>
      </c>
      <c r="AW1469" s="36">
        <v>1.0693579939228044</v>
      </c>
      <c r="AX1469" s="36">
        <v>1.0685970700340752</v>
      </c>
      <c r="AY1469" s="36">
        <v>1.067880517197592</v>
      </c>
      <c r="AZ1469" s="36">
        <v>1.0672038897586962</v>
      </c>
      <c r="BA1469" s="36">
        <v>1.066563190901135</v>
      </c>
      <c r="BB1469" s="36">
        <v>1.0659548261042926</v>
      </c>
      <c r="BC1469" s="36">
        <v>1.0653755620361336</v>
      </c>
      <c r="BD1469" s="36">
        <v>1.0648224899523908</v>
      </c>
      <c r="BE1469" s="36">
        <v>1.0642929929579312</v>
      </c>
      <c r="BF1469" s="36">
        <v>1.0637847166469356</v>
      </c>
    </row>
    <row r="1470" spans="1:58" ht="12" customHeight="1" x14ac:dyDescent="0.2">
      <c r="A1470" t="s">
        <v>59</v>
      </c>
      <c r="B1470" t="s">
        <v>45</v>
      </c>
      <c r="C1470" s="36">
        <v>1.070543766544948</v>
      </c>
      <c r="D1470" s="36">
        <v>1.070543766544948</v>
      </c>
      <c r="E1470" s="36">
        <v>1.070543766544948</v>
      </c>
      <c r="F1470" s="36">
        <v>1.070543766544948</v>
      </c>
      <c r="G1470" s="36">
        <v>1.070543766544948</v>
      </c>
      <c r="H1470" s="36">
        <v>1.070543766544948</v>
      </c>
      <c r="I1470" s="36">
        <v>1.070543766544948</v>
      </c>
      <c r="J1470" s="36">
        <v>1.070543766544948</v>
      </c>
      <c r="K1470" s="36">
        <v>1.070543766544948</v>
      </c>
      <c r="L1470" s="36">
        <v>1.070543766544948</v>
      </c>
      <c r="M1470" s="36">
        <v>1.070543766544948</v>
      </c>
      <c r="N1470" s="36">
        <v>1.070543766544948</v>
      </c>
      <c r="O1470" s="36">
        <v>1.070543766544948</v>
      </c>
      <c r="P1470" s="36">
        <v>1.070543766544948</v>
      </c>
      <c r="Q1470" s="36">
        <v>1.070543766544948</v>
      </c>
      <c r="R1470" s="36">
        <v>1.070543766544948</v>
      </c>
      <c r="S1470" s="36">
        <v>1.070543766544948</v>
      </c>
      <c r="T1470" s="36">
        <v>1.070543766544948</v>
      </c>
      <c r="U1470" s="36">
        <v>1.070543766544948</v>
      </c>
      <c r="V1470" s="36">
        <v>1.070543766544948</v>
      </c>
      <c r="W1470" s="36">
        <v>1.070543766544948</v>
      </c>
      <c r="X1470" s="36">
        <v>1.070543766544948</v>
      </c>
      <c r="Y1470" s="36">
        <v>1.070543766544948</v>
      </c>
      <c r="Z1470" s="59">
        <v>1.070543766544948</v>
      </c>
      <c r="AA1470" s="36">
        <v>1.0702226034149844</v>
      </c>
      <c r="AB1470" s="36">
        <v>1.3022904887752984</v>
      </c>
      <c r="AC1470" s="36">
        <v>1.2273441911315872</v>
      </c>
      <c r="AD1470" s="36">
        <v>1.116588779490703</v>
      </c>
      <c r="AE1470" s="36">
        <v>1.0926034578393096</v>
      </c>
      <c r="AF1470" s="36">
        <v>1.0804505042931847</v>
      </c>
      <c r="AG1470" s="36">
        <v>1.07421378288751</v>
      </c>
      <c r="AH1470" s="36">
        <v>1.0709352256254507</v>
      </c>
      <c r="AI1470" s="36">
        <v>1.0691357984941663</v>
      </c>
      <c r="AJ1470" s="36">
        <v>1.0680759844728198</v>
      </c>
      <c r="AK1470" s="36">
        <v>1.0673860250365788</v>
      </c>
      <c r="AL1470" s="36">
        <v>1.0668810409086182</v>
      </c>
      <c r="AM1470" s="36">
        <v>1.0664685924361208</v>
      </c>
      <c r="AN1470" s="36">
        <v>1.0661024597782778</v>
      </c>
      <c r="AO1470" s="36">
        <v>1.065759533000288</v>
      </c>
      <c r="AP1470" s="36">
        <v>1.0654282571203599</v>
      </c>
      <c r="AQ1470" s="36">
        <v>1.0651028546332098</v>
      </c>
      <c r="AR1470" s="36">
        <v>1.0647804367718128</v>
      </c>
      <c r="AS1470" s="36">
        <v>1.0644595591382777</v>
      </c>
      <c r="AT1470" s="36">
        <v>1.0641394995192845</v>
      </c>
      <c r="AU1470" s="36">
        <v>1.0638198967938028</v>
      </c>
      <c r="AV1470" s="36">
        <v>1.063500570386952</v>
      </c>
      <c r="AW1470" s="36">
        <v>1.0631814299969296</v>
      </c>
      <c r="AX1470" s="36">
        <v>1.0628624304584773</v>
      </c>
      <c r="AY1470" s="36">
        <v>1.0625435491746131</v>
      </c>
      <c r="AZ1470" s="36">
        <v>1.0622247748324976</v>
      </c>
      <c r="BA1470" s="36">
        <v>1.061906101761366</v>
      </c>
      <c r="BB1470" s="36">
        <v>1.061587527111497</v>
      </c>
      <c r="BC1470" s="36">
        <v>1.0612690494436932</v>
      </c>
      <c r="BD1470" s="36">
        <v>1.0609506680240248</v>
      </c>
      <c r="BE1470" s="36">
        <v>1.0606323824712003</v>
      </c>
      <c r="BF1470" s="36">
        <v>1.0603141925802499</v>
      </c>
    </row>
    <row r="1471" spans="1:58" ht="12" customHeight="1" x14ac:dyDescent="0.2">
      <c r="A1471" t="s">
        <v>60</v>
      </c>
      <c r="B1471" t="s">
        <v>45</v>
      </c>
      <c r="C1471" s="36">
        <v>1.0517563043323064</v>
      </c>
      <c r="D1471" s="36">
        <v>1.0517563043323064</v>
      </c>
      <c r="E1471" s="36">
        <v>1.0517563043323064</v>
      </c>
      <c r="F1471" s="36">
        <v>1.0517563043323064</v>
      </c>
      <c r="G1471" s="36">
        <v>1.0517563043323064</v>
      </c>
      <c r="H1471" s="36">
        <v>1.0517563043323064</v>
      </c>
      <c r="I1471" s="36">
        <v>1.0517563043323064</v>
      </c>
      <c r="J1471" s="36">
        <v>1.0517563043323064</v>
      </c>
      <c r="K1471" s="36">
        <v>1.0517563043323064</v>
      </c>
      <c r="L1471" s="36">
        <v>1.0517563043323064</v>
      </c>
      <c r="M1471" s="36">
        <v>1.0517563043323064</v>
      </c>
      <c r="N1471" s="36">
        <v>1.0517563043323064</v>
      </c>
      <c r="O1471" s="36">
        <v>1.0517563043323064</v>
      </c>
      <c r="P1471" s="36">
        <v>1.0517563043323064</v>
      </c>
      <c r="Q1471" s="36">
        <v>1.0517563043323064</v>
      </c>
      <c r="R1471" s="36">
        <v>1.0517563043323064</v>
      </c>
      <c r="S1471" s="36">
        <v>1.0517563043323064</v>
      </c>
      <c r="T1471" s="36">
        <v>1.0517563043323064</v>
      </c>
      <c r="U1471" s="36">
        <v>1.0517563043323064</v>
      </c>
      <c r="V1471" s="36">
        <v>1.0517563043323064</v>
      </c>
      <c r="W1471" s="36">
        <v>1.0517563043323064</v>
      </c>
      <c r="X1471" s="36">
        <v>1.0517563043323064</v>
      </c>
      <c r="Y1471" s="36">
        <v>1.0517563043323064</v>
      </c>
      <c r="Z1471" s="59">
        <v>1.0517563043323064</v>
      </c>
      <c r="AA1471" s="36">
        <v>1.0514407774410066</v>
      </c>
      <c r="AB1471" s="36">
        <v>1.0511253452077745</v>
      </c>
      <c r="AC1471" s="36">
        <v>1.0508100076042122</v>
      </c>
      <c r="AD1471" s="36">
        <v>1.0504947646019309</v>
      </c>
      <c r="AE1471" s="36">
        <v>1.0501796161725503</v>
      </c>
      <c r="AF1471" s="36">
        <v>1.0498645622876985</v>
      </c>
      <c r="AG1471" s="36">
        <v>1.0495496029190123</v>
      </c>
      <c r="AH1471" s="36">
        <v>1.0492347380381366</v>
      </c>
      <c r="AI1471" s="36">
        <v>1.0489199676167251</v>
      </c>
      <c r="AJ1471" s="36">
        <v>1.0486052916264401</v>
      </c>
      <c r="AK1471" s="36">
        <v>1.0482907100389522</v>
      </c>
      <c r="AL1471" s="36">
        <v>1.0479762228259406</v>
      </c>
      <c r="AM1471" s="36">
        <v>1.047661829959093</v>
      </c>
      <c r="AN1471" s="36">
        <v>1.0473475314101053</v>
      </c>
      <c r="AO1471" s="36">
        <v>1.0470333271506822</v>
      </c>
      <c r="AP1471" s="36">
        <v>1.046719217152537</v>
      </c>
      <c r="AQ1471" s="36">
        <v>1.0464052013873912</v>
      </c>
      <c r="AR1471" s="36">
        <v>1.046091279826975</v>
      </c>
      <c r="AS1471" s="36">
        <v>1.045777452443027</v>
      </c>
      <c r="AT1471" s="36">
        <v>1.0454637192072942</v>
      </c>
      <c r="AU1471" s="36">
        <v>1.0451500800915321</v>
      </c>
      <c r="AV1471" s="36">
        <v>1.0448365350675046</v>
      </c>
      <c r="AW1471" s="36">
        <v>1.0445230841069844</v>
      </c>
      <c r="AX1471" s="36">
        <v>1.0442097271817523</v>
      </c>
      <c r="AY1471" s="36">
        <v>1.0438964642635977</v>
      </c>
      <c r="AZ1471" s="36">
        <v>1.0435832953243187</v>
      </c>
      <c r="BA1471" s="36">
        <v>1.0432702203357214</v>
      </c>
      <c r="BB1471" s="36">
        <v>1.0429572392696207</v>
      </c>
      <c r="BC1471" s="36">
        <v>1.0426443520978399</v>
      </c>
      <c r="BD1471" s="36">
        <v>1.0423315587922106</v>
      </c>
      <c r="BE1471" s="36">
        <v>1.0420188593245729</v>
      </c>
      <c r="BF1471" s="36">
        <v>1.0417062536667756</v>
      </c>
    </row>
    <row r="1472" spans="1:58" ht="12" customHeight="1" x14ac:dyDescent="0.2">
      <c r="A1472" t="s">
        <v>61</v>
      </c>
      <c r="B1472" t="s">
        <v>45</v>
      </c>
      <c r="C1472" s="36">
        <v>1.0630668704976507</v>
      </c>
      <c r="D1472" s="36">
        <v>1.0630668704976507</v>
      </c>
      <c r="E1472" s="36">
        <v>1.0630668704976507</v>
      </c>
      <c r="F1472" s="36">
        <v>1.0630668704976507</v>
      </c>
      <c r="G1472" s="36">
        <v>1.0630668704976507</v>
      </c>
      <c r="H1472" s="36">
        <v>1.0630668704976507</v>
      </c>
      <c r="I1472" s="36">
        <v>1.0630668704976507</v>
      </c>
      <c r="J1472" s="36">
        <v>1.0630668704976507</v>
      </c>
      <c r="K1472" s="36">
        <v>1.0630668704976507</v>
      </c>
      <c r="L1472" s="36">
        <v>1.0630668704976507</v>
      </c>
      <c r="M1472" s="36">
        <v>1.0630668704976507</v>
      </c>
      <c r="N1472" s="36">
        <v>1.0630668704976507</v>
      </c>
      <c r="O1472" s="36">
        <v>1.0630668704976507</v>
      </c>
      <c r="P1472" s="36">
        <v>1.0630668704976507</v>
      </c>
      <c r="Q1472" s="36">
        <v>1.0630668704976507</v>
      </c>
      <c r="R1472" s="36">
        <v>1.0630668704976507</v>
      </c>
      <c r="S1472" s="36">
        <v>1.0630668704976507</v>
      </c>
      <c r="T1472" s="36">
        <v>1.0630668704976507</v>
      </c>
      <c r="U1472" s="36">
        <v>1.0630668704976507</v>
      </c>
      <c r="V1472" s="36">
        <v>1.0630668704976507</v>
      </c>
      <c r="W1472" s="36">
        <v>1.0630668704976507</v>
      </c>
      <c r="X1472" s="36">
        <v>1.0630668704976507</v>
      </c>
      <c r="Y1472" s="36">
        <v>1.0630668704976507</v>
      </c>
      <c r="Z1472" s="59">
        <v>1.0630668704976507</v>
      </c>
      <c r="AA1472" s="36">
        <v>1.0627479504365014</v>
      </c>
      <c r="AB1472" s="36">
        <v>1.0624291260513705</v>
      </c>
      <c r="AC1472" s="36">
        <v>1.0621103973135551</v>
      </c>
      <c r="AD1472" s="36">
        <v>1.0617917641943611</v>
      </c>
      <c r="AE1472" s="36">
        <v>1.0614732266651028</v>
      </c>
      <c r="AF1472" s="36">
        <v>1.0611547846971032</v>
      </c>
      <c r="AG1472" s="36">
        <v>1.0608364382616942</v>
      </c>
      <c r="AH1472" s="36">
        <v>1.0605181873302156</v>
      </c>
      <c r="AI1472" s="36">
        <v>1.0602000318740166</v>
      </c>
      <c r="AJ1472" s="36">
        <v>1.0598819718644543</v>
      </c>
      <c r="AK1472" s="36">
        <v>1.0595640072728951</v>
      </c>
      <c r="AL1472" s="36">
        <v>1.0592461380707132</v>
      </c>
      <c r="AM1472" s="36">
        <v>1.0589283642292919</v>
      </c>
      <c r="AN1472" s="36">
        <v>1.0586106857200233</v>
      </c>
      <c r="AO1472" s="36">
        <v>1.0582931025143072</v>
      </c>
      <c r="AP1472" s="36">
        <v>1.0579756145835528</v>
      </c>
      <c r="AQ1472" s="36">
        <v>1.0576582218991777</v>
      </c>
      <c r="AR1472" s="36">
        <v>1.057340924432608</v>
      </c>
      <c r="AS1472" s="36">
        <v>1.0570237221552783</v>
      </c>
      <c r="AT1472" s="36">
        <v>1.0567066150386317</v>
      </c>
      <c r="AU1472" s="36">
        <v>1.0563896030541202</v>
      </c>
      <c r="AV1472" s="36">
        <v>1.0560726861732039</v>
      </c>
      <c r="AW1472" s="36">
        <v>1.0557558643673519</v>
      </c>
      <c r="AX1472" s="36">
        <v>1.0554391376080416</v>
      </c>
      <c r="AY1472" s="36">
        <v>1.0551225058667593</v>
      </c>
      <c r="AZ1472" s="36">
        <v>1.0548059691149994</v>
      </c>
      <c r="BA1472" s="36">
        <v>1.0544895273242649</v>
      </c>
      <c r="BB1472" s="36">
        <v>1.0541731804660677</v>
      </c>
      <c r="BC1472" s="36">
        <v>1.0538569285119279</v>
      </c>
      <c r="BD1472" s="36">
        <v>1.0535407714333744</v>
      </c>
      <c r="BE1472" s="36">
        <v>1.0532247092019444</v>
      </c>
      <c r="BF1472" s="36">
        <v>1.0529087417891838</v>
      </c>
    </row>
    <row r="1473" spans="1:58" ht="12" customHeight="1" x14ac:dyDescent="0.2">
      <c r="A1473" t="s">
        <v>44</v>
      </c>
      <c r="B1473" t="s">
        <v>64</v>
      </c>
      <c r="C1473" s="36">
        <v>1.21</v>
      </c>
      <c r="D1473" s="36">
        <v>1.21</v>
      </c>
      <c r="E1473" s="36">
        <v>1.21</v>
      </c>
      <c r="F1473" s="36">
        <v>1.21</v>
      </c>
      <c r="G1473" s="36">
        <v>1.19</v>
      </c>
      <c r="H1473" s="36">
        <v>1.17</v>
      </c>
      <c r="I1473" s="36">
        <v>1.17</v>
      </c>
      <c r="J1473" s="36">
        <v>1.19</v>
      </c>
      <c r="K1473" s="36">
        <v>1.1599999999999999</v>
      </c>
      <c r="L1473" s="36">
        <v>1.0900000000000001</v>
      </c>
      <c r="M1473" s="36">
        <v>1.1000000000000001</v>
      </c>
      <c r="N1473" s="36">
        <v>1.06</v>
      </c>
      <c r="O1473" s="36">
        <v>1.05</v>
      </c>
      <c r="P1473" s="36">
        <v>1.04</v>
      </c>
      <c r="Q1473" s="36">
        <v>1.03</v>
      </c>
      <c r="R1473" s="36">
        <v>1.03</v>
      </c>
      <c r="S1473" s="36">
        <v>1.03</v>
      </c>
      <c r="T1473" s="36">
        <v>1.03</v>
      </c>
      <c r="U1473" s="36">
        <v>1.03</v>
      </c>
      <c r="V1473" s="36">
        <v>1.03</v>
      </c>
      <c r="W1473" s="36">
        <v>1.03</v>
      </c>
      <c r="X1473" s="36">
        <v>1.03</v>
      </c>
      <c r="Y1473" s="36">
        <v>1.03</v>
      </c>
      <c r="Z1473" s="59">
        <v>1.03</v>
      </c>
      <c r="AA1473" s="36">
        <v>1.03</v>
      </c>
      <c r="AB1473" s="36">
        <v>1.03</v>
      </c>
      <c r="AC1473" s="36">
        <v>1.03</v>
      </c>
      <c r="AD1473" s="36">
        <f>AC1473</f>
        <v>1.03</v>
      </c>
      <c r="AE1473" s="36">
        <f t="shared" ref="AE1473:BF1473" si="497">AD1473</f>
        <v>1.03</v>
      </c>
      <c r="AF1473" s="36">
        <f t="shared" si="497"/>
        <v>1.03</v>
      </c>
      <c r="AG1473" s="36">
        <f t="shared" si="497"/>
        <v>1.03</v>
      </c>
      <c r="AH1473" s="36">
        <f t="shared" si="497"/>
        <v>1.03</v>
      </c>
      <c r="AI1473" s="36">
        <f t="shared" si="497"/>
        <v>1.03</v>
      </c>
      <c r="AJ1473" s="36">
        <f t="shared" si="497"/>
        <v>1.03</v>
      </c>
      <c r="AK1473" s="36">
        <f t="shared" si="497"/>
        <v>1.03</v>
      </c>
      <c r="AL1473" s="36">
        <f t="shared" si="497"/>
        <v>1.03</v>
      </c>
      <c r="AM1473" s="36">
        <f t="shared" si="497"/>
        <v>1.03</v>
      </c>
      <c r="AN1473" s="36">
        <f t="shared" si="497"/>
        <v>1.03</v>
      </c>
      <c r="AO1473" s="36">
        <f t="shared" si="497"/>
        <v>1.03</v>
      </c>
      <c r="AP1473" s="36">
        <f t="shared" si="497"/>
        <v>1.03</v>
      </c>
      <c r="AQ1473" s="36">
        <f t="shared" si="497"/>
        <v>1.03</v>
      </c>
      <c r="AR1473" s="36">
        <f t="shared" si="497"/>
        <v>1.03</v>
      </c>
      <c r="AS1473" s="36">
        <f t="shared" si="497"/>
        <v>1.03</v>
      </c>
      <c r="AT1473" s="36">
        <f t="shared" si="497"/>
        <v>1.03</v>
      </c>
      <c r="AU1473" s="36">
        <f t="shared" si="497"/>
        <v>1.03</v>
      </c>
      <c r="AV1473" s="36">
        <f t="shared" si="497"/>
        <v>1.03</v>
      </c>
      <c r="AW1473" s="36">
        <f t="shared" si="497"/>
        <v>1.03</v>
      </c>
      <c r="AX1473" s="36">
        <f t="shared" si="497"/>
        <v>1.03</v>
      </c>
      <c r="AY1473" s="36">
        <f t="shared" si="497"/>
        <v>1.03</v>
      </c>
      <c r="AZ1473" s="36">
        <f t="shared" si="497"/>
        <v>1.03</v>
      </c>
      <c r="BA1473" s="36">
        <f t="shared" si="497"/>
        <v>1.03</v>
      </c>
      <c r="BB1473" s="36">
        <f t="shared" si="497"/>
        <v>1.03</v>
      </c>
      <c r="BC1473" s="36">
        <f t="shared" si="497"/>
        <v>1.03</v>
      </c>
      <c r="BD1473" s="36">
        <f t="shared" si="497"/>
        <v>1.03</v>
      </c>
      <c r="BE1473" s="36">
        <f t="shared" si="497"/>
        <v>1.03</v>
      </c>
      <c r="BF1473" s="36">
        <f t="shared" si="497"/>
        <v>1.03</v>
      </c>
    </row>
    <row r="1474" spans="1:58" ht="12" customHeight="1" x14ac:dyDescent="0.2">
      <c r="A1474" t="s">
        <v>47</v>
      </c>
      <c r="B1474" t="s">
        <v>64</v>
      </c>
      <c r="C1474" s="36">
        <v>1.0668496500935518</v>
      </c>
      <c r="D1474" s="36">
        <v>1.0668496500935518</v>
      </c>
      <c r="E1474" s="36">
        <v>1.0668496500935518</v>
      </c>
      <c r="F1474" s="36">
        <v>1.0668496500935518</v>
      </c>
      <c r="G1474" s="36">
        <v>1.0668496500935518</v>
      </c>
      <c r="H1474" s="36">
        <v>1.0668496500935518</v>
      </c>
      <c r="I1474" s="36">
        <v>1.0668496500935518</v>
      </c>
      <c r="J1474" s="36">
        <v>1.0668496500935518</v>
      </c>
      <c r="K1474" s="36">
        <v>1.0668496500935518</v>
      </c>
      <c r="L1474" s="36">
        <v>1.0668496500935518</v>
      </c>
      <c r="M1474" s="36">
        <v>1.0668496500935518</v>
      </c>
      <c r="N1474" s="36">
        <v>1.0668496500935518</v>
      </c>
      <c r="O1474" s="36">
        <v>1.0668496500935518</v>
      </c>
      <c r="P1474" s="36">
        <v>1.0668496500935518</v>
      </c>
      <c r="Q1474" s="36">
        <v>1.0668496500935518</v>
      </c>
      <c r="R1474" s="36">
        <v>1.0668496500935518</v>
      </c>
      <c r="S1474" s="36">
        <v>1.0668496500935518</v>
      </c>
      <c r="T1474" s="36">
        <v>1.0668496500935518</v>
      </c>
      <c r="U1474" s="36">
        <v>1.0668496500935518</v>
      </c>
      <c r="V1474" s="36">
        <v>1.0668496500935518</v>
      </c>
      <c r="W1474" s="36">
        <v>1.0668496500935518</v>
      </c>
      <c r="X1474" s="36">
        <v>1.0668496500935518</v>
      </c>
      <c r="Y1474" s="36">
        <v>1.0668496500935518</v>
      </c>
      <c r="Z1474" s="59">
        <v>1.0668496500935518</v>
      </c>
      <c r="AA1474" s="36">
        <v>1.0665295951985239</v>
      </c>
      <c r="AB1474" s="36">
        <v>1.4422746850239538</v>
      </c>
      <c r="AC1474" s="36">
        <v>1.2836113323262186</v>
      </c>
      <c r="AD1474" s="36">
        <v>1.1308864741661846</v>
      </c>
      <c r="AE1474" s="36">
        <v>1.0979085693296629</v>
      </c>
      <c r="AF1474" s="36">
        <v>1.0812598773117283</v>
      </c>
      <c r="AG1474" s="36">
        <v>1.0727758396249669</v>
      </c>
      <c r="AH1474" s="36">
        <v>1.0683741770112956</v>
      </c>
      <c r="AI1474" s="36">
        <v>1.0660137498273001</v>
      </c>
      <c r="AJ1474" s="36">
        <v>1.0646739882369061</v>
      </c>
      <c r="AK1474" s="36">
        <v>1.0638446073077119</v>
      </c>
      <c r="AL1474" s="36">
        <v>1.0632704645591582</v>
      </c>
      <c r="AM1474" s="36">
        <v>1.0628239887366098</v>
      </c>
      <c r="AN1474" s="36">
        <v>1.0624413941983983</v>
      </c>
      <c r="AO1474" s="36">
        <v>1.0620907881093438</v>
      </c>
      <c r="AP1474" s="36">
        <v>1.0617562240375134</v>
      </c>
      <c r="AQ1474" s="36">
        <v>1.0614297287526036</v>
      </c>
      <c r="AR1474" s="36">
        <v>1.0611073156251283</v>
      </c>
      <c r="AS1474" s="36">
        <v>1.0607869913260162</v>
      </c>
      <c r="AT1474" s="36">
        <v>1.060467759176406</v>
      </c>
      <c r="AU1474" s="36">
        <v>1.0601491208225471</v>
      </c>
      <c r="AV1474" s="36">
        <v>1.0598308270732473</v>
      </c>
      <c r="AW1474" s="36">
        <v>1.0595127533185988</v>
      </c>
      <c r="AX1474" s="36">
        <v>1.05919483723934</v>
      </c>
      <c r="AY1474" s="36">
        <v>1.0588770476615366</v>
      </c>
      <c r="AZ1474" s="36">
        <v>1.0585593689839223</v>
      </c>
      <c r="BA1474" s="36">
        <v>1.0582417933915693</v>
      </c>
      <c r="BB1474" s="36">
        <v>1.0579243169627228</v>
      </c>
      <c r="BC1474" s="36">
        <v>1.0576069377222195</v>
      </c>
      <c r="BD1474" s="36">
        <v>1.0572896546681956</v>
      </c>
      <c r="BE1474" s="36">
        <v>1.0569724672854415</v>
      </c>
      <c r="BF1474" s="36">
        <v>1.0566553753020789</v>
      </c>
    </row>
    <row r="1475" spans="1:58" ht="12" customHeight="1" x14ac:dyDescent="0.2">
      <c r="A1475" t="s">
        <v>48</v>
      </c>
      <c r="B1475" t="s">
        <v>64</v>
      </c>
      <c r="C1475" s="36">
        <v>1.0533785277386187</v>
      </c>
      <c r="D1475" s="36">
        <v>1.0533785277386187</v>
      </c>
      <c r="E1475" s="36">
        <v>1.0533785277386187</v>
      </c>
      <c r="F1475" s="36">
        <v>1.0533785277386187</v>
      </c>
      <c r="G1475" s="36">
        <v>1.0533785277386187</v>
      </c>
      <c r="H1475" s="36">
        <v>1.0533785277386187</v>
      </c>
      <c r="I1475" s="36">
        <v>1.0533785277386187</v>
      </c>
      <c r="J1475" s="36">
        <v>1.0533785277386187</v>
      </c>
      <c r="K1475" s="36">
        <v>1.0533785277386187</v>
      </c>
      <c r="L1475" s="36">
        <v>1.0533785277386187</v>
      </c>
      <c r="M1475" s="36">
        <v>1.0533785277386187</v>
      </c>
      <c r="N1475" s="36">
        <v>1.0533785277386187</v>
      </c>
      <c r="O1475" s="36">
        <v>1.0533785277386187</v>
      </c>
      <c r="P1475" s="36">
        <v>1.0533785277386187</v>
      </c>
      <c r="Q1475" s="36">
        <v>1.0533785277386187</v>
      </c>
      <c r="R1475" s="36">
        <v>1.0533785277386187</v>
      </c>
      <c r="S1475" s="36">
        <v>1.0533785277386187</v>
      </c>
      <c r="T1475" s="36">
        <v>1.0533785277386187</v>
      </c>
      <c r="U1475" s="36">
        <v>1.0533785277386187</v>
      </c>
      <c r="V1475" s="36">
        <v>1.0533785277386187</v>
      </c>
      <c r="W1475" s="36">
        <v>1.0533785277386187</v>
      </c>
      <c r="X1475" s="36">
        <v>1.0533785277386187</v>
      </c>
      <c r="Y1475" s="36">
        <v>1.0533785277386187</v>
      </c>
      <c r="Z1475" s="59">
        <v>1.0533785277386187</v>
      </c>
      <c r="AA1475" s="36">
        <v>1.0530625141802972</v>
      </c>
      <c r="AB1475" s="36">
        <v>1.01</v>
      </c>
      <c r="AC1475" s="36">
        <v>1.01</v>
      </c>
      <c r="AD1475" s="36">
        <v>1.012217100718054</v>
      </c>
      <c r="AE1475" s="36">
        <v>1.0318504369543529</v>
      </c>
      <c r="AF1475" s="36">
        <v>1.0415093825065236</v>
      </c>
      <c r="AG1475" s="36">
        <v>1.0461811800334004</v>
      </c>
      <c r="AH1475" s="36">
        <v>1.0483594508502048</v>
      </c>
      <c r="AI1475" s="36">
        <v>1.0492910056003568</v>
      </c>
      <c r="AJ1475" s="36">
        <v>1.0495992495913804</v>
      </c>
      <c r="AK1475" s="36">
        <v>1.0495958854628546</v>
      </c>
      <c r="AL1475" s="36">
        <v>1.0494367645203917</v>
      </c>
      <c r="AM1475" s="36">
        <v>1.0491998124026236</v>
      </c>
      <c r="AN1475" s="36">
        <v>1.0489239919146969</v>
      </c>
      <c r="AO1475" s="36">
        <v>1.0486287844450193</v>
      </c>
      <c r="AP1475" s="36">
        <v>1.0483239306736345</v>
      </c>
      <c r="AQ1475" s="36">
        <v>1.0480143009264065</v>
      </c>
      <c r="AR1475" s="36">
        <v>1.0477023303521158</v>
      </c>
      <c r="AS1475" s="36">
        <v>1.0473892365110038</v>
      </c>
      <c r="AT1475" s="36">
        <v>1.0470756281690472</v>
      </c>
      <c r="AU1475" s="36">
        <v>1.046761809695095</v>
      </c>
      <c r="AV1475" s="36">
        <v>1.0464479332594356</v>
      </c>
      <c r="AW1475" s="36">
        <v>1.0461340749330825</v>
      </c>
      <c r="AX1475" s="36">
        <v>1.0458202727374148</v>
      </c>
      <c r="AY1475" s="36">
        <v>1.0455065456689998</v>
      </c>
      <c r="AZ1475" s="36">
        <v>1.0451929032120024</v>
      </c>
      <c r="BA1475" s="36">
        <v>1.0448793500943903</v>
      </c>
      <c r="BB1475" s="36">
        <v>1.0445658886660376</v>
      </c>
      <c r="BC1475" s="36">
        <v>1.0442525200877757</v>
      </c>
      <c r="BD1475" s="36">
        <v>1.0439392449259182</v>
      </c>
      <c r="BE1475" s="36">
        <v>1.0436260634495249</v>
      </c>
      <c r="BF1475" s="36">
        <v>1.0433129757790325</v>
      </c>
    </row>
    <row r="1476" spans="1:58" ht="12" customHeight="1" x14ac:dyDescent="0.2">
      <c r="A1476" t="s">
        <v>49</v>
      </c>
      <c r="B1476" t="s">
        <v>64</v>
      </c>
      <c r="C1476" s="36">
        <v>1.0681133197970796</v>
      </c>
      <c r="D1476" s="36">
        <v>1.0681133197970796</v>
      </c>
      <c r="E1476" s="36">
        <v>1.0681133197970796</v>
      </c>
      <c r="F1476" s="36">
        <v>1.0681133197970796</v>
      </c>
      <c r="G1476" s="36">
        <v>1.0681133197970796</v>
      </c>
      <c r="H1476" s="36">
        <v>1.0681133197970796</v>
      </c>
      <c r="I1476" s="36">
        <v>1.0681133197970796</v>
      </c>
      <c r="J1476" s="36">
        <v>1.0681133197970796</v>
      </c>
      <c r="K1476" s="36">
        <v>1.0681133197970796</v>
      </c>
      <c r="L1476" s="36">
        <v>1.0681133197970796</v>
      </c>
      <c r="M1476" s="36">
        <v>1.0681133197970796</v>
      </c>
      <c r="N1476" s="36">
        <v>1.0681133197970796</v>
      </c>
      <c r="O1476" s="36">
        <v>1.0681133197970796</v>
      </c>
      <c r="P1476" s="36">
        <v>1.0681133197970796</v>
      </c>
      <c r="Q1476" s="36">
        <v>1.0681133197970796</v>
      </c>
      <c r="R1476" s="36">
        <v>1.0681133197970796</v>
      </c>
      <c r="S1476" s="36">
        <v>1.0681133197970796</v>
      </c>
      <c r="T1476" s="36">
        <v>1.0681133197970796</v>
      </c>
      <c r="U1476" s="36">
        <v>1.0681133197970796</v>
      </c>
      <c r="V1476" s="36">
        <v>1.0681133197970796</v>
      </c>
      <c r="W1476" s="36">
        <v>1.0681133197970796</v>
      </c>
      <c r="X1476" s="36">
        <v>1.0681133197970796</v>
      </c>
      <c r="Y1476" s="36">
        <v>1.0681133197970796</v>
      </c>
      <c r="Z1476" s="59">
        <v>1.0681133197970796</v>
      </c>
      <c r="AA1476" s="36">
        <v>1.0677928858011405</v>
      </c>
      <c r="AB1476" s="36">
        <v>1.0674725479354001</v>
      </c>
      <c r="AC1476" s="36">
        <v>1.0671523061710195</v>
      </c>
      <c r="AD1476" s="36">
        <v>1.0668321604791682</v>
      </c>
      <c r="AE1476" s="36">
        <v>1.0665121108310245</v>
      </c>
      <c r="AF1476" s="36">
        <v>1.0661921571977753</v>
      </c>
      <c r="AG1476" s="36">
        <v>1.065872299550616</v>
      </c>
      <c r="AH1476" s="36">
        <v>1.0655525378607509</v>
      </c>
      <c r="AI1476" s="36">
        <v>1.0652328720993927</v>
      </c>
      <c r="AJ1476" s="36">
        <v>1.0649133022377628</v>
      </c>
      <c r="AK1476" s="36">
        <v>1.0645938282470915</v>
      </c>
      <c r="AL1476" s="36">
        <v>1.0642744500986174</v>
      </c>
      <c r="AM1476" s="36">
        <v>1.0639551677635879</v>
      </c>
      <c r="AN1476" s="36">
        <v>1.0636359812132588</v>
      </c>
      <c r="AO1476" s="36">
        <v>1.0633168904188948</v>
      </c>
      <c r="AP1476" s="36">
        <v>1.0629978953517691</v>
      </c>
      <c r="AQ1476" s="36">
        <v>1.0626789959831637</v>
      </c>
      <c r="AR1476" s="36">
        <v>1.0623601922843688</v>
      </c>
      <c r="AS1476" s="36">
        <v>1.0620414842266837</v>
      </c>
      <c r="AT1476" s="36">
        <v>1.0617228717814158</v>
      </c>
      <c r="AU1476" s="36">
        <v>1.0614043549198815</v>
      </c>
      <c r="AV1476" s="36">
        <v>1.0610859336134055</v>
      </c>
      <c r="AW1476" s="36">
        <v>1.0607676078333215</v>
      </c>
      <c r="AX1476" s="36">
        <v>1.0604493775509716</v>
      </c>
      <c r="AY1476" s="36">
        <v>1.0601312427377063</v>
      </c>
      <c r="AZ1476" s="36">
        <v>1.059813203364885</v>
      </c>
      <c r="BA1476" s="36">
        <v>1.0594952594038756</v>
      </c>
      <c r="BB1476" s="36">
        <v>1.0591774108260545</v>
      </c>
      <c r="BC1476" s="36">
        <v>1.0588596576028069</v>
      </c>
      <c r="BD1476" s="36">
        <v>1.0585419997055261</v>
      </c>
      <c r="BE1476" s="36">
        <v>1.0582244371056144</v>
      </c>
      <c r="BF1476" s="36">
        <v>1.0579069697744827</v>
      </c>
    </row>
    <row r="1477" spans="1:58" ht="12" customHeight="1" x14ac:dyDescent="0.2">
      <c r="A1477" t="s">
        <v>50</v>
      </c>
      <c r="B1477" t="s">
        <v>64</v>
      </c>
      <c r="C1477" s="36">
        <v>1.0821794443073831</v>
      </c>
      <c r="D1477" s="36">
        <v>1.0821794443073831</v>
      </c>
      <c r="E1477" s="36">
        <v>1.0821794443073831</v>
      </c>
      <c r="F1477" s="36">
        <v>1.0821794443073831</v>
      </c>
      <c r="G1477" s="36">
        <v>1.0821794443073831</v>
      </c>
      <c r="H1477" s="36">
        <v>1.0821794443073831</v>
      </c>
      <c r="I1477" s="36">
        <v>1.0821794443073831</v>
      </c>
      <c r="J1477" s="36">
        <v>1.0821794443073831</v>
      </c>
      <c r="K1477" s="36">
        <v>1.0821794443073831</v>
      </c>
      <c r="L1477" s="36">
        <v>1.0821794443073831</v>
      </c>
      <c r="M1477" s="36">
        <v>1.0821794443073831</v>
      </c>
      <c r="N1477" s="36">
        <v>1.0821794443073831</v>
      </c>
      <c r="O1477" s="36">
        <v>1.0821794443073831</v>
      </c>
      <c r="P1477" s="36">
        <v>1.0821794443073831</v>
      </c>
      <c r="Q1477" s="36">
        <v>1.0821794443073831</v>
      </c>
      <c r="R1477" s="36">
        <v>1.0821794443073831</v>
      </c>
      <c r="S1477" s="36">
        <v>1.0821794443073831</v>
      </c>
      <c r="T1477" s="36">
        <v>1.0821794443073831</v>
      </c>
      <c r="U1477" s="36">
        <v>1.0821794443073831</v>
      </c>
      <c r="V1477" s="36">
        <v>1.0821794443073831</v>
      </c>
      <c r="W1477" s="36">
        <v>1.0821794443073831</v>
      </c>
      <c r="X1477" s="36">
        <v>1.0821794443073831</v>
      </c>
      <c r="Y1477" s="36">
        <v>1.0821794443073831</v>
      </c>
      <c r="Z1477" s="59">
        <v>1.0821794443073831</v>
      </c>
      <c r="AA1477" s="36">
        <v>1.080870188397975</v>
      </c>
      <c r="AB1477" s="36">
        <v>1.0796600513155121</v>
      </c>
      <c r="AC1477" s="36">
        <v>1.0785391040632952</v>
      </c>
      <c r="AD1477" s="36">
        <v>1.0774984132222303</v>
      </c>
      <c r="AE1477" s="36">
        <v>1.0765299411242619</v>
      </c>
      <c r="AF1477" s="36">
        <v>1.0756264560354178</v>
      </c>
      <c r="AG1477" s="36">
        <v>1.0747814513448002</v>
      </c>
      <c r="AH1477" s="36">
        <v>1.0739890728564936</v>
      </c>
      <c r="AI1477" s="36">
        <v>1.0732440533719183</v>
      </c>
      <c r="AJ1477" s="36">
        <v>1.0725416538316062</v>
      </c>
      <c r="AK1477" s="36">
        <v>1.0718776103586938</v>
      </c>
      <c r="AL1477" s="36">
        <v>1.0712480866123633</v>
      </c>
      <c r="AM1477" s="36">
        <v>1.0706496309188041</v>
      </c>
      <c r="AN1477" s="36">
        <v>1.0700791377006524</v>
      </c>
      <c r="AO1477" s="36">
        <v>1.0695338127739029</v>
      </c>
      <c r="AP1477" s="36">
        <v>1.0690111421244952</v>
      </c>
      <c r="AQ1477" s="36">
        <v>1.0685088638156766</v>
      </c>
      <c r="AR1477" s="36">
        <v>1.0680249427122097</v>
      </c>
      <c r="AS1477" s="36">
        <v>1.0675575477389858</v>
      </c>
      <c r="AT1477" s="36">
        <v>1.0671050314199173</v>
      </c>
      <c r="AU1477" s="36">
        <v>1.066665911468464</v>
      </c>
      <c r="AV1477" s="36">
        <v>1.0662388542240786</v>
      </c>
      <c r="AW1477" s="36">
        <v>1.0658226597494778</v>
      </c>
      <c r="AX1477" s="36">
        <v>1.0654162484222138</v>
      </c>
      <c r="AY1477" s="36">
        <v>1.065018648870705</v>
      </c>
      <c r="AZ1477" s="36">
        <v>1.0646289871199224</v>
      </c>
      <c r="BA1477" s="36">
        <v>1.0642464768254394</v>
      </c>
      <c r="BB1477" s="36">
        <v>1.0638704104867109</v>
      </c>
      <c r="BC1477" s="36">
        <v>1.0635001515413991</v>
      </c>
      <c r="BD1477" s="36">
        <v>1.0631351272523992</v>
      </c>
      <c r="BE1477" s="36">
        <v>1.062774822308086</v>
      </c>
      <c r="BF1477" s="36">
        <v>1.0624187730642591</v>
      </c>
    </row>
    <row r="1478" spans="1:58" ht="12" customHeight="1" x14ac:dyDescent="0.2">
      <c r="A1478" t="s">
        <v>51</v>
      </c>
      <c r="B1478" t="s">
        <v>64</v>
      </c>
      <c r="C1478" s="36">
        <v>1.0469214958315844</v>
      </c>
      <c r="D1478" s="36">
        <v>1.0469214958315844</v>
      </c>
      <c r="E1478" s="36">
        <v>1.0469214958315844</v>
      </c>
      <c r="F1478" s="36">
        <v>1.0469214958315844</v>
      </c>
      <c r="G1478" s="36">
        <v>1.0469214958315844</v>
      </c>
      <c r="H1478" s="36">
        <v>1.0469214958315844</v>
      </c>
      <c r="I1478" s="36">
        <v>1.0469214958315844</v>
      </c>
      <c r="J1478" s="36">
        <v>1.0469214958315844</v>
      </c>
      <c r="K1478" s="36">
        <v>1.0469214958315844</v>
      </c>
      <c r="L1478" s="36">
        <v>1.0469214958315844</v>
      </c>
      <c r="M1478" s="36">
        <v>1.0469214958315844</v>
      </c>
      <c r="N1478" s="36">
        <v>1.0469214958315844</v>
      </c>
      <c r="O1478" s="36">
        <v>1.0469214958315844</v>
      </c>
      <c r="P1478" s="36">
        <v>1.0469214958315844</v>
      </c>
      <c r="Q1478" s="36">
        <v>1.0469214958315844</v>
      </c>
      <c r="R1478" s="36">
        <v>1.0469214958315844</v>
      </c>
      <c r="S1478" s="36">
        <v>1.0469214958315844</v>
      </c>
      <c r="T1478" s="36">
        <v>1.0469214958315844</v>
      </c>
      <c r="U1478" s="36">
        <v>1.0469214958315844</v>
      </c>
      <c r="V1478" s="36">
        <v>1.0469214958315844</v>
      </c>
      <c r="W1478" s="36">
        <v>1.0469214958315844</v>
      </c>
      <c r="X1478" s="36">
        <v>1.0469214958315844</v>
      </c>
      <c r="Y1478" s="36">
        <v>1.0469214958315844</v>
      </c>
      <c r="Z1478" s="59">
        <v>1.0469214958315844</v>
      </c>
      <c r="AA1478" s="36">
        <v>1.046607419382835</v>
      </c>
      <c r="AB1478" s="36">
        <v>1.0462934371570201</v>
      </c>
      <c r="AC1478" s="36">
        <v>1.045979549125873</v>
      </c>
      <c r="AD1478" s="36">
        <v>1.0456657552611353</v>
      </c>
      <c r="AE1478" s="36">
        <v>1.045352055534557</v>
      </c>
      <c r="AF1478" s="36">
        <v>1.0450384499178966</v>
      </c>
      <c r="AG1478" s="36">
        <v>1.0447249383829214</v>
      </c>
      <c r="AH1478" s="36">
        <v>1.0444115209014064</v>
      </c>
      <c r="AI1478" s="36">
        <v>1.044098197445136</v>
      </c>
      <c r="AJ1478" s="36">
        <v>1.0437849679859026</v>
      </c>
      <c r="AK1478" s="36">
        <v>1.0434718324955068</v>
      </c>
      <c r="AL1478" s="36">
        <v>1.0431587909457583</v>
      </c>
      <c r="AM1478" s="36">
        <v>1.0428458433084746</v>
      </c>
      <c r="AN1478" s="36">
        <v>1.042532989555482</v>
      </c>
      <c r="AO1478" s="36">
        <v>1.0422202296586154</v>
      </c>
      <c r="AP1478" s="36">
        <v>1.0419075635897179</v>
      </c>
      <c r="AQ1478" s="36">
        <v>1.041594991320641</v>
      </c>
      <c r="AR1478" s="36">
        <v>1.0412825128232448</v>
      </c>
      <c r="AS1478" s="36">
        <v>1.0409701280693979</v>
      </c>
      <c r="AT1478" s="36">
        <v>1.0406578370309771</v>
      </c>
      <c r="AU1478" s="36">
        <v>1.0403456396798678</v>
      </c>
      <c r="AV1478" s="36">
        <v>1.040033535987964</v>
      </c>
      <c r="AW1478" s="36">
        <v>1.0397215259271677</v>
      </c>
      <c r="AX1478" s="36">
        <v>1.0394096094693897</v>
      </c>
      <c r="AY1478" s="36">
        <v>1.0390977865865489</v>
      </c>
      <c r="AZ1478" s="36">
        <v>1.0387860572505729</v>
      </c>
      <c r="BA1478" s="36">
        <v>1.0384744214333979</v>
      </c>
      <c r="BB1478" s="36">
        <v>1.0381628791069679</v>
      </c>
      <c r="BC1478" s="36">
        <v>1.0378514302432358</v>
      </c>
      <c r="BD1478" s="36">
        <v>1.0375400748141628</v>
      </c>
      <c r="BE1478" s="36">
        <v>1.0372288127917186</v>
      </c>
      <c r="BF1478" s="36">
        <v>1.0369176441478811</v>
      </c>
    </row>
    <row r="1479" spans="1:58" ht="12" customHeight="1" x14ac:dyDescent="0.2">
      <c r="A1479" t="s">
        <v>52</v>
      </c>
      <c r="B1479" t="s">
        <v>64</v>
      </c>
      <c r="C1479" s="36">
        <v>1.1347718280665386</v>
      </c>
      <c r="D1479" s="36">
        <v>1.1347718280665386</v>
      </c>
      <c r="E1479" s="36">
        <v>1.1347718280665386</v>
      </c>
      <c r="F1479" s="36">
        <v>1.1347718280665386</v>
      </c>
      <c r="G1479" s="36">
        <v>1.1347718280665386</v>
      </c>
      <c r="H1479" s="36">
        <v>1.1347718280665386</v>
      </c>
      <c r="I1479" s="36">
        <v>1.1347718280665386</v>
      </c>
      <c r="J1479" s="36">
        <v>1.1347718280665386</v>
      </c>
      <c r="K1479" s="36">
        <v>1.1347718280665386</v>
      </c>
      <c r="L1479" s="36">
        <v>1.1347718280665386</v>
      </c>
      <c r="M1479" s="36">
        <v>1.1347718280665386</v>
      </c>
      <c r="N1479" s="36">
        <v>1.1347718280665386</v>
      </c>
      <c r="O1479" s="36">
        <v>1.1347718280665386</v>
      </c>
      <c r="P1479" s="36">
        <v>1.1347718280665386</v>
      </c>
      <c r="Q1479" s="36">
        <v>1.1347718280665386</v>
      </c>
      <c r="R1479" s="36">
        <v>1.1347718280665386</v>
      </c>
      <c r="S1479" s="36">
        <v>1.1347718280665386</v>
      </c>
      <c r="T1479" s="36">
        <v>1.1347718280665386</v>
      </c>
      <c r="U1479" s="36">
        <v>1.1347718280665386</v>
      </c>
      <c r="V1479" s="36">
        <v>1.1347718280665386</v>
      </c>
      <c r="W1479" s="36">
        <v>1.1347718280665386</v>
      </c>
      <c r="X1479" s="36">
        <v>1.1347718280665386</v>
      </c>
      <c r="Y1479" s="36">
        <v>1.1347718280665386</v>
      </c>
      <c r="Z1479" s="59">
        <v>1.1347718280665386</v>
      </c>
      <c r="AA1479" s="36">
        <v>1.1281891338376002</v>
      </c>
      <c r="AB1479" s="36">
        <v>1.122234326095906</v>
      </c>
      <c r="AC1479" s="36">
        <v>1.1168444563114592</v>
      </c>
      <c r="AD1479" s="36">
        <v>1.1119628878004708</v>
      </c>
      <c r="AE1479" s="36">
        <v>1.107538662836542</v>
      </c>
      <c r="AF1479" s="36">
        <v>1.1035259332216076</v>
      </c>
      <c r="AG1479" s="36">
        <v>1.0998834479535309</v>
      </c>
      <c r="AH1479" s="36">
        <v>1.0965740922652669</v>
      </c>
      <c r="AI1479" s="36">
        <v>1.0935644728845739</v>
      </c>
      <c r="AJ1479" s="36">
        <v>1.0908245448797276</v>
      </c>
      <c r="AK1479" s="36">
        <v>1.0883272759214202</v>
      </c>
      <c r="AL1479" s="36">
        <v>1.0860483442091149</v>
      </c>
      <c r="AM1479" s="36">
        <v>1.0839658666863297</v>
      </c>
      <c r="AN1479" s="36">
        <v>1.0820601545077684</v>
      </c>
      <c r="AO1479" s="36">
        <v>1.080313493025769</v>
      </c>
      <c r="AP1479" s="36">
        <v>1.078709943837507</v>
      </c>
      <c r="AQ1479" s="36">
        <v>1.0772351666809246</v>
      </c>
      <c r="AR1479" s="36">
        <v>1.0758762591891593</v>
      </c>
      <c r="AS1479" s="36">
        <v>1.0746216127127917</v>
      </c>
      <c r="AT1479" s="36">
        <v>1.0734607825987998</v>
      </c>
      <c r="AU1479" s="36">
        <v>1.0723843714766399</v>
      </c>
      <c r="AV1479" s="36">
        <v>1.0713839242472345</v>
      </c>
      <c r="AW1479" s="36">
        <v>1.0704518336014122</v>
      </c>
      <c r="AX1479" s="36">
        <v>1.0695812550120145</v>
      </c>
      <c r="AY1479" s="36">
        <v>1.0687660302497464</v>
      </c>
      <c r="AZ1479" s="36">
        <v>1.0680006185680873</v>
      </c>
      <c r="BA1479" s="36">
        <v>1.0672800347882969</v>
      </c>
      <c r="BB1479" s="36">
        <v>1.0665997935926326</v>
      </c>
      <c r="BC1479" s="36">
        <v>1.0659558594032901</v>
      </c>
      <c r="BD1479" s="36">
        <v>1.0653446012869787</v>
      </c>
      <c r="BE1479" s="36">
        <v>1.064762752381218</v>
      </c>
      <c r="BF1479" s="36">
        <v>1.0642073733889581</v>
      </c>
    </row>
    <row r="1480" spans="1:58" ht="12" customHeight="1" x14ac:dyDescent="0.2">
      <c r="A1480" t="s">
        <v>53</v>
      </c>
      <c r="B1480" t="s">
        <v>64</v>
      </c>
      <c r="C1480" s="36">
        <v>1.1293290369646005</v>
      </c>
      <c r="D1480" s="36">
        <v>1.1293290369646005</v>
      </c>
      <c r="E1480" s="36">
        <v>1.1293290369646005</v>
      </c>
      <c r="F1480" s="36">
        <v>1.1293290369646005</v>
      </c>
      <c r="G1480" s="36">
        <v>1.1293290369646005</v>
      </c>
      <c r="H1480" s="36">
        <v>1.1293290369646005</v>
      </c>
      <c r="I1480" s="36">
        <v>1.1293290369646005</v>
      </c>
      <c r="J1480" s="36">
        <v>1.1293290369646005</v>
      </c>
      <c r="K1480" s="36">
        <v>1.1293290369646005</v>
      </c>
      <c r="L1480" s="36">
        <v>1.1293290369646005</v>
      </c>
      <c r="M1480" s="36">
        <v>1.1293290369646005</v>
      </c>
      <c r="N1480" s="36">
        <v>1.1293290369646005</v>
      </c>
      <c r="O1480" s="36">
        <v>1.1293290369646005</v>
      </c>
      <c r="P1480" s="36">
        <v>1.1293290369646005</v>
      </c>
      <c r="Q1480" s="36">
        <v>1.1293290369646005</v>
      </c>
      <c r="R1480" s="36">
        <v>1.1293290369646005</v>
      </c>
      <c r="S1480" s="36">
        <v>1.1214786861614703</v>
      </c>
      <c r="T1480" s="36">
        <v>1.1136829058207254</v>
      </c>
      <c r="U1480" s="36">
        <v>1.105941316604494</v>
      </c>
      <c r="V1480" s="36">
        <v>1.0982535418118116</v>
      </c>
      <c r="W1480" s="36">
        <v>1.0906192073602896</v>
      </c>
      <c r="X1480" s="36">
        <v>1.0830379417679143</v>
      </c>
      <c r="Y1480" s="36">
        <v>1.0755093761349697</v>
      </c>
      <c r="Z1480" s="59">
        <v>1.0680331441260871</v>
      </c>
      <c r="AA1480" s="36">
        <v>1.0677127341828492</v>
      </c>
      <c r="AB1480" s="36">
        <v>1.4369458931784498</v>
      </c>
      <c r="AC1480" s="36">
        <v>1.1903671189436782</v>
      </c>
      <c r="AD1480" s="36">
        <v>1.1037405558678526</v>
      </c>
      <c r="AE1480" s="36">
        <v>1.084926292797481</v>
      </c>
      <c r="AF1480" s="36">
        <v>1.0753592444578361</v>
      </c>
      <c r="AG1480" s="36">
        <v>1.0704158514585962</v>
      </c>
      <c r="AH1480" s="36">
        <v>1.0677843340902071</v>
      </c>
      <c r="AI1480" s="36">
        <v>1.0663088024835043</v>
      </c>
      <c r="AJ1480" s="36">
        <v>1.0654113116895216</v>
      </c>
      <c r="AK1480" s="36">
        <v>1.0648028892193959</v>
      </c>
      <c r="AL1480" s="36">
        <v>1.0643390488143207</v>
      </c>
      <c r="AM1480" s="36">
        <v>1.0639475473305218</v>
      </c>
      <c r="AN1480" s="36">
        <v>1.0635922631817454</v>
      </c>
      <c r="AO1480" s="36">
        <v>1.063255135560502</v>
      </c>
      <c r="AP1480" s="36">
        <v>1.0629271340486897</v>
      </c>
      <c r="AQ1480" s="36">
        <v>1.062603743422903</v>
      </c>
      <c r="AR1480" s="36">
        <v>1.0622827060570899</v>
      </c>
      <c r="AS1480" s="36">
        <v>1.0619628931238798</v>
      </c>
      <c r="AT1480" s="36">
        <v>1.0616437401952461</v>
      </c>
      <c r="AU1480" s="36">
        <v>1.0613249650428394</v>
      </c>
      <c r="AV1480" s="36">
        <v>1.0610064265381525</v>
      </c>
      <c r="AW1480" s="36">
        <v>1.060688054102604</v>
      </c>
      <c r="AX1480" s="36">
        <v>1.0603698124325798</v>
      </c>
      <c r="AY1480" s="36">
        <v>1.0600516838619534</v>
      </c>
      <c r="AZ1480" s="36">
        <v>1.0597336595433464</v>
      </c>
      <c r="BA1480" s="36">
        <v>1.0594157350387594</v>
      </c>
      <c r="BB1480" s="36">
        <v>1.0590979081148857</v>
      </c>
      <c r="BC1480" s="36">
        <v>1.0587801776407701</v>
      </c>
      <c r="BD1480" s="36">
        <v>1.0584625430366374</v>
      </c>
      <c r="BE1480" s="36">
        <v>1.058145003998306</v>
      </c>
      <c r="BF1480" s="36">
        <v>1.0578275603593965</v>
      </c>
    </row>
    <row r="1481" spans="1:58" ht="12" customHeight="1" x14ac:dyDescent="0.2">
      <c r="A1481" t="s">
        <v>54</v>
      </c>
      <c r="B1481" t="s">
        <v>64</v>
      </c>
      <c r="C1481" s="36">
        <v>1.0707936549239239</v>
      </c>
      <c r="D1481" s="36">
        <v>1.0707936549239239</v>
      </c>
      <c r="E1481" s="36">
        <v>1.0707936549239239</v>
      </c>
      <c r="F1481" s="36">
        <v>1.0707936549239239</v>
      </c>
      <c r="G1481" s="36">
        <v>1.0707936549239239</v>
      </c>
      <c r="H1481" s="36">
        <v>1.0707936549239239</v>
      </c>
      <c r="I1481" s="36">
        <v>1.0707936549239239</v>
      </c>
      <c r="J1481" s="36">
        <v>1.0707936549239239</v>
      </c>
      <c r="K1481" s="36">
        <v>1.0707936549239239</v>
      </c>
      <c r="L1481" s="36">
        <v>1.0707936549239239</v>
      </c>
      <c r="M1481" s="36">
        <v>1.0707936549239239</v>
      </c>
      <c r="N1481" s="36">
        <v>1.0707936549239239</v>
      </c>
      <c r="O1481" s="36">
        <v>1.0707936549239239</v>
      </c>
      <c r="P1481" s="36">
        <v>1.0707936549239239</v>
      </c>
      <c r="Q1481" s="36">
        <v>1.0707936549239239</v>
      </c>
      <c r="R1481" s="36">
        <v>1.0707936549239239</v>
      </c>
      <c r="S1481" s="36">
        <v>1.0707936549239239</v>
      </c>
      <c r="T1481" s="36">
        <v>1.0707936549239239</v>
      </c>
      <c r="U1481" s="36">
        <v>1.0707936549239239</v>
      </c>
      <c r="V1481" s="36">
        <v>1.0707936549239239</v>
      </c>
      <c r="W1481" s="36">
        <v>1.0707936549239239</v>
      </c>
      <c r="X1481" s="36">
        <v>1.0707936549239239</v>
      </c>
      <c r="Y1481" s="36">
        <v>1.0707936549239239</v>
      </c>
      <c r="Z1481" s="59">
        <v>1.0707936549239239</v>
      </c>
      <c r="AA1481" s="36">
        <v>1.0704724168274466</v>
      </c>
      <c r="AB1481" s="36">
        <v>1.0701512751023985</v>
      </c>
      <c r="AC1481" s="36">
        <v>1.0698302297198679</v>
      </c>
      <c r="AD1481" s="36">
        <v>1.0695092806509519</v>
      </c>
      <c r="AE1481" s="36">
        <v>1.0691884278667565</v>
      </c>
      <c r="AF1481" s="36">
        <v>1.0688676713383964</v>
      </c>
      <c r="AG1481" s="36">
        <v>1.068547011036995</v>
      </c>
      <c r="AH1481" s="36">
        <v>1.068226446933684</v>
      </c>
      <c r="AI1481" s="36">
        <v>1.0679059789996039</v>
      </c>
      <c r="AJ1481" s="36">
        <v>1.067585607205904</v>
      </c>
      <c r="AK1481" s="36">
        <v>1.0672653315237424</v>
      </c>
      <c r="AL1481" s="36">
        <v>1.0669451519242852</v>
      </c>
      <c r="AM1481" s="36">
        <v>1.066625068378708</v>
      </c>
      <c r="AN1481" s="36">
        <v>1.0663050808581944</v>
      </c>
      <c r="AO1481" s="36">
        <v>1.0659851893339369</v>
      </c>
      <c r="AP1481" s="36">
        <v>1.0656653937771368</v>
      </c>
      <c r="AQ1481" s="36">
        <v>1.0653456941590036</v>
      </c>
      <c r="AR1481" s="36">
        <v>1.065026090450756</v>
      </c>
      <c r="AS1481" s="36">
        <v>1.0647065826236208</v>
      </c>
      <c r="AT1481" s="36">
        <v>1.0643871706488337</v>
      </c>
      <c r="AU1481" s="36">
        <v>1.0640678544976392</v>
      </c>
      <c r="AV1481" s="36">
        <v>1.0637486341412898</v>
      </c>
      <c r="AW1481" s="36">
        <v>1.0634295095510475</v>
      </c>
      <c r="AX1481" s="36">
        <v>1.0631104806981821</v>
      </c>
      <c r="AY1481" s="36">
        <v>1.0627915475539726</v>
      </c>
      <c r="AZ1481" s="36">
        <v>1.0624727100897065</v>
      </c>
      <c r="BA1481" s="36">
        <v>1.0621539682766796</v>
      </c>
      <c r="BB1481" s="36">
        <v>1.0618353220861967</v>
      </c>
      <c r="BC1481" s="36">
        <v>1.0615167714895708</v>
      </c>
      <c r="BD1481" s="36">
        <v>1.061198316458124</v>
      </c>
      <c r="BE1481" s="36">
        <v>1.0608799569631866</v>
      </c>
      <c r="BF1481" s="36">
        <v>1.0605616929760977</v>
      </c>
    </row>
    <row r="1482" spans="1:58" ht="12" customHeight="1" x14ac:dyDescent="0.2">
      <c r="A1482" t="s">
        <v>55</v>
      </c>
      <c r="B1482" t="s">
        <v>64</v>
      </c>
      <c r="C1482" s="36">
        <v>1.0654004153691188</v>
      </c>
      <c r="D1482" s="36">
        <v>1.0654004153691188</v>
      </c>
      <c r="E1482" s="36">
        <v>1.0654004153691188</v>
      </c>
      <c r="F1482" s="36">
        <v>1.0654004153691188</v>
      </c>
      <c r="G1482" s="36">
        <v>1.0654004153691188</v>
      </c>
      <c r="H1482" s="36">
        <v>1.0654004153691188</v>
      </c>
      <c r="I1482" s="36">
        <v>1.0654004153691188</v>
      </c>
      <c r="J1482" s="36">
        <v>1.0654004153691188</v>
      </c>
      <c r="K1482" s="36">
        <v>1.0654004153691188</v>
      </c>
      <c r="L1482" s="36">
        <v>1.0654004153691188</v>
      </c>
      <c r="M1482" s="36">
        <v>1.0654004153691188</v>
      </c>
      <c r="N1482" s="36">
        <v>1.0654004153691188</v>
      </c>
      <c r="O1482" s="36">
        <v>1.0654004153691188</v>
      </c>
      <c r="P1482" s="36">
        <v>1.0654004153691188</v>
      </c>
      <c r="Q1482" s="36">
        <v>1.0654004153691188</v>
      </c>
      <c r="R1482" s="36">
        <v>1.0654004153691188</v>
      </c>
      <c r="S1482" s="36">
        <v>1.0707541863006218</v>
      </c>
      <c r="T1482" s="36">
        <v>1.0761348606036401</v>
      </c>
      <c r="U1482" s="36">
        <v>1.0815425734709951</v>
      </c>
      <c r="V1482" s="36">
        <v>1.0869774607748695</v>
      </c>
      <c r="W1482" s="36">
        <v>1.0924396590702206</v>
      </c>
      <c r="X1482" s="36">
        <v>1.0979293055982116</v>
      </c>
      <c r="Y1482" s="36">
        <v>1.1034465382896599</v>
      </c>
      <c r="Z1482" s="59">
        <v>1.1089914957685023</v>
      </c>
      <c r="AA1482" s="36">
        <v>1.1049937954590878</v>
      </c>
      <c r="AB1482" s="36">
        <v>1.1492116466241751</v>
      </c>
      <c r="AC1482" s="36">
        <v>1.1459143657959441</v>
      </c>
      <c r="AD1482" s="36">
        <v>1.1094227587172341</v>
      </c>
      <c r="AE1482" s="36">
        <v>1.0995154846130217</v>
      </c>
      <c r="AF1482" s="36">
        <v>1.09343836513683</v>
      </c>
      <c r="AG1482" s="36">
        <v>1.0893729233497489</v>
      </c>
      <c r="AH1482" s="36">
        <v>1.0864002394780736</v>
      </c>
      <c r="AI1482" s="36">
        <v>1.0840521430736363</v>
      </c>
      <c r="AJ1482" s="36">
        <v>1.082086711757575</v>
      </c>
      <c r="AK1482" s="36">
        <v>1.0803759330157463</v>
      </c>
      <c r="AL1482" s="36">
        <v>1.0788494563012534</v>
      </c>
      <c r="AM1482" s="36">
        <v>1.0774663981913195</v>
      </c>
      <c r="AN1482" s="36">
        <v>1.0762011811799179</v>
      </c>
      <c r="AO1482" s="36">
        <v>1.0750363956840852</v>
      </c>
      <c r="AP1482" s="36">
        <v>1.0739591794115648</v>
      </c>
      <c r="AQ1482" s="36">
        <v>1.0729593605866172</v>
      </c>
      <c r="AR1482" s="36">
        <v>1.0720284877632509</v>
      </c>
      <c r="AS1482" s="36">
        <v>1.0711593071234207</v>
      </c>
      <c r="AT1482" s="36">
        <v>1.0703454672887056</v>
      </c>
      <c r="AU1482" s="36">
        <v>1.0695813412816042</v>
      </c>
      <c r="AV1482" s="36">
        <v>1.0688619101143129</v>
      </c>
      <c r="AW1482" s="36">
        <v>1.0681826799378271</v>
      </c>
      <c r="AX1482" s="36">
        <v>1.067539618442392</v>
      </c>
      <c r="AY1482" s="36">
        <v>1.0669291031070167</v>
      </c>
      <c r="AZ1482" s="36">
        <v>1.0663478773739878</v>
      </c>
      <c r="BA1482" s="36">
        <v>1.0657930125857442</v>
      </c>
      <c r="BB1482" s="36">
        <v>1.065261874422337</v>
      </c>
      <c r="BC1482" s="36">
        <v>1.0647520930462036</v>
      </c>
      <c r="BD1482" s="36">
        <v>1.0642615364115191</v>
      </c>
      <c r="BE1482" s="36">
        <v>1.0637882863353214</v>
      </c>
      <c r="BF1482" s="36">
        <v>1.0633306170107342</v>
      </c>
    </row>
    <row r="1483" spans="1:58" ht="12" customHeight="1" x14ac:dyDescent="0.2">
      <c r="A1483" t="s">
        <v>56</v>
      </c>
      <c r="B1483" t="s">
        <v>64</v>
      </c>
      <c r="C1483" s="36">
        <v>1.069387704150673</v>
      </c>
      <c r="D1483" s="36">
        <v>1.069387704150673</v>
      </c>
      <c r="E1483" s="36">
        <v>1.069387704150673</v>
      </c>
      <c r="F1483" s="36">
        <v>1.069387704150673</v>
      </c>
      <c r="G1483" s="36">
        <v>1.069387704150673</v>
      </c>
      <c r="H1483" s="36">
        <v>1.069387704150673</v>
      </c>
      <c r="I1483" s="36">
        <v>1.069387704150673</v>
      </c>
      <c r="J1483" s="36">
        <v>1.069387704150673</v>
      </c>
      <c r="K1483" s="36">
        <v>1.069387704150673</v>
      </c>
      <c r="L1483" s="36">
        <v>1.069387704150673</v>
      </c>
      <c r="M1483" s="36">
        <v>1.069387704150673</v>
      </c>
      <c r="N1483" s="36">
        <v>1.069387704150673</v>
      </c>
      <c r="O1483" s="36">
        <v>1.069387704150673</v>
      </c>
      <c r="P1483" s="36">
        <v>1.069387704150673</v>
      </c>
      <c r="Q1483" s="36">
        <v>1.069387704150673</v>
      </c>
      <c r="R1483" s="36">
        <v>1.069387704150673</v>
      </c>
      <c r="S1483" s="36">
        <v>1.071530765682037</v>
      </c>
      <c r="T1483" s="36">
        <v>1.0736781219258889</v>
      </c>
      <c r="U1483" s="36">
        <v>1.0758297814888667</v>
      </c>
      <c r="V1483" s="36">
        <v>1.0779857529948564</v>
      </c>
      <c r="W1483" s="36">
        <v>1.0801460450850264</v>
      </c>
      <c r="X1483" s="36">
        <v>1.0823106664178621</v>
      </c>
      <c r="Y1483" s="36">
        <v>1.0844796256692004</v>
      </c>
      <c r="Z1483" s="59">
        <v>1.0866529315322651</v>
      </c>
      <c r="AA1483" s="36">
        <v>1.0848951190588183</v>
      </c>
      <c r="AB1483" s="36">
        <v>1.0832814021789925</v>
      </c>
      <c r="AC1483" s="36">
        <v>1.01</v>
      </c>
      <c r="AD1483" s="36">
        <v>1.0559280240984803</v>
      </c>
      <c r="AE1483" s="36">
        <v>1.0669165688428337</v>
      </c>
      <c r="AF1483" s="36">
        <v>1.0718740935550903</v>
      </c>
      <c r="AG1483" s="36">
        <v>1.0738538767315957</v>
      </c>
      <c r="AH1483" s="36">
        <v>1.074378775390366</v>
      </c>
      <c r="AI1483" s="36">
        <v>1.0742068150530246</v>
      </c>
      <c r="AJ1483" s="36">
        <v>1.0737139467091004</v>
      </c>
      <c r="AK1483" s="36">
        <v>1.073085391084438</v>
      </c>
      <c r="AL1483" s="36">
        <v>1.0724112799922749</v>
      </c>
      <c r="AM1483" s="36">
        <v>1.0717344493122811</v>
      </c>
      <c r="AN1483" s="36">
        <v>1.0710743105607003</v>
      </c>
      <c r="AO1483" s="36">
        <v>1.0704387642547157</v>
      </c>
      <c r="AP1483" s="36">
        <v>1.0698301364220482</v>
      </c>
      <c r="AQ1483" s="36">
        <v>1.0692481287058746</v>
      </c>
      <c r="AR1483" s="36">
        <v>1.0686912770872978</v>
      </c>
      <c r="AS1483" s="36">
        <v>1.0681576665539989</v>
      </c>
      <c r="AT1483" s="36">
        <v>1.0676452752152068</v>
      </c>
      <c r="AU1483" s="36">
        <v>1.0671521344653287</v>
      </c>
      <c r="AV1483" s="36">
        <v>1.0666763983645118</v>
      </c>
      <c r="AW1483" s="36">
        <v>1.066216368700682</v>
      </c>
      <c r="AX1483" s="36">
        <v>1.0657704988577468</v>
      </c>
      <c r="AY1483" s="36">
        <v>1.0653373879555001</v>
      </c>
      <c r="AZ1483" s="36">
        <v>1.0649157709069017</v>
      </c>
      <c r="BA1483" s="36">
        <v>1.0645045071372066</v>
      </c>
      <c r="BB1483" s="36">
        <v>1.0641025692666715</v>
      </c>
      <c r="BC1483" s="36">
        <v>1.0637090323442697</v>
      </c>
      <c r="BD1483" s="36">
        <v>1.063323063869055</v>
      </c>
      <c r="BE1483" s="36">
        <v>1.0629439146661337</v>
      </c>
      <c r="BF1483" s="36">
        <v>1.0625709106045376</v>
      </c>
    </row>
    <row r="1484" spans="1:58" ht="12" customHeight="1" x14ac:dyDescent="0.2">
      <c r="A1484" t="s">
        <v>57</v>
      </c>
      <c r="B1484" t="s">
        <v>64</v>
      </c>
      <c r="C1484" s="36">
        <v>1.1033399186471309</v>
      </c>
      <c r="D1484" s="36">
        <v>1.1033399186471309</v>
      </c>
      <c r="E1484" s="36">
        <v>1.1033399186471309</v>
      </c>
      <c r="F1484" s="36">
        <v>1.1033399186471309</v>
      </c>
      <c r="G1484" s="36">
        <v>1.1033399186471309</v>
      </c>
      <c r="H1484" s="36">
        <v>1.1033399186471309</v>
      </c>
      <c r="I1484" s="36">
        <v>1.1033399186471309</v>
      </c>
      <c r="J1484" s="36">
        <v>1.1033399186471309</v>
      </c>
      <c r="K1484" s="36">
        <v>1.1033399186471309</v>
      </c>
      <c r="L1484" s="36">
        <v>1.1033399186471309</v>
      </c>
      <c r="M1484" s="36">
        <v>1.1033399186471309</v>
      </c>
      <c r="N1484" s="36">
        <v>1.1033399186471309</v>
      </c>
      <c r="O1484" s="36">
        <v>1.1033399186471309</v>
      </c>
      <c r="P1484" s="36">
        <v>1.1033399186471309</v>
      </c>
      <c r="Q1484" s="36">
        <v>1.1033399186471309</v>
      </c>
      <c r="R1484" s="36">
        <v>1.1033399186471309</v>
      </c>
      <c r="S1484" s="36">
        <v>1.1033399186471309</v>
      </c>
      <c r="T1484" s="36">
        <v>1.1033399186471309</v>
      </c>
      <c r="U1484" s="36">
        <v>1.1033399186471309</v>
      </c>
      <c r="V1484" s="36">
        <v>1.1033399186471309</v>
      </c>
      <c r="W1484" s="36">
        <v>1.1033399186471309</v>
      </c>
      <c r="X1484" s="36">
        <v>1.1033399186471309</v>
      </c>
      <c r="Y1484" s="36">
        <v>1.1033399186471309</v>
      </c>
      <c r="Z1484" s="59">
        <v>1.1033399186471309</v>
      </c>
      <c r="AA1484" s="36">
        <v>1.0999089019756765</v>
      </c>
      <c r="AB1484" s="36">
        <v>1.438962276062048</v>
      </c>
      <c r="AC1484" s="36">
        <v>1.4361237336136274</v>
      </c>
      <c r="AD1484" s="36">
        <v>1.1940169047611928</v>
      </c>
      <c r="AE1484" s="36">
        <v>1.1403321367334611</v>
      </c>
      <c r="AF1484" s="36">
        <v>1.1125147120993073</v>
      </c>
      <c r="AG1484" s="36">
        <v>1.0977126752773754</v>
      </c>
      <c r="AH1484" s="36">
        <v>1.0894918596174559</v>
      </c>
      <c r="AI1484" s="36">
        <v>1.0846278140304118</v>
      </c>
      <c r="AJ1484" s="36">
        <v>1.0815016839718992</v>
      </c>
      <c r="AK1484" s="36">
        <v>1.0792980778583328</v>
      </c>
      <c r="AL1484" s="36">
        <v>1.0776039336265701</v>
      </c>
      <c r="AM1484" s="36">
        <v>1.0762078920482747</v>
      </c>
      <c r="AN1484" s="36">
        <v>1.0749999294343602</v>
      </c>
      <c r="AO1484" s="36">
        <v>1.0739211254443164</v>
      </c>
      <c r="AP1484" s="36">
        <v>1.0729385033153684</v>
      </c>
      <c r="AQ1484" s="36">
        <v>1.0720324106809023</v>
      </c>
      <c r="AR1484" s="36">
        <v>1.0711901746237398</v>
      </c>
      <c r="AS1484" s="36">
        <v>1.0704028973919872</v>
      </c>
      <c r="AT1484" s="36">
        <v>1.0696638256358324</v>
      </c>
      <c r="AU1484" s="36">
        <v>1.0689675092746596</v>
      </c>
      <c r="AV1484" s="36">
        <v>1.0683093577614016</v>
      </c>
      <c r="AW1484" s="36">
        <v>1.0676853973686911</v>
      </c>
      <c r="AX1484" s="36">
        <v>1.0670921310761374</v>
      </c>
      <c r="AY1484" s="36">
        <v>1.0665264516388138</v>
      </c>
      <c r="AZ1484" s="36">
        <v>1.0659855829384204</v>
      </c>
      <c r="BA1484" s="36">
        <v>1.06546703699819</v>
      </c>
      <c r="BB1484" s="36">
        <v>1.0649685801994266</v>
      </c>
      <c r="BC1484" s="36">
        <v>1.0644882053312641</v>
      </c>
      <c r="BD1484" s="36">
        <v>1.0640241076658765</v>
      </c>
      <c r="BE1484" s="36">
        <v>1.0635746640440642</v>
      </c>
      <c r="BF1484" s="36">
        <v>1.0631384143636515</v>
      </c>
    </row>
    <row r="1485" spans="1:58" ht="12" customHeight="1" x14ac:dyDescent="0.2">
      <c r="A1485" t="s">
        <v>58</v>
      </c>
      <c r="B1485" t="s">
        <v>64</v>
      </c>
      <c r="C1485" s="36">
        <v>1.1375190830884896</v>
      </c>
      <c r="D1485" s="36">
        <v>1.1375190830884896</v>
      </c>
      <c r="E1485" s="36">
        <v>1.1375190830884896</v>
      </c>
      <c r="F1485" s="36">
        <v>1.1375190830884896</v>
      </c>
      <c r="G1485" s="36">
        <v>1.1375190830884896</v>
      </c>
      <c r="H1485" s="36">
        <v>1.1375190830884896</v>
      </c>
      <c r="I1485" s="36">
        <v>1.1375190830884896</v>
      </c>
      <c r="J1485" s="36">
        <v>1.1375190830884896</v>
      </c>
      <c r="K1485" s="36">
        <v>1.1375190830884896</v>
      </c>
      <c r="L1485" s="36">
        <v>1.1375190830884896</v>
      </c>
      <c r="M1485" s="36">
        <v>1.1375190830884896</v>
      </c>
      <c r="N1485" s="36">
        <v>1.1375190830884896</v>
      </c>
      <c r="O1485" s="36">
        <v>1.1375190830884896</v>
      </c>
      <c r="P1485" s="36">
        <v>1.1375190830884896</v>
      </c>
      <c r="Q1485" s="36">
        <v>1.1375190830884896</v>
      </c>
      <c r="R1485" s="36">
        <v>1.1375190830884896</v>
      </c>
      <c r="S1485" s="36">
        <v>1.1341167328898203</v>
      </c>
      <c r="T1485" s="36">
        <v>1.130724559212184</v>
      </c>
      <c r="U1485" s="36">
        <v>1.127342531617332</v>
      </c>
      <c r="V1485" s="36">
        <v>1.1239706197580579</v>
      </c>
      <c r="W1485" s="36">
        <v>1.1206087933779243</v>
      </c>
      <c r="X1485" s="36">
        <v>1.1172570223109914</v>
      </c>
      <c r="Y1485" s="36">
        <v>1.113915276481547</v>
      </c>
      <c r="Z1485" s="59">
        <v>1.1105835259038357</v>
      </c>
      <c r="AA1485" s="36">
        <v>1.1064261927327514</v>
      </c>
      <c r="AB1485" s="36">
        <v>1.3177909812442525</v>
      </c>
      <c r="AC1485" s="36">
        <v>1.2067957622936962</v>
      </c>
      <c r="AD1485" s="36">
        <v>1.1283825920398154</v>
      </c>
      <c r="AE1485" s="36">
        <v>1.1094124308286497</v>
      </c>
      <c r="AF1485" s="36">
        <v>1.0987620522455681</v>
      </c>
      <c r="AG1485" s="36">
        <v>1.0923723581971689</v>
      </c>
      <c r="AH1485" s="36">
        <v>1.0882036979158809</v>
      </c>
      <c r="AI1485" s="36">
        <v>1.0852271571951535</v>
      </c>
      <c r="AJ1485" s="36">
        <v>1.0829201014437617</v>
      </c>
      <c r="AK1485" s="36">
        <v>1.0810138558334168</v>
      </c>
      <c r="AL1485" s="36">
        <v>1.0793674631556547</v>
      </c>
      <c r="AM1485" s="36">
        <v>1.0779044887772591</v>
      </c>
      <c r="AN1485" s="36">
        <v>1.0765813565622202</v>
      </c>
      <c r="AO1485" s="36">
        <v>1.0753714569505111</v>
      </c>
      <c r="AP1485" s="36">
        <v>1.07425714711966</v>
      </c>
      <c r="AQ1485" s="36">
        <v>1.0732257025900487</v>
      </c>
      <c r="AR1485" s="36">
        <v>1.0722672494127117</v>
      </c>
      <c r="AS1485" s="36">
        <v>1.0713736910216465</v>
      </c>
      <c r="AT1485" s="36">
        <v>1.0705381363531348</v>
      </c>
      <c r="AU1485" s="36">
        <v>1.0697545821387824</v>
      </c>
      <c r="AV1485" s="36">
        <v>1.0690177254706612</v>
      </c>
      <c r="AW1485" s="36">
        <v>1.0683228443683543</v>
      </c>
      <c r="AX1485" s="36">
        <v>1.0676657149254498</v>
      </c>
      <c r="AY1485" s="36">
        <v>1.0670425490657087</v>
      </c>
      <c r="AZ1485" s="36">
        <v>1.0664499446913966</v>
      </c>
      <c r="BA1485" s="36">
        <v>1.0658848439057336</v>
      </c>
      <c r="BB1485" s="36">
        <v>1.06534449696212</v>
      </c>
      <c r="BC1485" s="36">
        <v>1.0648264305970467</v>
      </c>
      <c r="BD1485" s="36">
        <v>1.0643284199227014</v>
      </c>
      <c r="BE1485" s="36">
        <v>1.0638484633301186</v>
      </c>
      <c r="BF1485" s="36">
        <v>1.0633847600049036</v>
      </c>
    </row>
    <row r="1486" spans="1:58" ht="12" customHeight="1" x14ac:dyDescent="0.2">
      <c r="A1486" t="s">
        <v>59</v>
      </c>
      <c r="B1486" t="s">
        <v>64</v>
      </c>
      <c r="C1486" s="36">
        <v>1.0752995439807356</v>
      </c>
      <c r="D1486" s="36">
        <v>1.0752995439807356</v>
      </c>
      <c r="E1486" s="36">
        <v>1.0752995439807356</v>
      </c>
      <c r="F1486" s="36">
        <v>1.0752995439807356</v>
      </c>
      <c r="G1486" s="36">
        <v>1.0752995439807356</v>
      </c>
      <c r="H1486" s="36">
        <v>1.0752995439807356</v>
      </c>
      <c r="I1486" s="36">
        <v>1.0752995439807356</v>
      </c>
      <c r="J1486" s="36">
        <v>1.0752995439807356</v>
      </c>
      <c r="K1486" s="36">
        <v>1.0752995439807356</v>
      </c>
      <c r="L1486" s="36">
        <v>1.0752995439807356</v>
      </c>
      <c r="M1486" s="36">
        <v>1.0752995439807356</v>
      </c>
      <c r="N1486" s="36">
        <v>1.0752995439807356</v>
      </c>
      <c r="O1486" s="36">
        <v>1.0752995439807356</v>
      </c>
      <c r="P1486" s="36">
        <v>1.0752995439807356</v>
      </c>
      <c r="Q1486" s="36">
        <v>1.0752995439807356</v>
      </c>
      <c r="R1486" s="36">
        <v>1.0752995439807356</v>
      </c>
      <c r="S1486" s="36">
        <v>1.0752995439807356</v>
      </c>
      <c r="T1486" s="36">
        <v>1.0752995439807356</v>
      </c>
      <c r="U1486" s="36">
        <v>1.0752995439807356</v>
      </c>
      <c r="V1486" s="36">
        <v>1.0752995439807356</v>
      </c>
      <c r="W1486" s="36">
        <v>1.0752995439807356</v>
      </c>
      <c r="X1486" s="36">
        <v>1.0752995439807356</v>
      </c>
      <c r="Y1486" s="36">
        <v>1.0752995439807356</v>
      </c>
      <c r="Z1486" s="59">
        <v>1.0752995439807356</v>
      </c>
      <c r="AA1486" s="36">
        <v>1.0746801356770805</v>
      </c>
      <c r="AB1486" s="36">
        <v>1.3064796273222801</v>
      </c>
      <c r="AC1486" s="36">
        <v>1.2312917942323556</v>
      </c>
      <c r="AD1486" s="36">
        <v>1.1203190123516074</v>
      </c>
      <c r="AE1486" s="36">
        <v>1.0961380626375239</v>
      </c>
      <c r="AF1486" s="36">
        <v>1.0838090431338387</v>
      </c>
      <c r="AG1486" s="36">
        <v>1.077413856399509</v>
      </c>
      <c r="AH1486" s="36">
        <v>1.0739926696386908</v>
      </c>
      <c r="AI1486" s="36">
        <v>1.072064860995926</v>
      </c>
      <c r="AJ1486" s="36">
        <v>1.0708894848207353</v>
      </c>
      <c r="AK1486" s="36">
        <v>1.0700954972073333</v>
      </c>
      <c r="AL1486" s="36">
        <v>1.0694968623830849</v>
      </c>
      <c r="AM1486" s="36">
        <v>1.0690001001611931</v>
      </c>
      <c r="AN1486" s="36">
        <v>1.0685580545012063</v>
      </c>
      <c r="AO1486" s="36">
        <v>1.0681467731414143</v>
      </c>
      <c r="AP1486" s="36">
        <v>1.0677539432332313</v>
      </c>
      <c r="AQ1486" s="36">
        <v>1.0673731053958766</v>
      </c>
      <c r="AR1486" s="36">
        <v>1.0670007573584819</v>
      </c>
      <c r="AS1486" s="36">
        <v>1.0666349027353357</v>
      </c>
      <c r="AT1486" s="36">
        <v>1.0662743226731131</v>
      </c>
      <c r="AU1486" s="36">
        <v>1.0659182092088666</v>
      </c>
      <c r="AV1486" s="36">
        <v>1.0655659797306332</v>
      </c>
      <c r="AW1486" s="36">
        <v>1.0652171822117815</v>
      </c>
      <c r="AX1486" s="36">
        <v>1.0648714460323681</v>
      </c>
      <c r="AY1486" s="36">
        <v>1.0645284557740615</v>
      </c>
      <c r="AZ1486" s="36">
        <v>1.064187936663866</v>
      </c>
      <c r="BA1486" s="36">
        <v>1.0638496459880047</v>
      </c>
      <c r="BB1486" s="36">
        <v>1.0635133676220425</v>
      </c>
      <c r="BC1486" s="36">
        <v>1.0631789082371195</v>
      </c>
      <c r="BD1486" s="36">
        <v>1.0628460944504139</v>
      </c>
      <c r="BE1486" s="36">
        <v>1.0625147705432425</v>
      </c>
      <c r="BF1486" s="36">
        <v>1.0621847965489202</v>
      </c>
    </row>
    <row r="1487" spans="1:58" ht="12" customHeight="1" x14ac:dyDescent="0.2">
      <c r="A1487" t="s">
        <v>60</v>
      </c>
      <c r="B1487" t="s">
        <v>64</v>
      </c>
      <c r="C1487" s="36">
        <v>1.0493029289850153</v>
      </c>
      <c r="D1487" s="36">
        <v>1.0493029289850153</v>
      </c>
      <c r="E1487" s="36">
        <v>1.0493029289850153</v>
      </c>
      <c r="F1487" s="36">
        <v>1.0493029289850153</v>
      </c>
      <c r="G1487" s="36">
        <v>1.0493029289850153</v>
      </c>
      <c r="H1487" s="36">
        <v>1.0493029289850153</v>
      </c>
      <c r="I1487" s="36">
        <v>1.0493029289850153</v>
      </c>
      <c r="J1487" s="36">
        <v>1.0493029289850153</v>
      </c>
      <c r="K1487" s="36">
        <v>1.0493029289850153</v>
      </c>
      <c r="L1487" s="36">
        <v>1.0493029289850153</v>
      </c>
      <c r="M1487" s="36">
        <v>1.0493029289850153</v>
      </c>
      <c r="N1487" s="36">
        <v>1.0493029289850153</v>
      </c>
      <c r="O1487" s="36">
        <v>1.0493029289850153</v>
      </c>
      <c r="P1487" s="36">
        <v>1.0493029289850153</v>
      </c>
      <c r="Q1487" s="36">
        <v>1.0493029289850153</v>
      </c>
      <c r="R1487" s="36">
        <v>1.0493029289850153</v>
      </c>
      <c r="S1487" s="36">
        <v>1.0493029289850153</v>
      </c>
      <c r="T1487" s="36">
        <v>1.0493029289850153</v>
      </c>
      <c r="U1487" s="36">
        <v>1.0493029289850153</v>
      </c>
      <c r="V1487" s="36">
        <v>1.0493029289850153</v>
      </c>
      <c r="W1487" s="36">
        <v>1.0493029289850153</v>
      </c>
      <c r="X1487" s="36">
        <v>1.0493029289850153</v>
      </c>
      <c r="Y1487" s="36">
        <v>1.0493029289850153</v>
      </c>
      <c r="Z1487" s="59">
        <v>1.0493029289850153</v>
      </c>
      <c r="AA1487" s="36">
        <v>1.0489881381063197</v>
      </c>
      <c r="AB1487" s="36">
        <v>1.048673441664888</v>
      </c>
      <c r="AC1487" s="36">
        <v>1.0483588396323886</v>
      </c>
      <c r="AD1487" s="36">
        <v>1.0480443319804988</v>
      </c>
      <c r="AE1487" s="36">
        <v>1.0477299186809048</v>
      </c>
      <c r="AF1487" s="36">
        <v>1.0474155997053005</v>
      </c>
      <c r="AG1487" s="36">
        <v>1.047101375025389</v>
      </c>
      <c r="AH1487" s="36">
        <v>1.0467872446128814</v>
      </c>
      <c r="AI1487" s="36">
        <v>1.0464732084394976</v>
      </c>
      <c r="AJ1487" s="36">
        <v>1.0461592664769659</v>
      </c>
      <c r="AK1487" s="36">
        <v>1.0458454186970227</v>
      </c>
      <c r="AL1487" s="36">
        <v>1.0455316650714137</v>
      </c>
      <c r="AM1487" s="36">
        <v>1.0452180055718923</v>
      </c>
      <c r="AN1487" s="36">
        <v>1.0449044401702208</v>
      </c>
      <c r="AO1487" s="36">
        <v>1.0445909688381698</v>
      </c>
      <c r="AP1487" s="36">
        <v>1.0442775915475184</v>
      </c>
      <c r="AQ1487" s="36">
        <v>1.0439643082700543</v>
      </c>
      <c r="AR1487" s="36">
        <v>1.0436511189775732</v>
      </c>
      <c r="AS1487" s="36">
        <v>1.0433380236418799</v>
      </c>
      <c r="AT1487" s="36">
        <v>1.0430250222347874</v>
      </c>
      <c r="AU1487" s="36">
        <v>1.0427121147281171</v>
      </c>
      <c r="AV1487" s="36">
        <v>1.0423993010936987</v>
      </c>
      <c r="AW1487" s="36">
        <v>1.0420865813033706</v>
      </c>
      <c r="AX1487" s="36">
        <v>1.0417739553289795</v>
      </c>
      <c r="AY1487" s="36">
        <v>1.0414614231423809</v>
      </c>
      <c r="AZ1487" s="36">
        <v>1.0411489847154383</v>
      </c>
      <c r="BA1487" s="36">
        <v>1.0408366400200237</v>
      </c>
      <c r="BB1487" s="36">
        <v>1.0405243890280178</v>
      </c>
      <c r="BC1487" s="36">
        <v>1.0402122317113094</v>
      </c>
      <c r="BD1487" s="36">
        <v>1.0399001680417961</v>
      </c>
      <c r="BE1487" s="36">
        <v>1.0395881979913835</v>
      </c>
      <c r="BF1487" s="36">
        <v>1.039276321531986</v>
      </c>
    </row>
    <row r="1488" spans="1:58" ht="12" customHeight="1" x14ac:dyDescent="0.2">
      <c r="A1488" t="s">
        <v>61</v>
      </c>
      <c r="B1488" t="s">
        <v>64</v>
      </c>
      <c r="C1488" s="36">
        <v>1.0588543749574775</v>
      </c>
      <c r="D1488" s="36">
        <v>1.0588543749574775</v>
      </c>
      <c r="E1488" s="36">
        <v>1.0588543749574775</v>
      </c>
      <c r="F1488" s="36">
        <v>1.0588543749574775</v>
      </c>
      <c r="G1488" s="36">
        <v>1.0588543749574775</v>
      </c>
      <c r="H1488" s="36">
        <v>1.0588543749574775</v>
      </c>
      <c r="I1488" s="36">
        <v>1.0588543749574775</v>
      </c>
      <c r="J1488" s="36">
        <v>1.0588543749574775</v>
      </c>
      <c r="K1488" s="36">
        <v>1.0588543749574775</v>
      </c>
      <c r="L1488" s="36">
        <v>1.0588543749574775</v>
      </c>
      <c r="M1488" s="36">
        <v>1.0588543749574775</v>
      </c>
      <c r="N1488" s="36">
        <v>1.0588543749574775</v>
      </c>
      <c r="O1488" s="36">
        <v>1.0588543749574775</v>
      </c>
      <c r="P1488" s="36">
        <v>1.0588543749574775</v>
      </c>
      <c r="Q1488" s="36">
        <v>1.0588543749574775</v>
      </c>
      <c r="R1488" s="36">
        <v>1.0588543749574775</v>
      </c>
      <c r="S1488" s="36">
        <v>1.0588543749574775</v>
      </c>
      <c r="T1488" s="36">
        <v>1.0588543749574775</v>
      </c>
      <c r="U1488" s="36">
        <v>1.0588543749574775</v>
      </c>
      <c r="V1488" s="36">
        <v>1.0588543749574775</v>
      </c>
      <c r="W1488" s="36">
        <v>1.0588543749574775</v>
      </c>
      <c r="X1488" s="36">
        <v>1.0588543749574775</v>
      </c>
      <c r="Y1488" s="36">
        <v>1.0588543749574775</v>
      </c>
      <c r="Z1488" s="60">
        <v>1.0588543749574775</v>
      </c>
      <c r="AA1488" s="36">
        <v>1.0585367186449903</v>
      </c>
      <c r="AB1488" s="36">
        <v>1.0582191576293969</v>
      </c>
      <c r="AC1488" s="36">
        <v>1.057901691882108</v>
      </c>
      <c r="AD1488" s="36">
        <v>1.0575843213745435</v>
      </c>
      <c r="AE1488" s="36">
        <v>1.0572670460781313</v>
      </c>
      <c r="AF1488" s="36">
        <v>1.056949865964308</v>
      </c>
      <c r="AG1488" s="36">
        <v>1.0566327810045186</v>
      </c>
      <c r="AH1488" s="36">
        <v>1.0563157911702172</v>
      </c>
      <c r="AI1488" s="36">
        <v>1.0559988964328662</v>
      </c>
      <c r="AJ1488" s="36">
        <v>1.0556820967639364</v>
      </c>
      <c r="AK1488" s="36">
        <v>1.0553653921349073</v>
      </c>
      <c r="AL1488" s="36">
        <v>1.055048782517267</v>
      </c>
      <c r="AM1488" s="36">
        <v>1.0547322678825117</v>
      </c>
      <c r="AN1488" s="36">
        <v>1.0544158482021471</v>
      </c>
      <c r="AO1488" s="36">
        <v>1.0540995234476864</v>
      </c>
      <c r="AP1488" s="36">
        <v>1.0537832935906521</v>
      </c>
      <c r="AQ1488" s="36">
        <v>1.053467158602575</v>
      </c>
      <c r="AR1488" s="36">
        <v>1.0531511184549942</v>
      </c>
      <c r="AS1488" s="36">
        <v>1.0528351731194578</v>
      </c>
      <c r="AT1488" s="36">
        <v>1.052519322567522</v>
      </c>
      <c r="AU1488" s="36">
        <v>1.0522035667707519</v>
      </c>
      <c r="AV1488" s="36">
        <v>1.0518879057007207</v>
      </c>
      <c r="AW1488" s="36">
        <v>1.0515723393290104</v>
      </c>
      <c r="AX1488" s="36">
        <v>1.0512568676272118</v>
      </c>
      <c r="AY1488" s="36">
        <v>1.0509414905669237</v>
      </c>
      <c r="AZ1488" s="36">
        <v>1.0506262081197537</v>
      </c>
      <c r="BA1488" s="36">
        <v>1.0503110202573178</v>
      </c>
      <c r="BB1488" s="36">
        <v>1.0499959269512407</v>
      </c>
      <c r="BC1488" s="36">
        <v>1.0496809281731554</v>
      </c>
      <c r="BD1488" s="36">
        <v>1.0493660238947036</v>
      </c>
      <c r="BE1488" s="36">
        <v>1.0490512140875352</v>
      </c>
      <c r="BF1488" s="36">
        <v>1.048736498723309</v>
      </c>
    </row>
    <row r="1489" spans="1:38" ht="12" customHeight="1" x14ac:dyDescent="0.2">
      <c r="A1489" t="s">
        <v>338</v>
      </c>
    </row>
    <row r="1491" spans="1:38" ht="12" customHeight="1" x14ac:dyDescent="0.2">
      <c r="A1491" s="19" t="s">
        <v>339</v>
      </c>
      <c r="H1491" t="s">
        <v>340</v>
      </c>
      <c r="AG1491" t="s">
        <v>341</v>
      </c>
    </row>
    <row r="1492" spans="1:38" ht="12" customHeight="1" x14ac:dyDescent="0.2">
      <c r="A1492" t="s">
        <v>342</v>
      </c>
      <c r="O1492" t="s">
        <v>343</v>
      </c>
      <c r="AA1492" t="s">
        <v>344</v>
      </c>
    </row>
    <row r="1493" spans="1:38" ht="12" customHeight="1" x14ac:dyDescent="0.2">
      <c r="C1493">
        <v>2019</v>
      </c>
      <c r="D1493">
        <v>2020</v>
      </c>
      <c r="E1493">
        <v>2021</v>
      </c>
      <c r="F1493">
        <v>2022</v>
      </c>
      <c r="G1493">
        <v>2023</v>
      </c>
      <c r="H1493">
        <v>2024</v>
      </c>
      <c r="I1493">
        <v>2025</v>
      </c>
      <c r="J1493">
        <v>2026</v>
      </c>
      <c r="K1493">
        <v>2027</v>
      </c>
      <c r="L1493">
        <v>2028</v>
      </c>
      <c r="M1493">
        <v>2029</v>
      </c>
      <c r="N1493">
        <v>2030</v>
      </c>
      <c r="O1493">
        <v>2019</v>
      </c>
      <c r="P1493">
        <v>2020</v>
      </c>
      <c r="Q1493">
        <v>2021</v>
      </c>
      <c r="R1493">
        <v>2022</v>
      </c>
      <c r="S1493">
        <v>2023</v>
      </c>
      <c r="T1493">
        <v>2024</v>
      </c>
      <c r="U1493">
        <v>2025</v>
      </c>
      <c r="V1493">
        <v>2026</v>
      </c>
      <c r="W1493">
        <v>2027</v>
      </c>
      <c r="X1493">
        <v>2028</v>
      </c>
      <c r="Y1493">
        <v>2029</v>
      </c>
      <c r="Z1493">
        <v>2030</v>
      </c>
      <c r="AA1493">
        <v>2019</v>
      </c>
      <c r="AB1493">
        <v>2020</v>
      </c>
      <c r="AC1493">
        <v>2021</v>
      </c>
      <c r="AD1493">
        <v>2022</v>
      </c>
      <c r="AE1493">
        <v>2023</v>
      </c>
      <c r="AF1493">
        <v>2024</v>
      </c>
      <c r="AG1493">
        <v>2025</v>
      </c>
      <c r="AH1493">
        <v>2026</v>
      </c>
      <c r="AI1493">
        <v>2027</v>
      </c>
      <c r="AJ1493">
        <v>2028</v>
      </c>
      <c r="AK1493">
        <v>2029</v>
      </c>
      <c r="AL1493">
        <v>2030</v>
      </c>
    </row>
    <row r="1494" spans="1:38" ht="12" customHeight="1" x14ac:dyDescent="0.2">
      <c r="A1494" t="s">
        <v>44</v>
      </c>
      <c r="B1494" t="s">
        <v>45</v>
      </c>
      <c r="C1494">
        <v>0</v>
      </c>
      <c r="D1494">
        <v>0</v>
      </c>
      <c r="E1494">
        <v>0</v>
      </c>
      <c r="F1494">
        <v>0</v>
      </c>
      <c r="G1494" s="61">
        <v>1.0000000000000009E-2</v>
      </c>
      <c r="H1494" s="61">
        <v>0</v>
      </c>
      <c r="I1494" s="61">
        <v>0</v>
      </c>
      <c r="J1494" s="61">
        <v>0</v>
      </c>
      <c r="K1494" s="61">
        <v>0</v>
      </c>
      <c r="L1494" s="61">
        <v>0</v>
      </c>
      <c r="M1494" s="61">
        <v>0</v>
      </c>
      <c r="N1494" s="61">
        <v>0</v>
      </c>
      <c r="O1494">
        <v>0</v>
      </c>
      <c r="P1494">
        <f t="shared" ref="P1494:P1525" si="498">D1494</f>
        <v>0</v>
      </c>
      <c r="Q1494">
        <f t="shared" ref="Q1494:Q1525" si="499">E1494</f>
        <v>0</v>
      </c>
      <c r="R1494">
        <f t="shared" ref="R1494:R1525" si="500">F1494</f>
        <v>0</v>
      </c>
      <c r="S1494">
        <f t="shared" ref="S1494:S1525" si="501">G1494</f>
        <v>1.0000000000000009E-2</v>
      </c>
      <c r="T1494">
        <f t="shared" ref="T1494:T1525" si="502">H1494</f>
        <v>0</v>
      </c>
      <c r="U1494">
        <f t="shared" ref="U1494:U1525" si="503">I1494</f>
        <v>0</v>
      </c>
      <c r="V1494">
        <f t="shared" ref="V1494:V1525" si="504">J1494</f>
        <v>0</v>
      </c>
      <c r="W1494">
        <f t="shared" ref="W1494:W1525" si="505">K1494</f>
        <v>0</v>
      </c>
      <c r="X1494">
        <f t="shared" ref="X1494:X1525" si="506">L1494</f>
        <v>0</v>
      </c>
      <c r="Y1494">
        <f t="shared" ref="Y1494:Y1525" si="507">M1494</f>
        <v>0</v>
      </c>
      <c r="Z1494">
        <f t="shared" ref="Z1494:Z1525" si="508">N1494</f>
        <v>0</v>
      </c>
      <c r="AA1494">
        <v>0</v>
      </c>
      <c r="AB1494">
        <f t="shared" ref="AB1494:AB1525" si="509">P1494</f>
        <v>0</v>
      </c>
      <c r="AC1494">
        <f t="shared" ref="AC1494:AC1525" si="510">Q1494</f>
        <v>0</v>
      </c>
      <c r="AD1494">
        <f t="shared" ref="AD1494:AD1525" si="511">R1494</f>
        <v>0</v>
      </c>
      <c r="AE1494">
        <f t="shared" ref="AE1494:AE1525" si="512">S1494</f>
        <v>1.0000000000000009E-2</v>
      </c>
      <c r="AF1494">
        <f t="shared" ref="AF1494:AF1525" si="513">T1494</f>
        <v>0</v>
      </c>
      <c r="AG1494">
        <f t="shared" ref="AG1494:AG1525" si="514">U1494</f>
        <v>0</v>
      </c>
      <c r="AH1494">
        <f t="shared" ref="AH1494:AH1525" si="515">V1494</f>
        <v>0</v>
      </c>
      <c r="AI1494">
        <f t="shared" ref="AI1494:AI1525" si="516">W1494</f>
        <v>0</v>
      </c>
      <c r="AJ1494">
        <f t="shared" ref="AJ1494:AJ1525" si="517">X1494</f>
        <v>0</v>
      </c>
      <c r="AK1494">
        <f t="shared" ref="AK1494:AK1525" si="518">Y1494</f>
        <v>0</v>
      </c>
      <c r="AL1494">
        <f t="shared" ref="AL1494:AL1525" si="519">Z1494</f>
        <v>0</v>
      </c>
    </row>
    <row r="1495" spans="1:38" ht="12" customHeight="1" x14ac:dyDescent="0.2">
      <c r="A1495" t="s">
        <v>47</v>
      </c>
      <c r="B1495" t="s">
        <v>45</v>
      </c>
      <c r="C1495">
        <v>0</v>
      </c>
      <c r="D1495">
        <v>0</v>
      </c>
      <c r="E1495">
        <v>0</v>
      </c>
      <c r="F1495">
        <v>0</v>
      </c>
      <c r="G1495" s="61">
        <v>1.0000000000000009E-2</v>
      </c>
      <c r="H1495" s="61">
        <v>0</v>
      </c>
      <c r="I1495" s="61">
        <v>0</v>
      </c>
      <c r="J1495" s="61">
        <v>0</v>
      </c>
      <c r="K1495" s="61">
        <v>0</v>
      </c>
      <c r="L1495" s="61">
        <v>0</v>
      </c>
      <c r="M1495" s="61">
        <v>0</v>
      </c>
      <c r="N1495" s="61">
        <v>0</v>
      </c>
      <c r="O1495">
        <v>0</v>
      </c>
      <c r="P1495">
        <f t="shared" si="498"/>
        <v>0</v>
      </c>
      <c r="Q1495">
        <f t="shared" si="499"/>
        <v>0</v>
      </c>
      <c r="R1495">
        <f t="shared" si="500"/>
        <v>0</v>
      </c>
      <c r="S1495">
        <f t="shared" si="501"/>
        <v>1.0000000000000009E-2</v>
      </c>
      <c r="T1495">
        <f t="shared" si="502"/>
        <v>0</v>
      </c>
      <c r="U1495">
        <f t="shared" si="503"/>
        <v>0</v>
      </c>
      <c r="V1495">
        <f t="shared" si="504"/>
        <v>0</v>
      </c>
      <c r="W1495">
        <f t="shared" si="505"/>
        <v>0</v>
      </c>
      <c r="X1495">
        <f t="shared" si="506"/>
        <v>0</v>
      </c>
      <c r="Y1495">
        <f t="shared" si="507"/>
        <v>0</v>
      </c>
      <c r="Z1495">
        <f t="shared" si="508"/>
        <v>0</v>
      </c>
      <c r="AA1495">
        <v>0</v>
      </c>
      <c r="AB1495">
        <f t="shared" si="509"/>
        <v>0</v>
      </c>
      <c r="AC1495">
        <f t="shared" si="510"/>
        <v>0</v>
      </c>
      <c r="AD1495">
        <f t="shared" si="511"/>
        <v>0</v>
      </c>
      <c r="AE1495">
        <f t="shared" si="512"/>
        <v>1.0000000000000009E-2</v>
      </c>
      <c r="AF1495">
        <f t="shared" si="513"/>
        <v>0</v>
      </c>
      <c r="AG1495">
        <f t="shared" si="514"/>
        <v>0</v>
      </c>
      <c r="AH1495">
        <f t="shared" si="515"/>
        <v>0</v>
      </c>
      <c r="AI1495">
        <f t="shared" si="516"/>
        <v>0</v>
      </c>
      <c r="AJ1495">
        <f t="shared" si="517"/>
        <v>0</v>
      </c>
      <c r="AK1495">
        <f t="shared" si="518"/>
        <v>0</v>
      </c>
      <c r="AL1495">
        <f t="shared" si="519"/>
        <v>0</v>
      </c>
    </row>
    <row r="1496" spans="1:38" ht="12" customHeight="1" x14ac:dyDescent="0.2">
      <c r="A1496" t="s">
        <v>48</v>
      </c>
      <c r="B1496" t="s">
        <v>45</v>
      </c>
      <c r="C1496">
        <v>0</v>
      </c>
      <c r="D1496">
        <v>0</v>
      </c>
      <c r="E1496">
        <v>0</v>
      </c>
      <c r="F1496">
        <v>0</v>
      </c>
      <c r="G1496" s="61">
        <v>0</v>
      </c>
      <c r="H1496" s="61">
        <v>0</v>
      </c>
      <c r="I1496" s="61">
        <v>0</v>
      </c>
      <c r="J1496" s="61">
        <v>0</v>
      </c>
      <c r="K1496" s="61">
        <v>0</v>
      </c>
      <c r="L1496" s="61">
        <v>0</v>
      </c>
      <c r="M1496" s="61">
        <v>0</v>
      </c>
      <c r="N1496" s="61">
        <v>0</v>
      </c>
      <c r="O1496">
        <v>0</v>
      </c>
      <c r="P1496">
        <f t="shared" si="498"/>
        <v>0</v>
      </c>
      <c r="Q1496">
        <f t="shared" si="499"/>
        <v>0</v>
      </c>
      <c r="R1496">
        <f t="shared" si="500"/>
        <v>0</v>
      </c>
      <c r="S1496">
        <f t="shared" si="501"/>
        <v>0</v>
      </c>
      <c r="T1496">
        <f t="shared" si="502"/>
        <v>0</v>
      </c>
      <c r="U1496">
        <f t="shared" si="503"/>
        <v>0</v>
      </c>
      <c r="V1496">
        <f t="shared" si="504"/>
        <v>0</v>
      </c>
      <c r="W1496">
        <f t="shared" si="505"/>
        <v>0</v>
      </c>
      <c r="X1496">
        <f t="shared" si="506"/>
        <v>0</v>
      </c>
      <c r="Y1496">
        <f t="shared" si="507"/>
        <v>0</v>
      </c>
      <c r="Z1496">
        <f t="shared" si="508"/>
        <v>0</v>
      </c>
      <c r="AA1496">
        <v>0</v>
      </c>
      <c r="AB1496">
        <f t="shared" si="509"/>
        <v>0</v>
      </c>
      <c r="AC1496">
        <f t="shared" si="510"/>
        <v>0</v>
      </c>
      <c r="AD1496">
        <f t="shared" si="511"/>
        <v>0</v>
      </c>
      <c r="AE1496">
        <f t="shared" si="512"/>
        <v>0</v>
      </c>
      <c r="AF1496">
        <f t="shared" si="513"/>
        <v>0</v>
      </c>
      <c r="AG1496">
        <f t="shared" si="514"/>
        <v>0</v>
      </c>
      <c r="AH1496">
        <f t="shared" si="515"/>
        <v>0</v>
      </c>
      <c r="AI1496">
        <f t="shared" si="516"/>
        <v>0</v>
      </c>
      <c r="AJ1496">
        <f t="shared" si="517"/>
        <v>0</v>
      </c>
      <c r="AK1496">
        <f t="shared" si="518"/>
        <v>0</v>
      </c>
      <c r="AL1496">
        <f t="shared" si="519"/>
        <v>0</v>
      </c>
    </row>
    <row r="1497" spans="1:38" ht="12" customHeight="1" x14ac:dyDescent="0.2">
      <c r="A1497" t="s">
        <v>49</v>
      </c>
      <c r="B1497" t="s">
        <v>45</v>
      </c>
      <c r="C1497">
        <v>0</v>
      </c>
      <c r="D1497">
        <v>0</v>
      </c>
      <c r="E1497">
        <v>0</v>
      </c>
      <c r="F1497">
        <v>0</v>
      </c>
      <c r="G1497" s="61">
        <v>1.0000000000000009E-2</v>
      </c>
      <c r="H1497" s="61">
        <v>0</v>
      </c>
      <c r="I1497" s="61">
        <v>0</v>
      </c>
      <c r="J1497" s="61">
        <v>0</v>
      </c>
      <c r="K1497" s="61">
        <v>0</v>
      </c>
      <c r="L1497" s="61">
        <v>0</v>
      </c>
      <c r="M1497" s="61">
        <v>0</v>
      </c>
      <c r="N1497" s="61">
        <v>0</v>
      </c>
      <c r="O1497">
        <v>0</v>
      </c>
      <c r="P1497">
        <f t="shared" si="498"/>
        <v>0</v>
      </c>
      <c r="Q1497">
        <f t="shared" si="499"/>
        <v>0</v>
      </c>
      <c r="R1497">
        <f t="shared" si="500"/>
        <v>0</v>
      </c>
      <c r="S1497">
        <f t="shared" si="501"/>
        <v>1.0000000000000009E-2</v>
      </c>
      <c r="T1497">
        <f t="shared" si="502"/>
        <v>0</v>
      </c>
      <c r="U1497">
        <f t="shared" si="503"/>
        <v>0</v>
      </c>
      <c r="V1497">
        <f t="shared" si="504"/>
        <v>0</v>
      </c>
      <c r="W1497">
        <f t="shared" si="505"/>
        <v>0</v>
      </c>
      <c r="X1497">
        <f t="shared" si="506"/>
        <v>0</v>
      </c>
      <c r="Y1497">
        <f t="shared" si="507"/>
        <v>0</v>
      </c>
      <c r="Z1497">
        <f t="shared" si="508"/>
        <v>0</v>
      </c>
      <c r="AA1497">
        <v>0</v>
      </c>
      <c r="AB1497">
        <f t="shared" si="509"/>
        <v>0</v>
      </c>
      <c r="AC1497">
        <f t="shared" si="510"/>
        <v>0</v>
      </c>
      <c r="AD1497">
        <f t="shared" si="511"/>
        <v>0</v>
      </c>
      <c r="AE1497">
        <f t="shared" si="512"/>
        <v>1.0000000000000009E-2</v>
      </c>
      <c r="AF1497">
        <f t="shared" si="513"/>
        <v>0</v>
      </c>
      <c r="AG1497">
        <f t="shared" si="514"/>
        <v>0</v>
      </c>
      <c r="AH1497">
        <f t="shared" si="515"/>
        <v>0</v>
      </c>
      <c r="AI1497">
        <f t="shared" si="516"/>
        <v>0</v>
      </c>
      <c r="AJ1497">
        <f t="shared" si="517"/>
        <v>0</v>
      </c>
      <c r="AK1497">
        <f t="shared" si="518"/>
        <v>0</v>
      </c>
      <c r="AL1497">
        <f t="shared" si="519"/>
        <v>0</v>
      </c>
    </row>
    <row r="1498" spans="1:38" ht="12" customHeight="1" x14ac:dyDescent="0.2">
      <c r="A1498" t="s">
        <v>50</v>
      </c>
      <c r="B1498" t="s">
        <v>45</v>
      </c>
      <c r="C1498">
        <v>0</v>
      </c>
      <c r="D1498">
        <v>0</v>
      </c>
      <c r="E1498">
        <v>0</v>
      </c>
      <c r="F1498">
        <v>0</v>
      </c>
      <c r="G1498" s="61">
        <v>1.0000000000000009E-2</v>
      </c>
      <c r="H1498" s="61">
        <v>0</v>
      </c>
      <c r="I1498" s="61">
        <v>0</v>
      </c>
      <c r="J1498" s="61">
        <v>0</v>
      </c>
      <c r="K1498" s="61">
        <v>0</v>
      </c>
      <c r="L1498" s="61">
        <v>0</v>
      </c>
      <c r="M1498" s="61">
        <v>0</v>
      </c>
      <c r="N1498" s="61">
        <v>0</v>
      </c>
      <c r="O1498">
        <v>0</v>
      </c>
      <c r="P1498">
        <f t="shared" si="498"/>
        <v>0</v>
      </c>
      <c r="Q1498">
        <f t="shared" si="499"/>
        <v>0</v>
      </c>
      <c r="R1498">
        <f t="shared" si="500"/>
        <v>0</v>
      </c>
      <c r="S1498">
        <f t="shared" si="501"/>
        <v>1.0000000000000009E-2</v>
      </c>
      <c r="T1498">
        <f t="shared" si="502"/>
        <v>0</v>
      </c>
      <c r="U1498">
        <f t="shared" si="503"/>
        <v>0</v>
      </c>
      <c r="V1498">
        <f t="shared" si="504"/>
        <v>0</v>
      </c>
      <c r="W1498">
        <f t="shared" si="505"/>
        <v>0</v>
      </c>
      <c r="X1498">
        <f t="shared" si="506"/>
        <v>0</v>
      </c>
      <c r="Y1498">
        <f t="shared" si="507"/>
        <v>0</v>
      </c>
      <c r="Z1498">
        <f t="shared" si="508"/>
        <v>0</v>
      </c>
      <c r="AA1498">
        <v>0</v>
      </c>
      <c r="AB1498">
        <f t="shared" si="509"/>
        <v>0</v>
      </c>
      <c r="AC1498">
        <f t="shared" si="510"/>
        <v>0</v>
      </c>
      <c r="AD1498">
        <f t="shared" si="511"/>
        <v>0</v>
      </c>
      <c r="AE1498">
        <f t="shared" si="512"/>
        <v>1.0000000000000009E-2</v>
      </c>
      <c r="AF1498">
        <f t="shared" si="513"/>
        <v>0</v>
      </c>
      <c r="AG1498">
        <f t="shared" si="514"/>
        <v>0</v>
      </c>
      <c r="AH1498">
        <f t="shared" si="515"/>
        <v>0</v>
      </c>
      <c r="AI1498">
        <f t="shared" si="516"/>
        <v>0</v>
      </c>
      <c r="AJ1498">
        <f t="shared" si="517"/>
        <v>0</v>
      </c>
      <c r="AK1498">
        <f t="shared" si="518"/>
        <v>0</v>
      </c>
      <c r="AL1498">
        <f t="shared" si="519"/>
        <v>0</v>
      </c>
    </row>
    <row r="1499" spans="1:38" ht="12" customHeight="1" x14ac:dyDescent="0.2">
      <c r="A1499" t="s">
        <v>51</v>
      </c>
      <c r="B1499" t="s">
        <v>45</v>
      </c>
      <c r="C1499">
        <v>0</v>
      </c>
      <c r="D1499">
        <v>0</v>
      </c>
      <c r="E1499">
        <v>0</v>
      </c>
      <c r="F1499">
        <v>0</v>
      </c>
      <c r="G1499" s="61">
        <v>4.19353172509076E-2</v>
      </c>
      <c r="H1499" s="61">
        <v>1.0000000000000009E-2</v>
      </c>
      <c r="I1499" s="61">
        <v>0</v>
      </c>
      <c r="J1499" s="61">
        <v>0</v>
      </c>
      <c r="K1499" s="61">
        <v>0</v>
      </c>
      <c r="L1499" s="61">
        <v>0</v>
      </c>
      <c r="M1499" s="61">
        <v>0</v>
      </c>
      <c r="N1499" s="61">
        <v>0</v>
      </c>
      <c r="O1499">
        <v>0</v>
      </c>
      <c r="P1499">
        <f t="shared" si="498"/>
        <v>0</v>
      </c>
      <c r="Q1499">
        <f t="shared" si="499"/>
        <v>0</v>
      </c>
      <c r="R1499">
        <f t="shared" si="500"/>
        <v>0</v>
      </c>
      <c r="S1499">
        <f t="shared" si="501"/>
        <v>4.19353172509076E-2</v>
      </c>
      <c r="T1499">
        <f t="shared" si="502"/>
        <v>1.0000000000000009E-2</v>
      </c>
      <c r="U1499">
        <f t="shared" si="503"/>
        <v>0</v>
      </c>
      <c r="V1499">
        <f t="shared" si="504"/>
        <v>0</v>
      </c>
      <c r="W1499">
        <f t="shared" si="505"/>
        <v>0</v>
      </c>
      <c r="X1499">
        <f t="shared" si="506"/>
        <v>0</v>
      </c>
      <c r="Y1499">
        <f t="shared" si="507"/>
        <v>0</v>
      </c>
      <c r="Z1499">
        <f t="shared" si="508"/>
        <v>0</v>
      </c>
      <c r="AA1499">
        <v>0</v>
      </c>
      <c r="AB1499">
        <f t="shared" si="509"/>
        <v>0</v>
      </c>
      <c r="AC1499">
        <f t="shared" si="510"/>
        <v>0</v>
      </c>
      <c r="AD1499">
        <f t="shared" si="511"/>
        <v>0</v>
      </c>
      <c r="AE1499">
        <f t="shared" si="512"/>
        <v>4.19353172509076E-2</v>
      </c>
      <c r="AF1499">
        <f t="shared" si="513"/>
        <v>1.0000000000000009E-2</v>
      </c>
      <c r="AG1499">
        <f t="shared" si="514"/>
        <v>0</v>
      </c>
      <c r="AH1499">
        <f t="shared" si="515"/>
        <v>0</v>
      </c>
      <c r="AI1499">
        <f t="shared" si="516"/>
        <v>0</v>
      </c>
      <c r="AJ1499">
        <f t="shared" si="517"/>
        <v>0</v>
      </c>
      <c r="AK1499">
        <f t="shared" si="518"/>
        <v>0</v>
      </c>
      <c r="AL1499">
        <f t="shared" si="519"/>
        <v>0</v>
      </c>
    </row>
    <row r="1500" spans="1:38" ht="12" customHeight="1" x14ac:dyDescent="0.2">
      <c r="A1500" t="s">
        <v>52</v>
      </c>
      <c r="B1500" t="s">
        <v>45</v>
      </c>
      <c r="C1500">
        <v>0</v>
      </c>
      <c r="D1500">
        <v>0</v>
      </c>
      <c r="E1500">
        <v>0</v>
      </c>
      <c r="F1500">
        <v>0</v>
      </c>
      <c r="G1500" s="61">
        <v>0</v>
      </c>
      <c r="H1500" s="61">
        <v>0</v>
      </c>
      <c r="I1500" s="61">
        <v>0</v>
      </c>
      <c r="J1500" s="61">
        <v>0</v>
      </c>
      <c r="K1500" s="61">
        <v>0</v>
      </c>
      <c r="L1500" s="61">
        <v>0</v>
      </c>
      <c r="M1500" s="61">
        <v>0</v>
      </c>
      <c r="N1500" s="61">
        <v>0</v>
      </c>
      <c r="O1500">
        <v>0</v>
      </c>
      <c r="P1500">
        <f t="shared" si="498"/>
        <v>0</v>
      </c>
      <c r="Q1500">
        <f t="shared" si="499"/>
        <v>0</v>
      </c>
      <c r="R1500">
        <f t="shared" si="500"/>
        <v>0</v>
      </c>
      <c r="S1500">
        <f t="shared" si="501"/>
        <v>0</v>
      </c>
      <c r="T1500">
        <f t="shared" si="502"/>
        <v>0</v>
      </c>
      <c r="U1500">
        <f t="shared" si="503"/>
        <v>0</v>
      </c>
      <c r="V1500">
        <f t="shared" si="504"/>
        <v>0</v>
      </c>
      <c r="W1500">
        <f t="shared" si="505"/>
        <v>0</v>
      </c>
      <c r="X1500">
        <f t="shared" si="506"/>
        <v>0</v>
      </c>
      <c r="Y1500">
        <f t="shared" si="507"/>
        <v>0</v>
      </c>
      <c r="Z1500">
        <f t="shared" si="508"/>
        <v>0</v>
      </c>
      <c r="AA1500">
        <v>0</v>
      </c>
      <c r="AB1500">
        <f t="shared" si="509"/>
        <v>0</v>
      </c>
      <c r="AC1500">
        <f t="shared" si="510"/>
        <v>0</v>
      </c>
      <c r="AD1500">
        <f t="shared" si="511"/>
        <v>0</v>
      </c>
      <c r="AE1500">
        <f t="shared" si="512"/>
        <v>0</v>
      </c>
      <c r="AF1500">
        <f t="shared" si="513"/>
        <v>0</v>
      </c>
      <c r="AG1500">
        <f t="shared" si="514"/>
        <v>0</v>
      </c>
      <c r="AH1500">
        <f t="shared" si="515"/>
        <v>0</v>
      </c>
      <c r="AI1500">
        <f t="shared" si="516"/>
        <v>0</v>
      </c>
      <c r="AJ1500">
        <f t="shared" si="517"/>
        <v>0</v>
      </c>
      <c r="AK1500">
        <f t="shared" si="518"/>
        <v>0</v>
      </c>
      <c r="AL1500">
        <f t="shared" si="519"/>
        <v>0</v>
      </c>
    </row>
    <row r="1501" spans="1:38" ht="12" customHeight="1" x14ac:dyDescent="0.2">
      <c r="A1501" t="s">
        <v>53</v>
      </c>
      <c r="B1501" t="s">
        <v>45</v>
      </c>
      <c r="C1501">
        <v>0</v>
      </c>
      <c r="D1501">
        <v>0</v>
      </c>
      <c r="E1501">
        <v>0</v>
      </c>
      <c r="F1501">
        <v>0</v>
      </c>
      <c r="G1501" s="61">
        <v>0</v>
      </c>
      <c r="H1501" s="61">
        <v>0</v>
      </c>
      <c r="I1501" s="61">
        <v>0</v>
      </c>
      <c r="J1501" s="61">
        <v>0</v>
      </c>
      <c r="K1501" s="61">
        <v>0</v>
      </c>
      <c r="L1501" s="61">
        <v>0</v>
      </c>
      <c r="M1501" s="61">
        <v>0</v>
      </c>
      <c r="N1501" s="61">
        <v>0</v>
      </c>
      <c r="O1501">
        <v>0</v>
      </c>
      <c r="P1501">
        <f t="shared" si="498"/>
        <v>0</v>
      </c>
      <c r="Q1501">
        <f t="shared" si="499"/>
        <v>0</v>
      </c>
      <c r="R1501">
        <f t="shared" si="500"/>
        <v>0</v>
      </c>
      <c r="S1501">
        <f t="shared" si="501"/>
        <v>0</v>
      </c>
      <c r="T1501">
        <f t="shared" si="502"/>
        <v>0</v>
      </c>
      <c r="U1501">
        <f t="shared" si="503"/>
        <v>0</v>
      </c>
      <c r="V1501">
        <f t="shared" si="504"/>
        <v>0</v>
      </c>
      <c r="W1501">
        <f t="shared" si="505"/>
        <v>0</v>
      </c>
      <c r="X1501">
        <f t="shared" si="506"/>
        <v>0</v>
      </c>
      <c r="Y1501">
        <f t="shared" si="507"/>
        <v>0</v>
      </c>
      <c r="Z1501">
        <f t="shared" si="508"/>
        <v>0</v>
      </c>
      <c r="AA1501">
        <v>0</v>
      </c>
      <c r="AB1501">
        <f t="shared" si="509"/>
        <v>0</v>
      </c>
      <c r="AC1501">
        <f t="shared" si="510"/>
        <v>0</v>
      </c>
      <c r="AD1501">
        <f t="shared" si="511"/>
        <v>0</v>
      </c>
      <c r="AE1501">
        <f t="shared" si="512"/>
        <v>0</v>
      </c>
      <c r="AF1501">
        <f t="shared" si="513"/>
        <v>0</v>
      </c>
      <c r="AG1501">
        <f t="shared" si="514"/>
        <v>0</v>
      </c>
      <c r="AH1501">
        <f t="shared" si="515"/>
        <v>0</v>
      </c>
      <c r="AI1501">
        <f t="shared" si="516"/>
        <v>0</v>
      </c>
      <c r="AJ1501">
        <f t="shared" si="517"/>
        <v>0</v>
      </c>
      <c r="AK1501">
        <f t="shared" si="518"/>
        <v>0</v>
      </c>
      <c r="AL1501">
        <f t="shared" si="519"/>
        <v>0</v>
      </c>
    </row>
    <row r="1502" spans="1:38" ht="12" customHeight="1" x14ac:dyDescent="0.2">
      <c r="A1502" t="s">
        <v>54</v>
      </c>
      <c r="B1502" t="s">
        <v>45</v>
      </c>
      <c r="C1502">
        <v>0</v>
      </c>
      <c r="D1502">
        <v>0</v>
      </c>
      <c r="E1502">
        <v>0</v>
      </c>
      <c r="F1502">
        <v>0</v>
      </c>
      <c r="G1502" s="61">
        <v>5.0478578342184166E-2</v>
      </c>
      <c r="H1502" s="61">
        <v>1.0000000000000009E-2</v>
      </c>
      <c r="I1502" s="61">
        <v>0</v>
      </c>
      <c r="J1502" s="61">
        <v>0</v>
      </c>
      <c r="K1502" s="61">
        <v>0</v>
      </c>
      <c r="L1502" s="61">
        <v>0</v>
      </c>
      <c r="M1502" s="61">
        <v>0</v>
      </c>
      <c r="N1502" s="61">
        <v>0</v>
      </c>
      <c r="O1502">
        <v>0</v>
      </c>
      <c r="P1502">
        <f t="shared" si="498"/>
        <v>0</v>
      </c>
      <c r="Q1502">
        <f t="shared" si="499"/>
        <v>0</v>
      </c>
      <c r="R1502">
        <f t="shared" si="500"/>
        <v>0</v>
      </c>
      <c r="S1502">
        <f t="shared" si="501"/>
        <v>5.0478578342184166E-2</v>
      </c>
      <c r="T1502">
        <f t="shared" si="502"/>
        <v>1.0000000000000009E-2</v>
      </c>
      <c r="U1502">
        <f t="shared" si="503"/>
        <v>0</v>
      </c>
      <c r="V1502">
        <f t="shared" si="504"/>
        <v>0</v>
      </c>
      <c r="W1502">
        <f t="shared" si="505"/>
        <v>0</v>
      </c>
      <c r="X1502">
        <f t="shared" si="506"/>
        <v>0</v>
      </c>
      <c r="Y1502">
        <f t="shared" si="507"/>
        <v>0</v>
      </c>
      <c r="Z1502">
        <f t="shared" si="508"/>
        <v>0</v>
      </c>
      <c r="AA1502">
        <v>0</v>
      </c>
      <c r="AB1502">
        <f t="shared" si="509"/>
        <v>0</v>
      </c>
      <c r="AC1502">
        <f t="shared" si="510"/>
        <v>0</v>
      </c>
      <c r="AD1502">
        <f t="shared" si="511"/>
        <v>0</v>
      </c>
      <c r="AE1502">
        <f t="shared" si="512"/>
        <v>5.0478578342184166E-2</v>
      </c>
      <c r="AF1502">
        <f t="shared" si="513"/>
        <v>1.0000000000000009E-2</v>
      </c>
      <c r="AG1502">
        <f t="shared" si="514"/>
        <v>0</v>
      </c>
      <c r="AH1502">
        <f t="shared" si="515"/>
        <v>0</v>
      </c>
      <c r="AI1502">
        <f t="shared" si="516"/>
        <v>0</v>
      </c>
      <c r="AJ1502">
        <f t="shared" si="517"/>
        <v>0</v>
      </c>
      <c r="AK1502">
        <f t="shared" si="518"/>
        <v>0</v>
      </c>
      <c r="AL1502">
        <f t="shared" si="519"/>
        <v>0</v>
      </c>
    </row>
    <row r="1503" spans="1:38" ht="12" customHeight="1" x14ac:dyDescent="0.2">
      <c r="A1503" t="s">
        <v>55</v>
      </c>
      <c r="B1503" t="s">
        <v>45</v>
      </c>
      <c r="C1503">
        <v>0</v>
      </c>
      <c r="D1503">
        <v>0</v>
      </c>
      <c r="E1503">
        <v>0</v>
      </c>
      <c r="F1503">
        <v>0</v>
      </c>
      <c r="G1503" s="61">
        <v>1.0000000000000009E-2</v>
      </c>
      <c r="H1503" s="61">
        <v>0</v>
      </c>
      <c r="I1503" s="61">
        <v>0</v>
      </c>
      <c r="J1503" s="61">
        <v>0</v>
      </c>
      <c r="K1503" s="61">
        <v>0</v>
      </c>
      <c r="L1503" s="61">
        <v>0</v>
      </c>
      <c r="M1503" s="61">
        <v>0</v>
      </c>
      <c r="N1503" s="61">
        <v>0</v>
      </c>
      <c r="O1503">
        <v>0</v>
      </c>
      <c r="P1503">
        <f t="shared" si="498"/>
        <v>0</v>
      </c>
      <c r="Q1503">
        <f t="shared" si="499"/>
        <v>0</v>
      </c>
      <c r="R1503">
        <f t="shared" si="500"/>
        <v>0</v>
      </c>
      <c r="S1503">
        <f t="shared" si="501"/>
        <v>1.0000000000000009E-2</v>
      </c>
      <c r="T1503">
        <f t="shared" si="502"/>
        <v>0</v>
      </c>
      <c r="U1503">
        <f t="shared" si="503"/>
        <v>0</v>
      </c>
      <c r="V1503">
        <f t="shared" si="504"/>
        <v>0</v>
      </c>
      <c r="W1503">
        <f t="shared" si="505"/>
        <v>0</v>
      </c>
      <c r="X1503">
        <f t="shared" si="506"/>
        <v>0</v>
      </c>
      <c r="Y1503">
        <f t="shared" si="507"/>
        <v>0</v>
      </c>
      <c r="Z1503">
        <f t="shared" si="508"/>
        <v>0</v>
      </c>
      <c r="AA1503">
        <v>0</v>
      </c>
      <c r="AB1503">
        <f t="shared" si="509"/>
        <v>0</v>
      </c>
      <c r="AC1503">
        <f t="shared" si="510"/>
        <v>0</v>
      </c>
      <c r="AD1503">
        <f t="shared" si="511"/>
        <v>0</v>
      </c>
      <c r="AE1503">
        <f t="shared" si="512"/>
        <v>1.0000000000000009E-2</v>
      </c>
      <c r="AF1503">
        <f t="shared" si="513"/>
        <v>0</v>
      </c>
      <c r="AG1503">
        <f t="shared" si="514"/>
        <v>0</v>
      </c>
      <c r="AH1503">
        <f t="shared" si="515"/>
        <v>0</v>
      </c>
      <c r="AI1503">
        <f t="shared" si="516"/>
        <v>0</v>
      </c>
      <c r="AJ1503">
        <f t="shared" si="517"/>
        <v>0</v>
      </c>
      <c r="AK1503">
        <f t="shared" si="518"/>
        <v>0</v>
      </c>
      <c r="AL1503">
        <f t="shared" si="519"/>
        <v>0</v>
      </c>
    </row>
    <row r="1504" spans="1:38" ht="12" customHeight="1" x14ac:dyDescent="0.2">
      <c r="A1504" t="s">
        <v>56</v>
      </c>
      <c r="B1504" t="s">
        <v>45</v>
      </c>
      <c r="C1504">
        <v>0</v>
      </c>
      <c r="D1504">
        <v>0</v>
      </c>
      <c r="E1504">
        <v>0</v>
      </c>
      <c r="F1504">
        <v>0</v>
      </c>
      <c r="G1504" s="61">
        <v>1.0000000000000009E-2</v>
      </c>
      <c r="H1504" s="61">
        <v>0</v>
      </c>
      <c r="I1504" s="61">
        <v>0</v>
      </c>
      <c r="J1504" s="61">
        <v>0</v>
      </c>
      <c r="K1504" s="61">
        <v>0</v>
      </c>
      <c r="L1504" s="61">
        <v>0</v>
      </c>
      <c r="M1504" s="61">
        <v>0</v>
      </c>
      <c r="N1504" s="61">
        <v>0</v>
      </c>
      <c r="O1504">
        <v>0</v>
      </c>
      <c r="P1504">
        <f t="shared" si="498"/>
        <v>0</v>
      </c>
      <c r="Q1504">
        <f t="shared" si="499"/>
        <v>0</v>
      </c>
      <c r="R1504">
        <f t="shared" si="500"/>
        <v>0</v>
      </c>
      <c r="S1504">
        <f t="shared" si="501"/>
        <v>1.0000000000000009E-2</v>
      </c>
      <c r="T1504">
        <f t="shared" si="502"/>
        <v>0</v>
      </c>
      <c r="U1504">
        <f t="shared" si="503"/>
        <v>0</v>
      </c>
      <c r="V1504">
        <f t="shared" si="504"/>
        <v>0</v>
      </c>
      <c r="W1504">
        <f t="shared" si="505"/>
        <v>0</v>
      </c>
      <c r="X1504">
        <f t="shared" si="506"/>
        <v>0</v>
      </c>
      <c r="Y1504">
        <f t="shared" si="507"/>
        <v>0</v>
      </c>
      <c r="Z1504">
        <f t="shared" si="508"/>
        <v>0</v>
      </c>
      <c r="AA1504">
        <v>0</v>
      </c>
      <c r="AB1504">
        <f t="shared" si="509"/>
        <v>0</v>
      </c>
      <c r="AC1504">
        <f t="shared" si="510"/>
        <v>0</v>
      </c>
      <c r="AD1504">
        <f t="shared" si="511"/>
        <v>0</v>
      </c>
      <c r="AE1504">
        <f t="shared" si="512"/>
        <v>1.0000000000000009E-2</v>
      </c>
      <c r="AF1504">
        <f t="shared" si="513"/>
        <v>0</v>
      </c>
      <c r="AG1504">
        <f t="shared" si="514"/>
        <v>0</v>
      </c>
      <c r="AH1504">
        <f t="shared" si="515"/>
        <v>0</v>
      </c>
      <c r="AI1504">
        <f t="shared" si="516"/>
        <v>0</v>
      </c>
      <c r="AJ1504">
        <f t="shared" si="517"/>
        <v>0</v>
      </c>
      <c r="AK1504">
        <f t="shared" si="518"/>
        <v>0</v>
      </c>
      <c r="AL1504">
        <f t="shared" si="519"/>
        <v>0</v>
      </c>
    </row>
    <row r="1505" spans="1:38" ht="12" customHeight="1" x14ac:dyDescent="0.2">
      <c r="A1505" t="s">
        <v>57</v>
      </c>
      <c r="B1505" t="s">
        <v>45</v>
      </c>
      <c r="C1505">
        <v>0</v>
      </c>
      <c r="D1505">
        <v>0</v>
      </c>
      <c r="E1505">
        <v>0</v>
      </c>
      <c r="F1505">
        <v>0</v>
      </c>
      <c r="G1505" s="61">
        <v>0.14195674870358554</v>
      </c>
      <c r="H1505" s="61">
        <v>1.0000000000000009E-2</v>
      </c>
      <c r="I1505" s="61">
        <v>0</v>
      </c>
      <c r="J1505" s="61">
        <v>0</v>
      </c>
      <c r="K1505" s="61">
        <v>0</v>
      </c>
      <c r="L1505" s="61">
        <v>0</v>
      </c>
      <c r="M1505" s="61">
        <v>0</v>
      </c>
      <c r="N1505" s="61">
        <v>0</v>
      </c>
      <c r="O1505">
        <v>0</v>
      </c>
      <c r="P1505">
        <f t="shared" si="498"/>
        <v>0</v>
      </c>
      <c r="Q1505">
        <f t="shared" si="499"/>
        <v>0</v>
      </c>
      <c r="R1505">
        <f t="shared" si="500"/>
        <v>0</v>
      </c>
      <c r="S1505">
        <f t="shared" si="501"/>
        <v>0.14195674870358554</v>
      </c>
      <c r="T1505">
        <f t="shared" si="502"/>
        <v>1.0000000000000009E-2</v>
      </c>
      <c r="U1505">
        <f t="shared" si="503"/>
        <v>0</v>
      </c>
      <c r="V1505">
        <f t="shared" si="504"/>
        <v>0</v>
      </c>
      <c r="W1505">
        <f t="shared" si="505"/>
        <v>0</v>
      </c>
      <c r="X1505">
        <f t="shared" si="506"/>
        <v>0</v>
      </c>
      <c r="Y1505">
        <f t="shared" si="507"/>
        <v>0</v>
      </c>
      <c r="Z1505">
        <f t="shared" si="508"/>
        <v>0</v>
      </c>
      <c r="AA1505">
        <v>0</v>
      </c>
      <c r="AB1505">
        <f t="shared" si="509"/>
        <v>0</v>
      </c>
      <c r="AC1505">
        <f t="shared" si="510"/>
        <v>0</v>
      </c>
      <c r="AD1505">
        <f t="shared" si="511"/>
        <v>0</v>
      </c>
      <c r="AE1505">
        <f t="shared" si="512"/>
        <v>0.14195674870358554</v>
      </c>
      <c r="AF1505">
        <f t="shared" si="513"/>
        <v>1.0000000000000009E-2</v>
      </c>
      <c r="AG1505">
        <f t="shared" si="514"/>
        <v>0</v>
      </c>
      <c r="AH1505">
        <f t="shared" si="515"/>
        <v>0</v>
      </c>
      <c r="AI1505">
        <f t="shared" si="516"/>
        <v>0</v>
      </c>
      <c r="AJ1505">
        <f t="shared" si="517"/>
        <v>0</v>
      </c>
      <c r="AK1505">
        <f t="shared" si="518"/>
        <v>0</v>
      </c>
      <c r="AL1505">
        <f t="shared" si="519"/>
        <v>0</v>
      </c>
    </row>
    <row r="1506" spans="1:38" ht="12" customHeight="1" x14ac:dyDescent="0.2">
      <c r="A1506" t="s">
        <v>58</v>
      </c>
      <c r="B1506" t="s">
        <v>45</v>
      </c>
      <c r="C1506">
        <v>0</v>
      </c>
      <c r="D1506">
        <v>0</v>
      </c>
      <c r="E1506">
        <v>0</v>
      </c>
      <c r="F1506">
        <v>0</v>
      </c>
      <c r="G1506" s="61">
        <v>1.0000000000000009E-2</v>
      </c>
      <c r="H1506" s="61">
        <v>0</v>
      </c>
      <c r="I1506" s="61">
        <v>0</v>
      </c>
      <c r="J1506" s="61">
        <v>0</v>
      </c>
      <c r="K1506" s="61">
        <v>0</v>
      </c>
      <c r="L1506" s="61">
        <v>0</v>
      </c>
      <c r="M1506" s="61">
        <v>0</v>
      </c>
      <c r="N1506" s="61">
        <v>0</v>
      </c>
      <c r="O1506">
        <v>0</v>
      </c>
      <c r="P1506">
        <f t="shared" si="498"/>
        <v>0</v>
      </c>
      <c r="Q1506">
        <f t="shared" si="499"/>
        <v>0</v>
      </c>
      <c r="R1506">
        <f t="shared" si="500"/>
        <v>0</v>
      </c>
      <c r="S1506">
        <f t="shared" si="501"/>
        <v>1.0000000000000009E-2</v>
      </c>
      <c r="T1506">
        <f t="shared" si="502"/>
        <v>0</v>
      </c>
      <c r="U1506">
        <f t="shared" si="503"/>
        <v>0</v>
      </c>
      <c r="V1506">
        <f t="shared" si="504"/>
        <v>0</v>
      </c>
      <c r="W1506">
        <f t="shared" si="505"/>
        <v>0</v>
      </c>
      <c r="X1506">
        <f t="shared" si="506"/>
        <v>0</v>
      </c>
      <c r="Y1506">
        <f t="shared" si="507"/>
        <v>0</v>
      </c>
      <c r="Z1506">
        <f t="shared" si="508"/>
        <v>0</v>
      </c>
      <c r="AA1506">
        <v>0</v>
      </c>
      <c r="AB1506">
        <f t="shared" si="509"/>
        <v>0</v>
      </c>
      <c r="AC1506">
        <f t="shared" si="510"/>
        <v>0</v>
      </c>
      <c r="AD1506">
        <f t="shared" si="511"/>
        <v>0</v>
      </c>
      <c r="AE1506">
        <f t="shared" si="512"/>
        <v>1.0000000000000009E-2</v>
      </c>
      <c r="AF1506">
        <f t="shared" si="513"/>
        <v>0</v>
      </c>
      <c r="AG1506">
        <f t="shared" si="514"/>
        <v>0</v>
      </c>
      <c r="AH1506">
        <f t="shared" si="515"/>
        <v>0</v>
      </c>
      <c r="AI1506">
        <f t="shared" si="516"/>
        <v>0</v>
      </c>
      <c r="AJ1506">
        <f t="shared" si="517"/>
        <v>0</v>
      </c>
      <c r="AK1506">
        <f t="shared" si="518"/>
        <v>0</v>
      </c>
      <c r="AL1506">
        <f t="shared" si="519"/>
        <v>0</v>
      </c>
    </row>
    <row r="1507" spans="1:38" ht="12" customHeight="1" x14ac:dyDescent="0.2">
      <c r="A1507" t="s">
        <v>59</v>
      </c>
      <c r="B1507" t="s">
        <v>45</v>
      </c>
      <c r="C1507">
        <v>0</v>
      </c>
      <c r="D1507">
        <v>0</v>
      </c>
      <c r="E1507">
        <v>0</v>
      </c>
      <c r="F1507">
        <v>0</v>
      </c>
      <c r="G1507" s="61">
        <v>7.464808939148837E-2</v>
      </c>
      <c r="H1507" s="61">
        <v>1.0000000000000009E-2</v>
      </c>
      <c r="I1507" s="61">
        <v>0</v>
      </c>
      <c r="J1507" s="61">
        <v>0</v>
      </c>
      <c r="K1507" s="61">
        <v>0</v>
      </c>
      <c r="L1507" s="61">
        <v>0</v>
      </c>
      <c r="M1507" s="61">
        <v>0</v>
      </c>
      <c r="N1507" s="61">
        <v>0</v>
      </c>
      <c r="O1507">
        <v>0</v>
      </c>
      <c r="P1507">
        <f t="shared" si="498"/>
        <v>0</v>
      </c>
      <c r="Q1507">
        <f t="shared" si="499"/>
        <v>0</v>
      </c>
      <c r="R1507">
        <f t="shared" si="500"/>
        <v>0</v>
      </c>
      <c r="S1507">
        <f t="shared" si="501"/>
        <v>7.464808939148837E-2</v>
      </c>
      <c r="T1507">
        <f t="shared" si="502"/>
        <v>1.0000000000000009E-2</v>
      </c>
      <c r="U1507">
        <f t="shared" si="503"/>
        <v>0</v>
      </c>
      <c r="V1507">
        <f t="shared" si="504"/>
        <v>0</v>
      </c>
      <c r="W1507">
        <f t="shared" si="505"/>
        <v>0</v>
      </c>
      <c r="X1507">
        <f t="shared" si="506"/>
        <v>0</v>
      </c>
      <c r="Y1507">
        <f t="shared" si="507"/>
        <v>0</v>
      </c>
      <c r="Z1507">
        <f t="shared" si="508"/>
        <v>0</v>
      </c>
      <c r="AA1507">
        <v>0</v>
      </c>
      <c r="AB1507">
        <f t="shared" si="509"/>
        <v>0</v>
      </c>
      <c r="AC1507">
        <f t="shared" si="510"/>
        <v>0</v>
      </c>
      <c r="AD1507">
        <f t="shared" si="511"/>
        <v>0</v>
      </c>
      <c r="AE1507">
        <f t="shared" si="512"/>
        <v>7.464808939148837E-2</v>
      </c>
      <c r="AF1507">
        <f t="shared" si="513"/>
        <v>1.0000000000000009E-2</v>
      </c>
      <c r="AG1507">
        <f t="shared" si="514"/>
        <v>0</v>
      </c>
      <c r="AH1507">
        <f t="shared" si="515"/>
        <v>0</v>
      </c>
      <c r="AI1507">
        <f t="shared" si="516"/>
        <v>0</v>
      </c>
      <c r="AJ1507">
        <f t="shared" si="517"/>
        <v>0</v>
      </c>
      <c r="AK1507">
        <f t="shared" si="518"/>
        <v>0</v>
      </c>
      <c r="AL1507">
        <f t="shared" si="519"/>
        <v>0</v>
      </c>
    </row>
    <row r="1508" spans="1:38" ht="12" customHeight="1" x14ac:dyDescent="0.2">
      <c r="A1508" t="s">
        <v>60</v>
      </c>
      <c r="B1508" t="s">
        <v>45</v>
      </c>
      <c r="C1508">
        <v>0</v>
      </c>
      <c r="D1508">
        <v>0</v>
      </c>
      <c r="E1508">
        <v>0</v>
      </c>
      <c r="F1508">
        <v>0</v>
      </c>
      <c r="G1508" s="61">
        <v>0</v>
      </c>
      <c r="H1508" s="61">
        <v>0</v>
      </c>
      <c r="I1508" s="61">
        <v>0</v>
      </c>
      <c r="J1508" s="61">
        <v>0</v>
      </c>
      <c r="K1508" s="61">
        <v>0</v>
      </c>
      <c r="L1508" s="61">
        <v>0</v>
      </c>
      <c r="M1508" s="61">
        <v>0</v>
      </c>
      <c r="N1508" s="61">
        <v>0</v>
      </c>
      <c r="O1508">
        <v>0</v>
      </c>
      <c r="P1508">
        <f t="shared" si="498"/>
        <v>0</v>
      </c>
      <c r="Q1508">
        <f t="shared" si="499"/>
        <v>0</v>
      </c>
      <c r="R1508">
        <f t="shared" si="500"/>
        <v>0</v>
      </c>
      <c r="S1508">
        <f t="shared" si="501"/>
        <v>0</v>
      </c>
      <c r="T1508">
        <f t="shared" si="502"/>
        <v>0</v>
      </c>
      <c r="U1508">
        <f t="shared" si="503"/>
        <v>0</v>
      </c>
      <c r="V1508">
        <f t="shared" si="504"/>
        <v>0</v>
      </c>
      <c r="W1508">
        <f t="shared" si="505"/>
        <v>0</v>
      </c>
      <c r="X1508">
        <f t="shared" si="506"/>
        <v>0</v>
      </c>
      <c r="Y1508">
        <f t="shared" si="507"/>
        <v>0</v>
      </c>
      <c r="Z1508">
        <f t="shared" si="508"/>
        <v>0</v>
      </c>
      <c r="AA1508">
        <v>0</v>
      </c>
      <c r="AB1508">
        <f t="shared" si="509"/>
        <v>0</v>
      </c>
      <c r="AC1508">
        <f t="shared" si="510"/>
        <v>0</v>
      </c>
      <c r="AD1508">
        <f t="shared" si="511"/>
        <v>0</v>
      </c>
      <c r="AE1508">
        <f t="shared" si="512"/>
        <v>0</v>
      </c>
      <c r="AF1508">
        <f t="shared" si="513"/>
        <v>0</v>
      </c>
      <c r="AG1508">
        <f t="shared" si="514"/>
        <v>0</v>
      </c>
      <c r="AH1508">
        <f t="shared" si="515"/>
        <v>0</v>
      </c>
      <c r="AI1508">
        <f t="shared" si="516"/>
        <v>0</v>
      </c>
      <c r="AJ1508">
        <f t="shared" si="517"/>
        <v>0</v>
      </c>
      <c r="AK1508">
        <f t="shared" si="518"/>
        <v>0</v>
      </c>
      <c r="AL1508">
        <f t="shared" si="519"/>
        <v>0</v>
      </c>
    </row>
    <row r="1509" spans="1:38" ht="12" customHeight="1" x14ac:dyDescent="0.2">
      <c r="A1509" t="s">
        <v>61</v>
      </c>
      <c r="B1509" t="s">
        <v>45</v>
      </c>
      <c r="C1509">
        <v>0</v>
      </c>
      <c r="D1509">
        <v>0</v>
      </c>
      <c r="E1509">
        <v>0</v>
      </c>
      <c r="F1509">
        <v>0</v>
      </c>
      <c r="G1509" s="61">
        <v>1.0000000000000009E-2</v>
      </c>
      <c r="H1509" s="61">
        <v>0</v>
      </c>
      <c r="I1509" s="61">
        <v>0</v>
      </c>
      <c r="J1509" s="61">
        <v>0</v>
      </c>
      <c r="K1509" s="61">
        <v>0</v>
      </c>
      <c r="L1509" s="61">
        <v>0</v>
      </c>
      <c r="M1509" s="61">
        <v>0</v>
      </c>
      <c r="N1509" s="61">
        <v>0</v>
      </c>
      <c r="O1509">
        <v>0</v>
      </c>
      <c r="P1509">
        <f t="shared" si="498"/>
        <v>0</v>
      </c>
      <c r="Q1509">
        <f t="shared" si="499"/>
        <v>0</v>
      </c>
      <c r="R1509">
        <f t="shared" si="500"/>
        <v>0</v>
      </c>
      <c r="S1509">
        <f t="shared" si="501"/>
        <v>1.0000000000000009E-2</v>
      </c>
      <c r="T1509">
        <f t="shared" si="502"/>
        <v>0</v>
      </c>
      <c r="U1509">
        <f t="shared" si="503"/>
        <v>0</v>
      </c>
      <c r="V1509">
        <f t="shared" si="504"/>
        <v>0</v>
      </c>
      <c r="W1509">
        <f t="shared" si="505"/>
        <v>0</v>
      </c>
      <c r="X1509">
        <f t="shared" si="506"/>
        <v>0</v>
      </c>
      <c r="Y1509">
        <f t="shared" si="507"/>
        <v>0</v>
      </c>
      <c r="Z1509">
        <f t="shared" si="508"/>
        <v>0</v>
      </c>
      <c r="AA1509">
        <v>0</v>
      </c>
      <c r="AB1509">
        <f t="shared" si="509"/>
        <v>0</v>
      </c>
      <c r="AC1509">
        <f t="shared" si="510"/>
        <v>0</v>
      </c>
      <c r="AD1509">
        <f t="shared" si="511"/>
        <v>0</v>
      </c>
      <c r="AE1509">
        <f t="shared" si="512"/>
        <v>1.0000000000000009E-2</v>
      </c>
      <c r="AF1509">
        <f t="shared" si="513"/>
        <v>0</v>
      </c>
      <c r="AG1509">
        <f t="shared" si="514"/>
        <v>0</v>
      </c>
      <c r="AH1509">
        <f t="shared" si="515"/>
        <v>0</v>
      </c>
      <c r="AI1509">
        <f t="shared" si="516"/>
        <v>0</v>
      </c>
      <c r="AJ1509">
        <f t="shared" si="517"/>
        <v>0</v>
      </c>
      <c r="AK1509">
        <f t="shared" si="518"/>
        <v>0</v>
      </c>
      <c r="AL1509">
        <f t="shared" si="519"/>
        <v>0</v>
      </c>
    </row>
    <row r="1510" spans="1:38" ht="12" customHeight="1" x14ac:dyDescent="0.2">
      <c r="A1510" t="s">
        <v>44</v>
      </c>
      <c r="B1510" t="s">
        <v>64</v>
      </c>
      <c r="C1510">
        <v>0</v>
      </c>
      <c r="D1510">
        <v>0</v>
      </c>
      <c r="E1510">
        <v>0</v>
      </c>
      <c r="F1510">
        <v>0</v>
      </c>
      <c r="G1510" s="61">
        <v>1.0000000000000009E-2</v>
      </c>
      <c r="H1510" s="61">
        <v>0</v>
      </c>
      <c r="I1510" s="61">
        <v>0</v>
      </c>
      <c r="J1510" s="61">
        <v>0</v>
      </c>
      <c r="K1510" s="61">
        <v>0</v>
      </c>
      <c r="L1510" s="61">
        <v>0</v>
      </c>
      <c r="M1510" s="61">
        <v>0</v>
      </c>
      <c r="N1510" s="61">
        <v>0</v>
      </c>
      <c r="O1510">
        <v>0</v>
      </c>
      <c r="P1510">
        <f t="shared" si="498"/>
        <v>0</v>
      </c>
      <c r="Q1510">
        <f t="shared" si="499"/>
        <v>0</v>
      </c>
      <c r="R1510">
        <f t="shared" si="500"/>
        <v>0</v>
      </c>
      <c r="S1510">
        <f t="shared" si="501"/>
        <v>1.0000000000000009E-2</v>
      </c>
      <c r="T1510">
        <f t="shared" si="502"/>
        <v>0</v>
      </c>
      <c r="U1510">
        <f t="shared" si="503"/>
        <v>0</v>
      </c>
      <c r="V1510">
        <f t="shared" si="504"/>
        <v>0</v>
      </c>
      <c r="W1510">
        <f t="shared" si="505"/>
        <v>0</v>
      </c>
      <c r="X1510">
        <f t="shared" si="506"/>
        <v>0</v>
      </c>
      <c r="Y1510">
        <f t="shared" si="507"/>
        <v>0</v>
      </c>
      <c r="Z1510">
        <f t="shared" si="508"/>
        <v>0</v>
      </c>
      <c r="AA1510">
        <v>0</v>
      </c>
      <c r="AB1510">
        <f t="shared" si="509"/>
        <v>0</v>
      </c>
      <c r="AC1510">
        <f t="shared" si="510"/>
        <v>0</v>
      </c>
      <c r="AD1510">
        <f t="shared" si="511"/>
        <v>0</v>
      </c>
      <c r="AE1510">
        <f t="shared" si="512"/>
        <v>1.0000000000000009E-2</v>
      </c>
      <c r="AF1510">
        <f t="shared" si="513"/>
        <v>0</v>
      </c>
      <c r="AG1510">
        <f t="shared" si="514"/>
        <v>0</v>
      </c>
      <c r="AH1510">
        <f t="shared" si="515"/>
        <v>0</v>
      </c>
      <c r="AI1510">
        <f t="shared" si="516"/>
        <v>0</v>
      </c>
      <c r="AJ1510">
        <f t="shared" si="517"/>
        <v>0</v>
      </c>
      <c r="AK1510">
        <f t="shared" si="518"/>
        <v>0</v>
      </c>
      <c r="AL1510">
        <f t="shared" si="519"/>
        <v>0</v>
      </c>
    </row>
    <row r="1511" spans="1:38" ht="12" customHeight="1" x14ac:dyDescent="0.2">
      <c r="A1511" t="s">
        <v>47</v>
      </c>
      <c r="B1511" t="s">
        <v>64</v>
      </c>
      <c r="C1511">
        <v>0</v>
      </c>
      <c r="D1511">
        <v>0</v>
      </c>
      <c r="E1511">
        <v>0</v>
      </c>
      <c r="F1511">
        <v>0</v>
      </c>
      <c r="G1511" s="61">
        <v>4.8099019169670187E-2</v>
      </c>
      <c r="H1511" s="61">
        <v>1.0000000000000009E-2</v>
      </c>
      <c r="I1511" s="61">
        <v>0</v>
      </c>
      <c r="J1511" s="61">
        <v>0</v>
      </c>
      <c r="K1511" s="61">
        <v>0</v>
      </c>
      <c r="L1511" s="61">
        <v>0</v>
      </c>
      <c r="M1511" s="61">
        <v>0</v>
      </c>
      <c r="N1511" s="61">
        <v>0</v>
      </c>
      <c r="O1511">
        <v>0</v>
      </c>
      <c r="P1511">
        <f t="shared" si="498"/>
        <v>0</v>
      </c>
      <c r="Q1511">
        <f t="shared" si="499"/>
        <v>0</v>
      </c>
      <c r="R1511">
        <f t="shared" si="500"/>
        <v>0</v>
      </c>
      <c r="S1511">
        <f t="shared" si="501"/>
        <v>4.8099019169670187E-2</v>
      </c>
      <c r="T1511">
        <f t="shared" si="502"/>
        <v>1.0000000000000009E-2</v>
      </c>
      <c r="U1511">
        <f t="shared" si="503"/>
        <v>0</v>
      </c>
      <c r="V1511">
        <f t="shared" si="504"/>
        <v>0</v>
      </c>
      <c r="W1511">
        <f t="shared" si="505"/>
        <v>0</v>
      </c>
      <c r="X1511">
        <f t="shared" si="506"/>
        <v>0</v>
      </c>
      <c r="Y1511">
        <f t="shared" si="507"/>
        <v>0</v>
      </c>
      <c r="Z1511">
        <f t="shared" si="508"/>
        <v>0</v>
      </c>
      <c r="AA1511">
        <v>0</v>
      </c>
      <c r="AB1511">
        <f t="shared" si="509"/>
        <v>0</v>
      </c>
      <c r="AC1511">
        <f t="shared" si="510"/>
        <v>0</v>
      </c>
      <c r="AD1511">
        <f t="shared" si="511"/>
        <v>0</v>
      </c>
      <c r="AE1511">
        <f t="shared" si="512"/>
        <v>4.8099019169670187E-2</v>
      </c>
      <c r="AF1511">
        <f t="shared" si="513"/>
        <v>1.0000000000000009E-2</v>
      </c>
      <c r="AG1511">
        <f t="shared" si="514"/>
        <v>0</v>
      </c>
      <c r="AH1511">
        <f t="shared" si="515"/>
        <v>0</v>
      </c>
      <c r="AI1511">
        <f t="shared" si="516"/>
        <v>0</v>
      </c>
      <c r="AJ1511">
        <f t="shared" si="517"/>
        <v>0</v>
      </c>
      <c r="AK1511">
        <f t="shared" si="518"/>
        <v>0</v>
      </c>
      <c r="AL1511">
        <f t="shared" si="519"/>
        <v>0</v>
      </c>
    </row>
    <row r="1512" spans="1:38" ht="12" customHeight="1" x14ac:dyDescent="0.2">
      <c r="A1512" t="s">
        <v>48</v>
      </c>
      <c r="B1512" t="s">
        <v>64</v>
      </c>
      <c r="C1512">
        <v>0</v>
      </c>
      <c r="D1512">
        <v>0</v>
      </c>
      <c r="E1512">
        <v>0</v>
      </c>
      <c r="F1512">
        <v>0</v>
      </c>
      <c r="G1512" s="61">
        <v>0</v>
      </c>
      <c r="H1512" s="61">
        <v>0</v>
      </c>
      <c r="I1512" s="61">
        <v>0</v>
      </c>
      <c r="J1512" s="61">
        <v>0</v>
      </c>
      <c r="K1512" s="61">
        <v>0</v>
      </c>
      <c r="L1512" s="61">
        <v>0</v>
      </c>
      <c r="M1512" s="61">
        <v>0</v>
      </c>
      <c r="N1512" s="61">
        <v>0</v>
      </c>
      <c r="O1512">
        <v>0</v>
      </c>
      <c r="P1512">
        <f t="shared" si="498"/>
        <v>0</v>
      </c>
      <c r="Q1512">
        <f t="shared" si="499"/>
        <v>0</v>
      </c>
      <c r="R1512">
        <f t="shared" si="500"/>
        <v>0</v>
      </c>
      <c r="S1512">
        <f t="shared" si="501"/>
        <v>0</v>
      </c>
      <c r="T1512">
        <f t="shared" si="502"/>
        <v>0</v>
      </c>
      <c r="U1512">
        <f t="shared" si="503"/>
        <v>0</v>
      </c>
      <c r="V1512">
        <f t="shared" si="504"/>
        <v>0</v>
      </c>
      <c r="W1512">
        <f t="shared" si="505"/>
        <v>0</v>
      </c>
      <c r="X1512">
        <f t="shared" si="506"/>
        <v>0</v>
      </c>
      <c r="Y1512">
        <f t="shared" si="507"/>
        <v>0</v>
      </c>
      <c r="Z1512">
        <f t="shared" si="508"/>
        <v>0</v>
      </c>
      <c r="AA1512">
        <v>0</v>
      </c>
      <c r="AB1512">
        <f t="shared" si="509"/>
        <v>0</v>
      </c>
      <c r="AC1512">
        <f t="shared" si="510"/>
        <v>0</v>
      </c>
      <c r="AD1512">
        <f t="shared" si="511"/>
        <v>0</v>
      </c>
      <c r="AE1512">
        <f t="shared" si="512"/>
        <v>0</v>
      </c>
      <c r="AF1512">
        <f t="shared" si="513"/>
        <v>0</v>
      </c>
      <c r="AG1512">
        <f t="shared" si="514"/>
        <v>0</v>
      </c>
      <c r="AH1512">
        <f t="shared" si="515"/>
        <v>0</v>
      </c>
      <c r="AI1512">
        <f t="shared" si="516"/>
        <v>0</v>
      </c>
      <c r="AJ1512">
        <f t="shared" si="517"/>
        <v>0</v>
      </c>
      <c r="AK1512">
        <f t="shared" si="518"/>
        <v>0</v>
      </c>
      <c r="AL1512">
        <f t="shared" si="519"/>
        <v>0</v>
      </c>
    </row>
    <row r="1513" spans="1:38" ht="12" customHeight="1" x14ac:dyDescent="0.2">
      <c r="A1513" t="s">
        <v>49</v>
      </c>
      <c r="B1513" t="s">
        <v>64</v>
      </c>
      <c r="C1513">
        <v>0</v>
      </c>
      <c r="D1513">
        <v>0</v>
      </c>
      <c r="E1513">
        <v>0</v>
      </c>
      <c r="F1513">
        <v>0</v>
      </c>
      <c r="G1513" s="61">
        <v>6.5098401441693765E-2</v>
      </c>
      <c r="H1513" s="61">
        <v>1.0000000000000009E-2</v>
      </c>
      <c r="I1513" s="61">
        <v>0</v>
      </c>
      <c r="J1513" s="61">
        <v>0</v>
      </c>
      <c r="K1513" s="61">
        <v>0</v>
      </c>
      <c r="L1513" s="61">
        <v>0</v>
      </c>
      <c r="M1513" s="61">
        <v>0</v>
      </c>
      <c r="N1513" s="61">
        <v>0</v>
      </c>
      <c r="O1513">
        <v>0</v>
      </c>
      <c r="P1513">
        <f t="shared" si="498"/>
        <v>0</v>
      </c>
      <c r="Q1513">
        <f t="shared" si="499"/>
        <v>0</v>
      </c>
      <c r="R1513">
        <f t="shared" si="500"/>
        <v>0</v>
      </c>
      <c r="S1513">
        <f t="shared" si="501"/>
        <v>6.5098401441693765E-2</v>
      </c>
      <c r="T1513">
        <f t="shared" si="502"/>
        <v>1.0000000000000009E-2</v>
      </c>
      <c r="U1513">
        <f t="shared" si="503"/>
        <v>0</v>
      </c>
      <c r="V1513">
        <f t="shared" si="504"/>
        <v>0</v>
      </c>
      <c r="W1513">
        <f t="shared" si="505"/>
        <v>0</v>
      </c>
      <c r="X1513">
        <f t="shared" si="506"/>
        <v>0</v>
      </c>
      <c r="Y1513">
        <f t="shared" si="507"/>
        <v>0</v>
      </c>
      <c r="Z1513">
        <f t="shared" si="508"/>
        <v>0</v>
      </c>
      <c r="AA1513">
        <v>0</v>
      </c>
      <c r="AB1513">
        <f t="shared" si="509"/>
        <v>0</v>
      </c>
      <c r="AC1513">
        <f t="shared" si="510"/>
        <v>0</v>
      </c>
      <c r="AD1513">
        <f t="shared" si="511"/>
        <v>0</v>
      </c>
      <c r="AE1513">
        <f t="shared" si="512"/>
        <v>6.5098401441693765E-2</v>
      </c>
      <c r="AF1513">
        <f t="shared" si="513"/>
        <v>1.0000000000000009E-2</v>
      </c>
      <c r="AG1513">
        <f t="shared" si="514"/>
        <v>0</v>
      </c>
      <c r="AH1513">
        <f t="shared" si="515"/>
        <v>0</v>
      </c>
      <c r="AI1513">
        <f t="shared" si="516"/>
        <v>0</v>
      </c>
      <c r="AJ1513">
        <f t="shared" si="517"/>
        <v>0</v>
      </c>
      <c r="AK1513">
        <f t="shared" si="518"/>
        <v>0</v>
      </c>
      <c r="AL1513">
        <f t="shared" si="519"/>
        <v>0</v>
      </c>
    </row>
    <row r="1514" spans="1:38" ht="12" customHeight="1" x14ac:dyDescent="0.2">
      <c r="A1514" t="s">
        <v>50</v>
      </c>
      <c r="B1514" t="s">
        <v>64</v>
      </c>
      <c r="C1514">
        <v>0</v>
      </c>
      <c r="D1514">
        <v>0</v>
      </c>
      <c r="E1514">
        <v>0</v>
      </c>
      <c r="F1514">
        <v>0</v>
      </c>
      <c r="G1514" s="61">
        <v>0.2400577554004123</v>
      </c>
      <c r="H1514" s="61">
        <v>1.0000000000000009E-2</v>
      </c>
      <c r="I1514" s="61">
        <v>0</v>
      </c>
      <c r="J1514" s="61">
        <v>0</v>
      </c>
      <c r="K1514" s="61">
        <v>0</v>
      </c>
      <c r="L1514" s="61">
        <v>0</v>
      </c>
      <c r="M1514" s="61">
        <v>0</v>
      </c>
      <c r="N1514" s="61">
        <v>0</v>
      </c>
      <c r="O1514">
        <v>0</v>
      </c>
      <c r="P1514">
        <f t="shared" si="498"/>
        <v>0</v>
      </c>
      <c r="Q1514">
        <f t="shared" si="499"/>
        <v>0</v>
      </c>
      <c r="R1514">
        <f t="shared" si="500"/>
        <v>0</v>
      </c>
      <c r="S1514">
        <f t="shared" si="501"/>
        <v>0.2400577554004123</v>
      </c>
      <c r="T1514">
        <f t="shared" si="502"/>
        <v>1.0000000000000009E-2</v>
      </c>
      <c r="U1514">
        <f t="shared" si="503"/>
        <v>0</v>
      </c>
      <c r="V1514">
        <f t="shared" si="504"/>
        <v>0</v>
      </c>
      <c r="W1514">
        <f t="shared" si="505"/>
        <v>0</v>
      </c>
      <c r="X1514">
        <f t="shared" si="506"/>
        <v>0</v>
      </c>
      <c r="Y1514">
        <f t="shared" si="507"/>
        <v>0</v>
      </c>
      <c r="Z1514">
        <f t="shared" si="508"/>
        <v>0</v>
      </c>
      <c r="AA1514">
        <v>0</v>
      </c>
      <c r="AB1514">
        <f t="shared" si="509"/>
        <v>0</v>
      </c>
      <c r="AC1514">
        <f t="shared" si="510"/>
        <v>0</v>
      </c>
      <c r="AD1514">
        <f t="shared" si="511"/>
        <v>0</v>
      </c>
      <c r="AE1514">
        <f t="shared" si="512"/>
        <v>0.2400577554004123</v>
      </c>
      <c r="AF1514">
        <f t="shared" si="513"/>
        <v>1.0000000000000009E-2</v>
      </c>
      <c r="AG1514">
        <f t="shared" si="514"/>
        <v>0</v>
      </c>
      <c r="AH1514">
        <f t="shared" si="515"/>
        <v>0</v>
      </c>
      <c r="AI1514">
        <f t="shared" si="516"/>
        <v>0</v>
      </c>
      <c r="AJ1514">
        <f t="shared" si="517"/>
        <v>0</v>
      </c>
      <c r="AK1514">
        <f t="shared" si="518"/>
        <v>0</v>
      </c>
      <c r="AL1514">
        <f t="shared" si="519"/>
        <v>0</v>
      </c>
    </row>
    <row r="1515" spans="1:38" ht="12" customHeight="1" x14ac:dyDescent="0.2">
      <c r="A1515" t="s">
        <v>51</v>
      </c>
      <c r="B1515" t="s">
        <v>64</v>
      </c>
      <c r="C1515">
        <v>0</v>
      </c>
      <c r="D1515">
        <v>0</v>
      </c>
      <c r="E1515">
        <v>0</v>
      </c>
      <c r="F1515">
        <v>0</v>
      </c>
      <c r="G1515" s="61">
        <v>0.23168423066872224</v>
      </c>
      <c r="H1515" s="61">
        <v>5.342487915216243E-2</v>
      </c>
      <c r="I1515" s="61">
        <v>1.0000000000000009E-2</v>
      </c>
      <c r="J1515" s="61">
        <v>0</v>
      </c>
      <c r="K1515" s="61">
        <v>0</v>
      </c>
      <c r="L1515" s="61">
        <v>0</v>
      </c>
      <c r="M1515" s="61">
        <v>0</v>
      </c>
      <c r="N1515" s="61">
        <v>0</v>
      </c>
      <c r="O1515">
        <v>0</v>
      </c>
      <c r="P1515">
        <f t="shared" si="498"/>
        <v>0</v>
      </c>
      <c r="Q1515">
        <f t="shared" si="499"/>
        <v>0</v>
      </c>
      <c r="R1515">
        <f t="shared" si="500"/>
        <v>0</v>
      </c>
      <c r="S1515">
        <f t="shared" si="501"/>
        <v>0.23168423066872224</v>
      </c>
      <c r="T1515">
        <f t="shared" si="502"/>
        <v>5.342487915216243E-2</v>
      </c>
      <c r="U1515">
        <f t="shared" si="503"/>
        <v>1.0000000000000009E-2</v>
      </c>
      <c r="V1515">
        <f t="shared" si="504"/>
        <v>0</v>
      </c>
      <c r="W1515">
        <f t="shared" si="505"/>
        <v>0</v>
      </c>
      <c r="X1515">
        <f t="shared" si="506"/>
        <v>0</v>
      </c>
      <c r="Y1515">
        <f t="shared" si="507"/>
        <v>0</v>
      </c>
      <c r="Z1515">
        <f t="shared" si="508"/>
        <v>0</v>
      </c>
      <c r="AA1515">
        <v>0</v>
      </c>
      <c r="AB1515">
        <f t="shared" si="509"/>
        <v>0</v>
      </c>
      <c r="AC1515">
        <f t="shared" si="510"/>
        <v>0</v>
      </c>
      <c r="AD1515">
        <f t="shared" si="511"/>
        <v>0</v>
      </c>
      <c r="AE1515">
        <f t="shared" si="512"/>
        <v>0.23168423066872224</v>
      </c>
      <c r="AF1515">
        <f t="shared" si="513"/>
        <v>5.342487915216243E-2</v>
      </c>
      <c r="AG1515">
        <f t="shared" si="514"/>
        <v>1.0000000000000009E-2</v>
      </c>
      <c r="AH1515">
        <f t="shared" si="515"/>
        <v>0</v>
      </c>
      <c r="AI1515">
        <f t="shared" si="516"/>
        <v>0</v>
      </c>
      <c r="AJ1515">
        <f t="shared" si="517"/>
        <v>0</v>
      </c>
      <c r="AK1515">
        <f t="shared" si="518"/>
        <v>0</v>
      </c>
      <c r="AL1515">
        <f t="shared" si="519"/>
        <v>0</v>
      </c>
    </row>
    <row r="1516" spans="1:38" ht="12" customHeight="1" x14ac:dyDescent="0.2">
      <c r="A1516" t="s">
        <v>52</v>
      </c>
      <c r="B1516" t="s">
        <v>64</v>
      </c>
      <c r="C1516">
        <v>0</v>
      </c>
      <c r="D1516">
        <v>0</v>
      </c>
      <c r="E1516">
        <v>0</v>
      </c>
      <c r="F1516">
        <v>0</v>
      </c>
      <c r="G1516" s="61">
        <v>0.24480794225891789</v>
      </c>
      <c r="H1516" s="61">
        <v>4.5126140135186787E-2</v>
      </c>
      <c r="I1516" s="61">
        <v>1.0000000000000009E-2</v>
      </c>
      <c r="J1516" s="61">
        <v>0</v>
      </c>
      <c r="K1516" s="61">
        <v>0</v>
      </c>
      <c r="L1516" s="61">
        <v>0</v>
      </c>
      <c r="M1516" s="61">
        <v>0</v>
      </c>
      <c r="N1516" s="61">
        <v>0</v>
      </c>
      <c r="O1516">
        <v>0</v>
      </c>
      <c r="P1516">
        <f t="shared" si="498"/>
        <v>0</v>
      </c>
      <c r="Q1516">
        <f t="shared" si="499"/>
        <v>0</v>
      </c>
      <c r="R1516">
        <f t="shared" si="500"/>
        <v>0</v>
      </c>
      <c r="S1516">
        <f t="shared" si="501"/>
        <v>0.24480794225891789</v>
      </c>
      <c r="T1516">
        <f t="shared" si="502"/>
        <v>4.5126140135186787E-2</v>
      </c>
      <c r="U1516">
        <f t="shared" si="503"/>
        <v>1.0000000000000009E-2</v>
      </c>
      <c r="V1516">
        <f t="shared" si="504"/>
        <v>0</v>
      </c>
      <c r="W1516">
        <f t="shared" si="505"/>
        <v>0</v>
      </c>
      <c r="X1516">
        <f t="shared" si="506"/>
        <v>0</v>
      </c>
      <c r="Y1516">
        <f t="shared" si="507"/>
        <v>0</v>
      </c>
      <c r="Z1516">
        <f t="shared" si="508"/>
        <v>0</v>
      </c>
      <c r="AA1516">
        <v>0</v>
      </c>
      <c r="AB1516">
        <f t="shared" si="509"/>
        <v>0</v>
      </c>
      <c r="AC1516">
        <f t="shared" si="510"/>
        <v>0</v>
      </c>
      <c r="AD1516">
        <f t="shared" si="511"/>
        <v>0</v>
      </c>
      <c r="AE1516">
        <f t="shared" si="512"/>
        <v>0.24480794225891789</v>
      </c>
      <c r="AF1516">
        <f t="shared" si="513"/>
        <v>4.5126140135186787E-2</v>
      </c>
      <c r="AG1516">
        <f t="shared" si="514"/>
        <v>1.0000000000000009E-2</v>
      </c>
      <c r="AH1516">
        <f t="shared" si="515"/>
        <v>0</v>
      </c>
      <c r="AI1516">
        <f t="shared" si="516"/>
        <v>0</v>
      </c>
      <c r="AJ1516">
        <f t="shared" si="517"/>
        <v>0</v>
      </c>
      <c r="AK1516">
        <f t="shared" si="518"/>
        <v>0</v>
      </c>
      <c r="AL1516">
        <f t="shared" si="519"/>
        <v>0</v>
      </c>
    </row>
    <row r="1517" spans="1:38" ht="12" customHeight="1" x14ac:dyDescent="0.2">
      <c r="A1517" t="s">
        <v>53</v>
      </c>
      <c r="B1517" t="s">
        <v>64</v>
      </c>
      <c r="C1517">
        <v>0</v>
      </c>
      <c r="D1517">
        <v>0</v>
      </c>
      <c r="E1517">
        <v>0</v>
      </c>
      <c r="F1517">
        <v>0</v>
      </c>
      <c r="G1517" s="61">
        <v>0.74745450019081383</v>
      </c>
      <c r="H1517" s="61">
        <v>0.58600432814959802</v>
      </c>
      <c r="I1517" s="61">
        <v>0.36754191461542784</v>
      </c>
      <c r="J1517" s="61">
        <v>0.18441783107743692</v>
      </c>
      <c r="K1517" s="61">
        <v>7.4026792737131863E-2</v>
      </c>
      <c r="L1517" s="61">
        <v>1.0000000000000009E-2</v>
      </c>
      <c r="M1517" s="61">
        <v>0</v>
      </c>
      <c r="N1517" s="61">
        <v>0</v>
      </c>
      <c r="O1517">
        <v>0</v>
      </c>
      <c r="P1517">
        <f t="shared" si="498"/>
        <v>0</v>
      </c>
      <c r="Q1517">
        <f t="shared" si="499"/>
        <v>0</v>
      </c>
      <c r="R1517">
        <f t="shared" si="500"/>
        <v>0</v>
      </c>
      <c r="S1517">
        <f t="shared" si="501"/>
        <v>0.74745450019081383</v>
      </c>
      <c r="T1517">
        <f t="shared" si="502"/>
        <v>0.58600432814959802</v>
      </c>
      <c r="U1517">
        <f t="shared" si="503"/>
        <v>0.36754191461542784</v>
      </c>
      <c r="V1517">
        <f t="shared" si="504"/>
        <v>0.18441783107743692</v>
      </c>
      <c r="W1517">
        <f t="shared" si="505"/>
        <v>7.4026792737131863E-2</v>
      </c>
      <c r="X1517">
        <f t="shared" si="506"/>
        <v>1.0000000000000009E-2</v>
      </c>
      <c r="Y1517">
        <f t="shared" si="507"/>
        <v>0</v>
      </c>
      <c r="Z1517">
        <f t="shared" si="508"/>
        <v>0</v>
      </c>
      <c r="AA1517">
        <v>0</v>
      </c>
      <c r="AB1517">
        <f t="shared" si="509"/>
        <v>0</v>
      </c>
      <c r="AC1517">
        <f t="shared" si="510"/>
        <v>0</v>
      </c>
      <c r="AD1517">
        <f t="shared" si="511"/>
        <v>0</v>
      </c>
      <c r="AE1517">
        <f t="shared" si="512"/>
        <v>0.74745450019081383</v>
      </c>
      <c r="AF1517">
        <f t="shared" si="513"/>
        <v>0.58600432814959802</v>
      </c>
      <c r="AG1517">
        <f t="shared" si="514"/>
        <v>0.36754191461542784</v>
      </c>
      <c r="AH1517">
        <f t="shared" si="515"/>
        <v>0.18441783107743692</v>
      </c>
      <c r="AI1517">
        <f t="shared" si="516"/>
        <v>7.4026792737131863E-2</v>
      </c>
      <c r="AJ1517">
        <f t="shared" si="517"/>
        <v>1.0000000000000009E-2</v>
      </c>
      <c r="AK1517">
        <f t="shared" si="518"/>
        <v>0</v>
      </c>
      <c r="AL1517">
        <f t="shared" si="519"/>
        <v>0</v>
      </c>
    </row>
    <row r="1518" spans="1:38" ht="12" customHeight="1" x14ac:dyDescent="0.2">
      <c r="A1518" t="s">
        <v>54</v>
      </c>
      <c r="B1518" t="s">
        <v>64</v>
      </c>
      <c r="C1518">
        <v>0</v>
      </c>
      <c r="D1518">
        <v>0</v>
      </c>
      <c r="E1518">
        <v>0</v>
      </c>
      <c r="F1518">
        <v>0</v>
      </c>
      <c r="G1518" s="61">
        <v>0.25849164816055525</v>
      </c>
      <c r="H1518" s="61">
        <v>0.19533502893924148</v>
      </c>
      <c r="I1518" s="61">
        <v>0.14022884341564934</v>
      </c>
      <c r="J1518" s="61">
        <v>9.5635289793397971E-2</v>
      </c>
      <c r="K1518" s="61">
        <v>6.1961597981804339E-2</v>
      </c>
      <c r="L1518" s="61">
        <v>1.0000000000000009E-2</v>
      </c>
      <c r="M1518" s="61">
        <v>0</v>
      </c>
      <c r="N1518" s="61">
        <v>0</v>
      </c>
      <c r="O1518">
        <v>0</v>
      </c>
      <c r="P1518">
        <f t="shared" si="498"/>
        <v>0</v>
      </c>
      <c r="Q1518">
        <f t="shared" si="499"/>
        <v>0</v>
      </c>
      <c r="R1518">
        <f t="shared" si="500"/>
        <v>0</v>
      </c>
      <c r="S1518">
        <f t="shared" si="501"/>
        <v>0.25849164816055525</v>
      </c>
      <c r="T1518">
        <f t="shared" si="502"/>
        <v>0.19533502893924148</v>
      </c>
      <c r="U1518">
        <f t="shared" si="503"/>
        <v>0.14022884341564934</v>
      </c>
      <c r="V1518">
        <f t="shared" si="504"/>
        <v>9.5635289793397971E-2</v>
      </c>
      <c r="W1518">
        <f t="shared" si="505"/>
        <v>6.1961597981804339E-2</v>
      </c>
      <c r="X1518">
        <f t="shared" si="506"/>
        <v>1.0000000000000009E-2</v>
      </c>
      <c r="Y1518">
        <f t="shared" si="507"/>
        <v>0</v>
      </c>
      <c r="Z1518">
        <f t="shared" si="508"/>
        <v>0</v>
      </c>
      <c r="AA1518">
        <v>0</v>
      </c>
      <c r="AB1518">
        <f t="shared" si="509"/>
        <v>0</v>
      </c>
      <c r="AC1518">
        <f t="shared" si="510"/>
        <v>0</v>
      </c>
      <c r="AD1518">
        <f t="shared" si="511"/>
        <v>0</v>
      </c>
      <c r="AE1518">
        <f t="shared" si="512"/>
        <v>0.25849164816055525</v>
      </c>
      <c r="AF1518">
        <f t="shared" si="513"/>
        <v>0.19533502893924148</v>
      </c>
      <c r="AG1518">
        <f t="shared" si="514"/>
        <v>0.14022884341564934</v>
      </c>
      <c r="AH1518">
        <f t="shared" si="515"/>
        <v>9.5635289793397971E-2</v>
      </c>
      <c r="AI1518">
        <f t="shared" si="516"/>
        <v>6.1961597981804339E-2</v>
      </c>
      <c r="AJ1518">
        <f t="shared" si="517"/>
        <v>1.0000000000000009E-2</v>
      </c>
      <c r="AK1518">
        <f t="shared" si="518"/>
        <v>0</v>
      </c>
      <c r="AL1518">
        <f t="shared" si="519"/>
        <v>0</v>
      </c>
    </row>
    <row r="1519" spans="1:38" ht="12" customHeight="1" x14ac:dyDescent="0.2">
      <c r="A1519" t="s">
        <v>55</v>
      </c>
      <c r="B1519" t="s">
        <v>64</v>
      </c>
      <c r="C1519">
        <v>0</v>
      </c>
      <c r="D1519">
        <v>0</v>
      </c>
      <c r="E1519">
        <v>0</v>
      </c>
      <c r="F1519">
        <v>0</v>
      </c>
      <c r="G1519" s="61">
        <v>0.38086114314296893</v>
      </c>
      <c r="H1519" s="61">
        <v>6.025705666571457E-2</v>
      </c>
      <c r="I1519" s="61">
        <v>1.0000000000000009E-2</v>
      </c>
      <c r="J1519" s="61">
        <v>0</v>
      </c>
      <c r="K1519" s="61">
        <v>0</v>
      </c>
      <c r="L1519" s="61">
        <v>0</v>
      </c>
      <c r="M1519" s="61">
        <v>0</v>
      </c>
      <c r="N1519" s="61">
        <v>0</v>
      </c>
      <c r="O1519">
        <v>0</v>
      </c>
      <c r="P1519">
        <f t="shared" si="498"/>
        <v>0</v>
      </c>
      <c r="Q1519">
        <f t="shared" si="499"/>
        <v>0</v>
      </c>
      <c r="R1519">
        <f t="shared" si="500"/>
        <v>0</v>
      </c>
      <c r="S1519">
        <f t="shared" si="501"/>
        <v>0.38086114314296893</v>
      </c>
      <c r="T1519">
        <f t="shared" si="502"/>
        <v>6.025705666571457E-2</v>
      </c>
      <c r="U1519">
        <f t="shared" si="503"/>
        <v>1.0000000000000009E-2</v>
      </c>
      <c r="V1519">
        <f t="shared" si="504"/>
        <v>0</v>
      </c>
      <c r="W1519">
        <f t="shared" si="505"/>
        <v>0</v>
      </c>
      <c r="X1519">
        <f t="shared" si="506"/>
        <v>0</v>
      </c>
      <c r="Y1519">
        <f t="shared" si="507"/>
        <v>0</v>
      </c>
      <c r="Z1519">
        <f t="shared" si="508"/>
        <v>0</v>
      </c>
      <c r="AA1519">
        <v>0</v>
      </c>
      <c r="AB1519">
        <f t="shared" si="509"/>
        <v>0</v>
      </c>
      <c r="AC1519">
        <f t="shared" si="510"/>
        <v>0</v>
      </c>
      <c r="AD1519">
        <f t="shared" si="511"/>
        <v>0</v>
      </c>
      <c r="AE1519">
        <f t="shared" si="512"/>
        <v>0.38086114314296893</v>
      </c>
      <c r="AF1519">
        <f t="shared" si="513"/>
        <v>6.025705666571457E-2</v>
      </c>
      <c r="AG1519">
        <f t="shared" si="514"/>
        <v>1.0000000000000009E-2</v>
      </c>
      <c r="AH1519">
        <f t="shared" si="515"/>
        <v>0</v>
      </c>
      <c r="AI1519">
        <f t="shared" si="516"/>
        <v>0</v>
      </c>
      <c r="AJ1519">
        <f t="shared" si="517"/>
        <v>0</v>
      </c>
      <c r="AK1519">
        <f t="shared" si="518"/>
        <v>0</v>
      </c>
      <c r="AL1519">
        <f t="shared" si="519"/>
        <v>0</v>
      </c>
    </row>
    <row r="1520" spans="1:38" ht="12" customHeight="1" x14ac:dyDescent="0.2">
      <c r="A1520" t="s">
        <v>56</v>
      </c>
      <c r="B1520" t="s">
        <v>64</v>
      </c>
      <c r="C1520">
        <v>0</v>
      </c>
      <c r="D1520">
        <v>0</v>
      </c>
      <c r="E1520">
        <v>0</v>
      </c>
      <c r="F1520">
        <v>0</v>
      </c>
      <c r="G1520" s="61">
        <v>1.0000000000000009E-2</v>
      </c>
      <c r="H1520" s="61">
        <v>0</v>
      </c>
      <c r="I1520" s="61">
        <v>0</v>
      </c>
      <c r="J1520" s="61">
        <v>0</v>
      </c>
      <c r="K1520" s="61">
        <v>0</v>
      </c>
      <c r="L1520" s="61">
        <v>0</v>
      </c>
      <c r="M1520" s="61">
        <v>0</v>
      </c>
      <c r="N1520" s="61">
        <v>0</v>
      </c>
      <c r="O1520">
        <v>0</v>
      </c>
      <c r="P1520">
        <f t="shared" si="498"/>
        <v>0</v>
      </c>
      <c r="Q1520">
        <f t="shared" si="499"/>
        <v>0</v>
      </c>
      <c r="R1520">
        <f t="shared" si="500"/>
        <v>0</v>
      </c>
      <c r="S1520">
        <f t="shared" si="501"/>
        <v>1.0000000000000009E-2</v>
      </c>
      <c r="T1520">
        <f t="shared" si="502"/>
        <v>0</v>
      </c>
      <c r="U1520">
        <f t="shared" si="503"/>
        <v>0</v>
      </c>
      <c r="V1520">
        <f t="shared" si="504"/>
        <v>0</v>
      </c>
      <c r="W1520">
        <f t="shared" si="505"/>
        <v>0</v>
      </c>
      <c r="X1520">
        <f t="shared" si="506"/>
        <v>0</v>
      </c>
      <c r="Y1520">
        <f t="shared" si="507"/>
        <v>0</v>
      </c>
      <c r="Z1520">
        <f t="shared" si="508"/>
        <v>0</v>
      </c>
      <c r="AA1520">
        <v>1</v>
      </c>
      <c r="AB1520">
        <f t="shared" si="509"/>
        <v>0</v>
      </c>
      <c r="AC1520">
        <f t="shared" si="510"/>
        <v>0</v>
      </c>
      <c r="AD1520">
        <f t="shared" si="511"/>
        <v>0</v>
      </c>
      <c r="AE1520">
        <f t="shared" si="512"/>
        <v>1.0000000000000009E-2</v>
      </c>
      <c r="AF1520">
        <f t="shared" si="513"/>
        <v>0</v>
      </c>
      <c r="AG1520">
        <f t="shared" si="514"/>
        <v>0</v>
      </c>
      <c r="AH1520">
        <f t="shared" si="515"/>
        <v>0</v>
      </c>
      <c r="AI1520">
        <f t="shared" si="516"/>
        <v>0</v>
      </c>
      <c r="AJ1520">
        <f t="shared" si="517"/>
        <v>0</v>
      </c>
      <c r="AK1520">
        <f t="shared" si="518"/>
        <v>0</v>
      </c>
      <c r="AL1520">
        <f t="shared" si="519"/>
        <v>0</v>
      </c>
    </row>
    <row r="1521" spans="1:57" ht="12" customHeight="1" x14ac:dyDescent="0.2">
      <c r="A1521" t="s">
        <v>57</v>
      </c>
      <c r="B1521" t="s">
        <v>64</v>
      </c>
      <c r="C1521">
        <v>0</v>
      </c>
      <c r="D1521">
        <v>0</v>
      </c>
      <c r="E1521">
        <v>0</v>
      </c>
      <c r="F1521">
        <v>0</v>
      </c>
      <c r="G1521" s="61">
        <v>0.30525066810285262</v>
      </c>
      <c r="H1521" s="61">
        <v>0.1085065434192618</v>
      </c>
      <c r="I1521" s="61">
        <v>1.0000000000000009E-2</v>
      </c>
      <c r="J1521" s="61">
        <v>0</v>
      </c>
      <c r="K1521" s="61">
        <v>0</v>
      </c>
      <c r="L1521" s="61">
        <v>0</v>
      </c>
      <c r="M1521" s="61">
        <v>0</v>
      </c>
      <c r="N1521" s="61">
        <v>0</v>
      </c>
      <c r="O1521">
        <v>0</v>
      </c>
      <c r="P1521">
        <f t="shared" si="498"/>
        <v>0</v>
      </c>
      <c r="Q1521">
        <f t="shared" si="499"/>
        <v>0</v>
      </c>
      <c r="R1521">
        <f t="shared" si="500"/>
        <v>0</v>
      </c>
      <c r="S1521">
        <f t="shared" si="501"/>
        <v>0.30525066810285262</v>
      </c>
      <c r="T1521">
        <f t="shared" si="502"/>
        <v>0.1085065434192618</v>
      </c>
      <c r="U1521">
        <f t="shared" si="503"/>
        <v>1.0000000000000009E-2</v>
      </c>
      <c r="V1521">
        <f t="shared" si="504"/>
        <v>0</v>
      </c>
      <c r="W1521">
        <f t="shared" si="505"/>
        <v>0</v>
      </c>
      <c r="X1521">
        <f t="shared" si="506"/>
        <v>0</v>
      </c>
      <c r="Y1521">
        <f t="shared" si="507"/>
        <v>0</v>
      </c>
      <c r="Z1521">
        <f t="shared" si="508"/>
        <v>0</v>
      </c>
      <c r="AA1521">
        <v>2</v>
      </c>
      <c r="AB1521">
        <f t="shared" si="509"/>
        <v>0</v>
      </c>
      <c r="AC1521">
        <f t="shared" si="510"/>
        <v>0</v>
      </c>
      <c r="AD1521">
        <f t="shared" si="511"/>
        <v>0</v>
      </c>
      <c r="AE1521">
        <f t="shared" si="512"/>
        <v>0.30525066810285262</v>
      </c>
      <c r="AF1521">
        <f t="shared" si="513"/>
        <v>0.1085065434192618</v>
      </c>
      <c r="AG1521">
        <f t="shared" si="514"/>
        <v>1.0000000000000009E-2</v>
      </c>
      <c r="AH1521">
        <f t="shared" si="515"/>
        <v>0</v>
      </c>
      <c r="AI1521">
        <f t="shared" si="516"/>
        <v>0</v>
      </c>
      <c r="AJ1521">
        <f t="shared" si="517"/>
        <v>0</v>
      </c>
      <c r="AK1521">
        <f t="shared" si="518"/>
        <v>0</v>
      </c>
      <c r="AL1521">
        <f t="shared" si="519"/>
        <v>0</v>
      </c>
    </row>
    <row r="1522" spans="1:57" ht="12" customHeight="1" x14ac:dyDescent="0.2">
      <c r="A1522" t="s">
        <v>58</v>
      </c>
      <c r="B1522" t="s">
        <v>64</v>
      </c>
      <c r="C1522">
        <v>0</v>
      </c>
      <c r="D1522">
        <v>0</v>
      </c>
      <c r="E1522">
        <v>0</v>
      </c>
      <c r="F1522">
        <v>0</v>
      </c>
      <c r="G1522" s="61">
        <v>1.0000000000000009E-2</v>
      </c>
      <c r="H1522" s="61">
        <v>0</v>
      </c>
      <c r="I1522" s="61">
        <v>0</v>
      </c>
      <c r="J1522" s="61">
        <v>0</v>
      </c>
      <c r="K1522" s="61">
        <v>0</v>
      </c>
      <c r="L1522" s="61">
        <v>0</v>
      </c>
      <c r="M1522" s="61">
        <v>0</v>
      </c>
      <c r="N1522" s="61">
        <v>0</v>
      </c>
      <c r="O1522">
        <v>0</v>
      </c>
      <c r="P1522">
        <f t="shared" si="498"/>
        <v>0</v>
      </c>
      <c r="Q1522">
        <f t="shared" si="499"/>
        <v>0</v>
      </c>
      <c r="R1522">
        <f t="shared" si="500"/>
        <v>0</v>
      </c>
      <c r="S1522">
        <f t="shared" si="501"/>
        <v>1.0000000000000009E-2</v>
      </c>
      <c r="T1522">
        <f t="shared" si="502"/>
        <v>0</v>
      </c>
      <c r="U1522">
        <f t="shared" si="503"/>
        <v>0</v>
      </c>
      <c r="V1522">
        <f t="shared" si="504"/>
        <v>0</v>
      </c>
      <c r="W1522">
        <f t="shared" si="505"/>
        <v>0</v>
      </c>
      <c r="X1522">
        <f t="shared" si="506"/>
        <v>0</v>
      </c>
      <c r="Y1522">
        <f t="shared" si="507"/>
        <v>0</v>
      </c>
      <c r="Z1522">
        <f t="shared" si="508"/>
        <v>0</v>
      </c>
      <c r="AA1522">
        <v>3</v>
      </c>
      <c r="AB1522">
        <f t="shared" si="509"/>
        <v>0</v>
      </c>
      <c r="AC1522">
        <f t="shared" si="510"/>
        <v>0</v>
      </c>
      <c r="AD1522">
        <f t="shared" si="511"/>
        <v>0</v>
      </c>
      <c r="AE1522">
        <f t="shared" si="512"/>
        <v>1.0000000000000009E-2</v>
      </c>
      <c r="AF1522">
        <f t="shared" si="513"/>
        <v>0</v>
      </c>
      <c r="AG1522">
        <f t="shared" si="514"/>
        <v>0</v>
      </c>
      <c r="AH1522">
        <f t="shared" si="515"/>
        <v>0</v>
      </c>
      <c r="AI1522">
        <f t="shared" si="516"/>
        <v>0</v>
      </c>
      <c r="AJ1522">
        <f t="shared" si="517"/>
        <v>0</v>
      </c>
      <c r="AK1522">
        <f t="shared" si="518"/>
        <v>0</v>
      </c>
      <c r="AL1522">
        <f t="shared" si="519"/>
        <v>0</v>
      </c>
    </row>
    <row r="1523" spans="1:57" ht="12" customHeight="1" x14ac:dyDescent="0.2">
      <c r="A1523" t="s">
        <v>59</v>
      </c>
      <c r="B1523" t="s">
        <v>64</v>
      </c>
      <c r="C1523">
        <v>0</v>
      </c>
      <c r="D1523">
        <v>0</v>
      </c>
      <c r="E1523">
        <v>0</v>
      </c>
      <c r="F1523">
        <v>0</v>
      </c>
      <c r="G1523" s="61">
        <v>5.2950216573907416E-2</v>
      </c>
      <c r="H1523" s="61">
        <v>1.0000000000000009E-2</v>
      </c>
      <c r="I1523" s="61">
        <v>0</v>
      </c>
      <c r="J1523" s="61">
        <v>0</v>
      </c>
      <c r="K1523" s="61">
        <v>0</v>
      </c>
      <c r="L1523" s="61">
        <v>0</v>
      </c>
      <c r="M1523" s="61">
        <v>0</v>
      </c>
      <c r="N1523" s="61">
        <v>0</v>
      </c>
      <c r="O1523">
        <v>0</v>
      </c>
      <c r="P1523">
        <f t="shared" si="498"/>
        <v>0</v>
      </c>
      <c r="Q1523">
        <f t="shared" si="499"/>
        <v>0</v>
      </c>
      <c r="R1523">
        <f t="shared" si="500"/>
        <v>0</v>
      </c>
      <c r="S1523">
        <f t="shared" si="501"/>
        <v>5.2950216573907416E-2</v>
      </c>
      <c r="T1523">
        <f t="shared" si="502"/>
        <v>1.0000000000000009E-2</v>
      </c>
      <c r="U1523">
        <f t="shared" si="503"/>
        <v>0</v>
      </c>
      <c r="V1523">
        <f t="shared" si="504"/>
        <v>0</v>
      </c>
      <c r="W1523">
        <f t="shared" si="505"/>
        <v>0</v>
      </c>
      <c r="X1523">
        <f t="shared" si="506"/>
        <v>0</v>
      </c>
      <c r="Y1523">
        <f t="shared" si="507"/>
        <v>0</v>
      </c>
      <c r="Z1523">
        <f t="shared" si="508"/>
        <v>0</v>
      </c>
      <c r="AA1523">
        <v>4</v>
      </c>
      <c r="AB1523">
        <f t="shared" si="509"/>
        <v>0</v>
      </c>
      <c r="AC1523">
        <f t="shared" si="510"/>
        <v>0</v>
      </c>
      <c r="AD1523">
        <f t="shared" si="511"/>
        <v>0</v>
      </c>
      <c r="AE1523">
        <f t="shared" si="512"/>
        <v>5.2950216573907416E-2</v>
      </c>
      <c r="AF1523">
        <f t="shared" si="513"/>
        <v>1.0000000000000009E-2</v>
      </c>
      <c r="AG1523">
        <f t="shared" si="514"/>
        <v>0</v>
      </c>
      <c r="AH1523">
        <f t="shared" si="515"/>
        <v>0</v>
      </c>
      <c r="AI1523">
        <f t="shared" si="516"/>
        <v>0</v>
      </c>
      <c r="AJ1523">
        <f t="shared" si="517"/>
        <v>0</v>
      </c>
      <c r="AK1523">
        <f t="shared" si="518"/>
        <v>0</v>
      </c>
      <c r="AL1523">
        <f t="shared" si="519"/>
        <v>0</v>
      </c>
    </row>
    <row r="1524" spans="1:57" ht="12" customHeight="1" x14ac:dyDescent="0.2">
      <c r="A1524" t="s">
        <v>60</v>
      </c>
      <c r="B1524" t="s">
        <v>64</v>
      </c>
      <c r="C1524">
        <v>0</v>
      </c>
      <c r="D1524">
        <v>0</v>
      </c>
      <c r="E1524">
        <v>0</v>
      </c>
      <c r="F1524">
        <v>0</v>
      </c>
      <c r="G1524" s="61">
        <v>1.0000000000000009E-2</v>
      </c>
      <c r="H1524" s="61">
        <v>0</v>
      </c>
      <c r="I1524" s="61">
        <v>0</v>
      </c>
      <c r="J1524" s="61">
        <v>0</v>
      </c>
      <c r="K1524" s="61">
        <v>0</v>
      </c>
      <c r="L1524" s="61">
        <v>0</v>
      </c>
      <c r="M1524" s="61">
        <v>0</v>
      </c>
      <c r="N1524" s="61">
        <v>0</v>
      </c>
      <c r="O1524">
        <v>0</v>
      </c>
      <c r="P1524">
        <f t="shared" si="498"/>
        <v>0</v>
      </c>
      <c r="Q1524">
        <f t="shared" si="499"/>
        <v>0</v>
      </c>
      <c r="R1524">
        <f t="shared" si="500"/>
        <v>0</v>
      </c>
      <c r="S1524">
        <f t="shared" si="501"/>
        <v>1.0000000000000009E-2</v>
      </c>
      <c r="T1524">
        <f t="shared" si="502"/>
        <v>0</v>
      </c>
      <c r="U1524">
        <f t="shared" si="503"/>
        <v>0</v>
      </c>
      <c r="V1524">
        <f t="shared" si="504"/>
        <v>0</v>
      </c>
      <c r="W1524">
        <f t="shared" si="505"/>
        <v>0</v>
      </c>
      <c r="X1524">
        <f t="shared" si="506"/>
        <v>0</v>
      </c>
      <c r="Y1524">
        <f t="shared" si="507"/>
        <v>0</v>
      </c>
      <c r="Z1524">
        <f t="shared" si="508"/>
        <v>0</v>
      </c>
      <c r="AA1524">
        <v>5</v>
      </c>
      <c r="AB1524">
        <f t="shared" si="509"/>
        <v>0</v>
      </c>
      <c r="AC1524">
        <f t="shared" si="510"/>
        <v>0</v>
      </c>
      <c r="AD1524">
        <f t="shared" si="511"/>
        <v>0</v>
      </c>
      <c r="AE1524">
        <f t="shared" si="512"/>
        <v>1.0000000000000009E-2</v>
      </c>
      <c r="AF1524">
        <f t="shared" si="513"/>
        <v>0</v>
      </c>
      <c r="AG1524">
        <f t="shared" si="514"/>
        <v>0</v>
      </c>
      <c r="AH1524">
        <f t="shared" si="515"/>
        <v>0</v>
      </c>
      <c r="AI1524">
        <f t="shared" si="516"/>
        <v>0</v>
      </c>
      <c r="AJ1524">
        <f t="shared" si="517"/>
        <v>0</v>
      </c>
      <c r="AK1524">
        <f t="shared" si="518"/>
        <v>0</v>
      </c>
      <c r="AL1524">
        <f t="shared" si="519"/>
        <v>0</v>
      </c>
    </row>
    <row r="1525" spans="1:57" ht="12" customHeight="1" x14ac:dyDescent="0.2">
      <c r="A1525" t="s">
        <v>61</v>
      </c>
      <c r="B1525" t="s">
        <v>64</v>
      </c>
      <c r="C1525">
        <v>0</v>
      </c>
      <c r="D1525">
        <v>0</v>
      </c>
      <c r="E1525">
        <v>0</v>
      </c>
      <c r="F1525">
        <v>0</v>
      </c>
      <c r="G1525" s="61">
        <v>5.3537332476598753E-2</v>
      </c>
      <c r="H1525" s="61">
        <v>1.0000000000000009E-2</v>
      </c>
      <c r="I1525" s="61">
        <v>0</v>
      </c>
      <c r="J1525" s="61">
        <v>0</v>
      </c>
      <c r="K1525" s="61">
        <v>0</v>
      </c>
      <c r="L1525" s="61">
        <v>0</v>
      </c>
      <c r="M1525" s="61">
        <v>0</v>
      </c>
      <c r="N1525" s="61">
        <v>0</v>
      </c>
      <c r="O1525">
        <v>0</v>
      </c>
      <c r="P1525">
        <f t="shared" si="498"/>
        <v>0</v>
      </c>
      <c r="Q1525">
        <f t="shared" si="499"/>
        <v>0</v>
      </c>
      <c r="R1525">
        <f t="shared" si="500"/>
        <v>0</v>
      </c>
      <c r="S1525">
        <f t="shared" si="501"/>
        <v>5.3537332476598753E-2</v>
      </c>
      <c r="T1525">
        <f t="shared" si="502"/>
        <v>1.0000000000000009E-2</v>
      </c>
      <c r="U1525">
        <f t="shared" si="503"/>
        <v>0</v>
      </c>
      <c r="V1525">
        <f t="shared" si="504"/>
        <v>0</v>
      </c>
      <c r="W1525">
        <f t="shared" si="505"/>
        <v>0</v>
      </c>
      <c r="X1525">
        <f t="shared" si="506"/>
        <v>0</v>
      </c>
      <c r="Y1525">
        <f t="shared" si="507"/>
        <v>0</v>
      </c>
      <c r="Z1525">
        <f t="shared" si="508"/>
        <v>0</v>
      </c>
      <c r="AA1525">
        <v>6</v>
      </c>
      <c r="AB1525">
        <f t="shared" si="509"/>
        <v>0</v>
      </c>
      <c r="AC1525">
        <f t="shared" si="510"/>
        <v>0</v>
      </c>
      <c r="AD1525">
        <f t="shared" si="511"/>
        <v>0</v>
      </c>
      <c r="AE1525">
        <f t="shared" si="512"/>
        <v>5.3537332476598753E-2</v>
      </c>
      <c r="AF1525">
        <f t="shared" si="513"/>
        <v>1.0000000000000009E-2</v>
      </c>
      <c r="AG1525">
        <f t="shared" si="514"/>
        <v>0</v>
      </c>
      <c r="AH1525">
        <f t="shared" si="515"/>
        <v>0</v>
      </c>
      <c r="AI1525">
        <f t="shared" si="516"/>
        <v>0</v>
      </c>
      <c r="AJ1525">
        <f t="shared" si="517"/>
        <v>0</v>
      </c>
      <c r="AK1525">
        <f t="shared" si="518"/>
        <v>0</v>
      </c>
      <c r="AL1525">
        <f t="shared" si="519"/>
        <v>0</v>
      </c>
    </row>
    <row r="1526" spans="1:57" ht="12" customHeight="1" x14ac:dyDescent="0.2">
      <c r="A1526" t="s">
        <v>314</v>
      </c>
    </row>
    <row r="1527" spans="1:57" ht="12" customHeight="1" x14ac:dyDescent="0.2">
      <c r="A1527" t="s">
        <v>345</v>
      </c>
    </row>
    <row r="1529" spans="1:57" ht="12" customHeight="1" x14ac:dyDescent="0.2">
      <c r="A1529" t="s">
        <v>346</v>
      </c>
      <c r="AV1529" t="s">
        <v>347</v>
      </c>
    </row>
    <row r="1530" spans="1:57" ht="12" customHeight="1" x14ac:dyDescent="0.2">
      <c r="A1530" s="67" t="s">
        <v>348</v>
      </c>
      <c r="B1530">
        <v>1995</v>
      </c>
      <c r="C1530">
        <v>1996</v>
      </c>
      <c r="D1530">
        <v>1997</v>
      </c>
      <c r="E1530">
        <v>1998</v>
      </c>
      <c r="F1530">
        <v>1999</v>
      </c>
      <c r="G1530">
        <v>2000</v>
      </c>
      <c r="H1530">
        <v>2001</v>
      </c>
      <c r="I1530">
        <v>2002</v>
      </c>
      <c r="J1530">
        <v>2003</v>
      </c>
      <c r="K1530">
        <v>2004</v>
      </c>
      <c r="L1530">
        <v>2005</v>
      </c>
      <c r="M1530">
        <v>2006</v>
      </c>
      <c r="N1530">
        <v>2007</v>
      </c>
      <c r="O1530">
        <v>2008</v>
      </c>
      <c r="P1530">
        <v>2009</v>
      </c>
      <c r="Q1530">
        <v>2010</v>
      </c>
      <c r="R1530">
        <v>2011</v>
      </c>
      <c r="S1530">
        <v>2012</v>
      </c>
      <c r="T1530">
        <v>2013</v>
      </c>
      <c r="U1530">
        <v>2014</v>
      </c>
      <c r="V1530">
        <v>2015</v>
      </c>
      <c r="W1530">
        <v>2016</v>
      </c>
      <c r="X1530">
        <v>2017</v>
      </c>
      <c r="Y1530">
        <v>2018</v>
      </c>
      <c r="Z1530">
        <v>2019</v>
      </c>
      <c r="AA1530">
        <v>2020</v>
      </c>
      <c r="AB1530">
        <v>2021</v>
      </c>
      <c r="AC1530">
        <v>2022</v>
      </c>
      <c r="AD1530">
        <v>2023</v>
      </c>
      <c r="AE1530">
        <v>2024</v>
      </c>
      <c r="AF1530">
        <v>2025</v>
      </c>
      <c r="AG1530">
        <v>2026</v>
      </c>
      <c r="AH1530">
        <v>2027</v>
      </c>
      <c r="AI1530">
        <v>2028</v>
      </c>
      <c r="AJ1530">
        <v>2029</v>
      </c>
      <c r="AK1530">
        <v>2030</v>
      </c>
      <c r="AL1530">
        <v>2031</v>
      </c>
      <c r="AM1530">
        <v>2032</v>
      </c>
      <c r="AN1530">
        <v>2033</v>
      </c>
      <c r="AO1530">
        <v>2034</v>
      </c>
      <c r="AP1530">
        <v>2035</v>
      </c>
      <c r="AQ1530">
        <v>2036</v>
      </c>
      <c r="AR1530">
        <v>2037</v>
      </c>
      <c r="AS1530">
        <v>2038</v>
      </c>
      <c r="AT1530">
        <v>2039</v>
      </c>
      <c r="AU1530">
        <v>2040</v>
      </c>
      <c r="AV1530">
        <v>2041</v>
      </c>
      <c r="AW1530">
        <v>2042</v>
      </c>
      <c r="AX1530">
        <v>2043</v>
      </c>
      <c r="AY1530">
        <v>2044</v>
      </c>
      <c r="AZ1530">
        <v>2045</v>
      </c>
      <c r="BA1530">
        <v>2046</v>
      </c>
      <c r="BB1530">
        <v>2047</v>
      </c>
      <c r="BC1530">
        <v>2048</v>
      </c>
      <c r="BD1530">
        <v>2049</v>
      </c>
      <c r="BE1530">
        <v>2050</v>
      </c>
    </row>
    <row r="1531" spans="1:57" ht="12" customHeight="1" x14ac:dyDescent="0.2">
      <c r="A1531" t="s">
        <v>44</v>
      </c>
      <c r="B1531" s="7">
        <v>266.17930000000001</v>
      </c>
      <c r="C1531" s="7">
        <v>269.31059999999997</v>
      </c>
      <c r="D1531" s="7">
        <v>272.55920000000003</v>
      </c>
      <c r="E1531" s="7">
        <v>275.76229999999998</v>
      </c>
      <c r="F1531" s="7">
        <v>278.94159999999999</v>
      </c>
      <c r="G1531" s="7">
        <v>282.05399999999997</v>
      </c>
      <c r="H1531" s="7">
        <v>284.87099999999998</v>
      </c>
      <c r="I1531" s="7">
        <v>287.54179999999997</v>
      </c>
      <c r="J1531" s="7">
        <v>290.06370000000004</v>
      </c>
      <c r="K1531" s="7">
        <v>292.72980000000001</v>
      </c>
      <c r="L1531" s="7">
        <v>295.43109999999996</v>
      </c>
      <c r="M1531" s="7">
        <v>298.28459999999995</v>
      </c>
      <c r="N1531" s="7">
        <v>301.15350000000001</v>
      </c>
      <c r="O1531" s="7">
        <v>304.00630000000001</v>
      </c>
      <c r="P1531" s="7">
        <v>306.70059999999995</v>
      </c>
      <c r="Q1531" s="7">
        <v>309.27259999999995</v>
      </c>
      <c r="R1531" s="7">
        <v>311.69779999999997</v>
      </c>
      <c r="S1531" s="7">
        <v>314.1814</v>
      </c>
      <c r="T1531" s="7">
        <v>316.5727</v>
      </c>
      <c r="U1531" s="7">
        <v>319.0874</v>
      </c>
      <c r="V1531" s="7">
        <v>321.62209999999999</v>
      </c>
      <c r="W1531" s="7">
        <v>324.12180000000001</v>
      </c>
      <c r="X1531" s="7">
        <v>326.38509999999997</v>
      </c>
      <c r="Y1531" s="7">
        <v>328.31979999999999</v>
      </c>
      <c r="Z1531" s="7">
        <v>330.04629999999997</v>
      </c>
      <c r="AA1531" s="7">
        <v>331.42579999999998</v>
      </c>
      <c r="AB1531" s="7">
        <v>331.94170000000003</v>
      </c>
      <c r="AC1531" s="7">
        <v>333.096</v>
      </c>
      <c r="AD1531" s="7">
        <v>334.71379999999999</v>
      </c>
      <c r="AE1531" s="7">
        <v>336.50319999999999</v>
      </c>
      <c r="AF1531" s="7">
        <v>338.43509999999998</v>
      </c>
      <c r="AG1531" s="7">
        <v>340.27140000000003</v>
      </c>
      <c r="AH1531" s="7">
        <v>342.03970000000004</v>
      </c>
      <c r="AI1531" s="7">
        <v>343.78409999999997</v>
      </c>
      <c r="AJ1531" s="7">
        <v>345.51259999999996</v>
      </c>
      <c r="AK1531" s="7">
        <v>347.22030000000001</v>
      </c>
      <c r="AL1531" s="7">
        <v>348.91040000000004</v>
      </c>
      <c r="AM1531" s="7">
        <v>350.57380000000001</v>
      </c>
      <c r="AN1531" s="7">
        <v>352.21300000000002</v>
      </c>
      <c r="AO1531" s="7">
        <v>353.82799999999997</v>
      </c>
      <c r="AP1531" s="7">
        <v>355.4128</v>
      </c>
      <c r="AQ1531" s="7">
        <v>356.95549999999997</v>
      </c>
      <c r="AR1531" s="7">
        <v>358.44990000000001</v>
      </c>
      <c r="AS1531" s="7">
        <v>359.89800000000002</v>
      </c>
      <c r="AT1531" s="7">
        <v>361.30180000000001</v>
      </c>
      <c r="AU1531" s="7">
        <v>362.66429999999997</v>
      </c>
      <c r="AV1531" s="7">
        <v>363.98840000000001</v>
      </c>
      <c r="AW1531" s="7">
        <v>365.2774</v>
      </c>
      <c r="AX1531" s="7">
        <v>366.5351</v>
      </c>
      <c r="AY1531" s="7">
        <v>367.76580000000001</v>
      </c>
      <c r="AZ1531" s="7">
        <v>368.97379999999998</v>
      </c>
      <c r="BA1531" s="7">
        <v>370.16340000000002</v>
      </c>
      <c r="BB1531" s="7">
        <v>371.33870000000002</v>
      </c>
      <c r="BC1531" s="7">
        <v>372.50329999999997</v>
      </c>
      <c r="BD1531" s="7">
        <v>373.66129999999998</v>
      </c>
      <c r="BE1531" s="7">
        <v>374.81479999999999</v>
      </c>
    </row>
    <row r="1532" spans="1:57" ht="12" customHeight="1" x14ac:dyDescent="0.2">
      <c r="A1532" t="s">
        <v>47</v>
      </c>
      <c r="B1532" s="7">
        <v>29.263000000000002</v>
      </c>
      <c r="C1532" s="7">
        <v>29.569880000000001</v>
      </c>
      <c r="D1532" s="7">
        <v>29.867570000000001</v>
      </c>
      <c r="E1532" s="7">
        <v>30.12388</v>
      </c>
      <c r="F1532" s="7">
        <v>30.367049999999999</v>
      </c>
      <c r="G1532" s="7">
        <v>30.647400000000001</v>
      </c>
      <c r="H1532" s="7">
        <v>30.97129</v>
      </c>
      <c r="I1532" s="7">
        <v>31.307869999999998</v>
      </c>
      <c r="J1532" s="7">
        <v>31.601839999999999</v>
      </c>
      <c r="K1532" s="7">
        <v>31.899360000000001</v>
      </c>
      <c r="L1532" s="7">
        <v>32.202910000000003</v>
      </c>
      <c r="M1532" s="7">
        <v>32.52928</v>
      </c>
      <c r="N1532" s="7">
        <v>32.848660000000002</v>
      </c>
      <c r="O1532" s="7">
        <v>33.199480000000001</v>
      </c>
      <c r="P1532" s="7">
        <v>33.582169999999998</v>
      </c>
      <c r="Q1532" s="7">
        <v>33.959480000000006</v>
      </c>
      <c r="R1532" s="7">
        <v>34.29853</v>
      </c>
      <c r="S1532" s="7">
        <v>34.664139999999996</v>
      </c>
      <c r="T1532" s="7">
        <v>35.032230000000006</v>
      </c>
      <c r="U1532" s="7">
        <v>35.389230000000005</v>
      </c>
      <c r="V1532" s="7">
        <v>35.676459999999999</v>
      </c>
      <c r="W1532" s="7">
        <v>36.052529999999997</v>
      </c>
      <c r="X1532" s="7">
        <v>36.494339999999994</v>
      </c>
      <c r="Y1532" s="7">
        <v>37.009339999999995</v>
      </c>
      <c r="Z1532" s="7">
        <v>37.555210000000002</v>
      </c>
      <c r="AA1532" s="7">
        <v>37.997800000000005</v>
      </c>
      <c r="AB1532" s="7">
        <v>38.22148</v>
      </c>
      <c r="AC1532" s="7">
        <v>38.865970000000004</v>
      </c>
      <c r="AD1532" s="7">
        <v>39.968530000000001</v>
      </c>
      <c r="AE1532" s="7">
        <v>41.115540000000003</v>
      </c>
      <c r="AF1532" s="7">
        <v>41.53689</v>
      </c>
      <c r="AG1532" s="7">
        <v>41.874550000000006</v>
      </c>
      <c r="AH1532" s="7">
        <v>42.188859999999998</v>
      </c>
      <c r="AI1532" s="7">
        <v>42.6494</v>
      </c>
      <c r="AJ1532" s="7">
        <v>43.106660000000005</v>
      </c>
      <c r="AK1532" s="7">
        <v>43.563069999999996</v>
      </c>
      <c r="AL1532" s="7">
        <v>44.01831</v>
      </c>
      <c r="AM1532" s="7">
        <v>44.470510000000004</v>
      </c>
      <c r="AN1532" s="7">
        <v>44.918889999999998</v>
      </c>
      <c r="AO1532" s="7">
        <v>45.363790000000002</v>
      </c>
      <c r="AP1532" s="7">
        <v>45.805730000000004</v>
      </c>
      <c r="AQ1532" s="7">
        <v>46.244750000000003</v>
      </c>
      <c r="AR1532" s="7">
        <v>46.679370000000006</v>
      </c>
      <c r="AS1532" s="7">
        <v>47.1096</v>
      </c>
      <c r="AT1532" s="7">
        <v>47.535719999999998</v>
      </c>
      <c r="AU1532" s="7">
        <v>47.958040000000004</v>
      </c>
      <c r="AV1532" s="7">
        <v>48.377230000000004</v>
      </c>
      <c r="AW1532" s="7">
        <v>48.793660000000003</v>
      </c>
      <c r="AX1532" s="7">
        <v>49.20778</v>
      </c>
      <c r="AY1532" s="7">
        <v>49.619550000000004</v>
      </c>
      <c r="AZ1532" s="7">
        <v>50.028410000000001</v>
      </c>
      <c r="BA1532" s="7">
        <v>50.434640000000002</v>
      </c>
      <c r="BB1532" s="7">
        <v>50.83961</v>
      </c>
      <c r="BC1532" s="7">
        <v>51.243679999999998</v>
      </c>
      <c r="BD1532" s="7">
        <v>51.64678</v>
      </c>
      <c r="BE1532" s="7">
        <v>52.048400000000001</v>
      </c>
    </row>
    <row r="1533" spans="1:57" ht="12" customHeight="1" x14ac:dyDescent="0.2">
      <c r="A1533" t="s">
        <v>48</v>
      </c>
      <c r="B1533" s="7">
        <v>90.862449999999995</v>
      </c>
      <c r="C1533" s="7">
        <v>92.452699999999993</v>
      </c>
      <c r="D1533" s="7">
        <v>94.021199999999993</v>
      </c>
      <c r="E1533" s="7">
        <v>95.575249999999997</v>
      </c>
      <c r="F1533" s="7">
        <v>97.115710000000007</v>
      </c>
      <c r="G1533" s="7">
        <v>98.625550000000004</v>
      </c>
      <c r="H1533" s="7">
        <v>100.09910000000001</v>
      </c>
      <c r="I1533" s="7">
        <v>101.54860000000001</v>
      </c>
      <c r="J1533" s="7">
        <v>102.9785</v>
      </c>
      <c r="K1533" s="7">
        <v>104.39410000000001</v>
      </c>
      <c r="L1533" s="7">
        <v>105.8115</v>
      </c>
      <c r="M1533" s="7">
        <v>107.25369999999999</v>
      </c>
      <c r="N1533" s="7">
        <v>108.7743</v>
      </c>
      <c r="O1533" s="7">
        <v>110.37430000000001</v>
      </c>
      <c r="P1533" s="7">
        <v>111.99980000000001</v>
      </c>
      <c r="Q1533" s="7">
        <v>113.62389999999999</v>
      </c>
      <c r="R1533" s="7">
        <v>115.2435</v>
      </c>
      <c r="S1533" s="7">
        <v>116.81819999999999</v>
      </c>
      <c r="T1533" s="7">
        <v>118.34360000000001</v>
      </c>
      <c r="U1533" s="7">
        <v>119.7843</v>
      </c>
      <c r="V1533" s="7">
        <v>121.0723</v>
      </c>
      <c r="W1533" s="7">
        <v>122.25139999999999</v>
      </c>
      <c r="X1533" s="7">
        <v>123.4</v>
      </c>
      <c r="Y1533" s="7">
        <v>124.5737</v>
      </c>
      <c r="Z1533" s="7">
        <v>125.76300000000001</v>
      </c>
      <c r="AA1533" s="7">
        <v>126.79900000000001</v>
      </c>
      <c r="AB1533" s="7">
        <v>127.6482</v>
      </c>
      <c r="AC1533" s="7">
        <v>128.6131</v>
      </c>
      <c r="AD1533" s="7">
        <v>129.7398</v>
      </c>
      <c r="AE1533" s="7">
        <v>130.86099999999999</v>
      </c>
      <c r="AF1533" s="7">
        <v>131.9469</v>
      </c>
      <c r="AG1533" s="7">
        <v>132.99770000000001</v>
      </c>
      <c r="AH1533" s="7">
        <v>134.01770000000002</v>
      </c>
      <c r="AI1533" s="7">
        <v>135.0087</v>
      </c>
      <c r="AJ1533" s="7">
        <v>135.9709</v>
      </c>
      <c r="AK1533" s="7">
        <v>136.90479999999999</v>
      </c>
      <c r="AL1533" s="7">
        <v>137.81110000000001</v>
      </c>
      <c r="AM1533" s="7">
        <v>138.6902</v>
      </c>
      <c r="AN1533" s="7">
        <v>139.5421</v>
      </c>
      <c r="AO1533" s="7">
        <v>140.36199999999999</v>
      </c>
      <c r="AP1533" s="7">
        <v>141.15079999999998</v>
      </c>
      <c r="AQ1533" s="7">
        <v>141.9092</v>
      </c>
      <c r="AR1533" s="7">
        <v>142.63749999999999</v>
      </c>
      <c r="AS1533" s="7">
        <v>143.33629999999999</v>
      </c>
      <c r="AT1533" s="7">
        <v>143.9983</v>
      </c>
      <c r="AU1533" s="7">
        <v>144.62429999999998</v>
      </c>
      <c r="AV1533" s="7">
        <v>145.21779999999998</v>
      </c>
      <c r="AW1533" s="7">
        <v>145.7775</v>
      </c>
      <c r="AX1533" s="7">
        <v>146.30000000000001</v>
      </c>
      <c r="AY1533" s="7">
        <v>146.7877</v>
      </c>
      <c r="AZ1533" s="7">
        <v>147.24010000000001</v>
      </c>
      <c r="BA1533" s="7">
        <v>147.6542</v>
      </c>
      <c r="BB1533" s="7">
        <v>148.03020000000001</v>
      </c>
      <c r="BC1533" s="7">
        <v>148.37220000000002</v>
      </c>
      <c r="BD1533" s="7">
        <v>148.67789999999999</v>
      </c>
      <c r="BE1533" s="7">
        <v>148.94629999999998</v>
      </c>
    </row>
    <row r="1534" spans="1:57" ht="12" customHeight="1" x14ac:dyDescent="0.2">
      <c r="A1534" t="s">
        <v>49</v>
      </c>
      <c r="B1534" s="7">
        <v>575.74729999999988</v>
      </c>
      <c r="C1534" s="7">
        <v>577.66411999999991</v>
      </c>
      <c r="D1534" s="7">
        <v>579.52683000000002</v>
      </c>
      <c r="E1534" s="7">
        <v>581.07297999999992</v>
      </c>
      <c r="F1534" s="7">
        <v>582.37027999999998</v>
      </c>
      <c r="G1534" s="7">
        <v>583.97057000000007</v>
      </c>
      <c r="H1534" s="7">
        <v>585.56194999999991</v>
      </c>
      <c r="I1534" s="7">
        <v>587.73044000000004</v>
      </c>
      <c r="J1534" s="7">
        <v>590.33174000000008</v>
      </c>
      <c r="K1534" s="7">
        <v>593.0095399999999</v>
      </c>
      <c r="L1534" s="7">
        <v>595.61869000000013</v>
      </c>
      <c r="M1534" s="7">
        <v>598.13296000000003</v>
      </c>
      <c r="N1534" s="7">
        <v>600.7413499999999</v>
      </c>
      <c r="O1534" s="7">
        <v>603.42860999999994</v>
      </c>
      <c r="P1534" s="7">
        <v>605.59307999999987</v>
      </c>
      <c r="Q1534" s="7">
        <v>607.54740000000004</v>
      </c>
      <c r="R1534" s="7">
        <v>609.53391000000011</v>
      </c>
      <c r="S1534" s="7">
        <v>611.64963999999986</v>
      </c>
      <c r="T1534" s="7">
        <v>614.6167200000001</v>
      </c>
      <c r="U1534" s="7">
        <v>617.89148999999998</v>
      </c>
      <c r="V1534" s="7">
        <v>621.39683000000002</v>
      </c>
      <c r="W1534" s="7">
        <v>624.45301000000006</v>
      </c>
      <c r="X1534" s="7">
        <v>627.00606999999991</v>
      </c>
      <c r="Y1534" s="7">
        <v>629.13171999999997</v>
      </c>
      <c r="Z1534" s="7">
        <v>631.0431500000002</v>
      </c>
      <c r="AA1534" s="7">
        <v>631.61766999999998</v>
      </c>
      <c r="AB1534" s="7">
        <v>631.65767999999991</v>
      </c>
      <c r="AC1534" s="7">
        <v>634.12824000000023</v>
      </c>
      <c r="AD1534" s="7">
        <v>636.91111999999987</v>
      </c>
      <c r="AE1534" s="7">
        <v>638.29210999999998</v>
      </c>
      <c r="AF1534" s="7">
        <v>638.94359999999995</v>
      </c>
      <c r="AG1534" s="7">
        <v>639.36069000000009</v>
      </c>
      <c r="AH1534" s="7">
        <v>639.66701</v>
      </c>
      <c r="AI1534" s="7">
        <v>639.91580999999996</v>
      </c>
      <c r="AJ1534" s="7">
        <v>640.17174</v>
      </c>
      <c r="AK1534" s="7">
        <v>640.43730000000016</v>
      </c>
      <c r="AL1534" s="7">
        <v>640.70169999999996</v>
      </c>
      <c r="AM1534" s="7">
        <v>640.95204999999999</v>
      </c>
      <c r="AN1534" s="7">
        <v>641.18209999999999</v>
      </c>
      <c r="AO1534" s="7">
        <v>641.40846999999997</v>
      </c>
      <c r="AP1534" s="7">
        <v>641.6148199999999</v>
      </c>
      <c r="AQ1534" s="7">
        <v>641.79179999999997</v>
      </c>
      <c r="AR1534" s="7">
        <v>641.93886000000009</v>
      </c>
      <c r="AS1534" s="7">
        <v>642.04030999999998</v>
      </c>
      <c r="AT1534" s="7">
        <v>642.09298000000001</v>
      </c>
      <c r="AU1534" s="7">
        <v>642.09368000000006</v>
      </c>
      <c r="AV1534" s="7">
        <v>642.03827000000001</v>
      </c>
      <c r="AW1534" s="7">
        <v>641.92572000000007</v>
      </c>
      <c r="AX1534" s="7">
        <v>641.74837000000014</v>
      </c>
      <c r="AY1534" s="7">
        <v>641.50351000000012</v>
      </c>
      <c r="AZ1534" s="7">
        <v>641.18669</v>
      </c>
      <c r="BA1534" s="7">
        <v>640.79912999999988</v>
      </c>
      <c r="BB1534" s="7">
        <v>640.3379299999998</v>
      </c>
      <c r="BC1534" s="7">
        <v>639.78850999999997</v>
      </c>
      <c r="BD1534" s="7">
        <v>639.14601000000005</v>
      </c>
      <c r="BE1534" s="7">
        <v>638.40758999999991</v>
      </c>
    </row>
    <row r="1535" spans="1:57" ht="12" customHeight="1" x14ac:dyDescent="0.2">
      <c r="A1535" t="s">
        <v>50</v>
      </c>
      <c r="B1535" s="7">
        <v>125.6726</v>
      </c>
      <c r="C1535" s="7">
        <v>125.9753</v>
      </c>
      <c r="D1535" s="7">
        <v>126.26600000000001</v>
      </c>
      <c r="E1535" s="7">
        <v>126.5492</v>
      </c>
      <c r="F1535" s="7">
        <v>126.80160000000001</v>
      </c>
      <c r="G1535" s="7">
        <v>127.0278</v>
      </c>
      <c r="H1535" s="7">
        <v>127.26010000000001</v>
      </c>
      <c r="I1535" s="7">
        <v>127.4846</v>
      </c>
      <c r="J1535" s="7">
        <v>127.6713</v>
      </c>
      <c r="K1535" s="7">
        <v>127.8158</v>
      </c>
      <c r="L1535" s="7">
        <v>127.91330000000001</v>
      </c>
      <c r="M1535" s="7">
        <v>127.99730000000001</v>
      </c>
      <c r="N1535" s="7">
        <v>128.08769999999998</v>
      </c>
      <c r="O1535" s="7">
        <v>128.15600000000001</v>
      </c>
      <c r="P1535" s="7">
        <v>128.1925</v>
      </c>
      <c r="Q1535" s="7">
        <v>128.18530000000001</v>
      </c>
      <c r="R1535" s="7">
        <v>128.09639999999999</v>
      </c>
      <c r="S1535" s="7">
        <v>127.92830000000001</v>
      </c>
      <c r="T1535" s="7">
        <v>127.7236</v>
      </c>
      <c r="U1535" s="7">
        <v>127.48660000000001</v>
      </c>
      <c r="V1535" s="7">
        <v>127.27589999999999</v>
      </c>
      <c r="W1535" s="7">
        <v>127.16</v>
      </c>
      <c r="X1535" s="7">
        <v>127.0647</v>
      </c>
      <c r="Y1535" s="7">
        <v>126.9134</v>
      </c>
      <c r="Z1535" s="7">
        <v>126.6994</v>
      </c>
      <c r="AA1535" s="7">
        <v>126.3045</v>
      </c>
      <c r="AB1535" s="7">
        <v>125.6793</v>
      </c>
      <c r="AC1535" s="7">
        <v>124.99760000000001</v>
      </c>
      <c r="AD1535" s="7">
        <v>124.371</v>
      </c>
      <c r="AE1535" s="7">
        <v>123.753</v>
      </c>
      <c r="AF1535" s="7">
        <v>123.1035</v>
      </c>
      <c r="AG1535" s="7">
        <v>122.4278</v>
      </c>
      <c r="AH1535" s="7">
        <v>121.7324</v>
      </c>
      <c r="AI1535" s="7">
        <v>121.0243</v>
      </c>
      <c r="AJ1535" s="7">
        <v>120.30810000000001</v>
      </c>
      <c r="AK1535" s="7">
        <v>119.5842</v>
      </c>
      <c r="AL1535" s="7">
        <v>118.85210000000001</v>
      </c>
      <c r="AM1535" s="7">
        <v>118.11410000000001</v>
      </c>
      <c r="AN1535" s="7">
        <v>117.3725</v>
      </c>
      <c r="AO1535" s="7">
        <v>116.6268</v>
      </c>
      <c r="AP1535" s="7">
        <v>115.87610000000001</v>
      </c>
      <c r="AQ1535" s="7">
        <v>115.1255</v>
      </c>
      <c r="AR1535" s="7">
        <v>114.37739999999999</v>
      </c>
      <c r="AS1535" s="7">
        <v>113.6336</v>
      </c>
      <c r="AT1535" s="7">
        <v>112.89449999999999</v>
      </c>
      <c r="AU1535" s="7">
        <v>112.1583</v>
      </c>
      <c r="AV1535" s="7">
        <v>111.4225</v>
      </c>
      <c r="AW1535" s="7">
        <v>110.6923</v>
      </c>
      <c r="AX1535" s="7">
        <v>109.97239999999999</v>
      </c>
      <c r="AY1535" s="7">
        <v>109.2595</v>
      </c>
      <c r="AZ1535" s="7">
        <v>108.55200000000001</v>
      </c>
      <c r="BA1535" s="7">
        <v>107.8506</v>
      </c>
      <c r="BB1535" s="7">
        <v>107.158</v>
      </c>
      <c r="BC1535" s="7">
        <v>106.4743</v>
      </c>
      <c r="BD1535" s="7">
        <v>105.79689999999999</v>
      </c>
      <c r="BE1535" s="7">
        <v>105.12310000000001</v>
      </c>
    </row>
    <row r="1536" spans="1:57" ht="12" customHeight="1" x14ac:dyDescent="0.2">
      <c r="A1536" t="s">
        <v>51</v>
      </c>
      <c r="B1536" s="7">
        <v>21.685109999999998</v>
      </c>
      <c r="C1536" s="7">
        <v>21.958770000000001</v>
      </c>
      <c r="D1536" s="7">
        <v>22.20797</v>
      </c>
      <c r="E1536" s="7">
        <v>22.434639999999998</v>
      </c>
      <c r="F1536" s="7">
        <v>22.666070000000001</v>
      </c>
      <c r="G1536" s="7">
        <v>22.908540000000002</v>
      </c>
      <c r="H1536" s="7">
        <v>23.175510000000003</v>
      </c>
      <c r="I1536" s="7">
        <v>23.44584</v>
      </c>
      <c r="J1536" s="7">
        <v>23.742710000000002</v>
      </c>
      <c r="K1536" s="7">
        <v>24.027819999999998</v>
      </c>
      <c r="L1536" s="7">
        <v>24.325870000000002</v>
      </c>
      <c r="M1536" s="7">
        <v>24.662220000000001</v>
      </c>
      <c r="N1536" s="7">
        <v>25.088979999999999</v>
      </c>
      <c r="O1536" s="7">
        <v>25.552299999999999</v>
      </c>
      <c r="P1536" s="7">
        <v>26.018980000000003</v>
      </c>
      <c r="Q1536" s="7">
        <v>26.401059999999998</v>
      </c>
      <c r="R1536" s="7">
        <v>26.761850000000003</v>
      </c>
      <c r="S1536" s="7">
        <v>27.181729999999998</v>
      </c>
      <c r="T1536" s="7">
        <v>27.600249999999999</v>
      </c>
      <c r="U1536" s="7">
        <v>28.004429999999999</v>
      </c>
      <c r="V1536" s="7">
        <v>28.436669999999999</v>
      </c>
      <c r="W1536" s="7">
        <v>28.91452</v>
      </c>
      <c r="X1536" s="7">
        <v>29.41254</v>
      </c>
      <c r="Y1536" s="7">
        <v>29.875940000000003</v>
      </c>
      <c r="Z1536" s="7">
        <v>30.330669999999998</v>
      </c>
      <c r="AA1536" s="7">
        <v>30.687379999999997</v>
      </c>
      <c r="AB1536" s="7">
        <v>30.825140000000001</v>
      </c>
      <c r="AC1536" s="7">
        <v>31.212309999999999</v>
      </c>
      <c r="AD1536" s="7">
        <v>31.91517</v>
      </c>
      <c r="AE1536" s="7">
        <v>32.572749999999999</v>
      </c>
      <c r="AF1536" s="7">
        <v>32.95899</v>
      </c>
      <c r="AG1536" s="7">
        <v>33.323999999999998</v>
      </c>
      <c r="AH1536" s="7">
        <v>33.701230000000002</v>
      </c>
      <c r="AI1536" s="7">
        <v>34.101440000000004</v>
      </c>
      <c r="AJ1536" s="7">
        <v>34.498110000000004</v>
      </c>
      <c r="AK1536" s="7">
        <v>34.888979999999997</v>
      </c>
      <c r="AL1536" s="7">
        <v>35.273870000000002</v>
      </c>
      <c r="AM1536" s="7">
        <v>35.652160000000002</v>
      </c>
      <c r="AN1536" s="7">
        <v>36.023969999999998</v>
      </c>
      <c r="AO1536" s="7">
        <v>36.389420000000001</v>
      </c>
      <c r="AP1536" s="7">
        <v>36.748820000000002</v>
      </c>
      <c r="AQ1536" s="7">
        <v>37.102629999999998</v>
      </c>
      <c r="AR1536" s="7">
        <v>37.450699999999998</v>
      </c>
      <c r="AS1536" s="7">
        <v>37.793529999999997</v>
      </c>
      <c r="AT1536" s="7">
        <v>38.131569999999996</v>
      </c>
      <c r="AU1536" s="7">
        <v>38.46481</v>
      </c>
      <c r="AV1536" s="7">
        <v>38.793439999999997</v>
      </c>
      <c r="AW1536" s="7">
        <v>39.117519999999999</v>
      </c>
      <c r="AX1536" s="7">
        <v>39.437040000000003</v>
      </c>
      <c r="AY1536" s="7">
        <v>39.751870000000004</v>
      </c>
      <c r="AZ1536" s="7">
        <v>40.061819999999997</v>
      </c>
      <c r="BA1536" s="7">
        <v>40.366779999999999</v>
      </c>
      <c r="BB1536" s="7">
        <v>40.666440000000001</v>
      </c>
      <c r="BC1536" s="7">
        <v>40.960800000000006</v>
      </c>
      <c r="BD1536" s="7">
        <v>41.24982</v>
      </c>
      <c r="BE1536" s="7">
        <v>41.533430000000003</v>
      </c>
    </row>
    <row r="1537" spans="1:61" ht="12" customHeight="1" x14ac:dyDescent="0.2">
      <c r="A1537" t="s">
        <v>52</v>
      </c>
      <c r="B1537" s="7">
        <v>45.368430000000004</v>
      </c>
      <c r="C1537" s="7">
        <v>45.6387</v>
      </c>
      <c r="D1537" s="7">
        <v>45.941540000000003</v>
      </c>
      <c r="E1537" s="7">
        <v>46.230879999999999</v>
      </c>
      <c r="F1537" s="7">
        <v>46.50038</v>
      </c>
      <c r="G1537" s="7">
        <v>46.766660000000002</v>
      </c>
      <c r="H1537" s="7">
        <v>47.043469999999999</v>
      </c>
      <c r="I1537" s="7">
        <v>47.299120000000002</v>
      </c>
      <c r="J1537" s="7">
        <v>47.514160000000004</v>
      </c>
      <c r="K1537" s="7">
        <v>47.697069999999997</v>
      </c>
      <c r="L1537" s="7">
        <v>47.851639999999996</v>
      </c>
      <c r="M1537" s="7">
        <v>48.006519999999995</v>
      </c>
      <c r="N1537" s="7">
        <v>48.17812</v>
      </c>
      <c r="O1537" s="7">
        <v>48.356490000000001</v>
      </c>
      <c r="P1537" s="7">
        <v>48.546690000000005</v>
      </c>
      <c r="Q1537" s="7">
        <v>48.769330000000004</v>
      </c>
      <c r="R1537" s="7">
        <v>49.12764</v>
      </c>
      <c r="S1537" s="7">
        <v>49.599580000000003</v>
      </c>
      <c r="T1537" s="7">
        <v>50.071160000000006</v>
      </c>
      <c r="U1537" s="7">
        <v>50.539050000000003</v>
      </c>
      <c r="V1537" s="7">
        <v>50.983910000000002</v>
      </c>
      <c r="W1537" s="7">
        <v>51.297839999999994</v>
      </c>
      <c r="X1537" s="7">
        <v>51.486269999999998</v>
      </c>
      <c r="Y1537" s="7">
        <v>51.640889999999999</v>
      </c>
      <c r="Z1537" s="7">
        <v>51.76784</v>
      </c>
      <c r="AA1537" s="7">
        <v>51.85848</v>
      </c>
      <c r="AB1537" s="7">
        <v>51.848399999999998</v>
      </c>
      <c r="AC1537" s="7">
        <v>51.782519999999998</v>
      </c>
      <c r="AD1537" s="7">
        <v>51.748739999999998</v>
      </c>
      <c r="AE1537" s="7">
        <v>51.717589999999994</v>
      </c>
      <c r="AF1537" s="7">
        <v>51.667029999999997</v>
      </c>
      <c r="AG1537" s="7">
        <v>51.600389999999997</v>
      </c>
      <c r="AH1537" s="7">
        <v>51.51885</v>
      </c>
      <c r="AI1537" s="7">
        <v>51.423430000000003</v>
      </c>
      <c r="AJ1537" s="7">
        <v>51.314019999999999</v>
      </c>
      <c r="AK1537" s="7">
        <v>51.188580000000002</v>
      </c>
      <c r="AL1537" s="7">
        <v>51.048180000000002</v>
      </c>
      <c r="AM1537" s="7">
        <v>50.891289999999998</v>
      </c>
      <c r="AN1537" s="7">
        <v>50.714300000000001</v>
      </c>
      <c r="AO1537" s="7">
        <v>50.51681</v>
      </c>
      <c r="AP1537" s="7">
        <v>50.300730000000001</v>
      </c>
      <c r="AQ1537" s="7">
        <v>50.066540000000003</v>
      </c>
      <c r="AR1537" s="7">
        <v>49.813429999999997</v>
      </c>
      <c r="AS1537" s="7">
        <v>49.541160000000005</v>
      </c>
      <c r="AT1537" s="7">
        <v>49.251889999999996</v>
      </c>
      <c r="AU1537" s="7">
        <v>48.948680000000003</v>
      </c>
      <c r="AV1537" s="7">
        <v>48.630429999999997</v>
      </c>
      <c r="AW1537" s="7">
        <v>48.29974</v>
      </c>
      <c r="AX1537" s="7">
        <v>47.959040000000002</v>
      </c>
      <c r="AY1537" s="7">
        <v>47.603370000000005</v>
      </c>
      <c r="AZ1537" s="7">
        <v>47.232949999999995</v>
      </c>
      <c r="BA1537" s="7">
        <v>46.850900000000003</v>
      </c>
      <c r="BB1537" s="7">
        <v>46.452059999999996</v>
      </c>
      <c r="BC1537" s="7">
        <v>46.033799999999999</v>
      </c>
      <c r="BD1537" s="7">
        <v>45.597300000000004</v>
      </c>
      <c r="BE1537" s="7">
        <v>45.143129999999999</v>
      </c>
    </row>
    <row r="1538" spans="1:61" ht="12" customHeight="1" x14ac:dyDescent="0.2">
      <c r="A1538" t="s">
        <v>53</v>
      </c>
      <c r="B1538" s="7">
        <v>148.29139999999998</v>
      </c>
      <c r="C1538" s="7">
        <v>148.08459999999999</v>
      </c>
      <c r="D1538" s="7">
        <v>147.85379999999998</v>
      </c>
      <c r="E1538" s="7">
        <v>147.63550000000001</v>
      </c>
      <c r="F1538" s="7">
        <v>147.24199999999999</v>
      </c>
      <c r="G1538" s="7">
        <v>146.71779999999998</v>
      </c>
      <c r="H1538" s="7">
        <v>146.1173</v>
      </c>
      <c r="I1538" s="7">
        <v>145.93950000000001</v>
      </c>
      <c r="J1538" s="7">
        <v>145.79420000000002</v>
      </c>
      <c r="K1538" s="7">
        <v>145.18010000000001</v>
      </c>
      <c r="L1538" s="7">
        <v>144.59789999999998</v>
      </c>
      <c r="M1538" s="7">
        <v>144.10290000000001</v>
      </c>
      <c r="N1538" s="7">
        <v>143.85979999999998</v>
      </c>
      <c r="O1538" s="7">
        <v>143.81179999999998</v>
      </c>
      <c r="P1538" s="7">
        <v>143.86920000000001</v>
      </c>
      <c r="Q1538" s="7">
        <v>143.93450000000001</v>
      </c>
      <c r="R1538" s="7">
        <v>144.04379999999998</v>
      </c>
      <c r="S1538" s="7">
        <v>144.291</v>
      </c>
      <c r="T1538" s="7">
        <v>144.60410000000002</v>
      </c>
      <c r="U1538" s="7">
        <v>144.92570000000001</v>
      </c>
      <c r="V1538" s="7">
        <v>145.30760000000001</v>
      </c>
      <c r="W1538" s="7">
        <v>145.77870000000001</v>
      </c>
      <c r="X1538" s="7">
        <v>146.18679999999998</v>
      </c>
      <c r="Y1538" s="7">
        <v>146.43010000000001</v>
      </c>
      <c r="Z1538" s="7">
        <v>146.53310000000002</v>
      </c>
      <c r="AA1538" s="7">
        <v>146.37129999999999</v>
      </c>
      <c r="AB1538" s="7">
        <v>145.83620000000002</v>
      </c>
      <c r="AC1538" s="7">
        <v>145.57989999999998</v>
      </c>
      <c r="AD1538" s="7">
        <v>145.44049999999999</v>
      </c>
      <c r="AE1538" s="7">
        <v>144.82040000000001</v>
      </c>
      <c r="AF1538" s="7">
        <v>143.9974</v>
      </c>
      <c r="AG1538" s="7">
        <v>143.39439999999999</v>
      </c>
      <c r="AH1538" s="7">
        <v>143.04410000000001</v>
      </c>
      <c r="AI1538" s="7">
        <v>142.66979999999998</v>
      </c>
      <c r="AJ1538" s="7">
        <v>142.2851</v>
      </c>
      <c r="AK1538" s="7">
        <v>141.88939999999999</v>
      </c>
      <c r="AL1538" s="7">
        <v>141.47550000000001</v>
      </c>
      <c r="AM1538" s="7">
        <v>141.06039999999999</v>
      </c>
      <c r="AN1538" s="7">
        <v>140.66460000000001</v>
      </c>
      <c r="AO1538" s="7">
        <v>140.2808</v>
      </c>
      <c r="AP1538" s="7">
        <v>139.90970000000002</v>
      </c>
      <c r="AQ1538" s="7">
        <v>139.5515</v>
      </c>
      <c r="AR1538" s="7">
        <v>139.20489999999998</v>
      </c>
      <c r="AS1538" s="7">
        <v>138.87679999999997</v>
      </c>
      <c r="AT1538" s="7">
        <v>138.56739999999999</v>
      </c>
      <c r="AU1538" s="7">
        <v>138.28179999999998</v>
      </c>
      <c r="AV1538" s="7">
        <v>138.02179999999998</v>
      </c>
      <c r="AW1538" s="7">
        <v>137.78279999999998</v>
      </c>
      <c r="AX1538" s="7">
        <v>137.55789999999999</v>
      </c>
      <c r="AY1538" s="7">
        <v>137.345</v>
      </c>
      <c r="AZ1538" s="7">
        <v>137.15220000000002</v>
      </c>
      <c r="BA1538" s="7">
        <v>136.97370000000001</v>
      </c>
      <c r="BB1538" s="7">
        <v>136.7894</v>
      </c>
      <c r="BC1538" s="7">
        <v>136.58600000000001</v>
      </c>
      <c r="BD1538" s="7">
        <v>136.36840000000001</v>
      </c>
      <c r="BE1538" s="7">
        <v>136.13279999999997</v>
      </c>
    </row>
    <row r="1539" spans="1:61" ht="12" customHeight="1" x14ac:dyDescent="0.2">
      <c r="A1539" t="s">
        <v>54</v>
      </c>
      <c r="B1539" s="7">
        <v>136.72570999999999</v>
      </c>
      <c r="C1539" s="7">
        <v>136.59676000000002</v>
      </c>
      <c r="D1539" s="7">
        <v>136.26289</v>
      </c>
      <c r="E1539" s="7">
        <v>135.19505000000001</v>
      </c>
      <c r="F1539" s="7">
        <v>134.93156999999999</v>
      </c>
      <c r="G1539" s="7">
        <v>134.87470999999999</v>
      </c>
      <c r="H1539" s="7">
        <v>134.86270999999999</v>
      </c>
      <c r="I1539" s="7">
        <v>134.94201000000001</v>
      </c>
      <c r="J1539" s="7">
        <v>135.09047000000001</v>
      </c>
      <c r="K1539" s="7">
        <v>135.36456000000001</v>
      </c>
      <c r="L1539" s="7">
        <v>135.72717</v>
      </c>
      <c r="M1539" s="7">
        <v>136.11568</v>
      </c>
      <c r="N1539" s="7">
        <v>136.64607000000001</v>
      </c>
      <c r="O1539" s="7">
        <v>137.26584</v>
      </c>
      <c r="P1539" s="7">
        <v>138.02834999999999</v>
      </c>
      <c r="Q1539" s="7">
        <v>138.92179000000002</v>
      </c>
      <c r="R1539" s="7">
        <v>139.85173</v>
      </c>
      <c r="S1539" s="7">
        <v>140.88126</v>
      </c>
      <c r="T1539" s="7">
        <v>142.04692</v>
      </c>
      <c r="U1539" s="7">
        <v>143.24141999999998</v>
      </c>
      <c r="V1539" s="7">
        <v>142.13239999999999</v>
      </c>
      <c r="W1539" s="7">
        <v>143.37423999999999</v>
      </c>
      <c r="X1539" s="7">
        <v>144.59179</v>
      </c>
      <c r="Y1539" s="7">
        <v>145.76935999999998</v>
      </c>
      <c r="Z1539" s="7">
        <v>146.94468000000001</v>
      </c>
      <c r="AA1539" s="7">
        <v>148.04676000000001</v>
      </c>
      <c r="AB1539" s="7">
        <v>149.04132000000001</v>
      </c>
      <c r="AC1539" s="7">
        <v>150.11333999999999</v>
      </c>
      <c r="AD1539" s="7">
        <v>148.12562</v>
      </c>
      <c r="AE1539" s="7">
        <v>149.55203999999998</v>
      </c>
      <c r="AF1539" s="7">
        <v>151.90120000000002</v>
      </c>
      <c r="AG1539" s="7">
        <v>153.64238</v>
      </c>
      <c r="AH1539" s="7">
        <v>154.55901</v>
      </c>
      <c r="AI1539" s="7">
        <v>155.43939999999998</v>
      </c>
      <c r="AJ1539" s="7">
        <v>156.31046000000003</v>
      </c>
      <c r="AK1539" s="7">
        <v>157.19642999999999</v>
      </c>
      <c r="AL1539" s="7">
        <v>158.05125000000001</v>
      </c>
      <c r="AM1539" s="7">
        <v>158.90607</v>
      </c>
      <c r="AN1539" s="7">
        <v>159.74928000000003</v>
      </c>
      <c r="AO1539" s="7">
        <v>160.57230999999999</v>
      </c>
      <c r="AP1539" s="7">
        <v>161.38738000000001</v>
      </c>
      <c r="AQ1539" s="7">
        <v>162.21719000000002</v>
      </c>
      <c r="AR1539" s="7">
        <v>163.06296000000003</v>
      </c>
      <c r="AS1539" s="7">
        <v>163.90460999999999</v>
      </c>
      <c r="AT1539" s="7">
        <v>164.75025999999997</v>
      </c>
      <c r="AU1539" s="7">
        <v>165.59622999999999</v>
      </c>
      <c r="AV1539" s="7">
        <v>166.43772999999999</v>
      </c>
      <c r="AW1539" s="7">
        <v>167.2859</v>
      </c>
      <c r="AX1539" s="7">
        <v>168.13182</v>
      </c>
      <c r="AY1539" s="7">
        <v>168.96673000000001</v>
      </c>
      <c r="AZ1539" s="7">
        <v>169.78478000000001</v>
      </c>
      <c r="BA1539" s="7">
        <v>170.56316999999999</v>
      </c>
      <c r="BB1539" s="7">
        <v>171.30803999999998</v>
      </c>
      <c r="BC1539" s="7">
        <v>172.02151999999998</v>
      </c>
      <c r="BD1539" s="7">
        <v>172.71735999999999</v>
      </c>
      <c r="BE1539" s="7">
        <v>173.40846999999999</v>
      </c>
    </row>
    <row r="1540" spans="1:61" ht="12" customHeight="1" x14ac:dyDescent="0.2">
      <c r="A1540" t="s">
        <v>55</v>
      </c>
      <c r="B1540" s="7">
        <v>1220.134</v>
      </c>
      <c r="C1540" s="7">
        <v>1230.9449999999999</v>
      </c>
      <c r="D1540" s="7">
        <v>1241.1400000000001</v>
      </c>
      <c r="E1540" s="7">
        <v>1250.847</v>
      </c>
      <c r="F1540" s="7">
        <v>1260.1769999999999</v>
      </c>
      <c r="G1540" s="7">
        <v>1269.5809999999999</v>
      </c>
      <c r="H1540" s="7">
        <v>1278.7249999999999</v>
      </c>
      <c r="I1540" s="7">
        <v>1286.867</v>
      </c>
      <c r="J1540" s="7">
        <v>1294.5170000000001</v>
      </c>
      <c r="K1540" s="7">
        <v>1302.0999999999999</v>
      </c>
      <c r="L1540" s="7">
        <v>1310.027</v>
      </c>
      <c r="M1540" s="7">
        <v>1318.0540000000001</v>
      </c>
      <c r="N1540" s="7">
        <v>1325.8140000000001</v>
      </c>
      <c r="O1540" s="7">
        <v>1333.8209999999999</v>
      </c>
      <c r="P1540" s="7">
        <v>1342.5229999999999</v>
      </c>
      <c r="Q1540" s="7">
        <v>1351.5619999999999</v>
      </c>
      <c r="R1540" s="7">
        <v>1360.251</v>
      </c>
      <c r="S1540" s="7">
        <v>1369.521</v>
      </c>
      <c r="T1540" s="7">
        <v>1379.008</v>
      </c>
      <c r="U1540" s="7">
        <v>1387.952</v>
      </c>
      <c r="V1540" s="7">
        <v>1396.134</v>
      </c>
      <c r="W1540" s="7">
        <v>1404.0530000000001</v>
      </c>
      <c r="X1540" s="7">
        <v>1412.355</v>
      </c>
      <c r="Y1540" s="7">
        <v>1419.009</v>
      </c>
      <c r="Z1540" s="7">
        <v>1423.52</v>
      </c>
      <c r="AA1540" s="7">
        <v>1426.106</v>
      </c>
      <c r="AB1540" s="7">
        <v>1426.4369999999999</v>
      </c>
      <c r="AC1540" s="7">
        <v>1425.18</v>
      </c>
      <c r="AD1540" s="7">
        <v>1422.585</v>
      </c>
      <c r="AE1540" s="7">
        <v>1419.3209999999999</v>
      </c>
      <c r="AF1540" s="7">
        <v>1416.096</v>
      </c>
      <c r="AG1540" s="7">
        <v>1412.914</v>
      </c>
      <c r="AH1540" s="7">
        <v>1409.6790000000001</v>
      </c>
      <c r="AI1540" s="7">
        <v>1406.1369999999999</v>
      </c>
      <c r="AJ1540" s="7">
        <v>1402.2829999999999</v>
      </c>
      <c r="AK1540" s="7">
        <v>1398.154</v>
      </c>
      <c r="AL1540" s="7">
        <v>1393.749</v>
      </c>
      <c r="AM1540" s="7">
        <v>1389.06</v>
      </c>
      <c r="AN1540" s="7">
        <v>1384.097</v>
      </c>
      <c r="AO1540" s="7">
        <v>1378.877</v>
      </c>
      <c r="AP1540" s="7">
        <v>1373.4280000000001</v>
      </c>
      <c r="AQ1540" s="7">
        <v>1367.7429999999999</v>
      </c>
      <c r="AR1540" s="7">
        <v>1361.83</v>
      </c>
      <c r="AS1540" s="7">
        <v>1355.723</v>
      </c>
      <c r="AT1540" s="7">
        <v>1349.395</v>
      </c>
      <c r="AU1540" s="7">
        <v>1342.817</v>
      </c>
      <c r="AV1540" s="7">
        <v>1335.99</v>
      </c>
      <c r="AW1540" s="7">
        <v>1328.9090000000001</v>
      </c>
      <c r="AX1540" s="7">
        <v>1321.5909999999999</v>
      </c>
      <c r="AY1540" s="7">
        <v>1314.0160000000001</v>
      </c>
      <c r="AZ1540" s="7">
        <v>1306.114</v>
      </c>
      <c r="BA1540" s="7">
        <v>1297.818</v>
      </c>
      <c r="BB1540" s="7">
        <v>1289.1199999999999</v>
      </c>
      <c r="BC1540" s="7">
        <v>1279.9929999999999</v>
      </c>
      <c r="BD1540" s="7">
        <v>1270.3810000000001</v>
      </c>
      <c r="BE1540" s="7">
        <v>1260.289</v>
      </c>
    </row>
    <row r="1541" spans="1:61" ht="12" customHeight="1" x14ac:dyDescent="0.2">
      <c r="A1541" t="s">
        <v>56</v>
      </c>
      <c r="B1541" s="7">
        <v>960.30100000000004</v>
      </c>
      <c r="C1541" s="7">
        <v>979.678</v>
      </c>
      <c r="D1541" s="7">
        <v>999.13409999999999</v>
      </c>
      <c r="E1541" s="7">
        <v>1018.665</v>
      </c>
      <c r="F1541" s="7">
        <v>1038.2260000000001</v>
      </c>
      <c r="G1541" s="7">
        <v>1057.923</v>
      </c>
      <c r="H1541" s="7">
        <v>1077.8989999999999</v>
      </c>
      <c r="I1541" s="7">
        <v>1097.5999999999999</v>
      </c>
      <c r="J1541" s="7">
        <v>1116.8030000000001</v>
      </c>
      <c r="K1541" s="7">
        <v>1135.992</v>
      </c>
      <c r="L1541" s="7">
        <v>1154.6759999999999</v>
      </c>
      <c r="M1541" s="7">
        <v>1172.8789999999999</v>
      </c>
      <c r="N1541" s="7">
        <v>1190.6759999999999</v>
      </c>
      <c r="O1541" s="7">
        <v>1207.931</v>
      </c>
      <c r="P1541" s="7">
        <v>1225.5250000000001</v>
      </c>
      <c r="Q1541" s="7">
        <v>1243.482</v>
      </c>
      <c r="R1541" s="7">
        <v>1261.2249999999999</v>
      </c>
      <c r="S1541" s="7">
        <v>1278.675</v>
      </c>
      <c r="T1541" s="7">
        <v>1295.83</v>
      </c>
      <c r="U1541" s="7">
        <v>1312.277</v>
      </c>
      <c r="V1541" s="7">
        <v>1328.0239999999999</v>
      </c>
      <c r="W1541" s="7">
        <v>1343.944</v>
      </c>
      <c r="X1541" s="7">
        <v>1359.6569999999999</v>
      </c>
      <c r="Y1541" s="7">
        <v>1374.6590000000001</v>
      </c>
      <c r="Z1541" s="7">
        <v>1389.03</v>
      </c>
      <c r="AA1541" s="7">
        <v>1402.6179999999999</v>
      </c>
      <c r="AB1541" s="7">
        <v>1414.204</v>
      </c>
      <c r="AC1541" s="7">
        <v>1425.423</v>
      </c>
      <c r="AD1541" s="7">
        <v>1438.07</v>
      </c>
      <c r="AE1541" s="7">
        <v>1450.9359999999999</v>
      </c>
      <c r="AF1541" s="7">
        <v>1463.866</v>
      </c>
      <c r="AG1541" s="7">
        <v>1476.626</v>
      </c>
      <c r="AH1541" s="7">
        <v>1489.165</v>
      </c>
      <c r="AI1541" s="7">
        <v>1501.433</v>
      </c>
      <c r="AJ1541" s="7">
        <v>1513.424</v>
      </c>
      <c r="AK1541" s="7">
        <v>1525.1389999999999</v>
      </c>
      <c r="AL1541" s="7">
        <v>1536.5409999999999</v>
      </c>
      <c r="AM1541" s="7">
        <v>1547.607</v>
      </c>
      <c r="AN1541" s="7">
        <v>1558.3240000000001</v>
      </c>
      <c r="AO1541" s="7">
        <v>1568.6880000000001</v>
      </c>
      <c r="AP1541" s="7">
        <v>1578.6949999999999</v>
      </c>
      <c r="AQ1541" s="7">
        <v>1588.325</v>
      </c>
      <c r="AR1541" s="7">
        <v>1597.537</v>
      </c>
      <c r="AS1541" s="7">
        <v>1606.3009999999999</v>
      </c>
      <c r="AT1541" s="7">
        <v>1614.6389999999999</v>
      </c>
      <c r="AU1541" s="7">
        <v>1622.58</v>
      </c>
      <c r="AV1541" s="7">
        <v>1630.1189999999999</v>
      </c>
      <c r="AW1541" s="7">
        <v>1637.2349999999999</v>
      </c>
      <c r="AX1541" s="7">
        <v>1643.915</v>
      </c>
      <c r="AY1541" s="7">
        <v>1650.1869999999999</v>
      </c>
      <c r="AZ1541" s="7">
        <v>1656.068</v>
      </c>
      <c r="BA1541" s="7">
        <v>1661.548</v>
      </c>
      <c r="BB1541" s="7">
        <v>1666.6279999999999</v>
      </c>
      <c r="BC1541" s="7">
        <v>1671.31</v>
      </c>
      <c r="BD1541" s="7">
        <v>1675.62</v>
      </c>
      <c r="BE1541" s="7">
        <v>1679.5889999999999</v>
      </c>
    </row>
    <row r="1542" spans="1:61" ht="12" customHeight="1" x14ac:dyDescent="0.2">
      <c r="A1542" t="s">
        <v>57</v>
      </c>
      <c r="B1542" s="7">
        <v>858.25555999999983</v>
      </c>
      <c r="C1542" s="7">
        <v>875.81343999999979</v>
      </c>
      <c r="D1542" s="7">
        <v>893.45225000000028</v>
      </c>
      <c r="E1542" s="7">
        <v>910.99342000000013</v>
      </c>
      <c r="F1542" s="7">
        <v>927.96177999999986</v>
      </c>
      <c r="G1542" s="7">
        <v>944.25345000000004</v>
      </c>
      <c r="H1542" s="7">
        <v>960.15171000000009</v>
      </c>
      <c r="I1542" s="7">
        <v>975.97900000000004</v>
      </c>
      <c r="J1542" s="7">
        <v>991.64228000000003</v>
      </c>
      <c r="K1542" s="7">
        <v>1006.8297</v>
      </c>
      <c r="L1542" s="7">
        <v>1021.84279</v>
      </c>
      <c r="M1542" s="7">
        <v>1037.3116600000001</v>
      </c>
      <c r="N1542" s="7">
        <v>1053.2279100000001</v>
      </c>
      <c r="O1542" s="7">
        <v>1069.3646799999999</v>
      </c>
      <c r="P1542" s="7">
        <v>1085.3331799999999</v>
      </c>
      <c r="Q1542" s="7">
        <v>1100.9929299999997</v>
      </c>
      <c r="R1542" s="7">
        <v>1116.6222299999997</v>
      </c>
      <c r="S1542" s="7">
        <v>1132.06422</v>
      </c>
      <c r="T1542" s="7">
        <v>1146.7294200000001</v>
      </c>
      <c r="U1542" s="7">
        <v>1160.9284900000002</v>
      </c>
      <c r="V1542" s="7">
        <v>1174.6258800000001</v>
      </c>
      <c r="W1542" s="7">
        <v>1187.78467</v>
      </c>
      <c r="X1542" s="7">
        <v>1200.9730400000001</v>
      </c>
      <c r="Y1542" s="7">
        <v>1214.2923500000002</v>
      </c>
      <c r="Z1542" s="7">
        <v>1227.8852199999999</v>
      </c>
      <c r="AA1542" s="7">
        <v>1241.5762300000001</v>
      </c>
      <c r="AB1542" s="7">
        <v>1254.1688000000004</v>
      </c>
      <c r="AC1542" s="7">
        <v>1266.30548</v>
      </c>
      <c r="AD1542" s="7">
        <v>1278.8170299999999</v>
      </c>
      <c r="AE1542" s="7">
        <v>1291.4582300000002</v>
      </c>
      <c r="AF1542" s="7">
        <v>1304.0574899999999</v>
      </c>
      <c r="AG1542" s="7">
        <v>1316.5952500000001</v>
      </c>
      <c r="AH1542" s="7">
        <v>1329.1712699999998</v>
      </c>
      <c r="AI1542" s="7">
        <v>1341.8307199999999</v>
      </c>
      <c r="AJ1542" s="7">
        <v>1354.4788199999998</v>
      </c>
      <c r="AK1542" s="7">
        <v>1367.0858400000002</v>
      </c>
      <c r="AL1542" s="7">
        <v>1379.6105299999997</v>
      </c>
      <c r="AM1542" s="7">
        <v>1391.9745400000002</v>
      </c>
      <c r="AN1542" s="7">
        <v>1404.1891000000001</v>
      </c>
      <c r="AO1542" s="7">
        <v>1416.1997799999999</v>
      </c>
      <c r="AP1542" s="7">
        <v>1427.9585999999999</v>
      </c>
      <c r="AQ1542" s="7">
        <v>1439.53298</v>
      </c>
      <c r="AR1542" s="7">
        <v>1450.9319900000005</v>
      </c>
      <c r="AS1542" s="7">
        <v>1462.1069000000002</v>
      </c>
      <c r="AT1542" s="7">
        <v>1473.0660399999999</v>
      </c>
      <c r="AU1542" s="7">
        <v>1483.7819100000004</v>
      </c>
      <c r="AV1542" s="7">
        <v>1494.21336</v>
      </c>
      <c r="AW1542" s="7">
        <v>1504.33818</v>
      </c>
      <c r="AX1542" s="7">
        <v>1514.1905200000001</v>
      </c>
      <c r="AY1542" s="7">
        <v>1523.7782200000001</v>
      </c>
      <c r="AZ1542" s="7">
        <v>1533.0755599999995</v>
      </c>
      <c r="BA1542" s="7">
        <v>1542.1269399999999</v>
      </c>
      <c r="BB1542" s="7">
        <v>1550.8334100000002</v>
      </c>
      <c r="BC1542" s="7">
        <v>1559.1790100000001</v>
      </c>
      <c r="BD1542" s="7">
        <v>1567.2681100000002</v>
      </c>
      <c r="BE1542" s="7">
        <v>1575.0331499999998</v>
      </c>
    </row>
    <row r="1543" spans="1:61" ht="12" customHeight="1" x14ac:dyDescent="0.2">
      <c r="A1543" t="s">
        <v>58</v>
      </c>
      <c r="B1543" s="7">
        <v>151.00673999999998</v>
      </c>
      <c r="C1543" s="7">
        <v>154.61917000000003</v>
      </c>
      <c r="D1543" s="7">
        <v>158.37702999999999</v>
      </c>
      <c r="E1543" s="7">
        <v>162.30610000000004</v>
      </c>
      <c r="F1543" s="7">
        <v>166.34422000000004</v>
      </c>
      <c r="G1543" s="7">
        <v>170.46626000000001</v>
      </c>
      <c r="H1543" s="7">
        <v>174.91802999999996</v>
      </c>
      <c r="I1543" s="7">
        <v>178.91029999999998</v>
      </c>
      <c r="J1543" s="7">
        <v>183.11737999999997</v>
      </c>
      <c r="K1543" s="7">
        <v>188.12115000000003</v>
      </c>
      <c r="L1543" s="7">
        <v>193.4434</v>
      </c>
      <c r="M1543" s="7">
        <v>199.07502000000002</v>
      </c>
      <c r="N1543" s="7">
        <v>204.77782000000002</v>
      </c>
      <c r="O1543" s="7">
        <v>210.30593999999996</v>
      </c>
      <c r="P1543" s="7">
        <v>215.65177</v>
      </c>
      <c r="Q1543" s="7">
        <v>220.95044999999996</v>
      </c>
      <c r="R1543" s="7">
        <v>226.67622000000003</v>
      </c>
      <c r="S1543" s="7">
        <v>232.53098999999997</v>
      </c>
      <c r="T1543" s="7">
        <v>238.55978000000005</v>
      </c>
      <c r="U1543" s="7">
        <v>243.75111999999996</v>
      </c>
      <c r="V1543" s="7">
        <v>249.66359000000003</v>
      </c>
      <c r="W1543" s="7">
        <v>255.16090000000003</v>
      </c>
      <c r="X1543" s="7">
        <v>259.29020999999995</v>
      </c>
      <c r="Y1543" s="7">
        <v>262.58240000000001</v>
      </c>
      <c r="Z1543" s="7">
        <v>266.54723999999999</v>
      </c>
      <c r="AA1543" s="7">
        <v>271.66130000000004</v>
      </c>
      <c r="AB1543" s="7">
        <v>274.96244000000002</v>
      </c>
      <c r="AC1543" s="7">
        <v>281.87569999999999</v>
      </c>
      <c r="AD1543" s="7">
        <v>289.06878999999998</v>
      </c>
      <c r="AE1543" s="7">
        <v>295.15145000000007</v>
      </c>
      <c r="AF1543" s="7">
        <v>300.68844000000001</v>
      </c>
      <c r="AG1543" s="7">
        <v>305.99113999999997</v>
      </c>
      <c r="AH1543" s="7">
        <v>311.19365999999997</v>
      </c>
      <c r="AI1543" s="7">
        <v>316.17592999999999</v>
      </c>
      <c r="AJ1543" s="7">
        <v>321.01004000000006</v>
      </c>
      <c r="AK1543" s="7">
        <v>325.70974999999999</v>
      </c>
      <c r="AL1543" s="7">
        <v>330.31261000000001</v>
      </c>
      <c r="AM1543" s="7">
        <v>334.88299000000006</v>
      </c>
      <c r="AN1543" s="7">
        <v>339.41719999999998</v>
      </c>
      <c r="AO1543" s="7">
        <v>343.91722999999996</v>
      </c>
      <c r="AP1543" s="7">
        <v>348.38240999999999</v>
      </c>
      <c r="AQ1543" s="7">
        <v>352.82318999999995</v>
      </c>
      <c r="AR1543" s="7">
        <v>357.24233000000004</v>
      </c>
      <c r="AS1543" s="7">
        <v>361.63191</v>
      </c>
      <c r="AT1543" s="7">
        <v>366.00564999999995</v>
      </c>
      <c r="AU1543" s="7">
        <v>370.36761999999999</v>
      </c>
      <c r="AV1543" s="7">
        <v>374.68313000000006</v>
      </c>
      <c r="AW1543" s="7">
        <v>378.94272999999998</v>
      </c>
      <c r="AX1543" s="7">
        <v>383.14639</v>
      </c>
      <c r="AY1543" s="7">
        <v>387.30099999999999</v>
      </c>
      <c r="AZ1543" s="7">
        <v>391.42378999999994</v>
      </c>
      <c r="BA1543" s="7">
        <v>395.48523</v>
      </c>
      <c r="BB1543" s="7">
        <v>399.48791999999997</v>
      </c>
      <c r="BC1543" s="7">
        <v>403.45911999999998</v>
      </c>
      <c r="BD1543" s="7">
        <v>407.39927999999998</v>
      </c>
      <c r="BE1543" s="7">
        <v>411.28701000000001</v>
      </c>
    </row>
    <row r="1544" spans="1:61" ht="12" customHeight="1" x14ac:dyDescent="0.2">
      <c r="A1544" t="s">
        <v>59</v>
      </c>
      <c r="B1544" s="7">
        <v>727.09357000000034</v>
      </c>
      <c r="C1544" s="7">
        <v>745.71720999999991</v>
      </c>
      <c r="D1544" s="7">
        <v>764.44850000000008</v>
      </c>
      <c r="E1544" s="7">
        <v>783.90435000000025</v>
      </c>
      <c r="F1544" s="7">
        <v>803.81833999999992</v>
      </c>
      <c r="G1544" s="7">
        <v>824.0285600000002</v>
      </c>
      <c r="H1544" s="7">
        <v>844.83311000000026</v>
      </c>
      <c r="I1544" s="7">
        <v>866.24582000000009</v>
      </c>
      <c r="J1544" s="7">
        <v>888.24854000000039</v>
      </c>
      <c r="K1544" s="7">
        <v>910.95045999999991</v>
      </c>
      <c r="L1544" s="7">
        <v>934.34890999999982</v>
      </c>
      <c r="M1544" s="7">
        <v>958.33313999999996</v>
      </c>
      <c r="N1544" s="7">
        <v>983.02409999999975</v>
      </c>
      <c r="O1544" s="7">
        <v>1008.5791900000003</v>
      </c>
      <c r="P1544" s="7">
        <v>1034.8359200000002</v>
      </c>
      <c r="Q1544" s="7">
        <v>1061.7406900000001</v>
      </c>
      <c r="R1544" s="7">
        <v>1099.3862300000003</v>
      </c>
      <c r="S1544" s="7">
        <v>1128.0492699999998</v>
      </c>
      <c r="T1544" s="7">
        <v>1157.9535699999999</v>
      </c>
      <c r="U1544" s="7">
        <v>1188.3630400000002</v>
      </c>
      <c r="V1544" s="7">
        <v>1219.1923999999999</v>
      </c>
      <c r="W1544" s="7">
        <v>1250.29745</v>
      </c>
      <c r="X1544" s="7">
        <v>1281.96425</v>
      </c>
      <c r="Y1544" s="7">
        <v>1314.4552100000003</v>
      </c>
      <c r="Z1544" s="7">
        <v>1347.0382999999995</v>
      </c>
      <c r="AA1544" s="7">
        <v>1379.8398399999996</v>
      </c>
      <c r="AB1544" s="7">
        <v>1412.7565100000002</v>
      </c>
      <c r="AC1544" s="7">
        <v>1445.8643600000003</v>
      </c>
      <c r="AD1544" s="7">
        <v>1479.7236800000005</v>
      </c>
      <c r="AE1544" s="7">
        <v>1514.0702299999998</v>
      </c>
      <c r="AF1544" s="7">
        <v>1548.7773200000001</v>
      </c>
      <c r="AG1544" s="7">
        <v>1583.8764899999996</v>
      </c>
      <c r="AH1544" s="7">
        <v>1619.1318400000002</v>
      </c>
      <c r="AI1544" s="7">
        <v>1654.52549</v>
      </c>
      <c r="AJ1544" s="7">
        <v>1690.1496399999996</v>
      </c>
      <c r="AK1544" s="7">
        <v>1726.0095600000002</v>
      </c>
      <c r="AL1544" s="7">
        <v>1762.1184100000005</v>
      </c>
      <c r="AM1544" s="7">
        <v>1798.4394000000002</v>
      </c>
      <c r="AN1544" s="7">
        <v>1834.9061000000002</v>
      </c>
      <c r="AO1544" s="7">
        <v>1871.56573</v>
      </c>
      <c r="AP1544" s="7">
        <v>1908.4392399999997</v>
      </c>
      <c r="AQ1544" s="7">
        <v>1945.4500299999997</v>
      </c>
      <c r="AR1544" s="7">
        <v>1982.5341500000006</v>
      </c>
      <c r="AS1544" s="7">
        <v>2019.6980300000005</v>
      </c>
      <c r="AT1544" s="7">
        <v>2056.9470399999996</v>
      </c>
      <c r="AU1544" s="7">
        <v>2094.2642999999998</v>
      </c>
      <c r="AV1544" s="7">
        <v>2131.6120099999998</v>
      </c>
      <c r="AW1544" s="7">
        <v>2168.9555800000007</v>
      </c>
      <c r="AX1544" s="7">
        <v>2206.2992799999997</v>
      </c>
      <c r="AY1544" s="7">
        <v>2243.6001200000001</v>
      </c>
      <c r="AZ1544" s="7">
        <v>2280.788509999999</v>
      </c>
      <c r="BA1544" s="7">
        <v>2317.8675799999992</v>
      </c>
      <c r="BB1544" s="7">
        <v>2354.88337</v>
      </c>
      <c r="BC1544" s="7">
        <v>2391.81151</v>
      </c>
      <c r="BD1544" s="7">
        <v>2428.5688100000002</v>
      </c>
      <c r="BE1544" s="7">
        <v>2465.137670000001</v>
      </c>
    </row>
    <row r="1545" spans="1:61" ht="12" customHeight="1" x14ac:dyDescent="0.2">
      <c r="A1545" t="s">
        <v>60</v>
      </c>
      <c r="B1545" s="7">
        <v>161.73510000000002</v>
      </c>
      <c r="C1545" s="7">
        <v>164.20260000000002</v>
      </c>
      <c r="D1545" s="7">
        <v>166.66170000000002</v>
      </c>
      <c r="E1545" s="7">
        <v>169.15970000000002</v>
      </c>
      <c r="F1545" s="7">
        <v>171.64160000000001</v>
      </c>
      <c r="G1545" s="7">
        <v>174.01829999999998</v>
      </c>
      <c r="H1545" s="7">
        <v>176.30120000000002</v>
      </c>
      <c r="I1545" s="7">
        <v>178.5035</v>
      </c>
      <c r="J1545" s="7">
        <v>180.62270000000001</v>
      </c>
      <c r="K1545" s="7">
        <v>182.67510000000001</v>
      </c>
      <c r="L1545" s="7">
        <v>184.68810000000002</v>
      </c>
      <c r="M1545" s="7">
        <v>186.65309999999999</v>
      </c>
      <c r="N1545" s="7">
        <v>188.5523</v>
      </c>
      <c r="O1545" s="7">
        <v>190.3673</v>
      </c>
      <c r="P1545" s="7">
        <v>192.08</v>
      </c>
      <c r="Q1545" s="7">
        <v>193.702</v>
      </c>
      <c r="R1545" s="7">
        <v>195.28479999999999</v>
      </c>
      <c r="S1545" s="7">
        <v>196.87610000000001</v>
      </c>
      <c r="T1545" s="7">
        <v>198.47829999999999</v>
      </c>
      <c r="U1545" s="7">
        <v>200.08520000000001</v>
      </c>
      <c r="V1545" s="7">
        <v>201.6755</v>
      </c>
      <c r="W1545" s="7">
        <v>203.21809999999999</v>
      </c>
      <c r="X1545" s="7">
        <v>204.70349999999999</v>
      </c>
      <c r="Y1545" s="7">
        <v>206.10729999999998</v>
      </c>
      <c r="Z1545" s="7">
        <v>207.4555</v>
      </c>
      <c r="AA1545" s="7">
        <v>208.66079999999999</v>
      </c>
      <c r="AB1545" s="7">
        <v>209.55029999999999</v>
      </c>
      <c r="AC1545" s="7">
        <v>210.3064</v>
      </c>
      <c r="AD1545" s="7">
        <v>211.14070000000001</v>
      </c>
      <c r="AE1545" s="7">
        <v>211.99860000000001</v>
      </c>
      <c r="AF1545" s="7">
        <v>212.8124</v>
      </c>
      <c r="AG1545" s="7">
        <v>213.56270000000001</v>
      </c>
      <c r="AH1545" s="7">
        <v>214.261</v>
      </c>
      <c r="AI1545" s="7">
        <v>214.91139999999999</v>
      </c>
      <c r="AJ1545" s="7">
        <v>215.51520000000002</v>
      </c>
      <c r="AK1545" s="7">
        <v>216.0744</v>
      </c>
      <c r="AL1545" s="7">
        <v>216.5873</v>
      </c>
      <c r="AM1545" s="7">
        <v>217.05539999999999</v>
      </c>
      <c r="AN1545" s="7">
        <v>217.4794</v>
      </c>
      <c r="AO1545" s="7">
        <v>217.86089999999999</v>
      </c>
      <c r="AP1545" s="7">
        <v>218.19970000000001</v>
      </c>
      <c r="AQ1545" s="7">
        <v>218.49520000000001</v>
      </c>
      <c r="AR1545" s="7">
        <v>218.74720000000002</v>
      </c>
      <c r="AS1545" s="7">
        <v>218.9556</v>
      </c>
      <c r="AT1545" s="7">
        <v>219.11829999999998</v>
      </c>
      <c r="AU1545" s="7">
        <v>219.2371</v>
      </c>
      <c r="AV1545" s="7">
        <v>219.30720000000002</v>
      </c>
      <c r="AW1545" s="7">
        <v>219.31970000000001</v>
      </c>
      <c r="AX1545" s="7">
        <v>219.2765</v>
      </c>
      <c r="AY1545" s="7">
        <v>219.179</v>
      </c>
      <c r="AZ1545" s="7">
        <v>219.02620000000002</v>
      </c>
      <c r="BA1545" s="7">
        <v>218.8211</v>
      </c>
      <c r="BB1545" s="7">
        <v>218.56539999999998</v>
      </c>
      <c r="BC1545" s="7">
        <v>218.25820000000002</v>
      </c>
      <c r="BD1545" s="7">
        <v>217.89779999999999</v>
      </c>
      <c r="BE1545" s="7">
        <v>217.48929999999999</v>
      </c>
    </row>
    <row r="1546" spans="1:61" ht="12" customHeight="1" x14ac:dyDescent="0.2">
      <c r="A1546" t="s">
        <v>61</v>
      </c>
      <c r="B1546" s="7">
        <v>229.36054999999993</v>
      </c>
      <c r="C1546" s="7">
        <v>233.21996999999993</v>
      </c>
      <c r="D1546" s="7">
        <v>237.05415000000008</v>
      </c>
      <c r="E1546" s="7">
        <v>240.87025999999994</v>
      </c>
      <c r="F1546" s="7">
        <v>244.63619</v>
      </c>
      <c r="G1546" s="7">
        <v>248.2954399999999</v>
      </c>
      <c r="H1546" s="7">
        <v>251.83053999999996</v>
      </c>
      <c r="I1546" s="7">
        <v>255.28278</v>
      </c>
      <c r="J1546" s="7">
        <v>258.66979000000009</v>
      </c>
      <c r="K1546" s="7">
        <v>261.99908000000005</v>
      </c>
      <c r="L1546" s="7">
        <v>265.27720999999997</v>
      </c>
      <c r="M1546" s="7">
        <v>268.50518000000005</v>
      </c>
      <c r="N1546" s="7">
        <v>271.69402999999988</v>
      </c>
      <c r="O1546" s="7">
        <v>274.86041999999998</v>
      </c>
      <c r="P1546" s="7">
        <v>278.02370999999994</v>
      </c>
      <c r="Q1546" s="7">
        <v>281.14632000000006</v>
      </c>
      <c r="R1546" s="7">
        <v>284.28869999999995</v>
      </c>
      <c r="S1546" s="7">
        <v>287.46928000000003</v>
      </c>
      <c r="T1546" s="7">
        <v>290.59922999999992</v>
      </c>
      <c r="U1546" s="7">
        <v>293.7144100000001</v>
      </c>
      <c r="V1546" s="7">
        <v>296.85202000000004</v>
      </c>
      <c r="W1546" s="7">
        <v>299.97484000000003</v>
      </c>
      <c r="X1546" s="7">
        <v>302.92567000000003</v>
      </c>
      <c r="Y1546" s="7">
        <v>305.7462700000001</v>
      </c>
      <c r="Z1546" s="7">
        <v>308.42954000000003</v>
      </c>
      <c r="AA1546" s="7">
        <v>310.89899000000003</v>
      </c>
      <c r="AB1546" s="7">
        <v>313.0762400000001</v>
      </c>
      <c r="AC1546" s="7">
        <v>315.33037999999999</v>
      </c>
      <c r="AD1546" s="7">
        <v>317.92202000000003</v>
      </c>
      <c r="AE1546" s="7">
        <v>320.53474</v>
      </c>
      <c r="AF1546" s="7">
        <v>323.07989999999984</v>
      </c>
      <c r="AG1546" s="7">
        <v>325.55279000000013</v>
      </c>
      <c r="AH1546" s="7">
        <v>327.96839999999997</v>
      </c>
      <c r="AI1546" s="7">
        <v>330.32400999999999</v>
      </c>
      <c r="AJ1546" s="7">
        <v>332.61663999999996</v>
      </c>
      <c r="AK1546" s="7">
        <v>334.85277000000002</v>
      </c>
      <c r="AL1546" s="7">
        <v>337.0316400000001</v>
      </c>
      <c r="AM1546" s="7">
        <v>339.14975999999996</v>
      </c>
      <c r="AN1546" s="7">
        <v>341.20330000000001</v>
      </c>
      <c r="AO1546" s="7">
        <v>343.19651999999996</v>
      </c>
      <c r="AP1546" s="7">
        <v>345.12198000000001</v>
      </c>
      <c r="AQ1546" s="7">
        <v>346.96936000000005</v>
      </c>
      <c r="AR1546" s="7">
        <v>348.73592999999988</v>
      </c>
      <c r="AS1546" s="7">
        <v>350.42747000000003</v>
      </c>
      <c r="AT1546" s="7">
        <v>352.04386</v>
      </c>
      <c r="AU1546" s="7">
        <v>353.57598000000007</v>
      </c>
      <c r="AV1546" s="7">
        <v>355.02154000000007</v>
      </c>
      <c r="AW1546" s="7">
        <v>356.38484999999991</v>
      </c>
      <c r="AX1546" s="7">
        <v>357.66562000000005</v>
      </c>
      <c r="AY1546" s="7">
        <v>358.86309999999992</v>
      </c>
      <c r="AZ1546" s="7">
        <v>359.98110000000008</v>
      </c>
      <c r="BA1546" s="7">
        <v>361.01957999999996</v>
      </c>
      <c r="BB1546" s="7">
        <v>361.98383000000001</v>
      </c>
      <c r="BC1546" s="7">
        <v>362.87287000000009</v>
      </c>
      <c r="BD1546" s="7">
        <v>363.68105000000008</v>
      </c>
      <c r="BE1546" s="7">
        <v>364.41593</v>
      </c>
    </row>
    <row r="1547" spans="1:61" ht="12" customHeight="1" x14ac:dyDescent="0.2">
      <c r="A1547" t="s">
        <v>364</v>
      </c>
    </row>
    <row r="1548" spans="1:61" ht="12" customHeight="1" x14ac:dyDescent="0.2">
      <c r="A1548" t="s">
        <v>349</v>
      </c>
    </row>
    <row r="1550" spans="1:61" ht="12" customHeight="1" x14ac:dyDescent="0.2">
      <c r="A1550" t="s">
        <v>350</v>
      </c>
      <c r="AV1550" t="s">
        <v>351</v>
      </c>
    </row>
    <row r="1551" spans="1:61" ht="12" customHeight="1" x14ac:dyDescent="0.2">
      <c r="A1551" s="67" t="s">
        <v>352</v>
      </c>
      <c r="B1551">
        <v>1995</v>
      </c>
      <c r="C1551">
        <v>1996</v>
      </c>
      <c r="D1551">
        <v>1997</v>
      </c>
      <c r="E1551">
        <v>1998</v>
      </c>
      <c r="F1551">
        <v>1999</v>
      </c>
      <c r="G1551">
        <v>2000</v>
      </c>
      <c r="H1551">
        <v>2001</v>
      </c>
      <c r="I1551">
        <v>2002</v>
      </c>
      <c r="J1551">
        <v>2003</v>
      </c>
      <c r="K1551">
        <v>2004</v>
      </c>
      <c r="L1551">
        <v>2005</v>
      </c>
      <c r="M1551">
        <v>2006</v>
      </c>
      <c r="N1551">
        <v>2007</v>
      </c>
      <c r="O1551">
        <v>2008</v>
      </c>
      <c r="P1551">
        <v>2009</v>
      </c>
      <c r="Q1551">
        <v>2010</v>
      </c>
      <c r="R1551">
        <v>2011</v>
      </c>
      <c r="S1551">
        <v>2012</v>
      </c>
      <c r="T1551">
        <v>2013</v>
      </c>
      <c r="U1551">
        <v>2014</v>
      </c>
      <c r="V1551">
        <v>2015</v>
      </c>
      <c r="W1551">
        <v>2016</v>
      </c>
      <c r="X1551">
        <v>2017</v>
      </c>
      <c r="Y1551">
        <v>2018</v>
      </c>
      <c r="Z1551">
        <v>2019</v>
      </c>
      <c r="AA1551">
        <v>2020</v>
      </c>
      <c r="AB1551">
        <v>2021</v>
      </c>
      <c r="AC1551">
        <v>2022</v>
      </c>
      <c r="AD1551">
        <v>2023</v>
      </c>
      <c r="AE1551">
        <v>2024</v>
      </c>
      <c r="AF1551">
        <v>2025</v>
      </c>
      <c r="AG1551">
        <v>2026</v>
      </c>
      <c r="AH1551">
        <v>2027</v>
      </c>
      <c r="AI1551">
        <v>2028</v>
      </c>
      <c r="AJ1551">
        <v>2029</v>
      </c>
      <c r="AK1551">
        <v>2030</v>
      </c>
      <c r="AL1551">
        <v>2031</v>
      </c>
      <c r="AM1551">
        <v>2032</v>
      </c>
      <c r="AN1551">
        <v>2033</v>
      </c>
      <c r="AO1551">
        <v>2034</v>
      </c>
      <c r="AP1551">
        <v>2035</v>
      </c>
      <c r="AQ1551">
        <v>2036</v>
      </c>
      <c r="AR1551">
        <v>2037</v>
      </c>
      <c r="AS1551">
        <v>2038</v>
      </c>
      <c r="AT1551">
        <v>2039</v>
      </c>
      <c r="AU1551">
        <v>2040</v>
      </c>
      <c r="AV1551">
        <v>2041</v>
      </c>
      <c r="AW1551">
        <v>2042</v>
      </c>
      <c r="AX1551">
        <v>2043</v>
      </c>
      <c r="AY1551">
        <v>2044</v>
      </c>
      <c r="AZ1551">
        <v>2045</v>
      </c>
      <c r="BA1551">
        <v>2046</v>
      </c>
      <c r="BB1551">
        <v>2047</v>
      </c>
      <c r="BC1551">
        <v>2048</v>
      </c>
      <c r="BD1551">
        <v>2049</v>
      </c>
      <c r="BE1551">
        <v>2050</v>
      </c>
    </row>
    <row r="1552" spans="1:61" ht="12" customHeight="1" x14ac:dyDescent="0.2">
      <c r="A1552" t="s">
        <v>44</v>
      </c>
      <c r="B1552" s="7">
        <v>11106.69</v>
      </c>
      <c r="C1552" s="7">
        <v>11525.71</v>
      </c>
      <c r="D1552" s="7">
        <v>12038.27</v>
      </c>
      <c r="E1552" s="7">
        <v>12577.96</v>
      </c>
      <c r="F1552" s="7">
        <v>13180.25</v>
      </c>
      <c r="G1552" s="7">
        <v>13717.68</v>
      </c>
      <c r="H1552" s="7">
        <v>13848.76</v>
      </c>
      <c r="I1552" s="7">
        <v>14084.24</v>
      </c>
      <c r="J1552" s="7">
        <v>14478</v>
      </c>
      <c r="K1552" s="7">
        <v>15035.09</v>
      </c>
      <c r="L1552" s="7">
        <v>15558.82</v>
      </c>
      <c r="M1552" s="7">
        <v>15992.07</v>
      </c>
      <c r="N1552" s="7">
        <v>16312.53</v>
      </c>
      <c r="O1552" s="7">
        <v>16331.07</v>
      </c>
      <c r="P1552" s="7">
        <v>15910.3</v>
      </c>
      <c r="Q1552" s="7">
        <v>16339.12</v>
      </c>
      <c r="R1552" s="7">
        <v>16594.7</v>
      </c>
      <c r="S1552" s="7">
        <v>16974.59</v>
      </c>
      <c r="T1552" s="7">
        <v>17334.080000000002</v>
      </c>
      <c r="U1552" s="7">
        <v>17771.54</v>
      </c>
      <c r="V1552" s="7">
        <v>18295</v>
      </c>
      <c r="W1552" s="7">
        <v>18627.89</v>
      </c>
      <c r="X1552" s="7">
        <v>19085.689999999999</v>
      </c>
      <c r="Y1552" s="7">
        <v>19651.900000000001</v>
      </c>
      <c r="Z1552" s="7">
        <v>20159.62</v>
      </c>
      <c r="AA1552" s="7">
        <v>19723.57</v>
      </c>
      <c r="AB1552" s="7">
        <v>20917.86</v>
      </c>
      <c r="AC1552" s="7">
        <v>21443.41</v>
      </c>
      <c r="AD1552" s="7">
        <v>22062.560000000001</v>
      </c>
      <c r="AE1552" s="7">
        <v>22657.1</v>
      </c>
      <c r="AF1552" s="7">
        <v>23216.47</v>
      </c>
      <c r="AG1552" s="7">
        <v>23798.12</v>
      </c>
      <c r="AH1552" s="7">
        <v>24366.86</v>
      </c>
      <c r="AI1552" s="7">
        <v>24913.84</v>
      </c>
      <c r="AJ1552" s="7">
        <v>25434.49</v>
      </c>
      <c r="AK1552" s="7">
        <v>25942.03</v>
      </c>
      <c r="AL1552" s="7">
        <v>26442.69</v>
      </c>
      <c r="AM1552" s="7">
        <v>26936.77</v>
      </c>
      <c r="AN1552" s="7">
        <v>27435.06</v>
      </c>
      <c r="AO1552" s="7">
        <v>27940.61</v>
      </c>
      <c r="AP1552" s="7">
        <v>28452.11</v>
      </c>
      <c r="AQ1552" s="7">
        <v>28968.55</v>
      </c>
      <c r="AR1552" s="7">
        <v>29488.37</v>
      </c>
      <c r="AS1552" s="7">
        <v>30011.02</v>
      </c>
      <c r="AT1552" s="7">
        <v>30537.46</v>
      </c>
      <c r="AU1552" s="7">
        <v>31066.93</v>
      </c>
      <c r="AV1552" s="7">
        <v>31600.54</v>
      </c>
      <c r="AW1552" s="7">
        <v>32139.7</v>
      </c>
      <c r="AX1552" s="7">
        <v>32685.43</v>
      </c>
      <c r="AY1552" s="7">
        <v>33237.33</v>
      </c>
      <c r="AZ1552" s="7">
        <v>33793.730000000003</v>
      </c>
      <c r="BA1552" s="7">
        <v>34354.49</v>
      </c>
      <c r="BB1552" s="7">
        <v>34919.96</v>
      </c>
      <c r="BC1552" s="7">
        <v>35490.36</v>
      </c>
      <c r="BD1552" s="7">
        <v>36065.15</v>
      </c>
      <c r="BE1552" s="7">
        <v>36644.49</v>
      </c>
      <c r="BG1552">
        <v>33652.632799999999</v>
      </c>
      <c r="BH1552">
        <v>11055.183594</v>
      </c>
      <c r="BI1552">
        <v>14783.799800000001</v>
      </c>
    </row>
    <row r="1553" spans="1:61" ht="12" customHeight="1" x14ac:dyDescent="0.2">
      <c r="A1553" t="s">
        <v>47</v>
      </c>
      <c r="B1553" s="7">
        <v>1012.861</v>
      </c>
      <c r="C1553" s="7">
        <v>1029.9680000000001</v>
      </c>
      <c r="D1553" s="7">
        <v>1074.0530000000001</v>
      </c>
      <c r="E1553" s="7">
        <v>1115.864</v>
      </c>
      <c r="F1553" s="7">
        <v>1173.231</v>
      </c>
      <c r="G1553" s="7">
        <v>1233.518</v>
      </c>
      <c r="H1553" s="7">
        <v>1256.6469999999999</v>
      </c>
      <c r="I1553" s="7">
        <v>1294.338</v>
      </c>
      <c r="J1553" s="7">
        <v>1317.7180000000001</v>
      </c>
      <c r="K1553" s="7">
        <v>1358.4670000000001</v>
      </c>
      <c r="L1553" s="7">
        <v>1402.08</v>
      </c>
      <c r="M1553" s="7">
        <v>1439.066</v>
      </c>
      <c r="N1553" s="7">
        <v>1468.566</v>
      </c>
      <c r="O1553" s="7">
        <v>1483.184</v>
      </c>
      <c r="P1553" s="7">
        <v>1439.9480000000001</v>
      </c>
      <c r="Q1553" s="7">
        <v>1484.454</v>
      </c>
      <c r="R1553" s="7">
        <v>1531.0239999999999</v>
      </c>
      <c r="S1553" s="7">
        <v>1557.903</v>
      </c>
      <c r="T1553" s="7">
        <v>1594.1369999999999</v>
      </c>
      <c r="U1553" s="7">
        <v>1639.944</v>
      </c>
      <c r="V1553" s="7">
        <v>1650.6030000000001</v>
      </c>
      <c r="W1553" s="7">
        <v>1667.7460000000001</v>
      </c>
      <c r="X1553" s="7">
        <v>1718.3420000000001</v>
      </c>
      <c r="Y1553" s="7">
        <v>1765.4760000000001</v>
      </c>
      <c r="Z1553" s="7">
        <v>1799.1690000000001</v>
      </c>
      <c r="AA1553" s="7">
        <v>1708.5229999999999</v>
      </c>
      <c r="AB1553" s="7">
        <v>1798.8510000000001</v>
      </c>
      <c r="AC1553" s="7">
        <v>1867.5650000000001</v>
      </c>
      <c r="AD1553" s="7">
        <v>1890.89</v>
      </c>
      <c r="AE1553" s="7">
        <v>1909.088</v>
      </c>
      <c r="AF1553" s="7">
        <v>1935.605</v>
      </c>
      <c r="AG1553" s="7">
        <v>1978.991</v>
      </c>
      <c r="AH1553" s="7">
        <v>2024.655</v>
      </c>
      <c r="AI1553" s="7">
        <v>2069.1869999999999</v>
      </c>
      <c r="AJ1553" s="7">
        <v>2114.491</v>
      </c>
      <c r="AK1553" s="7">
        <v>2160.375</v>
      </c>
      <c r="AL1553" s="7">
        <v>2205.4470000000001</v>
      </c>
      <c r="AM1553" s="7">
        <v>2249.9050000000002</v>
      </c>
      <c r="AN1553" s="7">
        <v>2295.5250000000001</v>
      </c>
      <c r="AO1553" s="7">
        <v>2342.0740000000001</v>
      </c>
      <c r="AP1553" s="7">
        <v>2389.3240000000001</v>
      </c>
      <c r="AQ1553" s="7">
        <v>2436.8850000000002</v>
      </c>
      <c r="AR1553" s="7">
        <v>2484.962</v>
      </c>
      <c r="AS1553" s="7">
        <v>2533.5079999999998</v>
      </c>
      <c r="AT1553" s="7">
        <v>2583.239</v>
      </c>
      <c r="AU1553" s="7">
        <v>2634.0450000000001</v>
      </c>
      <c r="AV1553" s="7">
        <v>2686.2190000000001</v>
      </c>
      <c r="AW1553" s="7">
        <v>2739.5039999999999</v>
      </c>
      <c r="AX1553" s="7">
        <v>2793.5439999999999</v>
      </c>
      <c r="AY1553" s="7">
        <v>2847.8690000000001</v>
      </c>
      <c r="AZ1553" s="7">
        <v>2902.085</v>
      </c>
      <c r="BA1553" s="7">
        <v>2956.998</v>
      </c>
      <c r="BB1553" s="7">
        <v>3012.6350000000002</v>
      </c>
      <c r="BC1553" s="7">
        <v>3068.5410000000002</v>
      </c>
      <c r="BD1553" s="7">
        <v>3125.011</v>
      </c>
      <c r="BE1553" s="7">
        <v>3181.375</v>
      </c>
      <c r="BG1553">
        <v>2532.1421</v>
      </c>
      <c r="BH1553">
        <v>1353.0509999999999</v>
      </c>
      <c r="BI1553">
        <v>1353.0509999999999</v>
      </c>
    </row>
    <row r="1554" spans="1:61" ht="12" customHeight="1" x14ac:dyDescent="0.2">
      <c r="A1554" t="s">
        <v>48</v>
      </c>
      <c r="B1554" s="7">
        <v>1378.375</v>
      </c>
      <c r="C1554" s="7">
        <v>1460.7829999999999</v>
      </c>
      <c r="D1554" s="7">
        <v>1569.5060000000001</v>
      </c>
      <c r="E1554" s="7">
        <v>1666.905</v>
      </c>
      <c r="F1554" s="7">
        <v>1712.6179999999999</v>
      </c>
      <c r="G1554" s="7">
        <v>1794.25</v>
      </c>
      <c r="H1554" s="7">
        <v>1789.9639999999999</v>
      </c>
      <c r="I1554" s="7">
        <v>1785.636</v>
      </c>
      <c r="J1554" s="7">
        <v>1807.2909999999999</v>
      </c>
      <c r="K1554" s="7">
        <v>1867.605</v>
      </c>
      <c r="L1554" s="7">
        <v>1910.9449999999999</v>
      </c>
      <c r="M1554" s="7">
        <v>2002.663</v>
      </c>
      <c r="N1554" s="7">
        <v>2043.915</v>
      </c>
      <c r="O1554" s="7">
        <v>2058.4569999999999</v>
      </c>
      <c r="P1554" s="7">
        <v>1933.3209999999999</v>
      </c>
      <c r="Q1554" s="7">
        <v>2029.7819999999999</v>
      </c>
      <c r="R1554" s="7">
        <v>2099.8510000000001</v>
      </c>
      <c r="S1554" s="7">
        <v>2169.8510000000001</v>
      </c>
      <c r="T1554" s="7">
        <v>2193.2060000000001</v>
      </c>
      <c r="U1554" s="7">
        <v>2248.3519999999999</v>
      </c>
      <c r="V1554" s="7">
        <v>2309.605</v>
      </c>
      <c r="W1554" s="7">
        <v>2345.1329999999998</v>
      </c>
      <c r="X1554" s="7">
        <v>2394.4409999999998</v>
      </c>
      <c r="Y1554" s="7">
        <v>2441.3220000000001</v>
      </c>
      <c r="Z1554" s="7">
        <v>2431.8530000000001</v>
      </c>
      <c r="AA1554" s="7">
        <v>2223.9389999999999</v>
      </c>
      <c r="AB1554" s="7">
        <v>2363.3760000000002</v>
      </c>
      <c r="AC1554" s="7">
        <v>2450.4589999999998</v>
      </c>
      <c r="AD1554" s="7">
        <v>2528.9430000000002</v>
      </c>
      <c r="AE1554" s="7">
        <v>2557.5450000000001</v>
      </c>
      <c r="AF1554" s="7">
        <v>2605.8069999999998</v>
      </c>
      <c r="AG1554" s="7">
        <v>2665.5859999999998</v>
      </c>
      <c r="AH1554" s="7">
        <v>2722.7280000000001</v>
      </c>
      <c r="AI1554" s="7">
        <v>2775.2979999999998</v>
      </c>
      <c r="AJ1554" s="7">
        <v>2826.2429999999999</v>
      </c>
      <c r="AK1554" s="7">
        <v>2876.6889999999999</v>
      </c>
      <c r="AL1554" s="7">
        <v>2926.7739999999999</v>
      </c>
      <c r="AM1554" s="7">
        <v>2977.085</v>
      </c>
      <c r="AN1554" s="7">
        <v>3027.8739999999998</v>
      </c>
      <c r="AO1554" s="7">
        <v>3079.1350000000002</v>
      </c>
      <c r="AP1554" s="7">
        <v>3130.864</v>
      </c>
      <c r="AQ1554" s="7">
        <v>3183.0540000000001</v>
      </c>
      <c r="AR1554" s="7">
        <v>3235.701</v>
      </c>
      <c r="AS1554" s="7">
        <v>3288.7979999999998</v>
      </c>
      <c r="AT1554" s="7">
        <v>3342.3380000000002</v>
      </c>
      <c r="AU1554" s="7">
        <v>3396.3150000000001</v>
      </c>
      <c r="AV1554" s="7">
        <v>3450.7220000000002</v>
      </c>
      <c r="AW1554" s="7">
        <v>3505.5529999999999</v>
      </c>
      <c r="AX1554" s="7">
        <v>3560.7979999999998</v>
      </c>
      <c r="AY1554" s="7">
        <v>3616.451</v>
      </c>
      <c r="AZ1554" s="7">
        <v>3672.5039999999999</v>
      </c>
      <c r="BA1554" s="7">
        <v>3728.9479999999999</v>
      </c>
      <c r="BB1554" s="7">
        <v>3785.7739999999999</v>
      </c>
      <c r="BC1554" s="7">
        <v>3842.9740000000002</v>
      </c>
      <c r="BD1554" s="7">
        <v>3900.538</v>
      </c>
      <c r="BE1554" s="7">
        <v>3958.4569999999999</v>
      </c>
      <c r="BG1554">
        <v>5827.5011097632105</v>
      </c>
      <c r="BH1554">
        <v>2428.5192873557357</v>
      </c>
      <c r="BI1554">
        <v>2428.5192873557357</v>
      </c>
    </row>
    <row r="1555" spans="1:61" ht="12" customHeight="1" x14ac:dyDescent="0.2">
      <c r="A1555" t="s">
        <v>49</v>
      </c>
      <c r="B1555" s="7">
        <v>15369.723540000001</v>
      </c>
      <c r="C1555" s="7">
        <v>15751.393029999997</v>
      </c>
      <c r="D1555" s="7">
        <v>16263.957260000005</v>
      </c>
      <c r="E1555" s="7">
        <v>16719.339820000001</v>
      </c>
      <c r="F1555" s="7">
        <v>17127.933330000007</v>
      </c>
      <c r="G1555" s="7">
        <v>17863.18346</v>
      </c>
      <c r="H1555" s="7">
        <v>18196.318179999998</v>
      </c>
      <c r="I1555" s="7">
        <v>18495.506209999996</v>
      </c>
      <c r="J1555" s="7">
        <v>18801.282009999999</v>
      </c>
      <c r="K1555" s="7">
        <v>19366.063330000004</v>
      </c>
      <c r="L1555" s="7">
        <v>19901.940370000004</v>
      </c>
      <c r="M1555" s="7">
        <v>20670.783609999999</v>
      </c>
      <c r="N1555" s="7">
        <v>21372.583109999996</v>
      </c>
      <c r="O1555" s="7">
        <v>21531.225719999999</v>
      </c>
      <c r="P1555" s="7">
        <v>20625.30719</v>
      </c>
      <c r="Q1555" s="7">
        <v>21116.881590000001</v>
      </c>
      <c r="R1555" s="7">
        <v>21644.87559</v>
      </c>
      <c r="S1555" s="7">
        <v>21664.626020000007</v>
      </c>
      <c r="T1555" s="7">
        <v>21876.058480000003</v>
      </c>
      <c r="U1555" s="7">
        <v>22350.889890000006</v>
      </c>
      <c r="V1555" s="7">
        <v>22937.015130000003</v>
      </c>
      <c r="W1555" s="7">
        <v>23417.821190000002</v>
      </c>
      <c r="X1555" s="7">
        <v>24216.374879999996</v>
      </c>
      <c r="Y1555" s="7">
        <v>24755.73977</v>
      </c>
      <c r="Z1555" s="7">
        <v>25215.277270000002</v>
      </c>
      <c r="AA1555" s="7">
        <v>23849.437700000006</v>
      </c>
      <c r="AB1555" s="7">
        <v>25529.566199999994</v>
      </c>
      <c r="AC1555" s="7">
        <v>26550.744709999995</v>
      </c>
      <c r="AD1555" s="7">
        <v>26836.829720000005</v>
      </c>
      <c r="AE1555" s="7">
        <v>27178.821769999999</v>
      </c>
      <c r="AF1555" s="7">
        <v>27620.289620000003</v>
      </c>
      <c r="AG1555" s="7">
        <v>28134.110539999998</v>
      </c>
      <c r="AH1555" s="7">
        <v>28645.556079999998</v>
      </c>
      <c r="AI1555" s="7">
        <v>29145.021110000005</v>
      </c>
      <c r="AJ1555" s="7">
        <v>29621.332670000007</v>
      </c>
      <c r="AK1555" s="7">
        <v>30074.506830000002</v>
      </c>
      <c r="AL1555" s="7">
        <v>30500.626539999997</v>
      </c>
      <c r="AM1555" s="7">
        <v>30911.375950000001</v>
      </c>
      <c r="AN1555" s="7">
        <v>31323.509450000001</v>
      </c>
      <c r="AO1555" s="7">
        <v>31738.35412</v>
      </c>
      <c r="AP1555" s="7">
        <v>32153.966799999998</v>
      </c>
      <c r="AQ1555" s="7">
        <v>32576.713680000001</v>
      </c>
      <c r="AR1555" s="7">
        <v>32999.592830000001</v>
      </c>
      <c r="AS1555" s="7">
        <v>33419.852250000004</v>
      </c>
      <c r="AT1555" s="7">
        <v>33841.056280000004</v>
      </c>
      <c r="AU1555" s="7">
        <v>34263.127030000003</v>
      </c>
      <c r="AV1555" s="7">
        <v>34685.203040000008</v>
      </c>
      <c r="AW1555" s="7">
        <v>35110.649010000008</v>
      </c>
      <c r="AX1555" s="7">
        <v>35538.659110000001</v>
      </c>
      <c r="AY1555" s="7">
        <v>35966.40492999999</v>
      </c>
      <c r="AZ1555" s="7">
        <v>36392.611129999998</v>
      </c>
      <c r="BA1555" s="7">
        <v>36820.035730000003</v>
      </c>
      <c r="BB1555" s="7">
        <v>37248.705120000006</v>
      </c>
      <c r="BC1555" s="7">
        <v>37679.39041</v>
      </c>
      <c r="BD1555" s="7">
        <v>38115.00189</v>
      </c>
      <c r="BE1555" s="7">
        <v>38557.847609999997</v>
      </c>
      <c r="BG1555">
        <v>11596.692290236788</v>
      </c>
      <c r="BH1555">
        <v>5421.9067632469651</v>
      </c>
      <c r="BI1555">
        <v>5421.9067632469651</v>
      </c>
    </row>
    <row r="1556" spans="1:61" ht="12" customHeight="1" x14ac:dyDescent="0.2">
      <c r="A1556" t="s">
        <v>50</v>
      </c>
      <c r="B1556" s="7">
        <v>4428.933</v>
      </c>
      <c r="C1556" s="7">
        <v>4568.7520000000004</v>
      </c>
      <c r="D1556" s="7">
        <v>4614.8310000000001</v>
      </c>
      <c r="E1556" s="7">
        <v>4553.9859999999999</v>
      </c>
      <c r="F1556" s="7">
        <v>4542.7929999999997</v>
      </c>
      <c r="G1556" s="7">
        <v>4666.5219999999999</v>
      </c>
      <c r="H1556" s="7">
        <v>4684.9440000000004</v>
      </c>
      <c r="I1556" s="7">
        <v>4685.2169999999996</v>
      </c>
      <c r="J1556" s="7">
        <v>4758.9790000000003</v>
      </c>
      <c r="K1556" s="7">
        <v>4861.6540000000005</v>
      </c>
      <c r="L1556" s="7">
        <v>4950.1620000000003</v>
      </c>
      <c r="M1556" s="7">
        <v>5016.7860000000001</v>
      </c>
      <c r="N1556" s="7">
        <v>5090.8829999999998</v>
      </c>
      <c r="O1556" s="7">
        <v>5027.62</v>
      </c>
      <c r="P1556" s="7">
        <v>4741.9849999999997</v>
      </c>
      <c r="Q1556" s="7">
        <v>4936.46</v>
      </c>
      <c r="R1556" s="7">
        <v>4938.2020000000002</v>
      </c>
      <c r="S1556" s="7">
        <v>5006.1289999999999</v>
      </c>
      <c r="T1556" s="7">
        <v>5108.1909999999998</v>
      </c>
      <c r="U1556" s="7">
        <v>5119.1819999999998</v>
      </c>
      <c r="V1556" s="7">
        <v>5200.8620000000001</v>
      </c>
      <c r="W1556" s="7">
        <v>5238.7049999999999</v>
      </c>
      <c r="X1556" s="7">
        <v>5327.7190000000001</v>
      </c>
      <c r="Y1556" s="7">
        <v>5361.2560000000003</v>
      </c>
      <c r="Z1556" s="7">
        <v>5340.0039999999999</v>
      </c>
      <c r="AA1556" s="7">
        <v>5115.24</v>
      </c>
      <c r="AB1556" s="7">
        <v>5257.4960000000001</v>
      </c>
      <c r="AC1556" s="7">
        <v>5317.54</v>
      </c>
      <c r="AD1556" s="7">
        <v>5406.43</v>
      </c>
      <c r="AE1556" s="7">
        <v>5414.5569999999998</v>
      </c>
      <c r="AF1556" s="7">
        <v>5476.1440000000002</v>
      </c>
      <c r="AG1556" s="7">
        <v>5507.04</v>
      </c>
      <c r="AH1556" s="7">
        <v>5537.1</v>
      </c>
      <c r="AI1556" s="7">
        <v>5556.3710000000001</v>
      </c>
      <c r="AJ1556" s="7">
        <v>5569.8909999999996</v>
      </c>
      <c r="AK1556" s="7">
        <v>5578.7879999999996</v>
      </c>
      <c r="AL1556" s="7">
        <v>5581.5140000000001</v>
      </c>
      <c r="AM1556" s="7">
        <v>5582.4139999999998</v>
      </c>
      <c r="AN1556" s="7">
        <v>5580.6629999999996</v>
      </c>
      <c r="AO1556" s="7">
        <v>5574.6940000000004</v>
      </c>
      <c r="AP1556" s="7">
        <v>5565.0720000000001</v>
      </c>
      <c r="AQ1556" s="7">
        <v>5552.5349999999999</v>
      </c>
      <c r="AR1556" s="7">
        <v>5539.0050000000001</v>
      </c>
      <c r="AS1556" s="7">
        <v>5524.4859999999999</v>
      </c>
      <c r="AT1556" s="7">
        <v>5508.7759999999998</v>
      </c>
      <c r="AU1556" s="7">
        <v>5493.9440000000004</v>
      </c>
      <c r="AV1556" s="7">
        <v>5480.6419999999998</v>
      </c>
      <c r="AW1556" s="7">
        <v>5468.9440000000004</v>
      </c>
      <c r="AX1556" s="7">
        <v>5459.0829999999996</v>
      </c>
      <c r="AY1556" s="7">
        <v>5451.3609999999999</v>
      </c>
      <c r="AZ1556" s="7">
        <v>5447.12</v>
      </c>
      <c r="BA1556" s="7">
        <v>5446.1059999999998</v>
      </c>
      <c r="BB1556" s="7">
        <v>5447.384</v>
      </c>
      <c r="BC1556" s="7">
        <v>5450.0410000000002</v>
      </c>
      <c r="BD1556" s="7">
        <v>5453.4309999999996</v>
      </c>
      <c r="BE1556" s="7">
        <v>5459.1660000000002</v>
      </c>
      <c r="BG1556">
        <v>34223.665671081573</v>
      </c>
      <c r="BH1556">
        <v>19342.50014138977</v>
      </c>
      <c r="BI1556">
        <v>19342.50014138977</v>
      </c>
    </row>
    <row r="1557" spans="1:61" ht="12" customHeight="1" x14ac:dyDescent="0.2">
      <c r="A1557" t="s">
        <v>51</v>
      </c>
      <c r="B1557" s="7">
        <v>681.43714999999997</v>
      </c>
      <c r="C1557" s="7">
        <v>708.29509999999993</v>
      </c>
      <c r="D1557" s="7">
        <v>739.9316</v>
      </c>
      <c r="E1557" s="7">
        <v>770.80499999999995</v>
      </c>
      <c r="F1557" s="7">
        <v>805.09849999999994</v>
      </c>
      <c r="G1557" s="7">
        <v>830.91610000000003</v>
      </c>
      <c r="H1557" s="7">
        <v>852.26129999999989</v>
      </c>
      <c r="I1557" s="7">
        <v>888.83199999999999</v>
      </c>
      <c r="J1557" s="7">
        <v>917.55270000000007</v>
      </c>
      <c r="K1557" s="7">
        <v>955.83989999999994</v>
      </c>
      <c r="L1557" s="7">
        <v>983.94539999999995</v>
      </c>
      <c r="M1557" s="7">
        <v>1009.5477</v>
      </c>
      <c r="N1557" s="7">
        <v>1052.7597000000001</v>
      </c>
      <c r="O1557" s="7">
        <v>1075.4518999999998</v>
      </c>
      <c r="P1557" s="7">
        <v>1094.3628000000001</v>
      </c>
      <c r="Q1557" s="7">
        <v>1120.4322999999999</v>
      </c>
      <c r="R1557" s="7">
        <v>1150.0139999999999</v>
      </c>
      <c r="S1557" s="7">
        <v>1191.8665000000001</v>
      </c>
      <c r="T1557" s="7">
        <v>1218.3651</v>
      </c>
      <c r="U1557" s="7">
        <v>1250.9678999999999</v>
      </c>
      <c r="V1557" s="7">
        <v>1283.3615</v>
      </c>
      <c r="W1557" s="7">
        <v>1320.4893</v>
      </c>
      <c r="X1557" s="7">
        <v>1355.3054999999999</v>
      </c>
      <c r="Y1557" s="7">
        <v>1395.942</v>
      </c>
      <c r="Z1557" s="7">
        <v>1424.2275</v>
      </c>
      <c r="AA1557" s="7">
        <v>1396.1959999999999</v>
      </c>
      <c r="AB1557" s="7">
        <v>1473.588</v>
      </c>
      <c r="AC1557" s="7">
        <v>1527.8056999999999</v>
      </c>
      <c r="AD1557" s="7">
        <v>1555.4893999999999</v>
      </c>
      <c r="AE1557" s="7">
        <v>1571.6269</v>
      </c>
      <c r="AF1557" s="7">
        <v>1602.9404</v>
      </c>
      <c r="AG1557" s="7">
        <v>1646.1588000000002</v>
      </c>
      <c r="AH1557" s="7">
        <v>1690.0808</v>
      </c>
      <c r="AI1557" s="7">
        <v>1734.4066</v>
      </c>
      <c r="AJ1557" s="7">
        <v>1777.7621999999999</v>
      </c>
      <c r="AK1557" s="7">
        <v>1820.5773999999999</v>
      </c>
      <c r="AL1557" s="7">
        <v>1863.6502</v>
      </c>
      <c r="AM1557" s="7">
        <v>1906.5609999999999</v>
      </c>
      <c r="AN1557" s="7">
        <v>1949.1538999999998</v>
      </c>
      <c r="AO1557" s="7">
        <v>1991.6126999999999</v>
      </c>
      <c r="AP1557" s="7">
        <v>2033.1823999999999</v>
      </c>
      <c r="AQ1557" s="7">
        <v>2074.5457000000001</v>
      </c>
      <c r="AR1557" s="7">
        <v>2115.8997000000004</v>
      </c>
      <c r="AS1557" s="7">
        <v>2155.5711000000001</v>
      </c>
      <c r="AT1557" s="7">
        <v>2194.7497000000003</v>
      </c>
      <c r="AU1557" s="7">
        <v>2233.6377000000002</v>
      </c>
      <c r="AV1557" s="7">
        <v>2272.5763999999999</v>
      </c>
      <c r="AW1557" s="7">
        <v>2311.5407999999998</v>
      </c>
      <c r="AX1557" s="7">
        <v>2350.5394999999999</v>
      </c>
      <c r="AY1557" s="7">
        <v>2389.4618999999998</v>
      </c>
      <c r="AZ1557" s="7">
        <v>2428.221</v>
      </c>
      <c r="BA1557" s="7">
        <v>2466.7943999999998</v>
      </c>
      <c r="BB1557" s="7">
        <v>2505.1929</v>
      </c>
      <c r="BC1557" s="7">
        <v>2543.4417000000003</v>
      </c>
      <c r="BD1557" s="7">
        <v>2581.5537999999997</v>
      </c>
      <c r="BE1557" s="7">
        <v>2619.5477000000001</v>
      </c>
      <c r="BG1557">
        <v>20230.25</v>
      </c>
      <c r="BH1557">
        <v>4584.0717999999997</v>
      </c>
      <c r="BI1557">
        <v>4584.0717999999997</v>
      </c>
    </row>
    <row r="1558" spans="1:61" ht="12" customHeight="1" x14ac:dyDescent="0.2">
      <c r="A1558" t="s">
        <v>52</v>
      </c>
      <c r="B1558" s="7">
        <v>828.81730000000005</v>
      </c>
      <c r="C1558" s="7">
        <v>894.21680000000003</v>
      </c>
      <c r="D1558" s="7">
        <v>949.39490000000001</v>
      </c>
      <c r="E1558" s="7">
        <v>900.69630000000006</v>
      </c>
      <c r="F1558" s="7">
        <v>1003.979</v>
      </c>
      <c r="G1558" s="7">
        <v>1096.579</v>
      </c>
      <c r="H1558" s="7">
        <v>1148.402</v>
      </c>
      <c r="I1558" s="7">
        <v>1237.3340000000001</v>
      </c>
      <c r="J1558" s="7">
        <v>1275.3789999999999</v>
      </c>
      <c r="K1558" s="7">
        <v>1341.49</v>
      </c>
      <c r="L1558" s="7">
        <v>1399.9549999999999</v>
      </c>
      <c r="M1558" s="7">
        <v>1473.383</v>
      </c>
      <c r="N1558" s="7">
        <v>1559.4580000000001</v>
      </c>
      <c r="O1558" s="7">
        <v>1606.31</v>
      </c>
      <c r="P1558" s="7">
        <v>1619.48</v>
      </c>
      <c r="Q1558" s="7">
        <v>1732.546</v>
      </c>
      <c r="R1558" s="7">
        <v>1796.443</v>
      </c>
      <c r="S1558" s="7">
        <v>1842.21</v>
      </c>
      <c r="T1558" s="7">
        <v>1902.845</v>
      </c>
      <c r="U1558" s="7">
        <v>1964.0150000000001</v>
      </c>
      <c r="V1558" s="7">
        <v>2021.37</v>
      </c>
      <c r="W1558" s="7">
        <v>2085.4780000000001</v>
      </c>
      <c r="X1558" s="7">
        <v>2157.0770000000002</v>
      </c>
      <c r="Y1558" s="7">
        <v>2225.5880000000002</v>
      </c>
      <c r="Z1558" s="7">
        <v>2277.0839999999998</v>
      </c>
      <c r="AA1558" s="7">
        <v>2261.1390000000001</v>
      </c>
      <c r="AB1558" s="7">
        <v>2365.444</v>
      </c>
      <c r="AC1558" s="7">
        <v>2429.9630000000002</v>
      </c>
      <c r="AD1558" s="7">
        <v>2464.0830000000001</v>
      </c>
      <c r="AE1558" s="7">
        <v>2518.5039999999999</v>
      </c>
      <c r="AF1558" s="7">
        <v>2566.855</v>
      </c>
      <c r="AG1558" s="7">
        <v>2623.2719999999999</v>
      </c>
      <c r="AH1558" s="7">
        <v>2677.2820000000002</v>
      </c>
      <c r="AI1558" s="7">
        <v>2729.5279999999998</v>
      </c>
      <c r="AJ1558" s="7">
        <v>2780.6309999999999</v>
      </c>
      <c r="AK1558" s="7">
        <v>2830.9940000000001</v>
      </c>
      <c r="AL1558" s="7">
        <v>2879.1849999999999</v>
      </c>
      <c r="AM1558" s="7">
        <v>2925.076</v>
      </c>
      <c r="AN1558" s="7">
        <v>2968.9259999999999</v>
      </c>
      <c r="AO1558" s="7">
        <v>3010.5079999999998</v>
      </c>
      <c r="AP1558" s="7">
        <v>3049.877</v>
      </c>
      <c r="AQ1558" s="7">
        <v>3088.1880000000001</v>
      </c>
      <c r="AR1558" s="7">
        <v>3123.7950000000001</v>
      </c>
      <c r="AS1558" s="7">
        <v>3157.6559999999999</v>
      </c>
      <c r="AT1558" s="7">
        <v>3189.4389999999999</v>
      </c>
      <c r="AU1558" s="7">
        <v>3220.3739999999998</v>
      </c>
      <c r="AV1558" s="7">
        <v>3250.7350000000001</v>
      </c>
      <c r="AW1558" s="7">
        <v>3279.502</v>
      </c>
      <c r="AX1558" s="7">
        <v>3306.0529999999999</v>
      </c>
      <c r="AY1558" s="7">
        <v>3329.1849999999999</v>
      </c>
      <c r="AZ1558" s="7">
        <v>3348.1210000000001</v>
      </c>
      <c r="BA1558" s="7">
        <v>3363.9659999999999</v>
      </c>
      <c r="BB1558" s="7">
        <v>3377.4749999999999</v>
      </c>
      <c r="BC1558" s="7">
        <v>3389.69</v>
      </c>
      <c r="BD1558" s="7">
        <v>3401.6869999999999</v>
      </c>
      <c r="BE1558" s="7">
        <v>3412.973</v>
      </c>
      <c r="BG1558">
        <v>13698.919900000001</v>
      </c>
      <c r="BH1558">
        <v>4404.3140000000003</v>
      </c>
      <c r="BI1558">
        <v>4404.3140000000003</v>
      </c>
    </row>
    <row r="1559" spans="1:61" ht="12" customHeight="1" x14ac:dyDescent="0.2">
      <c r="A1559" t="s">
        <v>53</v>
      </c>
      <c r="B1559" s="7">
        <v>1863.866</v>
      </c>
      <c r="C1559" s="7">
        <v>1797.2080000000001</v>
      </c>
      <c r="D1559" s="7">
        <v>1821.0609999999999</v>
      </c>
      <c r="E1559" s="7">
        <v>1725.058</v>
      </c>
      <c r="F1559" s="7">
        <v>1832.3320000000001</v>
      </c>
      <c r="G1559" s="7">
        <v>2016.21</v>
      </c>
      <c r="H1559" s="7">
        <v>2118.1579999999999</v>
      </c>
      <c r="I1559" s="7">
        <v>2218.547</v>
      </c>
      <c r="J1559" s="7">
        <v>2379.634</v>
      </c>
      <c r="K1559" s="7">
        <v>2549.8560000000002</v>
      </c>
      <c r="L1559" s="7">
        <v>2712.7840000000001</v>
      </c>
      <c r="M1559" s="7">
        <v>2934.1909999999998</v>
      </c>
      <c r="N1559" s="7">
        <v>3185.029</v>
      </c>
      <c r="O1559" s="7">
        <v>3353.3649999999998</v>
      </c>
      <c r="P1559" s="7">
        <v>3089.9119999999998</v>
      </c>
      <c r="Q1559" s="7">
        <v>3229.402</v>
      </c>
      <c r="R1559" s="7">
        <v>3370.567</v>
      </c>
      <c r="S1559" s="7">
        <v>3506.2020000000002</v>
      </c>
      <c r="T1559" s="7">
        <v>3567.75</v>
      </c>
      <c r="U1559" s="7">
        <v>3594.018</v>
      </c>
      <c r="V1559" s="7">
        <v>3523.1190000000001</v>
      </c>
      <c r="W1559" s="7">
        <v>3529.942</v>
      </c>
      <c r="X1559" s="7">
        <v>3594.4229999999998</v>
      </c>
      <c r="Y1559" s="7">
        <v>3695.2950000000001</v>
      </c>
      <c r="Z1559" s="7">
        <v>3776.5210000000002</v>
      </c>
      <c r="AA1559" s="7">
        <v>3676.3049999999998</v>
      </c>
      <c r="AB1559" s="7">
        <v>3891.9830000000002</v>
      </c>
      <c r="AC1559" s="7">
        <v>3843.4490000000001</v>
      </c>
      <c r="AD1559" s="7">
        <v>3983.7089999999998</v>
      </c>
      <c r="AE1559" s="7">
        <v>4125.6509999999998</v>
      </c>
      <c r="AF1559" s="7">
        <v>4198.9390000000003</v>
      </c>
      <c r="AG1559" s="7">
        <v>4217.5569999999998</v>
      </c>
      <c r="AH1559" s="7">
        <v>4188.3959999999997</v>
      </c>
      <c r="AI1559" s="7">
        <v>4209.299</v>
      </c>
      <c r="AJ1559" s="7">
        <v>4234.8969999999999</v>
      </c>
      <c r="AK1559" s="7">
        <v>4260.3639999999996</v>
      </c>
      <c r="AL1559" s="7">
        <v>4285.9840000000004</v>
      </c>
      <c r="AM1559" s="7">
        <v>4313.9859999999999</v>
      </c>
      <c r="AN1559" s="7">
        <v>4344.5169999999998</v>
      </c>
      <c r="AO1559" s="7">
        <v>4378.143</v>
      </c>
      <c r="AP1559" s="7">
        <v>4413.2730000000001</v>
      </c>
      <c r="AQ1559" s="7">
        <v>4444.42</v>
      </c>
      <c r="AR1559" s="7">
        <v>4470.8190000000004</v>
      </c>
      <c r="AS1559" s="7">
        <v>4493.8370000000004</v>
      </c>
      <c r="AT1559" s="7">
        <v>4514.0829999999996</v>
      </c>
      <c r="AU1559" s="7">
        <v>4532.9970000000003</v>
      </c>
      <c r="AV1559" s="7">
        <v>4561.7820000000002</v>
      </c>
      <c r="AW1559" s="7">
        <v>4596.4279999999999</v>
      </c>
      <c r="AX1559" s="7">
        <v>4631.0550000000003</v>
      </c>
      <c r="AY1559" s="7">
        <v>4664.9340000000002</v>
      </c>
      <c r="AZ1559" s="7">
        <v>4697.0529999999999</v>
      </c>
      <c r="BA1559" s="7">
        <v>4730.2539999999999</v>
      </c>
      <c r="BB1559" s="7">
        <v>4766.4409999999998</v>
      </c>
      <c r="BC1559" s="7">
        <v>4799.67</v>
      </c>
      <c r="BD1559" s="7">
        <v>4829.9110000000001</v>
      </c>
      <c r="BE1559" s="7">
        <v>4859.9459999999999</v>
      </c>
      <c r="BG1559">
        <v>7974.2037837765438</v>
      </c>
      <c r="BH1559">
        <v>4242.4077573230361</v>
      </c>
      <c r="BI1559">
        <v>4242.4077573230361</v>
      </c>
    </row>
    <row r="1560" spans="1:61" ht="12" customHeight="1" x14ac:dyDescent="0.2">
      <c r="A1560" t="s">
        <v>54</v>
      </c>
      <c r="B1560" s="7">
        <v>712.83321000000012</v>
      </c>
      <c r="C1560" s="7">
        <v>683.28751999999997</v>
      </c>
      <c r="D1560" s="7">
        <v>687.01149999999996</v>
      </c>
      <c r="E1560" s="7">
        <v>692.92411000000004</v>
      </c>
      <c r="F1560" s="7">
        <v>708.00453000000005</v>
      </c>
      <c r="G1560" s="7">
        <v>753.65528999999992</v>
      </c>
      <c r="H1560" s="7">
        <v>817.56695000000002</v>
      </c>
      <c r="I1560" s="7">
        <v>867.89778999999999</v>
      </c>
      <c r="J1560" s="7">
        <v>942.19862999999987</v>
      </c>
      <c r="K1560" s="7">
        <v>1039.40824</v>
      </c>
      <c r="L1560" s="7">
        <v>1115.1836600000001</v>
      </c>
      <c r="M1560" s="7">
        <v>1227.8752799999997</v>
      </c>
      <c r="N1560" s="7">
        <v>1346.2491299999999</v>
      </c>
      <c r="O1560" s="7">
        <v>1418.2639000000001</v>
      </c>
      <c r="P1560" s="7">
        <v>1359.45144</v>
      </c>
      <c r="Q1560" s="7">
        <v>1443.45587</v>
      </c>
      <c r="R1560" s="7">
        <v>1529.5092000000002</v>
      </c>
      <c r="S1560" s="7">
        <v>1576.0421799999999</v>
      </c>
      <c r="T1560" s="7">
        <v>1627.5458000000001</v>
      </c>
      <c r="U1560" s="7">
        <v>1639.38753</v>
      </c>
      <c r="V1560" s="7">
        <v>1613.0340200000001</v>
      </c>
      <c r="W1560" s="7">
        <v>1635.8014300000002</v>
      </c>
      <c r="X1560" s="7">
        <v>1718.3662199999999</v>
      </c>
      <c r="Y1560" s="7">
        <v>1781.4333100000001</v>
      </c>
      <c r="Z1560" s="7">
        <v>1847.0314099999998</v>
      </c>
      <c r="AA1560" s="7">
        <v>1800.4947700000002</v>
      </c>
      <c r="AB1560" s="7">
        <v>1890.32222</v>
      </c>
      <c r="AC1560" s="7">
        <v>1800.9400000000003</v>
      </c>
      <c r="AD1560" s="7">
        <v>1890.7227200000002</v>
      </c>
      <c r="AE1560" s="7">
        <v>1976.5963800000002</v>
      </c>
      <c r="AF1560" s="7">
        <v>2063.4014900000002</v>
      </c>
      <c r="AG1560" s="7">
        <v>2165.9934399999997</v>
      </c>
      <c r="AH1560" s="7">
        <v>2265.1366600000001</v>
      </c>
      <c r="AI1560" s="7">
        <v>2373.3100099999997</v>
      </c>
      <c r="AJ1560" s="7">
        <v>2485.7800500000003</v>
      </c>
      <c r="AK1560" s="7">
        <v>2593.0405500000002</v>
      </c>
      <c r="AL1560" s="7">
        <v>2696.9039199999997</v>
      </c>
      <c r="AM1560" s="7">
        <v>2801.02736</v>
      </c>
      <c r="AN1560" s="7">
        <v>2907.2927799999998</v>
      </c>
      <c r="AO1560" s="7">
        <v>3016.1987000000004</v>
      </c>
      <c r="AP1560" s="7">
        <v>3129.8438200000001</v>
      </c>
      <c r="AQ1560" s="7">
        <v>3248.5356900000002</v>
      </c>
      <c r="AR1560" s="7">
        <v>3370.5258100000001</v>
      </c>
      <c r="AS1560" s="7">
        <v>3495.5121200000003</v>
      </c>
      <c r="AT1560" s="7">
        <v>3623.3752600000007</v>
      </c>
      <c r="AU1560" s="7">
        <v>3752.7009900000003</v>
      </c>
      <c r="AV1560" s="7">
        <v>3883.55008</v>
      </c>
      <c r="AW1560" s="7">
        <v>4018.0006100000005</v>
      </c>
      <c r="AX1560" s="7">
        <v>4156.5920400000005</v>
      </c>
      <c r="AY1560" s="7">
        <v>4299.45262</v>
      </c>
      <c r="AZ1560" s="7">
        <v>4446.9023199999992</v>
      </c>
      <c r="BA1560" s="7">
        <v>4597.77286</v>
      </c>
      <c r="BB1560" s="7">
        <v>4752.8377</v>
      </c>
      <c r="BC1560" s="7">
        <v>4911.9817699999994</v>
      </c>
      <c r="BD1560" s="7">
        <v>5075.2950000000001</v>
      </c>
      <c r="BE1560" s="7">
        <v>5242.6289399999996</v>
      </c>
      <c r="BG1560">
        <v>74841.072948237008</v>
      </c>
      <c r="BH1560">
        <v>13192.904775714893</v>
      </c>
      <c r="BI1560">
        <v>13192.904775714893</v>
      </c>
    </row>
    <row r="1561" spans="1:61" ht="12" customHeight="1" x14ac:dyDescent="0.2">
      <c r="A1561" t="s">
        <v>55</v>
      </c>
      <c r="B1561" s="7">
        <v>2900.471</v>
      </c>
      <c r="C1561" s="7">
        <v>3188.39</v>
      </c>
      <c r="D1561" s="7">
        <v>3483.2689999999998</v>
      </c>
      <c r="E1561" s="7">
        <v>3756.96</v>
      </c>
      <c r="F1561" s="7">
        <v>4045.625</v>
      </c>
      <c r="G1561" s="7">
        <v>4388.3040000000001</v>
      </c>
      <c r="H1561" s="7">
        <v>4753.5029999999997</v>
      </c>
      <c r="I1561" s="7">
        <v>5186.74</v>
      </c>
      <c r="J1561" s="7">
        <v>5706.8379999999997</v>
      </c>
      <c r="K1561" s="7">
        <v>6283.9080000000004</v>
      </c>
      <c r="L1561" s="7">
        <v>6999.6639999999998</v>
      </c>
      <c r="M1561" s="7">
        <v>7889.1270000000004</v>
      </c>
      <c r="N1561" s="7">
        <v>9012.7810000000009</v>
      </c>
      <c r="O1561" s="7">
        <v>9877.4850000000006</v>
      </c>
      <c r="P1561" s="7">
        <v>10809.76</v>
      </c>
      <c r="Q1561" s="7">
        <v>11957.34</v>
      </c>
      <c r="R1561" s="7">
        <v>13099.47</v>
      </c>
      <c r="S1561" s="7">
        <v>14127.71</v>
      </c>
      <c r="T1561" s="7">
        <v>15225.62</v>
      </c>
      <c r="U1561" s="7">
        <v>16350.99</v>
      </c>
      <c r="V1561" s="7">
        <v>17498.57</v>
      </c>
      <c r="W1561" s="7">
        <v>18697.27</v>
      </c>
      <c r="X1561" s="7">
        <v>19990.84</v>
      </c>
      <c r="Y1561" s="7">
        <v>21337.63</v>
      </c>
      <c r="Z1561" s="7">
        <v>22614.84</v>
      </c>
      <c r="AA1561" s="7">
        <v>23115.15</v>
      </c>
      <c r="AB1561" s="7">
        <v>25068.87</v>
      </c>
      <c r="AC1561" s="7">
        <v>25808.57</v>
      </c>
      <c r="AD1561" s="7">
        <v>27163.41</v>
      </c>
      <c r="AE1561" s="7">
        <v>28464.19</v>
      </c>
      <c r="AF1561" s="7">
        <v>29724.6</v>
      </c>
      <c r="AG1561" s="7">
        <v>30916.42</v>
      </c>
      <c r="AH1561" s="7">
        <v>32079.07</v>
      </c>
      <c r="AI1561" s="7">
        <v>33262.78</v>
      </c>
      <c r="AJ1561" s="7">
        <v>34479.31</v>
      </c>
      <c r="AK1561" s="7">
        <v>35722.36</v>
      </c>
      <c r="AL1561" s="7">
        <v>36982.39</v>
      </c>
      <c r="AM1561" s="7">
        <v>38262.589999999997</v>
      </c>
      <c r="AN1561" s="7">
        <v>39552.58</v>
      </c>
      <c r="AO1561" s="7">
        <v>40850.47</v>
      </c>
      <c r="AP1561" s="7">
        <v>42154.080000000002</v>
      </c>
      <c r="AQ1561" s="7">
        <v>43450.33</v>
      </c>
      <c r="AR1561" s="7">
        <v>44746.41</v>
      </c>
      <c r="AS1561" s="7">
        <v>46047.96</v>
      </c>
      <c r="AT1561" s="7">
        <v>47353.26</v>
      </c>
      <c r="AU1561" s="7">
        <v>48660.46</v>
      </c>
      <c r="AV1561" s="7">
        <v>49967.75</v>
      </c>
      <c r="AW1561" s="7">
        <v>51273.18</v>
      </c>
      <c r="AX1561" s="7">
        <v>52574.84</v>
      </c>
      <c r="AY1561" s="7">
        <v>53870.66</v>
      </c>
      <c r="AZ1561" s="7">
        <v>55158.66</v>
      </c>
      <c r="BA1561" s="7">
        <v>56436.73</v>
      </c>
      <c r="BB1561" s="7">
        <v>57702.86</v>
      </c>
      <c r="BC1561" s="7">
        <v>58954.81</v>
      </c>
      <c r="BD1561" s="7">
        <v>60190.53</v>
      </c>
      <c r="BE1561" s="7">
        <v>61407.89</v>
      </c>
      <c r="BG1561">
        <v>8463.3557000000001</v>
      </c>
      <c r="BH1561">
        <v>5959.3292000000001</v>
      </c>
      <c r="BI1561">
        <v>5959.3292000000001</v>
      </c>
    </row>
    <row r="1562" spans="1:61" ht="12" customHeight="1" x14ac:dyDescent="0.2">
      <c r="A1562" t="s">
        <v>56</v>
      </c>
      <c r="B1562" s="7">
        <v>1887.1369999999999</v>
      </c>
      <c r="C1562" s="7">
        <v>2020.115</v>
      </c>
      <c r="D1562" s="7">
        <v>2111.6060000000002</v>
      </c>
      <c r="E1562" s="7">
        <v>2238.7660000000001</v>
      </c>
      <c r="F1562" s="7">
        <v>2393.9279999999999</v>
      </c>
      <c r="G1562" s="7">
        <v>2529.6489999999999</v>
      </c>
      <c r="H1562" s="7">
        <v>2628.0520000000001</v>
      </c>
      <c r="I1562" s="7">
        <v>2749.2249999999999</v>
      </c>
      <c r="J1562" s="7">
        <v>2938.3890000000001</v>
      </c>
      <c r="K1562" s="7">
        <v>3165.761</v>
      </c>
      <c r="L1562" s="7">
        <v>3451.498</v>
      </c>
      <c r="M1562" s="7">
        <v>3773.973</v>
      </c>
      <c r="N1562" s="7">
        <v>4153.5420000000004</v>
      </c>
      <c r="O1562" s="7">
        <v>4412.17</v>
      </c>
      <c r="P1562" s="7">
        <v>4638.0640000000003</v>
      </c>
      <c r="Q1562" s="7">
        <v>5144.3100000000004</v>
      </c>
      <c r="R1562" s="7">
        <v>5544.3850000000002</v>
      </c>
      <c r="S1562" s="7">
        <v>5865.88</v>
      </c>
      <c r="T1562" s="7">
        <v>6227.0209999999997</v>
      </c>
      <c r="U1562" s="7">
        <v>6664.1220000000003</v>
      </c>
      <c r="V1562" s="7">
        <v>7164.7060000000001</v>
      </c>
      <c r="W1562" s="7">
        <v>7810.2240000000002</v>
      </c>
      <c r="X1562" s="7">
        <v>8287.7070000000003</v>
      </c>
      <c r="Y1562" s="7">
        <v>8889.9359999999997</v>
      </c>
      <c r="Z1562" s="7">
        <v>9298.0020000000004</v>
      </c>
      <c r="AA1562" s="7">
        <v>8728.7029999999995</v>
      </c>
      <c r="AB1562" s="7">
        <v>9559.2559999999994</v>
      </c>
      <c r="AC1562" s="7">
        <v>10188.700000000001</v>
      </c>
      <c r="AD1562" s="7">
        <v>10980.7</v>
      </c>
      <c r="AE1562" s="7">
        <v>11732.62</v>
      </c>
      <c r="AF1562" s="7">
        <v>12548.11</v>
      </c>
      <c r="AG1562" s="7">
        <v>13399.58</v>
      </c>
      <c r="AH1562" s="7">
        <v>14310.33</v>
      </c>
      <c r="AI1562" s="7">
        <v>15255.32</v>
      </c>
      <c r="AJ1562" s="7">
        <v>16239.06</v>
      </c>
      <c r="AK1562" s="7">
        <v>17258.87</v>
      </c>
      <c r="AL1562" s="7">
        <v>18308.560000000001</v>
      </c>
      <c r="AM1562" s="7">
        <v>19382.25</v>
      </c>
      <c r="AN1562" s="7">
        <v>20474.11</v>
      </c>
      <c r="AO1562" s="7">
        <v>21581.77</v>
      </c>
      <c r="AP1562" s="7">
        <v>22702.12</v>
      </c>
      <c r="AQ1562" s="7">
        <v>23830.07</v>
      </c>
      <c r="AR1562" s="7">
        <v>24972.57</v>
      </c>
      <c r="AS1562" s="7">
        <v>26123.96</v>
      </c>
      <c r="AT1562" s="7">
        <v>27287.3</v>
      </c>
      <c r="AU1562" s="7">
        <v>28470.3</v>
      </c>
      <c r="AV1562" s="7">
        <v>29671.18</v>
      </c>
      <c r="AW1562" s="7">
        <v>30888.55</v>
      </c>
      <c r="AX1562" s="7">
        <v>32120.02</v>
      </c>
      <c r="AY1562" s="7">
        <v>33364.1</v>
      </c>
      <c r="AZ1562" s="7">
        <v>34621.160000000003</v>
      </c>
      <c r="BA1562" s="7">
        <v>35892.449999999997</v>
      </c>
      <c r="BB1562" s="7">
        <v>37176.26</v>
      </c>
      <c r="BC1562" s="7">
        <v>38471.129999999997</v>
      </c>
      <c r="BD1562" s="7">
        <v>39775.78</v>
      </c>
      <c r="BE1562" s="7">
        <v>41088.86</v>
      </c>
      <c r="BG1562">
        <v>28141.332673343615</v>
      </c>
      <c r="BH1562">
        <v>5728.5937972229813</v>
      </c>
      <c r="BI1562">
        <v>5728.5937972229813</v>
      </c>
    </row>
    <row r="1563" spans="1:61" ht="12" customHeight="1" x14ac:dyDescent="0.2">
      <c r="A1563" t="s">
        <v>57</v>
      </c>
      <c r="B1563" s="7">
        <v>4385.1180699999995</v>
      </c>
      <c r="C1563" s="7">
        <v>4675.8800899999987</v>
      </c>
      <c r="D1563" s="7">
        <v>4858.8458699999992</v>
      </c>
      <c r="E1563" s="7">
        <v>4661.9477300000008</v>
      </c>
      <c r="F1563" s="7">
        <v>4837.0082499999999</v>
      </c>
      <c r="G1563" s="7">
        <v>5112.0761600000014</v>
      </c>
      <c r="H1563" s="7">
        <v>5242.2818100000013</v>
      </c>
      <c r="I1563" s="7">
        <v>5494.8192300000001</v>
      </c>
      <c r="J1563" s="7">
        <v>5791.35178</v>
      </c>
      <c r="K1563" s="7">
        <v>6176.9735199999986</v>
      </c>
      <c r="L1563" s="7">
        <v>6545.5333200000014</v>
      </c>
      <c r="M1563" s="7">
        <v>6944.958700000001</v>
      </c>
      <c r="N1563" s="7">
        <v>7400.3425599999991</v>
      </c>
      <c r="O1563" s="7">
        <v>7708.2236699999994</v>
      </c>
      <c r="P1563" s="7">
        <v>7867.5562900000004</v>
      </c>
      <c r="Q1563" s="7">
        <v>8396.9741300000005</v>
      </c>
      <c r="R1563" s="7">
        <v>8803.7707100000007</v>
      </c>
      <c r="S1563" s="7">
        <v>9271.5799400000014</v>
      </c>
      <c r="T1563" s="7">
        <v>9710.3215900000014</v>
      </c>
      <c r="U1563" s="7">
        <v>10162.853950000001</v>
      </c>
      <c r="V1563" s="7">
        <v>10564.837170000001</v>
      </c>
      <c r="W1563" s="7">
        <v>11088.549140000001</v>
      </c>
      <c r="X1563" s="7">
        <v>11686.372599999999</v>
      </c>
      <c r="Y1563" s="7">
        <v>12255.642179999997</v>
      </c>
      <c r="Z1563" s="7">
        <v>12772.369750000002</v>
      </c>
      <c r="AA1563" s="7">
        <v>12473.288280000002</v>
      </c>
      <c r="AB1563" s="7">
        <v>12988.454240000003</v>
      </c>
      <c r="AC1563" s="7">
        <v>13576.892399999999</v>
      </c>
      <c r="AD1563" s="7">
        <v>14057.189920000001</v>
      </c>
      <c r="AE1563" s="7">
        <v>14682.820890000001</v>
      </c>
      <c r="AF1563" s="7">
        <v>15308.952209999998</v>
      </c>
      <c r="AG1563" s="7">
        <v>16012.488440000001</v>
      </c>
      <c r="AH1563" s="7">
        <v>16721.169870000002</v>
      </c>
      <c r="AI1563" s="7">
        <v>17430.713359999998</v>
      </c>
      <c r="AJ1563" s="7">
        <v>18142.775740000001</v>
      </c>
      <c r="AK1563" s="7">
        <v>18866.061510000003</v>
      </c>
      <c r="AL1563" s="7">
        <v>19604.701779999999</v>
      </c>
      <c r="AM1563" s="7">
        <v>20357.938419999995</v>
      </c>
      <c r="AN1563" s="7">
        <v>21122.249710000004</v>
      </c>
      <c r="AO1563" s="7">
        <v>21893.82893</v>
      </c>
      <c r="AP1563" s="7">
        <v>22669.62012</v>
      </c>
      <c r="AQ1563" s="7">
        <v>23450.320370000001</v>
      </c>
      <c r="AR1563" s="7">
        <v>24232.270049999999</v>
      </c>
      <c r="AS1563" s="7">
        <v>25028.68117</v>
      </c>
      <c r="AT1563" s="7">
        <v>25840.117879999998</v>
      </c>
      <c r="AU1563" s="7">
        <v>26665.058919999996</v>
      </c>
      <c r="AV1563" s="7">
        <v>27500.359899999992</v>
      </c>
      <c r="AW1563" s="7">
        <v>28347.603360000005</v>
      </c>
      <c r="AX1563" s="7">
        <v>29205.910200000002</v>
      </c>
      <c r="AY1563" s="7">
        <v>30073.901150000002</v>
      </c>
      <c r="AZ1563" s="7">
        <v>30950.56871</v>
      </c>
      <c r="BA1563" s="7">
        <v>31833.836130000003</v>
      </c>
      <c r="BB1563" s="7">
        <v>32720.710599999995</v>
      </c>
      <c r="BC1563" s="7">
        <v>33612.415840000001</v>
      </c>
      <c r="BD1563" s="7">
        <v>34511.777249999999</v>
      </c>
      <c r="BE1563" s="7">
        <v>35422.997799999997</v>
      </c>
      <c r="BG1563">
        <v>55032.647165991628</v>
      </c>
      <c r="BH1563">
        <v>6445.4986700578756</v>
      </c>
      <c r="BI1563">
        <v>6445.4986700578756</v>
      </c>
    </row>
    <row r="1564" spans="1:61" ht="12" customHeight="1" x14ac:dyDescent="0.2">
      <c r="A1564" t="s">
        <v>58</v>
      </c>
      <c r="B1564" s="7">
        <v>4188.4153100000003</v>
      </c>
      <c r="C1564" s="7">
        <v>4405.1543799999999</v>
      </c>
      <c r="D1564" s="7">
        <v>4578.125399999999</v>
      </c>
      <c r="E1564" s="7">
        <v>4751.5373300000001</v>
      </c>
      <c r="F1564" s="7">
        <v>4794.8407699999998</v>
      </c>
      <c r="G1564" s="7">
        <v>5040.8444</v>
      </c>
      <c r="H1564" s="7">
        <v>5105.2073499999997</v>
      </c>
      <c r="I1564" s="7">
        <v>5156.7766799999999</v>
      </c>
      <c r="J1564" s="7">
        <v>5488.307960000001</v>
      </c>
      <c r="K1564" s="7">
        <v>5991.2549400000007</v>
      </c>
      <c r="L1564" s="7">
        <v>6302.4342600000009</v>
      </c>
      <c r="M1564" s="7">
        <v>6588.6477100000002</v>
      </c>
      <c r="N1564" s="7">
        <v>6853.5568000000003</v>
      </c>
      <c r="O1564" s="7">
        <v>7183.9678899999999</v>
      </c>
      <c r="P1564" s="7">
        <v>7219.4972199999984</v>
      </c>
      <c r="Q1564" s="7">
        <v>7643.1305000000011</v>
      </c>
      <c r="R1564" s="7">
        <v>8312.7383699999991</v>
      </c>
      <c r="S1564" s="7">
        <v>8608.1394799999998</v>
      </c>
      <c r="T1564" s="7">
        <v>8805.279919999999</v>
      </c>
      <c r="U1564" s="7">
        <v>9107.8974299999991</v>
      </c>
      <c r="V1564" s="7">
        <v>9395.9524199999978</v>
      </c>
      <c r="W1564" s="7">
        <v>9711.260519999998</v>
      </c>
      <c r="X1564" s="7">
        <v>9807.2085499999994</v>
      </c>
      <c r="Y1564" s="7">
        <v>10027.271939999999</v>
      </c>
      <c r="Z1564" s="7">
        <v>10108.855469999999</v>
      </c>
      <c r="AA1564" s="7">
        <v>9770.7034399999993</v>
      </c>
      <c r="AB1564" s="7">
        <v>10217.232520000001</v>
      </c>
      <c r="AC1564" s="7">
        <v>10907.598950000001</v>
      </c>
      <c r="AD1564" s="7">
        <v>10950.101669999998</v>
      </c>
      <c r="AE1564" s="7">
        <v>11137.43016</v>
      </c>
      <c r="AF1564" s="7">
        <v>11621.293810000003</v>
      </c>
      <c r="AG1564" s="7">
        <v>12216.673140000001</v>
      </c>
      <c r="AH1564" s="7">
        <v>12625.111030000002</v>
      </c>
      <c r="AI1564" s="7">
        <v>12977.977929999999</v>
      </c>
      <c r="AJ1564" s="7">
        <v>13307.707940000002</v>
      </c>
      <c r="AK1564" s="7">
        <v>13613.294519999999</v>
      </c>
      <c r="AL1564" s="7">
        <v>13910.990959999999</v>
      </c>
      <c r="AM1564" s="7">
        <v>14190.40258</v>
      </c>
      <c r="AN1564" s="7">
        <v>14455.25705</v>
      </c>
      <c r="AO1564" s="7">
        <v>14707.946739999999</v>
      </c>
      <c r="AP1564" s="7">
        <v>14955.146420000001</v>
      </c>
      <c r="AQ1564" s="7">
        <v>15198.121730000001</v>
      </c>
      <c r="AR1564" s="7">
        <v>15437.86757</v>
      </c>
      <c r="AS1564" s="7">
        <v>15673.448849999999</v>
      </c>
      <c r="AT1564" s="7">
        <v>15902.721710000002</v>
      </c>
      <c r="AU1564" s="7">
        <v>16129.124610000001</v>
      </c>
      <c r="AV1564" s="7">
        <v>16354.62485</v>
      </c>
      <c r="AW1564" s="7">
        <v>16581.264930000001</v>
      </c>
      <c r="AX1564" s="7">
        <v>16808.746049999998</v>
      </c>
      <c r="AY1564" s="7">
        <v>17035.82677</v>
      </c>
      <c r="AZ1564" s="7">
        <v>17261.544739999998</v>
      </c>
      <c r="BA1564" s="7">
        <v>17485.607089999998</v>
      </c>
      <c r="BB1564" s="7">
        <v>17710.635160000002</v>
      </c>
      <c r="BC1564" s="7">
        <v>17936.229340000005</v>
      </c>
      <c r="BD1564" s="7">
        <v>18162.963580000003</v>
      </c>
      <c r="BE1564" s="7">
        <v>18391.908869999999</v>
      </c>
      <c r="BG1564">
        <v>2704.5449575696284</v>
      </c>
      <c r="BH1564">
        <v>1075.9049076887452</v>
      </c>
      <c r="BI1564">
        <v>1075.9049076887452</v>
      </c>
    </row>
    <row r="1565" spans="1:61" ht="12" customHeight="1" x14ac:dyDescent="0.2">
      <c r="A1565" t="s">
        <v>59</v>
      </c>
      <c r="B1565" s="7">
        <v>2569.4588199999998</v>
      </c>
      <c r="C1565" s="7">
        <v>2700.8618599999995</v>
      </c>
      <c r="D1565" s="7">
        <v>2806.8982700000001</v>
      </c>
      <c r="E1565" s="7">
        <v>2901.1062899999997</v>
      </c>
      <c r="F1565" s="7">
        <v>2991.2219400000004</v>
      </c>
      <c r="G1565" s="7">
        <v>3098.0137100000002</v>
      </c>
      <c r="H1565" s="7">
        <v>3225.1940399999989</v>
      </c>
      <c r="I1565" s="7">
        <v>3392.9114100000002</v>
      </c>
      <c r="J1565" s="7">
        <v>3559.1500500000011</v>
      </c>
      <c r="K1565" s="7">
        <v>3765.9111199999993</v>
      </c>
      <c r="L1565" s="7">
        <v>3982.8147299999996</v>
      </c>
      <c r="M1565" s="7">
        <v>4219.5111399999996</v>
      </c>
      <c r="N1565" s="7">
        <v>4471.3136200000008</v>
      </c>
      <c r="O1565" s="7">
        <v>4683.0234800000007</v>
      </c>
      <c r="P1565" s="7">
        <v>4834.3522300000004</v>
      </c>
      <c r="Q1565" s="7">
        <v>5102.5744200000008</v>
      </c>
      <c r="R1565" s="7">
        <v>5164.8349100000014</v>
      </c>
      <c r="S1565" s="7">
        <v>5423.724470000001</v>
      </c>
      <c r="T1565" s="7">
        <v>5596.424680000001</v>
      </c>
      <c r="U1565" s="7">
        <v>5807.0300300000008</v>
      </c>
      <c r="V1565" s="7">
        <v>5991.7287399999996</v>
      </c>
      <c r="W1565" s="7">
        <v>6114.5024699999985</v>
      </c>
      <c r="X1565" s="7">
        <v>6347.7664100000002</v>
      </c>
      <c r="Y1565" s="7">
        <v>6564.7471799999976</v>
      </c>
      <c r="Z1565" s="7">
        <v>6743.9338399999979</v>
      </c>
      <c r="AA1565" s="7">
        <v>6570.407369999999</v>
      </c>
      <c r="AB1565" s="7">
        <v>6935.2083400000001</v>
      </c>
      <c r="AC1565" s="7">
        <v>7157.7048500000001</v>
      </c>
      <c r="AD1565" s="7">
        <v>7395.2796400000007</v>
      </c>
      <c r="AE1565" s="7">
        <v>7592.7391299999999</v>
      </c>
      <c r="AF1565" s="7">
        <v>7849.9432400000005</v>
      </c>
      <c r="AG1565" s="7">
        <v>8149.8392100000001</v>
      </c>
      <c r="AH1565" s="7">
        <v>8423.1480800000008</v>
      </c>
      <c r="AI1565" s="7">
        <v>8694.2365200000004</v>
      </c>
      <c r="AJ1565" s="7">
        <v>8965.2421000000013</v>
      </c>
      <c r="AK1565" s="7">
        <v>9240.2701199999974</v>
      </c>
      <c r="AL1565" s="7">
        <v>9520.4506599999968</v>
      </c>
      <c r="AM1565" s="7">
        <v>9801.6588199999987</v>
      </c>
      <c r="AN1565" s="7">
        <v>10084.286060000002</v>
      </c>
      <c r="AO1565" s="7">
        <v>10369.683669999997</v>
      </c>
      <c r="AP1565" s="7">
        <v>10658.208060000001</v>
      </c>
      <c r="AQ1565" s="7">
        <v>10950.605030000001</v>
      </c>
      <c r="AR1565" s="7">
        <v>11246.310230000003</v>
      </c>
      <c r="AS1565" s="7">
        <v>11544.730680000004</v>
      </c>
      <c r="AT1565" s="7">
        <v>11845.860150000002</v>
      </c>
      <c r="AU1565" s="7">
        <v>12149.657440000001</v>
      </c>
      <c r="AV1565" s="7">
        <v>12456.261749999998</v>
      </c>
      <c r="AW1565" s="7">
        <v>12765.32648</v>
      </c>
      <c r="AX1565" s="7">
        <v>13076.929719999998</v>
      </c>
      <c r="AY1565" s="7">
        <v>13391.242969999999</v>
      </c>
      <c r="AZ1565" s="7">
        <v>13708.176179999997</v>
      </c>
      <c r="BA1565" s="7">
        <v>14027.549530000002</v>
      </c>
      <c r="BB1565" s="7">
        <v>14349.129870000001</v>
      </c>
      <c r="BC1565" s="7">
        <v>14672.723720000007</v>
      </c>
      <c r="BD1565" s="7">
        <v>14998.105070000001</v>
      </c>
      <c r="BE1565" s="7">
        <v>15325.124729999998</v>
      </c>
    </row>
    <row r="1566" spans="1:61" ht="12" customHeight="1" x14ac:dyDescent="0.2">
      <c r="A1566" t="s">
        <v>60</v>
      </c>
      <c r="B1566" s="7">
        <v>1783.1010000000001</v>
      </c>
      <c r="C1566" s="7">
        <v>1816.9269999999999</v>
      </c>
      <c r="D1566" s="7">
        <v>1884.634</v>
      </c>
      <c r="E1566" s="7">
        <v>1891.3489999999999</v>
      </c>
      <c r="F1566" s="7">
        <v>1900.201</v>
      </c>
      <c r="G1566" s="7">
        <v>1982.2059999999999</v>
      </c>
      <c r="H1566" s="7">
        <v>2011.5170000000001</v>
      </c>
      <c r="I1566" s="7">
        <v>2072.3470000000002</v>
      </c>
      <c r="J1566" s="7">
        <v>2096.5740000000001</v>
      </c>
      <c r="K1566" s="7">
        <v>2210.3560000000002</v>
      </c>
      <c r="L1566" s="7">
        <v>2290.9270000000001</v>
      </c>
      <c r="M1566" s="7">
        <v>2381.3359999999998</v>
      </c>
      <c r="N1566" s="7">
        <v>2522.5149999999999</v>
      </c>
      <c r="O1566" s="7">
        <v>2643.1819999999998</v>
      </c>
      <c r="P1566" s="7">
        <v>2647.7040000000002</v>
      </c>
      <c r="Q1566" s="7">
        <v>2847.6379999999999</v>
      </c>
      <c r="R1566" s="7">
        <v>2964.8009999999999</v>
      </c>
      <c r="S1566" s="7">
        <v>3012.6080000000002</v>
      </c>
      <c r="T1566" s="7">
        <v>3108.7460000000001</v>
      </c>
      <c r="U1566" s="7">
        <v>3124.77</v>
      </c>
      <c r="V1566" s="7">
        <v>3014.0880000000002</v>
      </c>
      <c r="W1566" s="7">
        <v>2909.4070000000002</v>
      </c>
      <c r="X1566" s="7">
        <v>2956.7739999999999</v>
      </c>
      <c r="Y1566" s="7">
        <v>3005.8249999999998</v>
      </c>
      <c r="Z1566" s="7">
        <v>3042.335</v>
      </c>
      <c r="AA1566" s="7">
        <v>2933.7939999999999</v>
      </c>
      <c r="AB1566" s="7">
        <v>3083.5340000000001</v>
      </c>
      <c r="AC1566" s="7">
        <v>3180.11</v>
      </c>
      <c r="AD1566" s="7">
        <v>3272.5129999999999</v>
      </c>
      <c r="AE1566" s="7">
        <v>3378</v>
      </c>
      <c r="AF1566" s="7">
        <v>3441.6550000000002</v>
      </c>
      <c r="AG1566" s="7">
        <v>3491.2049999999999</v>
      </c>
      <c r="AH1566" s="7">
        <v>3556.7089999999998</v>
      </c>
      <c r="AI1566" s="7">
        <v>3628.2150000000001</v>
      </c>
      <c r="AJ1566" s="7">
        <v>3697.7269999999999</v>
      </c>
      <c r="AK1566" s="7">
        <v>3765.252</v>
      </c>
      <c r="AL1566" s="7">
        <v>3831.1419999999998</v>
      </c>
      <c r="AM1566" s="7">
        <v>3895.62</v>
      </c>
      <c r="AN1566" s="7">
        <v>3958.761</v>
      </c>
      <c r="AO1566" s="7">
        <v>4020.5259999999998</v>
      </c>
      <c r="AP1566" s="7">
        <v>4080.8629999999998</v>
      </c>
      <c r="AQ1566" s="7">
        <v>4139.741</v>
      </c>
      <c r="AR1566" s="7">
        <v>4197.1379999999999</v>
      </c>
      <c r="AS1566" s="7">
        <v>4253.0010000000002</v>
      </c>
      <c r="AT1566" s="7">
        <v>4307.2550000000001</v>
      </c>
      <c r="AU1566" s="7">
        <v>4359.8339999999998</v>
      </c>
      <c r="AV1566" s="7">
        <v>4410.6660000000002</v>
      </c>
      <c r="AW1566" s="7">
        <v>4459.6790000000001</v>
      </c>
      <c r="AX1566" s="7">
        <v>4506.8029999999999</v>
      </c>
      <c r="AY1566" s="7">
        <v>4551.9709999999995</v>
      </c>
      <c r="AZ1566" s="7">
        <v>4595.1139999999996</v>
      </c>
      <c r="BA1566" s="7">
        <v>4636.1719999999996</v>
      </c>
      <c r="BB1566" s="7">
        <v>4675.0780000000004</v>
      </c>
      <c r="BC1566" s="7">
        <v>4711.7759999999998</v>
      </c>
      <c r="BD1566" s="7">
        <v>4746.2079999999996</v>
      </c>
      <c r="BE1566" s="7">
        <v>4778.3280000000004</v>
      </c>
    </row>
    <row r="1567" spans="1:61" ht="12" customHeight="1" x14ac:dyDescent="0.2">
      <c r="A1567" t="s">
        <v>61</v>
      </c>
      <c r="B1567" s="7">
        <v>2230.4260600000002</v>
      </c>
      <c r="C1567" s="7">
        <v>2308.0578100000002</v>
      </c>
      <c r="D1567" s="7">
        <v>2433.7741000000001</v>
      </c>
      <c r="E1567" s="7">
        <v>2496.9003499999999</v>
      </c>
      <c r="F1567" s="7">
        <v>2456.4238300000002</v>
      </c>
      <c r="G1567" s="7">
        <v>2515.1892499999999</v>
      </c>
      <c r="H1567" s="7">
        <v>2533.8883599999999</v>
      </c>
      <c r="I1567" s="7">
        <v>2481.3481999999999</v>
      </c>
      <c r="J1567" s="7">
        <v>2555.4194299999986</v>
      </c>
      <c r="K1567" s="7">
        <v>2721.8679499999994</v>
      </c>
      <c r="L1567" s="7">
        <v>2902.9218999999994</v>
      </c>
      <c r="M1567" s="7">
        <v>3113.3303199999996</v>
      </c>
      <c r="N1567" s="7">
        <v>3331.4917400000004</v>
      </c>
      <c r="O1567" s="7">
        <v>3479.4403700000003</v>
      </c>
      <c r="P1567" s="7">
        <v>3422.82611</v>
      </c>
      <c r="Q1567" s="7">
        <v>3595.4049700000005</v>
      </c>
      <c r="R1567" s="7">
        <v>3788.8704199999993</v>
      </c>
      <c r="S1567" s="7">
        <v>3913.1916700000006</v>
      </c>
      <c r="T1567" s="7">
        <v>4052.6352100000008</v>
      </c>
      <c r="U1567" s="7">
        <v>4096.4721699999991</v>
      </c>
      <c r="V1567" s="7">
        <v>4163.9574899999998</v>
      </c>
      <c r="W1567" s="7">
        <v>4124.2721000000001</v>
      </c>
      <c r="X1567" s="7">
        <v>4153.2687100000003</v>
      </c>
      <c r="Y1567" s="7">
        <v>4145.4582000000009</v>
      </c>
      <c r="Z1567" s="7">
        <v>4092.1321799999992</v>
      </c>
      <c r="AA1567" s="7">
        <v>3720.4715699999979</v>
      </c>
      <c r="AB1567" s="7">
        <v>4081.1911699999996</v>
      </c>
      <c r="AC1567" s="7">
        <v>4291.212129999999</v>
      </c>
      <c r="AD1567" s="7">
        <v>4342.2540600000011</v>
      </c>
      <c r="AE1567" s="7">
        <v>4417.0370900000016</v>
      </c>
      <c r="AF1567" s="7">
        <v>4561.8524899999993</v>
      </c>
      <c r="AG1567" s="7">
        <v>4718.9329500000003</v>
      </c>
      <c r="AH1567" s="7">
        <v>4867.1948300000004</v>
      </c>
      <c r="AI1567" s="7">
        <v>5004.8303699999997</v>
      </c>
      <c r="AJ1567" s="7">
        <v>5139.282009999999</v>
      </c>
      <c r="AK1567" s="7">
        <v>5273.1445900000017</v>
      </c>
      <c r="AL1567" s="7">
        <v>5407.0483200000026</v>
      </c>
      <c r="AM1567" s="7">
        <v>5541.4498000000012</v>
      </c>
      <c r="AN1567" s="7">
        <v>5676.278510000001</v>
      </c>
      <c r="AO1567" s="7">
        <v>5811.1374500000002</v>
      </c>
      <c r="AP1567" s="7">
        <v>5945.6201899999987</v>
      </c>
      <c r="AQ1567" s="7">
        <v>6079.8097999999991</v>
      </c>
      <c r="AR1567" s="7">
        <v>6214.5552400000006</v>
      </c>
      <c r="AS1567" s="7">
        <v>6350.0739499999981</v>
      </c>
      <c r="AT1567" s="7">
        <v>6486.6865400000006</v>
      </c>
      <c r="AU1567" s="7">
        <v>6624.1654799999988</v>
      </c>
      <c r="AV1567" s="7">
        <v>6762.3430400000016</v>
      </c>
      <c r="AW1567" s="7">
        <v>6901.1483799999987</v>
      </c>
      <c r="AX1567" s="7">
        <v>7040.7190799999962</v>
      </c>
      <c r="AY1567" s="7">
        <v>7180.9798499999997</v>
      </c>
      <c r="AZ1567" s="7">
        <v>7321.8158400000011</v>
      </c>
      <c r="BA1567" s="7">
        <v>7463.1384500000022</v>
      </c>
      <c r="BB1567" s="7">
        <v>7604.5295799999994</v>
      </c>
      <c r="BC1567" s="7">
        <v>7745.9080400000012</v>
      </c>
      <c r="BD1567" s="7">
        <v>7887.5298499999981</v>
      </c>
      <c r="BE1567" s="7">
        <v>8029.5409999999993</v>
      </c>
    </row>
    <row r="1568" spans="1:61" ht="12" customHeight="1" x14ac:dyDescent="0.2">
      <c r="A1568" t="s">
        <v>364</v>
      </c>
      <c r="BG1568">
        <v>298918.96110000001</v>
      </c>
      <c r="BH1568">
        <v>0</v>
      </c>
      <c r="BI1568">
        <v>88962.801900000006</v>
      </c>
    </row>
    <row r="1569" spans="1:1" ht="12" customHeight="1" x14ac:dyDescent="0.2">
      <c r="A1569" t="s">
        <v>349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trnair</vt:lpstr>
      <vt:lpstr>AIR_MGMT_ADJ</vt:lpstr>
      <vt:lpstr>ALPHAYD</vt:lpstr>
      <vt:lpstr>ALPHAYI</vt:lpstr>
      <vt:lpstr>ASMAC</vt:lpstr>
      <vt:lpstr>beta1_ftm</vt:lpstr>
      <vt:lpstr>beta1_rpm</vt:lpstr>
      <vt:lpstr>BETAFUELD</vt:lpstr>
      <vt:lpstr>BETAFUELI</vt:lpstr>
      <vt:lpstr>BETATIMED</vt:lpstr>
      <vt:lpstr>BETATIMEI</vt:lpstr>
      <vt:lpstr>COVIDMULT_HIMAC</vt:lpstr>
      <vt:lpstr>COVIDMULT_LOMAC</vt:lpstr>
      <vt:lpstr>COVIDMULT_REF</vt:lpstr>
      <vt:lpstr>FTM_HIST</vt:lpstr>
      <vt:lpstr>FTMAC</vt:lpstr>
      <vt:lpstr>FUEL_BURN_RED</vt:lpstr>
      <vt:lpstr>GPTMD_FRT</vt:lpstr>
      <vt:lpstr>GPTMD_PASS</vt:lpstr>
      <vt:lpstr>GPTMD_PASS_VINT</vt:lpstr>
      <vt:lpstr>GPTMI_FRT</vt:lpstr>
      <vt:lpstr>GPTMI_PASS</vt:lpstr>
      <vt:lpstr>GPTMI_PASS_VINT</vt:lpstr>
      <vt:lpstr>intercept_ftm</vt:lpstr>
      <vt:lpstr>intercept_rpm</vt:lpstr>
      <vt:lpstr>LOAD_FACTOR</vt:lpstr>
      <vt:lpstr>MAX_UNPRK_SHR</vt:lpstr>
      <vt:lpstr>MAXAGE_UNPRK_P</vt:lpstr>
      <vt:lpstr>MIN_PRK_SHR</vt:lpstr>
      <vt:lpstr>MINAGE_C_PACT</vt:lpstr>
      <vt:lpstr>MINAGE_C_PPRK</vt:lpstr>
      <vt:lpstr>MINAGE_PRK_F</vt:lpstr>
      <vt:lpstr>MINAGE_PRK_P</vt:lpstr>
      <vt:lpstr>PASS_WEIGHT</vt:lpstr>
      <vt:lpstr>PCT_BELLY_DOM</vt:lpstr>
      <vt:lpstr>PCT_BELLY_FRT</vt:lpstr>
      <vt:lpstr>PCT_BELLY_INT</vt:lpstr>
      <vt:lpstr>PCT_BELLY_PLOAD</vt:lpstr>
      <vt:lpstr>PCT_PASS_MTOW</vt:lpstr>
      <vt:lpstr>QAGTR_US</vt:lpstr>
      <vt:lpstr>RHOYD</vt:lpstr>
      <vt:lpstr>RHOYI</vt:lpstr>
      <vt:lpstr>RPMT_HIST</vt:lpstr>
      <vt:lpstr>SC_TOT_H</vt:lpstr>
      <vt:lpstr>SHR_FTM_BODY</vt:lpstr>
      <vt:lpstr>SHR_FTMD</vt:lpstr>
      <vt:lpstr>SHR_FTMI</vt:lpstr>
      <vt:lpstr>SHR_RPM_BODY</vt:lpstr>
      <vt:lpstr>SHR_RPMD</vt:lpstr>
      <vt:lpstr>SHR_RPMI</vt:lpstr>
      <vt:lpstr>STK_ALIGN_MULT</vt:lpstr>
      <vt:lpstr>STK_SUP_NEW</vt:lpstr>
      <vt:lpstr>STKCA</vt:lpstr>
      <vt:lpstr>STKCAVINT</vt:lpstr>
      <vt:lpstr>STKCP</vt:lpstr>
      <vt:lpstr>STKCPVINT</vt:lpstr>
      <vt:lpstr>STKPA</vt:lpstr>
      <vt:lpstr>STKPAVINT</vt:lpstr>
      <vt:lpstr>STKPP</vt:lpstr>
      <vt:lpstr>STKPPVINT</vt:lpstr>
      <vt:lpstr>SURVAC</vt:lpstr>
      <vt:lpstr>WLD_GDP</vt:lpstr>
      <vt:lpstr>WLD_POP</vt:lpstr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Skelly, Daniel</dc:creator>
  <cp:lastModifiedBy>Dwyer, Michael</cp:lastModifiedBy>
  <dcterms:created xsi:type="dcterms:W3CDTF">2008-03-19T11:53:56Z</dcterms:created>
  <dcterms:modified xsi:type="dcterms:W3CDTF">2025-12-31T18:23:10Z</dcterms:modified>
</cp:coreProperties>
</file>
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defaultThemeVersion="124226"/>
  <xr:revisionPtr revIDLastSave="0" documentId="13_ncr:1_{91786DD8-B0D0-4534-9F8E-E56118604463}" xr6:coauthVersionLast="47" xr6:coauthVersionMax="47" xr10:uidLastSave="{00000000-0000-0000-0000-000000000000}"/>
  <bookViews>
    <workbookView xWindow="-120" yWindow="-120" windowWidth="29040" windowHeight="16440" tabRatio="682" firstSheet="5" xr2:uid="{00000000-000D-0000-FFFF-FFFF00000000}"/>
  </bookViews>
  <sheets>
    <sheet name="README" sheetId="20" r:id="rId1"/>
    <sheet name="Summary" sheetId="9" r:id="rId2"/>
    <sheet name="Fiscal Year Projections" sheetId="12" r:id="rId3"/>
    <sheet name="Adjusted Russia Projections" sheetId="19" r:id="rId4"/>
    <sheet name="Country-Specific Data" sheetId="10" r:id="rId5"/>
    <sheet name="Action-Based Data" sheetId="11" r:id="rId6"/>
    <sheet name="ALLData" sheetId="1" r:id="rId7"/>
    <sheet name="License" sheetId="22" r:id="rId8"/>
  </sheets>
  <definedNames>
    <definedName name="_xlnm._FilterDatabase" localSheetId="6" hidden="1">ALLData!$A$1:$M$443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37" i="12" l="1"/>
  <c r="P37" i="12"/>
  <c r="B37" i="12"/>
  <c r="C37" i="12"/>
  <c r="D37" i="12"/>
  <c r="E37" i="12"/>
  <c r="F37" i="12"/>
  <c r="G37" i="12"/>
  <c r="H37" i="12"/>
  <c r="I37" i="12"/>
  <c r="J37" i="12"/>
  <c r="K37" i="12"/>
  <c r="L37" i="12"/>
  <c r="M37" i="12"/>
  <c r="N37" i="12"/>
  <c r="C21" i="10"/>
  <c r="D21" i="10"/>
  <c r="E21" i="10"/>
  <c r="F21" i="10"/>
  <c r="G21" i="10"/>
  <c r="H21" i="10"/>
  <c r="I21" i="10"/>
  <c r="J21" i="10"/>
  <c r="K21" i="10"/>
  <c r="L21" i="10"/>
  <c r="M21" i="10"/>
  <c r="N21" i="10"/>
  <c r="O21" i="10"/>
  <c r="P21" i="10"/>
  <c r="B21" i="10"/>
  <c r="D12" i="11"/>
  <c r="E12" i="11"/>
  <c r="F12" i="11"/>
  <c r="G12" i="11"/>
  <c r="H12" i="11"/>
  <c r="I12" i="11"/>
  <c r="J12" i="11"/>
  <c r="K12" i="11"/>
  <c r="L12" i="11"/>
  <c r="M12" i="11"/>
  <c r="N12" i="11"/>
  <c r="O12" i="11"/>
  <c r="P12" i="11"/>
  <c r="Q12" i="11"/>
  <c r="C12" i="11"/>
  <c r="C35" i="12"/>
  <c r="D35" i="12"/>
  <c r="E35" i="12"/>
  <c r="F35" i="12"/>
  <c r="G35" i="12"/>
  <c r="H35" i="12"/>
  <c r="I35" i="12"/>
  <c r="J35" i="12"/>
  <c r="K35" i="12"/>
  <c r="L35" i="12"/>
  <c r="M35" i="12"/>
  <c r="N35" i="12"/>
  <c r="O35" i="12"/>
  <c r="P35" i="12"/>
  <c r="Q35" i="12"/>
  <c r="R35" i="12"/>
  <c r="S35" i="12"/>
  <c r="B35" i="12"/>
  <c r="B13" i="19" l="1"/>
  <c r="AA4" i="12"/>
  <c r="H402" i="1" l="1"/>
  <c r="M401" i="1"/>
  <c r="H401" i="1"/>
  <c r="M397" i="1"/>
  <c r="M398" i="1"/>
  <c r="M399" i="1"/>
  <c r="M400" i="1"/>
  <c r="H400" i="1"/>
  <c r="H399" i="1"/>
  <c r="H398" i="1"/>
  <c r="H396" i="1"/>
  <c r="H397" i="1"/>
  <c r="H394" i="1"/>
  <c r="H395" i="1"/>
  <c r="M393" i="1"/>
  <c r="M394" i="1"/>
  <c r="M395" i="1"/>
  <c r="M396" i="1"/>
  <c r="M392" i="1"/>
  <c r="H393" i="1"/>
  <c r="H392" i="1"/>
  <c r="M391" i="1"/>
  <c r="H391" i="1"/>
  <c r="H390" i="1"/>
  <c r="H389" i="1"/>
  <c r="M389" i="1"/>
  <c r="M390" i="1"/>
  <c r="M387" i="1"/>
  <c r="M388" i="1"/>
  <c r="H388" i="1"/>
  <c r="H387" i="1"/>
  <c r="Z4" i="12"/>
  <c r="H386" i="1" l="1"/>
  <c r="M386" i="1"/>
  <c r="M385" i="1" l="1"/>
  <c r="H385" i="1"/>
  <c r="M384" i="1"/>
  <c r="H384" i="1"/>
  <c r="M383" i="1"/>
  <c r="H383" i="1"/>
  <c r="M382" i="1"/>
  <c r="H382" i="1"/>
  <c r="M381" i="1"/>
  <c r="H381" i="1"/>
  <c r="M379" i="1"/>
  <c r="M380" i="1"/>
  <c r="M378" i="1"/>
  <c r="H379" i="1"/>
  <c r="H380" i="1"/>
  <c r="H378" i="1"/>
  <c r="M376" i="1"/>
  <c r="H376" i="1"/>
  <c r="M373" i="1"/>
  <c r="M374" i="1"/>
  <c r="M375" i="1"/>
  <c r="M372" i="1"/>
  <c r="H373" i="1"/>
  <c r="H374" i="1"/>
  <c r="H375" i="1"/>
  <c r="H372" i="1"/>
  <c r="H324" i="1" l="1"/>
  <c r="D4" i="12" l="1"/>
  <c r="E4" i="12"/>
  <c r="F4" i="12"/>
  <c r="G4" i="12"/>
  <c r="H4" i="12"/>
  <c r="I4" i="12"/>
  <c r="J4" i="12"/>
  <c r="K4" i="12"/>
  <c r="L4" i="12"/>
  <c r="M4" i="12"/>
  <c r="N4" i="12"/>
  <c r="O4" i="12"/>
  <c r="P4" i="12"/>
  <c r="Q4" i="12"/>
  <c r="R4" i="12"/>
  <c r="S4" i="12"/>
  <c r="T4" i="12"/>
  <c r="U4" i="12"/>
  <c r="V4" i="12"/>
  <c r="W4" i="12"/>
  <c r="X4" i="12"/>
  <c r="Y4" i="12"/>
  <c r="C4" i="12"/>
  <c r="M371" i="1" l="1"/>
  <c r="H371" i="1"/>
  <c r="M370" i="1"/>
  <c r="H370" i="1"/>
  <c r="M369" i="1"/>
  <c r="H369" i="1"/>
  <c r="M337" i="1"/>
  <c r="H333" i="1"/>
  <c r="H334" i="1"/>
  <c r="H332" i="1"/>
  <c r="H328" i="1"/>
  <c r="H329" i="1"/>
  <c r="H330" i="1"/>
  <c r="H331" i="1"/>
  <c r="H327" i="1"/>
  <c r="M368" i="1"/>
  <c r="H368" i="1"/>
  <c r="M367" i="1"/>
  <c r="M366" i="1"/>
  <c r="M362" i="1"/>
  <c r="M363" i="1"/>
  <c r="M364" i="1"/>
  <c r="M365" i="1"/>
  <c r="M361" i="1"/>
  <c r="H362" i="1"/>
  <c r="H363" i="1"/>
  <c r="H364" i="1"/>
  <c r="H365" i="1"/>
  <c r="H361" i="1"/>
  <c r="M360" i="1"/>
  <c r="I360" i="1"/>
  <c r="M357" i="1"/>
  <c r="M358" i="1"/>
  <c r="M359" i="1"/>
  <c r="M356" i="1"/>
  <c r="H357" i="1"/>
  <c r="H358" i="1"/>
  <c r="H359" i="1"/>
  <c r="H356" i="1"/>
  <c r="M354" i="1"/>
  <c r="M355" i="1"/>
  <c r="M353" i="1"/>
  <c r="H355" i="1"/>
  <c r="H354" i="1"/>
  <c r="H353" i="1"/>
  <c r="M351" i="1"/>
  <c r="M352" i="1"/>
  <c r="M350" i="1"/>
  <c r="H351" i="1"/>
  <c r="H352" i="1"/>
  <c r="H350" i="1"/>
  <c r="M349" i="1"/>
  <c r="H348" i="1"/>
  <c r="M346" i="1"/>
  <c r="M348" i="1"/>
  <c r="M347" i="1"/>
  <c r="H347" i="1"/>
  <c r="H346" i="1"/>
  <c r="M341" i="1"/>
  <c r="M342" i="1"/>
  <c r="M343" i="1"/>
  <c r="M344" i="1"/>
  <c r="M340" i="1"/>
  <c r="M336" i="1"/>
  <c r="M338" i="1"/>
  <c r="M339" i="1"/>
  <c r="M335" i="1"/>
  <c r="H341" i="1"/>
  <c r="H342" i="1"/>
  <c r="H343" i="1"/>
  <c r="H344" i="1"/>
  <c r="H340" i="1"/>
  <c r="H336" i="1"/>
  <c r="H337" i="1"/>
  <c r="H338" i="1"/>
  <c r="H339" i="1"/>
  <c r="H335" i="1"/>
  <c r="H305" i="1"/>
  <c r="H320" i="1"/>
  <c r="M334" i="1"/>
  <c r="M333" i="1"/>
  <c r="M332" i="1"/>
  <c r="M328" i="1"/>
  <c r="M329" i="1"/>
  <c r="M330" i="1"/>
  <c r="M331" i="1"/>
  <c r="M327" i="1"/>
  <c r="M326" i="1"/>
  <c r="M325" i="1"/>
  <c r="M321" i="1"/>
  <c r="M322" i="1"/>
  <c r="M323" i="1"/>
  <c r="M324" i="1"/>
  <c r="M320" i="1"/>
  <c r="H321" i="1"/>
  <c r="H322" i="1"/>
  <c r="H323" i="1"/>
  <c r="M319" i="1"/>
  <c r="M318" i="1"/>
  <c r="M317" i="1" l="1"/>
  <c r="M316" i="1"/>
  <c r="M315" i="1"/>
  <c r="M314" i="1"/>
  <c r="M313" i="1"/>
  <c r="M312" i="1"/>
  <c r="M311" i="1" l="1"/>
  <c r="M310" i="1"/>
  <c r="M309" i="1"/>
  <c r="M307" i="1"/>
  <c r="M308" i="1"/>
  <c r="H308" i="1"/>
  <c r="H307" i="1"/>
  <c r="M306" i="1"/>
  <c r="M300" i="1"/>
  <c r="M301" i="1"/>
  <c r="M302" i="1"/>
  <c r="M303" i="1"/>
  <c r="M304" i="1"/>
  <c r="M305" i="1"/>
  <c r="H302" i="1"/>
  <c r="H303" i="1"/>
  <c r="H304" i="1"/>
  <c r="H301" i="1"/>
  <c r="M299" i="1"/>
  <c r="J294" i="1"/>
  <c r="M294" i="1" s="1"/>
  <c r="J295" i="1"/>
  <c r="M295" i="1" s="1"/>
  <c r="J296" i="1"/>
  <c r="M296" i="1" s="1"/>
  <c r="J297" i="1"/>
  <c r="M297" i="1" s="1"/>
  <c r="J298" i="1"/>
  <c r="M298" i="1" s="1"/>
  <c r="J293" i="1"/>
  <c r="M293" i="1" s="1"/>
  <c r="H294" i="1"/>
  <c r="H295" i="1"/>
  <c r="H296" i="1"/>
  <c r="H297" i="1"/>
  <c r="H298" i="1"/>
  <c r="H293" i="1"/>
  <c r="M292" i="1"/>
  <c r="M291" i="1"/>
  <c r="M290" i="1"/>
  <c r="M286" i="1" l="1"/>
  <c r="M287" i="1"/>
  <c r="M288" i="1"/>
  <c r="M289" i="1"/>
  <c r="M285" i="1"/>
  <c r="H286" i="1"/>
  <c r="H287" i="1"/>
  <c r="H288" i="1"/>
  <c r="H289" i="1"/>
  <c r="H285" i="1"/>
  <c r="J283" i="1" l="1"/>
  <c r="M283" i="1" s="1"/>
  <c r="B278" i="1"/>
  <c r="H278" i="1"/>
  <c r="J278" i="1" s="1"/>
  <c r="M278" i="1" s="1"/>
  <c r="I279" i="1"/>
  <c r="H279" i="1" s="1"/>
  <c r="J279" i="1" s="1"/>
  <c r="M279" i="1" s="1"/>
  <c r="E278" i="1"/>
  <c r="E279" i="1" s="1"/>
  <c r="E280" i="1" s="1"/>
  <c r="E281" i="1" s="1"/>
  <c r="E282" i="1" s="1"/>
  <c r="A279" i="1"/>
  <c r="A280" i="1" s="1"/>
  <c r="A281" i="1" s="1"/>
  <c r="A282" i="1" s="1"/>
  <c r="I275" i="1"/>
  <c r="H275" i="1" s="1"/>
  <c r="J275" i="1" s="1"/>
  <c r="M275" i="1" s="1"/>
  <c r="B279" i="1" l="1"/>
  <c r="B280" i="1" s="1"/>
  <c r="B281" i="1" s="1"/>
  <c r="I276" i="1"/>
  <c r="H276" i="1" s="1"/>
  <c r="J276" i="1" s="1"/>
  <c r="M276" i="1" s="1"/>
  <c r="I280" i="1"/>
  <c r="J273" i="1"/>
  <c r="M273" i="1" s="1"/>
  <c r="C7" i="11" l="1"/>
  <c r="C6" i="10"/>
  <c r="M8" i="11"/>
  <c r="O10" i="10"/>
  <c r="P15" i="10"/>
  <c r="G6" i="10"/>
  <c r="Q7" i="11"/>
  <c r="J9" i="10"/>
  <c r="H9" i="11"/>
  <c r="I19" i="10"/>
  <c r="N13" i="10"/>
  <c r="I9" i="11"/>
  <c r="D5" i="11"/>
  <c r="F16" i="10"/>
  <c r="J14" i="10"/>
  <c r="C8" i="10"/>
  <c r="E3" i="10"/>
  <c r="O15" i="10"/>
  <c r="B19" i="10"/>
  <c r="E14" i="10"/>
  <c r="P10" i="10"/>
  <c r="J4" i="10"/>
  <c r="J6" i="11"/>
  <c r="P12" i="10"/>
  <c r="I8" i="11"/>
  <c r="K19" i="10"/>
  <c r="L11" i="10"/>
  <c r="H8" i="11"/>
  <c r="I18" i="10"/>
  <c r="L13" i="10"/>
  <c r="C3" i="10"/>
  <c r="E15" i="10"/>
  <c r="O9" i="10"/>
  <c r="B4" i="10"/>
  <c r="B282" i="1"/>
  <c r="E8" i="10" s="1"/>
  <c r="I281" i="1"/>
  <c r="H280" i="1"/>
  <c r="J280" i="1" s="1"/>
  <c r="M280" i="1" s="1"/>
  <c r="L10" i="10" s="1"/>
  <c r="J268" i="1"/>
  <c r="J269" i="1"/>
  <c r="J270" i="1"/>
  <c r="J271" i="1"/>
  <c r="J272" i="1"/>
  <c r="M272" i="1" s="1"/>
  <c r="L7" i="10" s="1"/>
  <c r="G15" i="10" l="1"/>
  <c r="P5" i="10"/>
  <c r="D15" i="10"/>
  <c r="H9" i="10"/>
  <c r="I9" i="10"/>
  <c r="D18" i="10"/>
  <c r="I11" i="10"/>
  <c r="I16" i="12" s="1"/>
  <c r="D3" i="10"/>
  <c r="L14" i="10"/>
  <c r="O7" i="11"/>
  <c r="P7" i="11"/>
  <c r="O9" i="11"/>
  <c r="P10" i="11"/>
  <c r="O6" i="10"/>
  <c r="B13" i="10"/>
  <c r="B18" i="12" s="1"/>
  <c r="M15" i="10"/>
  <c r="P8" i="11"/>
  <c r="Q8" i="11"/>
  <c r="F18" i="10"/>
  <c r="K4" i="11"/>
  <c r="N4" i="10"/>
  <c r="F3" i="10"/>
  <c r="J16" i="10"/>
  <c r="J21" i="12" s="1"/>
  <c r="O5" i="10"/>
  <c r="O19" i="10"/>
  <c r="L6" i="11"/>
  <c r="P9" i="11"/>
  <c r="K9" i="11"/>
  <c r="C18" i="10"/>
  <c r="J4" i="11"/>
  <c r="K3" i="10"/>
  <c r="K8" i="12" s="1"/>
  <c r="M12" i="10"/>
  <c r="P7" i="10"/>
  <c r="K14" i="10"/>
  <c r="H6" i="10"/>
  <c r="J7" i="11"/>
  <c r="I6" i="10"/>
  <c r="M10" i="10"/>
  <c r="Q6" i="11"/>
  <c r="P29" i="12" s="1"/>
  <c r="F19" i="10"/>
  <c r="P11" i="10"/>
  <c r="P6" i="11"/>
  <c r="E19" i="10"/>
  <c r="I7" i="10"/>
  <c r="P4" i="10"/>
  <c r="Q10" i="11"/>
  <c r="N4" i="11"/>
  <c r="L19" i="10"/>
  <c r="E9" i="11"/>
  <c r="K4" i="10"/>
  <c r="L4" i="10"/>
  <c r="G8" i="10"/>
  <c r="H8" i="10"/>
  <c r="O13" i="10"/>
  <c r="F9" i="11"/>
  <c r="M9" i="10"/>
  <c r="G12" i="10"/>
  <c r="O12" i="10"/>
  <c r="L9" i="11"/>
  <c r="J3" i="10"/>
  <c r="J8" i="11"/>
  <c r="O3" i="10"/>
  <c r="K9" i="10"/>
  <c r="P9" i="10"/>
  <c r="C11" i="10"/>
  <c r="D13" i="10"/>
  <c r="N14" i="10"/>
  <c r="G4" i="10"/>
  <c r="J13" i="10"/>
  <c r="N9" i="11"/>
  <c r="M32" i="12" s="1"/>
  <c r="K16" i="10"/>
  <c r="K21" i="12" s="1"/>
  <c r="I12" i="10"/>
  <c r="O5" i="11"/>
  <c r="L9" i="10"/>
  <c r="P13" i="10"/>
  <c r="N17" i="10"/>
  <c r="L8" i="11"/>
  <c r="N16" i="10"/>
  <c r="N21" i="12" s="1"/>
  <c r="I10" i="10"/>
  <c r="I15" i="12" s="1"/>
  <c r="I4" i="19" s="1"/>
  <c r="H15" i="10"/>
  <c r="K11" i="10"/>
  <c r="D11" i="10"/>
  <c r="H5" i="11"/>
  <c r="O18" i="10"/>
  <c r="I5" i="11"/>
  <c r="L15" i="10"/>
  <c r="L20" i="12" s="1"/>
  <c r="L2" i="19" s="1"/>
  <c r="C13" i="10"/>
  <c r="C18" i="12" s="1"/>
  <c r="O14" i="10"/>
  <c r="N15" i="10"/>
  <c r="J8" i="10"/>
  <c r="G6" i="11"/>
  <c r="P14" i="10"/>
  <c r="H3" i="10"/>
  <c r="N10" i="11"/>
  <c r="N19" i="10"/>
  <c r="N24" i="12" s="1"/>
  <c r="F8" i="10"/>
  <c r="I16" i="10"/>
  <c r="G16" i="10"/>
  <c r="N12" i="10"/>
  <c r="B18" i="10"/>
  <c r="L10" i="11"/>
  <c r="J6" i="10"/>
  <c r="J11" i="12" s="1"/>
  <c r="B14" i="10"/>
  <c r="B19" i="12" s="1"/>
  <c r="D6" i="11"/>
  <c r="P19" i="10"/>
  <c r="P18" i="10"/>
  <c r="K12" i="10"/>
  <c r="H6" i="11"/>
  <c r="O7" i="10"/>
  <c r="N5" i="10"/>
  <c r="N10" i="12" s="1"/>
  <c r="F12" i="10"/>
  <c r="M8" i="10"/>
  <c r="E18" i="10"/>
  <c r="M9" i="11"/>
  <c r="E9" i="10"/>
  <c r="K6" i="11"/>
  <c r="B3" i="10"/>
  <c r="G3" i="10"/>
  <c r="G8" i="12" s="1"/>
  <c r="D16" i="10"/>
  <c r="D21" i="12" s="1"/>
  <c r="D8" i="10"/>
  <c r="I14" i="10"/>
  <c r="E6" i="11"/>
  <c r="L5" i="10"/>
  <c r="Q9" i="11"/>
  <c r="M5" i="10"/>
  <c r="M4" i="11"/>
  <c r="L27" i="12" s="1"/>
  <c r="K8" i="10"/>
  <c r="E8" i="11"/>
  <c r="P4" i="11"/>
  <c r="M16" i="10"/>
  <c r="M7" i="10"/>
  <c r="E11" i="10"/>
  <c r="M5" i="11"/>
  <c r="M10" i="11"/>
  <c r="L33" i="12" s="1"/>
  <c r="I17" i="10"/>
  <c r="C9" i="11"/>
  <c r="H4" i="10"/>
  <c r="B15" i="10"/>
  <c r="P3" i="10"/>
  <c r="J15" i="10"/>
  <c r="N7" i="11"/>
  <c r="J11" i="10"/>
  <c r="N3" i="10"/>
  <c r="N8" i="12" s="1"/>
  <c r="E13" i="10"/>
  <c r="F13" i="10"/>
  <c r="C8" i="11"/>
  <c r="Q5" i="11"/>
  <c r="F9" i="10"/>
  <c r="D8" i="11"/>
  <c r="O8" i="11"/>
  <c r="N31" i="12" s="1"/>
  <c r="N7" i="10"/>
  <c r="N12" i="12" s="1"/>
  <c r="L4" i="11"/>
  <c r="M13" i="10"/>
  <c r="G14" i="10"/>
  <c r="D9" i="11"/>
  <c r="E7" i="11"/>
  <c r="H11" i="10"/>
  <c r="J5" i="11"/>
  <c r="I28" i="12" s="1"/>
  <c r="H16" i="10"/>
  <c r="H21" i="12" s="1"/>
  <c r="M3" i="10"/>
  <c r="J9" i="11"/>
  <c r="B9" i="10"/>
  <c r="H5" i="10"/>
  <c r="C16" i="10"/>
  <c r="G11" i="10"/>
  <c r="C4" i="11"/>
  <c r="B27" i="12" s="1"/>
  <c r="B12" i="10"/>
  <c r="B17" i="12" s="1"/>
  <c r="I8" i="10"/>
  <c r="F15" i="10"/>
  <c r="P6" i="10"/>
  <c r="P16" i="10"/>
  <c r="G13" i="10"/>
  <c r="N18" i="10"/>
  <c r="I13" i="10"/>
  <c r="N9" i="10"/>
  <c r="N14" i="12" s="1"/>
  <c r="I4" i="11"/>
  <c r="O17" i="10"/>
  <c r="E6" i="10"/>
  <c r="J10" i="11"/>
  <c r="L12" i="10"/>
  <c r="E12" i="10"/>
  <c r="I6" i="11"/>
  <c r="H29" i="12" s="1"/>
  <c r="I3" i="10"/>
  <c r="I8" i="12" s="1"/>
  <c r="B5" i="10"/>
  <c r="M18" i="10"/>
  <c r="K13" i="10"/>
  <c r="I15" i="10"/>
  <c r="D4" i="11"/>
  <c r="N6" i="10"/>
  <c r="M4" i="10"/>
  <c r="M9" i="12" s="1"/>
  <c r="C9" i="10"/>
  <c r="K6" i="10"/>
  <c r="O11" i="10"/>
  <c r="B6" i="10"/>
  <c r="N8" i="10"/>
  <c r="L18" i="10"/>
  <c r="N6" i="11"/>
  <c r="D9" i="10"/>
  <c r="H7" i="11"/>
  <c r="G30" i="12" s="1"/>
  <c r="P5" i="11"/>
  <c r="L8" i="10"/>
  <c r="M17" i="10"/>
  <c r="G18" i="10"/>
  <c r="C6" i="11"/>
  <c r="L16" i="10"/>
  <c r="H4" i="11"/>
  <c r="G27" i="12" s="1"/>
  <c r="M11" i="10"/>
  <c r="M16" i="12" s="1"/>
  <c r="O10" i="11"/>
  <c r="N8" i="11"/>
  <c r="M7" i="11"/>
  <c r="L6" i="10"/>
  <c r="B8" i="10"/>
  <c r="L3" i="10"/>
  <c r="K8" i="11"/>
  <c r="N5" i="11"/>
  <c r="M28" i="12" s="1"/>
  <c r="I7" i="11"/>
  <c r="H13" i="10"/>
  <c r="H19" i="10"/>
  <c r="G19" i="10"/>
  <c r="M6" i="11"/>
  <c r="B11" i="10"/>
  <c r="D19" i="10"/>
  <c r="D24" i="12" s="1"/>
  <c r="F6" i="10"/>
  <c r="F11" i="12" s="1"/>
  <c r="E4" i="10"/>
  <c r="N11" i="10"/>
  <c r="I4" i="10"/>
  <c r="Q4" i="11"/>
  <c r="G9" i="11"/>
  <c r="H18" i="10"/>
  <c r="H23" i="12" s="1"/>
  <c r="M6" i="10"/>
  <c r="M11" i="12" s="1"/>
  <c r="F6" i="11"/>
  <c r="O4" i="10"/>
  <c r="O6" i="11"/>
  <c r="M19" i="10"/>
  <c r="K5" i="11"/>
  <c r="E16" i="10"/>
  <c r="C14" i="10"/>
  <c r="C19" i="12" s="1"/>
  <c r="D14" i="10"/>
  <c r="D19" i="12" s="1"/>
  <c r="K18" i="10"/>
  <c r="K23" i="12" s="1"/>
  <c r="O16" i="10"/>
  <c r="H14" i="10"/>
  <c r="J18" i="10"/>
  <c r="F4" i="10"/>
  <c r="D7" i="11"/>
  <c r="C5" i="11"/>
  <c r="H10" i="11"/>
  <c r="G33" i="12" s="1"/>
  <c r="H12" i="10"/>
  <c r="H17" i="12" s="1"/>
  <c r="O8" i="10"/>
  <c r="P8" i="10"/>
  <c r="B16" i="10"/>
  <c r="C15" i="10"/>
  <c r="C4" i="10"/>
  <c r="D4" i="10"/>
  <c r="D9" i="12" s="1"/>
  <c r="O4" i="11"/>
  <c r="N27" i="12" s="1"/>
  <c r="D6" i="10"/>
  <c r="D11" i="12" s="1"/>
  <c r="M14" i="10"/>
  <c r="G9" i="10"/>
  <c r="P17" i="10"/>
  <c r="C19" i="10"/>
  <c r="C24" i="12" s="1"/>
  <c r="N10" i="10"/>
  <c r="N15" i="12" s="1"/>
  <c r="N4" i="19" s="1"/>
  <c r="I5" i="10"/>
  <c r="I10" i="12" s="1"/>
  <c r="M33" i="12"/>
  <c r="O12" i="12"/>
  <c r="N33" i="12"/>
  <c r="I33" i="12"/>
  <c r="O33" i="12"/>
  <c r="P33" i="12"/>
  <c r="K33" i="12"/>
  <c r="L12" i="12"/>
  <c r="L17" i="12"/>
  <c r="L28" i="12"/>
  <c r="D23" i="12"/>
  <c r="P21" i="12"/>
  <c r="I24" i="12"/>
  <c r="C21" i="12"/>
  <c r="I11" i="12"/>
  <c r="G32" i="12"/>
  <c r="P11" i="12"/>
  <c r="B9" i="12"/>
  <c r="L19" i="12"/>
  <c r="K9" i="12"/>
  <c r="H8" i="12"/>
  <c r="H9" i="12"/>
  <c r="L8" i="12"/>
  <c r="E17" i="12"/>
  <c r="M21" i="12"/>
  <c r="M10" i="12"/>
  <c r="H10" i="12"/>
  <c r="M12" i="12"/>
  <c r="P22" i="12"/>
  <c r="E32" i="12"/>
  <c r="L9" i="12"/>
  <c r="J8" i="12"/>
  <c r="L11" i="12"/>
  <c r="P9" i="12"/>
  <c r="D29" i="12"/>
  <c r="O29" i="12"/>
  <c r="K32" i="12"/>
  <c r="O9" i="12"/>
  <c r="C9" i="12"/>
  <c r="M15" i="12"/>
  <c r="M4" i="19" s="1"/>
  <c r="O10" i="12"/>
  <c r="O8" i="12"/>
  <c r="F9" i="12"/>
  <c r="O11" i="12"/>
  <c r="H11" i="12"/>
  <c r="I9" i="12"/>
  <c r="B8" i="12"/>
  <c r="L10" i="12"/>
  <c r="E9" i="12"/>
  <c r="K11" i="12"/>
  <c r="D8" i="12"/>
  <c r="N9" i="12"/>
  <c r="I12" i="12"/>
  <c r="M8" i="12"/>
  <c r="F8" i="12"/>
  <c r="P10" i="12"/>
  <c r="E11" i="12"/>
  <c r="G9" i="12"/>
  <c r="E20" i="12"/>
  <c r="E2" i="19" s="1"/>
  <c r="J31" i="12"/>
  <c r="G11" i="12"/>
  <c r="P12" i="12"/>
  <c r="C11" i="12"/>
  <c r="N13" i="12"/>
  <c r="J9" i="12"/>
  <c r="P8" i="12"/>
  <c r="N11" i="12"/>
  <c r="B11" i="12"/>
  <c r="P14" i="12"/>
  <c r="K31" i="12"/>
  <c r="B10" i="12"/>
  <c r="E8" i="12"/>
  <c r="C8" i="12"/>
  <c r="L13" i="12"/>
  <c r="C23" i="12"/>
  <c r="B16" i="12"/>
  <c r="L18" i="12"/>
  <c r="H18" i="12"/>
  <c r="G31" i="12"/>
  <c r="M22" i="12"/>
  <c r="O30" i="12"/>
  <c r="P18" i="12"/>
  <c r="P28" i="12"/>
  <c r="P16" i="12"/>
  <c r="L30" i="12"/>
  <c r="O19" i="12"/>
  <c r="P27" i="12"/>
  <c r="K17" i="12"/>
  <c r="P13" i="12"/>
  <c r="G29" i="12"/>
  <c r="M18" i="12"/>
  <c r="P15" i="12"/>
  <c r="P4" i="19" s="1"/>
  <c r="F24" i="12"/>
  <c r="J28" i="12"/>
  <c r="I14" i="12"/>
  <c r="E23" i="12"/>
  <c r="O18" i="12"/>
  <c r="B21" i="12"/>
  <c r="I29" i="12"/>
  <c r="E18" i="12"/>
  <c r="O21" i="12"/>
  <c r="I21" i="12"/>
  <c r="I32" i="12"/>
  <c r="G23" i="12"/>
  <c r="P31" i="12"/>
  <c r="M13" i="12"/>
  <c r="N17" i="12"/>
  <c r="M20" i="12"/>
  <c r="M2" i="19" s="1"/>
  <c r="P23" i="12"/>
  <c r="M31" i="12"/>
  <c r="B28" i="12"/>
  <c r="G17" i="12"/>
  <c r="O24" i="12"/>
  <c r="P24" i="12"/>
  <c r="L15" i="12"/>
  <c r="L4" i="19" s="1"/>
  <c r="G21" i="12"/>
  <c r="H16" i="12"/>
  <c r="O27" i="12"/>
  <c r="O20" i="12"/>
  <c r="O2" i="19" s="1"/>
  <c r="N19" i="12"/>
  <c r="G16" i="12"/>
  <c r="M19" i="12"/>
  <c r="P19" i="12"/>
  <c r="N16" i="12"/>
  <c r="C31" i="12"/>
  <c r="C20" i="12"/>
  <c r="C2" i="19" s="1"/>
  <c r="C29" i="12"/>
  <c r="D32" i="12"/>
  <c r="E21" i="12"/>
  <c r="I13" i="12"/>
  <c r="H24" i="12"/>
  <c r="O15" i="12"/>
  <c r="O4" i="19" s="1"/>
  <c r="C28" i="12"/>
  <c r="L23" i="12"/>
  <c r="N18" i="12"/>
  <c r="H27" i="12"/>
  <c r="P17" i="12"/>
  <c r="N32" i="12"/>
  <c r="K24" i="12"/>
  <c r="C27" i="12"/>
  <c r="P32" i="12"/>
  <c r="L29" i="12"/>
  <c r="H20" i="12"/>
  <c r="H2" i="19" s="1"/>
  <c r="M27" i="12"/>
  <c r="I23" i="12"/>
  <c r="I17" i="12"/>
  <c r="M29" i="12"/>
  <c r="H32" i="12"/>
  <c r="F23" i="12"/>
  <c r="B24" i="12"/>
  <c r="O16" i="12"/>
  <c r="F21" i="12"/>
  <c r="L32" i="12"/>
  <c r="B31" i="12"/>
  <c r="M17" i="12"/>
  <c r="J23" i="12"/>
  <c r="J32" i="12"/>
  <c r="B29" i="12"/>
  <c r="I20" i="12"/>
  <c r="I2" i="19" s="1"/>
  <c r="C32" i="12"/>
  <c r="N29" i="12"/>
  <c r="O23" i="12"/>
  <c r="G24" i="12"/>
  <c r="G20" i="12"/>
  <c r="G2" i="19" s="1"/>
  <c r="E19" i="12"/>
  <c r="G19" i="12"/>
  <c r="G28" i="12"/>
  <c r="I31" i="12"/>
  <c r="N30" i="12"/>
  <c r="I22" i="12"/>
  <c r="M14" i="12"/>
  <c r="H31" i="12"/>
  <c r="J20" i="12"/>
  <c r="J2" i="19" s="1"/>
  <c r="O31" i="12"/>
  <c r="B32" i="12"/>
  <c r="B20" i="12"/>
  <c r="B2" i="19" s="1"/>
  <c r="I30" i="12"/>
  <c r="K19" i="12"/>
  <c r="L21" i="12"/>
  <c r="F20" i="12"/>
  <c r="F2" i="19" s="1"/>
  <c r="F32" i="12"/>
  <c r="O13" i="12"/>
  <c r="P20" i="12"/>
  <c r="P2" i="19" s="1"/>
  <c r="I27" i="12"/>
  <c r="O32" i="12"/>
  <c r="O14" i="12"/>
  <c r="E16" i="12"/>
  <c r="M30" i="12"/>
  <c r="N23" i="12"/>
  <c r="K18" i="12"/>
  <c r="M23" i="12"/>
  <c r="K16" i="12"/>
  <c r="N22" i="12"/>
  <c r="N20" i="12"/>
  <c r="N2" i="19" s="1"/>
  <c r="H19" i="12"/>
  <c r="E24" i="12"/>
  <c r="G18" i="12"/>
  <c r="I19" i="12"/>
  <c r="N28" i="12"/>
  <c r="H28" i="12"/>
  <c r="I18" i="12"/>
  <c r="O28" i="12"/>
  <c r="J27" i="12"/>
  <c r="B23" i="12"/>
  <c r="D18" i="12"/>
  <c r="L31" i="12"/>
  <c r="O22" i="12"/>
  <c r="L24" i="12"/>
  <c r="J18" i="12"/>
  <c r="O17" i="12"/>
  <c r="D20" i="12"/>
  <c r="D2" i="19" s="1"/>
  <c r="M24" i="12"/>
  <c r="P30" i="12"/>
  <c r="L16" i="12"/>
  <c r="H281" i="1"/>
  <c r="J281" i="1" s="1"/>
  <c r="M281" i="1" s="1"/>
  <c r="L17" i="10" s="1"/>
  <c r="I282" i="1"/>
  <c r="H282" i="1" s="1"/>
  <c r="J282" i="1" s="1"/>
  <c r="M282" i="1" s="1"/>
  <c r="M271" i="1"/>
  <c r="M270" i="1"/>
  <c r="Q9" i="12" l="1"/>
  <c r="R9" i="12" s="1"/>
  <c r="S9" i="12" s="1"/>
  <c r="T9" i="12" s="1"/>
  <c r="U9" i="12" s="1"/>
  <c r="V9" i="12" s="1"/>
  <c r="W9" i="12" s="1"/>
  <c r="X9" i="12" s="1"/>
  <c r="Y9" i="12" s="1"/>
  <c r="Z9" i="12" s="1"/>
  <c r="AA9" i="12" s="1"/>
  <c r="Q8" i="12"/>
  <c r="L14" i="12"/>
  <c r="L22" i="12"/>
  <c r="Q32" i="12"/>
  <c r="R32" i="12" s="1"/>
  <c r="S32" i="12" s="1"/>
  <c r="T32" i="12" s="1"/>
  <c r="U32" i="12" s="1"/>
  <c r="V32" i="12" s="1"/>
  <c r="W32" i="12" s="1"/>
  <c r="X32" i="12" s="1"/>
  <c r="Y32" i="12" s="1"/>
  <c r="Z32" i="12" s="1"/>
  <c r="AA32" i="12" s="1"/>
  <c r="Q31" i="12"/>
  <c r="M269" i="1"/>
  <c r="R8" i="12" l="1"/>
  <c r="M268" i="1"/>
  <c r="S8" i="12" l="1"/>
  <c r="J267" i="1"/>
  <c r="M267" i="1" s="1"/>
  <c r="K10" i="10" s="1"/>
  <c r="T8" i="12" l="1"/>
  <c r="J266" i="1"/>
  <c r="M266" i="1" s="1"/>
  <c r="U8" i="12" l="1"/>
  <c r="K15" i="10"/>
  <c r="K20" i="12" s="1"/>
  <c r="J265" i="1"/>
  <c r="M265" i="1" s="1"/>
  <c r="V8" i="12" l="1"/>
  <c r="K2" i="19"/>
  <c r="Q20" i="12"/>
  <c r="R20" i="12" s="1"/>
  <c r="Q2" i="19"/>
  <c r="J264" i="1"/>
  <c r="M264" i="1" s="1"/>
  <c r="W8" i="12" l="1"/>
  <c r="S20" i="12"/>
  <c r="R2" i="19"/>
  <c r="B16" i="19"/>
  <c r="B19" i="19" s="1"/>
  <c r="J263" i="1"/>
  <c r="M263" i="1" s="1"/>
  <c r="K5" i="10" s="1"/>
  <c r="X8" i="12" l="1"/>
  <c r="T20" i="12"/>
  <c r="S2" i="19"/>
  <c r="K15" i="12"/>
  <c r="K4" i="19" s="1"/>
  <c r="K10" i="12"/>
  <c r="J262" i="1"/>
  <c r="M262" i="1" s="1"/>
  <c r="L7" i="11" s="1"/>
  <c r="Y8" i="12" l="1"/>
  <c r="U20" i="12"/>
  <c r="T2" i="19"/>
  <c r="K29" i="12"/>
  <c r="K30" i="12"/>
  <c r="J261" i="1"/>
  <c r="M261" i="1" s="1"/>
  <c r="J260" i="1"/>
  <c r="M260" i="1" s="1"/>
  <c r="Z8" i="12" l="1"/>
  <c r="V20" i="12"/>
  <c r="U2" i="19"/>
  <c r="J259" i="1"/>
  <c r="M259" i="1" s="1"/>
  <c r="L5" i="11" s="1"/>
  <c r="AA8" i="12" l="1"/>
  <c r="W20" i="12"/>
  <c r="V2" i="19"/>
  <c r="J258" i="1"/>
  <c r="M258" i="1" s="1"/>
  <c r="K17" i="10" s="1"/>
  <c r="K28" i="12" l="1"/>
  <c r="Q28" i="12" s="1"/>
  <c r="K27" i="12"/>
  <c r="Q27" i="12" s="1"/>
  <c r="X20" i="12"/>
  <c r="W2" i="19"/>
  <c r="K14" i="12"/>
  <c r="K22" i="12"/>
  <c r="J257" i="1"/>
  <c r="M257" i="1" s="1"/>
  <c r="K7" i="10" s="1"/>
  <c r="Y20" i="12" l="1"/>
  <c r="Y2" i="19" s="1"/>
  <c r="X2" i="19"/>
  <c r="K13" i="12"/>
  <c r="K12" i="12"/>
  <c r="J254" i="1"/>
  <c r="M254" i="1" s="1"/>
  <c r="J256" i="1"/>
  <c r="M256" i="1" s="1"/>
  <c r="Z20" i="12" l="1"/>
  <c r="AA20" i="12" l="1"/>
  <c r="AA2" i="19" s="1"/>
  <c r="Z2" i="19"/>
  <c r="I242" i="1" l="1"/>
  <c r="I236" i="1"/>
  <c r="I237" i="1" s="1"/>
  <c r="I238" i="1" s="1"/>
  <c r="M227" i="1"/>
  <c r="J229" i="1"/>
  <c r="M229" i="1" s="1"/>
  <c r="J230" i="1"/>
  <c r="M230" i="1" s="1"/>
  <c r="J231" i="1"/>
  <c r="M231" i="1" s="1"/>
  <c r="J232" i="1"/>
  <c r="M232" i="1" s="1"/>
  <c r="J233" i="1"/>
  <c r="M233" i="1" s="1"/>
  <c r="J234" i="1"/>
  <c r="M234" i="1" s="1"/>
  <c r="J12" i="10" s="1"/>
  <c r="J235" i="1"/>
  <c r="M235" i="1" s="1"/>
  <c r="J228" i="1"/>
  <c r="M228" i="1" s="1"/>
  <c r="M226" i="1"/>
  <c r="M225" i="1"/>
  <c r="J19" i="10" s="1"/>
  <c r="M224" i="1"/>
  <c r="M223" i="1"/>
  <c r="M222" i="1"/>
  <c r="M221" i="1"/>
  <c r="H224" i="1"/>
  <c r="H223" i="1"/>
  <c r="H222" i="1"/>
  <c r="H221" i="1"/>
  <c r="J220" i="1"/>
  <c r="M220" i="1" s="1"/>
  <c r="J210" i="1"/>
  <c r="M210" i="1" s="1"/>
  <c r="J209" i="1"/>
  <c r="M209" i="1" s="1"/>
  <c r="J208" i="1"/>
  <c r="M208" i="1" s="1"/>
  <c r="M188" i="1"/>
  <c r="J206" i="1"/>
  <c r="M206" i="1" s="1"/>
  <c r="K10" i="11" s="1"/>
  <c r="J205" i="1"/>
  <c r="M205" i="1" s="1"/>
  <c r="J204" i="1"/>
  <c r="M204" i="1" s="1"/>
  <c r="H188" i="1"/>
  <c r="J29" i="12" l="1"/>
  <c r="K7" i="11"/>
  <c r="J30" i="12" s="1"/>
  <c r="J33" i="12"/>
  <c r="Q29" i="12"/>
  <c r="H205" i="1"/>
  <c r="H206" i="1"/>
  <c r="J238" i="1"/>
  <c r="M238" i="1" s="1"/>
  <c r="I239" i="1"/>
  <c r="J237" i="1"/>
  <c r="M237" i="1" s="1"/>
  <c r="H220" i="1"/>
  <c r="I243" i="1"/>
  <c r="H204" i="1"/>
  <c r="J16" i="12" l="1"/>
  <c r="Q23" i="12"/>
  <c r="R23" i="12" s="1"/>
  <c r="S23" i="12" s="1"/>
  <c r="T23" i="12" s="1"/>
  <c r="U23" i="12" s="1"/>
  <c r="V23" i="12" s="1"/>
  <c r="W23" i="12" s="1"/>
  <c r="X23" i="12" s="1"/>
  <c r="Y23" i="12" s="1"/>
  <c r="Z23" i="12" s="1"/>
  <c r="AA23" i="12" s="1"/>
  <c r="J24" i="12"/>
  <c r="Q18" i="12"/>
  <c r="R18" i="12" s="1"/>
  <c r="S18" i="12" s="1"/>
  <c r="T18" i="12" s="1"/>
  <c r="U18" i="12" s="1"/>
  <c r="V18" i="12" s="1"/>
  <c r="W18" i="12" s="1"/>
  <c r="X18" i="12" s="1"/>
  <c r="Y18" i="12" s="1"/>
  <c r="Z18" i="12" s="1"/>
  <c r="AA18" i="12" s="1"/>
  <c r="J19" i="12"/>
  <c r="Q19" i="12" s="1"/>
  <c r="R19" i="12" s="1"/>
  <c r="S19" i="12" s="1"/>
  <c r="T19" i="12" s="1"/>
  <c r="U19" i="12" s="1"/>
  <c r="V19" i="12" s="1"/>
  <c r="W19" i="12" s="1"/>
  <c r="X19" i="12" s="1"/>
  <c r="Y19" i="12" s="1"/>
  <c r="Z19" i="12" s="1"/>
  <c r="AA19" i="12" s="1"/>
  <c r="Q16" i="12"/>
  <c r="J17" i="12"/>
  <c r="Q17" i="12" s="1"/>
  <c r="I244" i="1"/>
  <c r="J243" i="1"/>
  <c r="M243" i="1" s="1"/>
  <c r="I240" i="1"/>
  <c r="J239" i="1"/>
  <c r="M239" i="1" s="1"/>
  <c r="Q24" i="12" l="1"/>
  <c r="R24" i="12" s="1"/>
  <c r="S24" i="12" s="1"/>
  <c r="T24" i="12" s="1"/>
  <c r="U24" i="12" s="1"/>
  <c r="V24" i="12" s="1"/>
  <c r="W24" i="12" s="1"/>
  <c r="X24" i="12" s="1"/>
  <c r="Y24" i="12" s="1"/>
  <c r="Z24" i="12" s="1"/>
  <c r="AA24" i="12" s="1"/>
  <c r="J244" i="1"/>
  <c r="M244" i="1" s="1"/>
  <c r="J10" i="10" s="1"/>
  <c r="I245" i="1"/>
  <c r="I241" i="1"/>
  <c r="J241" i="1" s="1"/>
  <c r="M241" i="1" s="1"/>
  <c r="J7" i="10" s="1"/>
  <c r="J240" i="1"/>
  <c r="M240" i="1" s="1"/>
  <c r="J13" i="12" l="1"/>
  <c r="J12" i="12"/>
  <c r="I246" i="1"/>
  <c r="J245" i="1"/>
  <c r="M245" i="1" s="1"/>
  <c r="J5" i="10" s="1"/>
  <c r="M189" i="1"/>
  <c r="I10" i="11" s="1"/>
  <c r="H33" i="12" l="1"/>
  <c r="Q33" i="12" s="1"/>
  <c r="R33" i="12" s="1"/>
  <c r="S33" i="12" s="1"/>
  <c r="T33" i="12" s="1"/>
  <c r="U33" i="12" s="1"/>
  <c r="V33" i="12" s="1"/>
  <c r="W33" i="12" s="1"/>
  <c r="X33" i="12" s="1"/>
  <c r="Y33" i="12" s="1"/>
  <c r="Z33" i="12" s="1"/>
  <c r="AA33" i="12" s="1"/>
  <c r="J15" i="12"/>
  <c r="J4" i="19" s="1"/>
  <c r="J10" i="12"/>
  <c r="I247" i="1"/>
  <c r="J247" i="1" s="1"/>
  <c r="M247" i="1" s="1"/>
  <c r="J246" i="1"/>
  <c r="M246" i="1" s="1"/>
  <c r="J17" i="10" s="1"/>
  <c r="H30" i="12" l="1"/>
  <c r="Q30" i="12"/>
  <c r="J14" i="12"/>
  <c r="J22" i="12"/>
  <c r="M190" i="1" l="1"/>
  <c r="M179" i="1"/>
  <c r="M191" i="1"/>
  <c r="H189" i="1"/>
  <c r="H190" i="1"/>
  <c r="H191" i="1"/>
  <c r="H184" i="1"/>
  <c r="H10" i="10" l="1"/>
  <c r="H15" i="12" s="1"/>
  <c r="H4" i="19" s="1"/>
  <c r="J160" i="1"/>
  <c r="M160" i="1" s="1"/>
  <c r="H174" i="1"/>
  <c r="M184" i="1"/>
  <c r="M183" i="1" l="1"/>
  <c r="H183" i="1"/>
  <c r="H179" i="1"/>
  <c r="M63" i="1" l="1"/>
  <c r="M180" i="1" l="1"/>
  <c r="H17" i="10" s="1"/>
  <c r="M178" i="1"/>
  <c r="H7" i="10" s="1"/>
  <c r="H180" i="1"/>
  <c r="H178" i="1"/>
  <c r="M64" i="1"/>
  <c r="H13" i="12" l="1"/>
  <c r="H12" i="12"/>
  <c r="H14" i="12"/>
  <c r="H22" i="12"/>
  <c r="J18" i="1" l="1"/>
  <c r="M18" i="1" l="1"/>
  <c r="C10" i="11" s="1"/>
  <c r="B33" i="12" s="1"/>
  <c r="J17" i="1"/>
  <c r="M17" i="1" s="1"/>
  <c r="B30" i="12" l="1"/>
  <c r="H12" i="1"/>
  <c r="J12" i="1" s="1"/>
  <c r="M12" i="1" s="1"/>
  <c r="H13" i="1"/>
  <c r="J13" i="1" s="1"/>
  <c r="M13" i="1" s="1"/>
  <c r="H11" i="1"/>
  <c r="J11" i="1" s="1"/>
  <c r="B10" i="10" l="1"/>
  <c r="M11" i="1"/>
  <c r="H20" i="1"/>
  <c r="J20" i="1" s="1"/>
  <c r="M20" i="1" s="1"/>
  <c r="H21" i="1"/>
  <c r="J21" i="1" s="1"/>
  <c r="M21" i="1" s="1"/>
  <c r="H19" i="1"/>
  <c r="J19" i="1" s="1"/>
  <c r="M19" i="1" s="1"/>
  <c r="H42" i="1"/>
  <c r="J42" i="1" s="1"/>
  <c r="H41" i="1"/>
  <c r="J41" i="1" s="1"/>
  <c r="M41" i="1" s="1"/>
  <c r="M60" i="1"/>
  <c r="H64" i="1"/>
  <c r="H63" i="1"/>
  <c r="M65" i="1"/>
  <c r="H65" i="1"/>
  <c r="M69" i="1"/>
  <c r="M68" i="1"/>
  <c r="H69" i="1"/>
  <c r="H68" i="1"/>
  <c r="H167" i="1"/>
  <c r="H168" i="1"/>
  <c r="J168" i="1" s="1"/>
  <c r="M168" i="1" s="1"/>
  <c r="H166" i="1"/>
  <c r="H130" i="1"/>
  <c r="J130" i="1" s="1"/>
  <c r="M130" i="1" s="1"/>
  <c r="H131" i="1"/>
  <c r="J131" i="1" s="1"/>
  <c r="M131" i="1" s="1"/>
  <c r="H129" i="1"/>
  <c r="J129" i="1" s="1"/>
  <c r="M129" i="1" s="1"/>
  <c r="H86" i="1"/>
  <c r="J86" i="1" s="1"/>
  <c r="H87" i="1"/>
  <c r="J87" i="1" s="1"/>
  <c r="M87" i="1" s="1"/>
  <c r="H85" i="1"/>
  <c r="J85" i="1" s="1"/>
  <c r="M85" i="1" s="1"/>
  <c r="M91" i="1"/>
  <c r="M90" i="1"/>
  <c r="H91" i="1"/>
  <c r="H90" i="1"/>
  <c r="M94" i="1"/>
  <c r="M95" i="1"/>
  <c r="M93" i="1"/>
  <c r="H94" i="1"/>
  <c r="H95" i="1"/>
  <c r="H93" i="1"/>
  <c r="M112" i="1"/>
  <c r="M111" i="1"/>
  <c r="H112" i="1"/>
  <c r="H111" i="1"/>
  <c r="M114" i="1"/>
  <c r="M113" i="1"/>
  <c r="H114" i="1"/>
  <c r="H113" i="1"/>
  <c r="H128" i="1"/>
  <c r="M133" i="1"/>
  <c r="M134" i="1"/>
  <c r="M132" i="1"/>
  <c r="G8" i="11" s="1"/>
  <c r="H134" i="1"/>
  <c r="H133" i="1"/>
  <c r="H132" i="1"/>
  <c r="M175" i="1"/>
  <c r="M174" i="1"/>
  <c r="H175" i="1"/>
  <c r="B7" i="10" l="1"/>
  <c r="B12" i="12" s="1"/>
  <c r="B17" i="10"/>
  <c r="B22" i="12" s="1"/>
  <c r="B15" i="12"/>
  <c r="B4" i="19" s="1"/>
  <c r="B13" i="12"/>
  <c r="B14" i="12"/>
  <c r="M42" i="1"/>
  <c r="D10" i="11" s="1"/>
  <c r="J167" i="1"/>
  <c r="M167" i="1" s="1"/>
  <c r="G17" i="10" s="1"/>
  <c r="J166" i="1"/>
  <c r="M166" i="1" s="1"/>
  <c r="M86" i="1"/>
  <c r="C33" i="12" l="1"/>
  <c r="J35" i="1"/>
  <c r="M35" i="1" s="1"/>
  <c r="C5" i="10" s="1"/>
  <c r="J36" i="1"/>
  <c r="M36" i="1" s="1"/>
  <c r="C17" i="10" s="1"/>
  <c r="J37" i="1"/>
  <c r="M37" i="1" s="1"/>
  <c r="C12" i="10" s="1"/>
  <c r="J38" i="1"/>
  <c r="M38" i="1" s="1"/>
  <c r="C10" i="10" s="1"/>
  <c r="J34" i="1"/>
  <c r="C14" i="12" l="1"/>
  <c r="C22" i="12"/>
  <c r="Q21" i="12"/>
  <c r="R21" i="12" s="1"/>
  <c r="S21" i="12" s="1"/>
  <c r="T21" i="12" s="1"/>
  <c r="U21" i="12" s="1"/>
  <c r="V21" i="12" s="1"/>
  <c r="W21" i="12" s="1"/>
  <c r="X21" i="12" s="1"/>
  <c r="Y21" i="12" s="1"/>
  <c r="Z21" i="12" s="1"/>
  <c r="AA21" i="12" s="1"/>
  <c r="G22" i="12"/>
  <c r="Q22" i="12" s="1"/>
  <c r="R22" i="12" s="1"/>
  <c r="S22" i="12" s="1"/>
  <c r="T22" i="12" s="1"/>
  <c r="U22" i="12" s="1"/>
  <c r="V22" i="12" s="1"/>
  <c r="W22" i="12" s="1"/>
  <c r="X22" i="12" s="1"/>
  <c r="Y22" i="12" s="1"/>
  <c r="Z22" i="12" s="1"/>
  <c r="AA22" i="12" s="1"/>
  <c r="G14" i="12"/>
  <c r="C30" i="12"/>
  <c r="C16" i="12"/>
  <c r="C17" i="12"/>
  <c r="C15" i="12"/>
  <c r="C4" i="19" s="1"/>
  <c r="C10" i="12"/>
  <c r="M34" i="1"/>
  <c r="C7" i="10" s="1"/>
  <c r="J47" i="1"/>
  <c r="M47" i="1" s="1"/>
  <c r="J48" i="1"/>
  <c r="M48" i="1" s="1"/>
  <c r="D12" i="10" s="1"/>
  <c r="J49" i="1"/>
  <c r="M49" i="1" s="1"/>
  <c r="J50" i="1"/>
  <c r="M50" i="1" s="1"/>
  <c r="E5" i="11" s="1"/>
  <c r="J46" i="1"/>
  <c r="M46" i="1" s="1"/>
  <c r="J52" i="1"/>
  <c r="M52" i="1" s="1"/>
  <c r="J53" i="1"/>
  <c r="M53" i="1" s="1"/>
  <c r="J54" i="1"/>
  <c r="M54" i="1" s="1"/>
  <c r="J55" i="1"/>
  <c r="M55" i="1" s="1"/>
  <c r="J51" i="1"/>
  <c r="M51" i="1" s="1"/>
  <c r="J74" i="1"/>
  <c r="J75" i="1"/>
  <c r="M75" i="1" s="1"/>
  <c r="J73" i="1"/>
  <c r="M73" i="1" s="1"/>
  <c r="J79" i="1"/>
  <c r="M79" i="1" s="1"/>
  <c r="J80" i="1"/>
  <c r="M80" i="1" s="1"/>
  <c r="J78" i="1"/>
  <c r="J96" i="1"/>
  <c r="J98" i="1"/>
  <c r="M98" i="1" s="1"/>
  <c r="J99" i="1"/>
  <c r="M99" i="1" s="1"/>
  <c r="J100" i="1"/>
  <c r="M100" i="1" s="1"/>
  <c r="J97" i="1"/>
  <c r="M97" i="1" s="1"/>
  <c r="J115" i="1"/>
  <c r="M115" i="1" s="1"/>
  <c r="D17" i="10" l="1"/>
  <c r="E5" i="10"/>
  <c r="D28" i="12"/>
  <c r="D16" i="12"/>
  <c r="D17" i="12"/>
  <c r="C13" i="12"/>
  <c r="C12" i="12"/>
  <c r="M78" i="1"/>
  <c r="M74" i="1"/>
  <c r="J119" i="1"/>
  <c r="M119" i="1" s="1"/>
  <c r="J118" i="1"/>
  <c r="M118" i="1" s="1"/>
  <c r="E13" i="12" s="1"/>
  <c r="J117" i="1"/>
  <c r="M117" i="1" s="1"/>
  <c r="J116" i="1"/>
  <c r="M116" i="1" s="1"/>
  <c r="J122" i="1"/>
  <c r="M122" i="1" s="1"/>
  <c r="F8" i="11" s="1"/>
  <c r="J121" i="1"/>
  <c r="M121" i="1" s="1"/>
  <c r="E7" i="10" l="1"/>
  <c r="E12" i="12" s="1"/>
  <c r="D14" i="12"/>
  <c r="D22" i="12"/>
  <c r="E10" i="12"/>
  <c r="J124" i="1"/>
  <c r="M124" i="1" s="1"/>
  <c r="E17" i="10" s="1"/>
  <c r="J135" i="1"/>
  <c r="M135" i="1" s="1"/>
  <c r="J136" i="1"/>
  <c r="M136" i="1" s="1"/>
  <c r="J142" i="1"/>
  <c r="J149" i="1"/>
  <c r="M149" i="1" s="1"/>
  <c r="G5" i="11" s="1"/>
  <c r="J150" i="1"/>
  <c r="M150" i="1" s="1"/>
  <c r="J151" i="1"/>
  <c r="M151" i="1" s="1"/>
  <c r="G4" i="11" s="1"/>
  <c r="J152" i="1"/>
  <c r="M152" i="1" s="1"/>
  <c r="M165" i="1"/>
  <c r="M164" i="1"/>
  <c r="M169" i="1"/>
  <c r="E14" i="12" s="1"/>
  <c r="J153" i="1"/>
  <c r="J164" i="1"/>
  <c r="J165" i="1"/>
  <c r="J169" i="1"/>
  <c r="J159" i="1"/>
  <c r="E22" i="12" l="1"/>
  <c r="F27" i="12"/>
  <c r="F28" i="12"/>
  <c r="M142" i="1"/>
  <c r="F11" i="10" s="1"/>
  <c r="R31" i="12" l="1"/>
  <c r="S31" i="12" s="1"/>
  <c r="T31" i="12" s="1"/>
  <c r="U31" i="12" s="1"/>
  <c r="V31" i="12" s="1"/>
  <c r="W31" i="12" s="1"/>
  <c r="X31" i="12" s="1"/>
  <c r="Y31" i="12" s="1"/>
  <c r="Z31" i="12" s="1"/>
  <c r="AA31" i="12" s="1"/>
  <c r="F31" i="12"/>
  <c r="F17" i="12"/>
  <c r="F16" i="12"/>
  <c r="R16" i="12" l="1"/>
  <c r="S16" i="12" s="1"/>
  <c r="T16" i="12" s="1"/>
  <c r="U16" i="12" s="1"/>
  <c r="V16" i="12" s="1"/>
  <c r="W16" i="12" s="1"/>
  <c r="X16" i="12" s="1"/>
  <c r="Y16" i="12" s="1"/>
  <c r="Z16" i="12" s="1"/>
  <c r="AA16" i="12" s="1"/>
  <c r="M70" i="1"/>
  <c r="E10" i="11" s="1"/>
  <c r="M83" i="1"/>
  <c r="M103" i="1"/>
  <c r="M120" i="1"/>
  <c r="M128" i="1"/>
  <c r="J138" i="1"/>
  <c r="M138" i="1" s="1"/>
  <c r="J137" i="1"/>
  <c r="M137" i="1" s="1"/>
  <c r="J141" i="1"/>
  <c r="M141" i="1" s="1"/>
  <c r="J140" i="1"/>
  <c r="M140" i="1" s="1"/>
  <c r="F17" i="10" s="1"/>
  <c r="J139" i="1"/>
  <c r="M59" i="1"/>
  <c r="D7" i="10" s="1"/>
  <c r="M58" i="1"/>
  <c r="D10" i="10" s="1"/>
  <c r="M57" i="1"/>
  <c r="D5" i="10" s="1"/>
  <c r="M56" i="1"/>
  <c r="E4" i="11" s="1"/>
  <c r="J148" i="1"/>
  <c r="M148" i="1" s="1"/>
  <c r="J147" i="1"/>
  <c r="M147" i="1" s="1"/>
  <c r="J146" i="1"/>
  <c r="M146" i="1" s="1"/>
  <c r="J145" i="1"/>
  <c r="M145" i="1" s="1"/>
  <c r="J144" i="1"/>
  <c r="M144" i="1" s="1"/>
  <c r="J143" i="1"/>
  <c r="J154" i="1"/>
  <c r="M154" i="1" s="1"/>
  <c r="J156" i="1"/>
  <c r="J157" i="1"/>
  <c r="M157" i="1" s="1"/>
  <c r="J158" i="1"/>
  <c r="M158" i="1" s="1"/>
  <c r="J155" i="1"/>
  <c r="M159" i="1"/>
  <c r="J161" i="1"/>
  <c r="M161" i="1" s="1"/>
  <c r="G7" i="10" s="1"/>
  <c r="J162" i="1"/>
  <c r="M162" i="1" s="1"/>
  <c r="G5" i="10" s="1"/>
  <c r="J163" i="1"/>
  <c r="M163" i="1" s="1"/>
  <c r="F10" i="11" l="1"/>
  <c r="E33" i="12" s="1"/>
  <c r="E31" i="12"/>
  <c r="F4" i="11"/>
  <c r="G10" i="10"/>
  <c r="F29" i="12"/>
  <c r="G7" i="11"/>
  <c r="F5" i="10"/>
  <c r="F10" i="12" s="1"/>
  <c r="F7" i="10"/>
  <c r="F12" i="12" s="1"/>
  <c r="F22" i="12"/>
  <c r="D27" i="12"/>
  <c r="D30" i="12"/>
  <c r="D33" i="12"/>
  <c r="D15" i="12"/>
  <c r="D4" i="19" s="1"/>
  <c r="D10" i="12"/>
  <c r="G10" i="12"/>
  <c r="Q10" i="12" s="1"/>
  <c r="G12" i="12"/>
  <c r="D13" i="12"/>
  <c r="D12" i="12"/>
  <c r="F14" i="12"/>
  <c r="D31" i="12"/>
  <c r="F13" i="12"/>
  <c r="M156" i="1"/>
  <c r="M155" i="1"/>
  <c r="F14" i="10" s="1"/>
  <c r="M139" i="1"/>
  <c r="F10" i="10" s="1"/>
  <c r="M143" i="1"/>
  <c r="G10" i="11" s="1"/>
  <c r="R10" i="12" l="1"/>
  <c r="Q14" i="12"/>
  <c r="R14" i="12" s="1"/>
  <c r="S14" i="12" s="1"/>
  <c r="T14" i="12" s="1"/>
  <c r="U14" i="12" s="1"/>
  <c r="V14" i="12" s="1"/>
  <c r="W14" i="12" s="1"/>
  <c r="X14" i="12" s="1"/>
  <c r="Y14" i="12" s="1"/>
  <c r="Z14" i="12" s="1"/>
  <c r="AA14" i="12" s="1"/>
  <c r="G15" i="12"/>
  <c r="Q12" i="12"/>
  <c r="R12" i="12" s="1"/>
  <c r="S12" i="12" s="1"/>
  <c r="T12" i="12" s="1"/>
  <c r="U12" i="12" s="1"/>
  <c r="V12" i="12" s="1"/>
  <c r="W12" i="12" s="1"/>
  <c r="X12" i="12" s="1"/>
  <c r="Y12" i="12" s="1"/>
  <c r="Z12" i="12" s="1"/>
  <c r="AA12" i="12" s="1"/>
  <c r="G13" i="12"/>
  <c r="Q13" i="12" s="1"/>
  <c r="R13" i="12" s="1"/>
  <c r="S13" i="12" s="1"/>
  <c r="T13" i="12" s="1"/>
  <c r="U13" i="12" s="1"/>
  <c r="V13" i="12" s="1"/>
  <c r="W13" i="12" s="1"/>
  <c r="X13" i="12" s="1"/>
  <c r="Y13" i="12" s="1"/>
  <c r="Z13" i="12" s="1"/>
  <c r="AA13" i="12" s="1"/>
  <c r="F30" i="12"/>
  <c r="F15" i="12"/>
  <c r="F4" i="19" s="1"/>
  <c r="F33" i="12"/>
  <c r="F18" i="12"/>
  <c r="F19" i="12"/>
  <c r="Q11" i="12"/>
  <c r="S10" i="12" l="1"/>
  <c r="G4" i="19"/>
  <c r="Q15" i="12"/>
  <c r="R11" i="12"/>
  <c r="R17" i="12"/>
  <c r="S17" i="12" s="1"/>
  <c r="T17" i="12" s="1"/>
  <c r="U17" i="12" s="1"/>
  <c r="V17" i="12" s="1"/>
  <c r="W17" i="12" s="1"/>
  <c r="X17" i="12" s="1"/>
  <c r="Y17" i="12" s="1"/>
  <c r="Z17" i="12" s="1"/>
  <c r="AA17" i="12" s="1"/>
  <c r="T10" i="12" l="1"/>
  <c r="Q37" i="12"/>
  <c r="B4" i="9" s="1"/>
  <c r="Q4" i="19"/>
  <c r="R15" i="12"/>
  <c r="R30" i="12"/>
  <c r="S30" i="12" s="1"/>
  <c r="T30" i="12" s="1"/>
  <c r="U30" i="12" s="1"/>
  <c r="V30" i="12" s="1"/>
  <c r="W30" i="12" s="1"/>
  <c r="X30" i="12" s="1"/>
  <c r="Y30" i="12" s="1"/>
  <c r="Z30" i="12" s="1"/>
  <c r="AA30" i="12" s="1"/>
  <c r="U10" i="12" l="1"/>
  <c r="S15" i="12"/>
  <c r="R4" i="19"/>
  <c r="V10" i="12" l="1"/>
  <c r="T15" i="12"/>
  <c r="S4" i="19"/>
  <c r="W10" i="12" l="1"/>
  <c r="U15" i="12"/>
  <c r="T4" i="19"/>
  <c r="X10" i="12" l="1"/>
  <c r="V15" i="12"/>
  <c r="U4" i="19"/>
  <c r="Y10" i="12" l="1"/>
  <c r="W15" i="12"/>
  <c r="V4" i="19"/>
  <c r="Z10" i="12" l="1"/>
  <c r="X15" i="12"/>
  <c r="W4" i="19"/>
  <c r="AA10" i="12" l="1"/>
  <c r="Y15" i="12"/>
  <c r="X4" i="19"/>
  <c r="Z15" i="12" l="1"/>
  <c r="Y4" i="19"/>
  <c r="H126" i="1"/>
  <c r="H125" i="1"/>
  <c r="AA15" i="12" l="1"/>
  <c r="AA4" i="19" s="1"/>
  <c r="Z4" i="19"/>
  <c r="M126" i="1"/>
  <c r="F7" i="11" s="1"/>
  <c r="M125" i="1"/>
  <c r="F5" i="11" s="1"/>
  <c r="M127" i="1"/>
  <c r="H127" i="1"/>
  <c r="E10" i="10" l="1"/>
  <c r="E15" i="12" s="1"/>
  <c r="E4" i="19" s="1"/>
  <c r="E27" i="12"/>
  <c r="E30" i="12"/>
  <c r="R29" i="12" l="1"/>
  <c r="E29" i="12"/>
  <c r="R28" i="12"/>
  <c r="S28" i="12" s="1"/>
  <c r="T28" i="12" s="1"/>
  <c r="U28" i="12" s="1"/>
  <c r="V28" i="12" s="1"/>
  <c r="W28" i="12" s="1"/>
  <c r="X28" i="12" s="1"/>
  <c r="Y28" i="12" s="1"/>
  <c r="Z28" i="12" s="1"/>
  <c r="AA28" i="12" s="1"/>
  <c r="E28" i="12"/>
  <c r="B17" i="19"/>
  <c r="S29" i="12" l="1"/>
  <c r="T29" i="12" s="1"/>
  <c r="U29" i="12" s="1"/>
  <c r="V29" i="12" s="1"/>
  <c r="W29" i="12" s="1"/>
  <c r="X29" i="12" s="1"/>
  <c r="Y29" i="12" s="1"/>
  <c r="Z29" i="12" s="1"/>
  <c r="AA29" i="12" s="1"/>
  <c r="B20" i="19"/>
  <c r="B21" i="19" s="1"/>
  <c r="R27" i="12"/>
  <c r="R37" i="12" s="1"/>
  <c r="C4" i="9" l="1"/>
  <c r="AA6" i="19"/>
  <c r="AA35" i="12" s="1"/>
  <c r="Z6" i="19"/>
  <c r="Z35" i="12" s="1"/>
  <c r="U6" i="19"/>
  <c r="U35" i="12" s="1"/>
  <c r="V6" i="19"/>
  <c r="V35" i="12" s="1"/>
  <c r="Y6" i="19"/>
  <c r="Y35" i="12" s="1"/>
  <c r="T6" i="19"/>
  <c r="T35" i="12" s="1"/>
  <c r="W6" i="19"/>
  <c r="W35" i="12" s="1"/>
  <c r="X6" i="19"/>
  <c r="X35" i="12" s="1"/>
  <c r="S11" i="12"/>
  <c r="S27" i="12"/>
  <c r="S37" i="12" l="1"/>
  <c r="D4" i="9" s="1"/>
  <c r="T27" i="12"/>
  <c r="T11" i="12"/>
  <c r="T37" i="12" s="1"/>
  <c r="E4" i="9" l="1"/>
  <c r="U11" i="12"/>
  <c r="U27" i="12"/>
  <c r="U37" i="12" l="1"/>
  <c r="F4" i="9" s="1"/>
  <c r="V11" i="12"/>
  <c r="V27" i="12"/>
  <c r="V37" i="12" l="1"/>
  <c r="G4" i="9" s="1"/>
  <c r="W27" i="12"/>
  <c r="W11" i="12"/>
  <c r="W37" i="12" s="1"/>
  <c r="H4" i="9" l="1"/>
  <c r="X27" i="12"/>
  <c r="X11" i="12"/>
  <c r="X37" i="12" s="1"/>
  <c r="I4" i="9" l="1"/>
  <c r="Y27" i="12"/>
  <c r="Y11" i="12"/>
  <c r="Y37" i="12" l="1"/>
  <c r="J4" i="9" s="1"/>
  <c r="Z11" i="12"/>
  <c r="Z27" i="12"/>
  <c r="Z37" i="12" l="1"/>
  <c r="AA11" i="12"/>
  <c r="K4" i="9"/>
  <c r="AA27" i="12"/>
  <c r="AA37" i="12" l="1"/>
  <c r="L4" i="9" s="1"/>
  <c r="M4" i="9" s="1"/>
</calcChain>
</file>

<file path=xl/sharedStrings.xml><?xml version="1.0" encoding="utf-8"?>
<sst xmlns="http://schemas.openxmlformats.org/spreadsheetml/2006/main" count="2303" uniqueCount="510">
  <si>
    <t>Date</t>
  </si>
  <si>
    <t>FY</t>
  </si>
  <si>
    <t>Years of violations</t>
  </si>
  <si>
    <t>Violator</t>
  </si>
  <si>
    <t>Credit Agricole</t>
  </si>
  <si>
    <t>2000?-2008</t>
  </si>
  <si>
    <t>Cuba</t>
  </si>
  <si>
    <t>Burma</t>
  </si>
  <si>
    <t>Iran</t>
  </si>
  <si>
    <t>UBS AG</t>
  </si>
  <si>
    <t>2008-2013</t>
  </si>
  <si>
    <t>global terrorism</t>
  </si>
  <si>
    <t>Navigators Insurance</t>
  </si>
  <si>
    <t>FACR, North Korea, Iran, Cuba</t>
  </si>
  <si>
    <t>2008-2011</t>
  </si>
  <si>
    <t>2008-2012</t>
  </si>
  <si>
    <t>2008-2014</t>
  </si>
  <si>
    <t>2008-2015</t>
  </si>
  <si>
    <t>Paypal</t>
  </si>
  <si>
    <t>? - 2013</t>
  </si>
  <si>
    <t>WMD</t>
  </si>
  <si>
    <t>Production Products, Inc</t>
  </si>
  <si>
    <t>2009-10</t>
  </si>
  <si>
    <t>Deutsche Bank</t>
  </si>
  <si>
    <t>Maritech Commercial</t>
  </si>
  <si>
    <t>2006-2007</t>
  </si>
  <si>
    <t xml:space="preserve">Bank of Tokyo -- Mitsubishi </t>
  </si>
  <si>
    <t>na</t>
  </si>
  <si>
    <t>Great Plains</t>
  </si>
  <si>
    <t>John Bean Technologies</t>
  </si>
  <si>
    <t>Commerzbank AG</t>
  </si>
  <si>
    <t>WMDPSR</t>
  </si>
  <si>
    <t>? - 2010</t>
  </si>
  <si>
    <t>WMD, WMDPSR</t>
  </si>
  <si>
    <t>Citigroup</t>
  </si>
  <si>
    <t>Foreign Narcotics</t>
  </si>
  <si>
    <t>WMDPSR (not EO)</t>
  </si>
  <si>
    <t>Tofasco</t>
  </si>
  <si>
    <t>Bank of Moscow</t>
  </si>
  <si>
    <t>WMD (EO 13382)</t>
  </si>
  <si>
    <t>2008, 2009</t>
  </si>
  <si>
    <t>Offsore Marine Laboratories</t>
  </si>
  <si>
    <t>2007-2008</t>
  </si>
  <si>
    <t>WMD EO</t>
  </si>
  <si>
    <t>JPMorgan Chase</t>
  </si>
  <si>
    <t>2005-2011</t>
  </si>
  <si>
    <t>North Korea</t>
  </si>
  <si>
    <t>WATG Holdings</t>
  </si>
  <si>
    <t>2009-2010</t>
  </si>
  <si>
    <t>Barracuda Networks</t>
  </si>
  <si>
    <t>2009-2012</t>
  </si>
  <si>
    <t>Banco do Brasil, S.A., NY</t>
  </si>
  <si>
    <t>2010-2012</t>
  </si>
  <si>
    <t>Gil Tours Travel</t>
  </si>
  <si>
    <t>Blue Robin</t>
  </si>
  <si>
    <t>WMD, EO 13382</t>
  </si>
  <si>
    <t>National Bank of Pakistan, NY</t>
  </si>
  <si>
    <t>2013-2014</t>
  </si>
  <si>
    <t>Global Terrorism</t>
  </si>
  <si>
    <t>First Data Resources</t>
  </si>
  <si>
    <t>Life for Relief and Development</t>
  </si>
  <si>
    <t>2002-2003</t>
  </si>
  <si>
    <t>Iraq</t>
  </si>
  <si>
    <t>ESCO Corporation</t>
  </si>
  <si>
    <t>2007-2011</t>
  </si>
  <si>
    <t>Indam International</t>
  </si>
  <si>
    <t>2006-2008</t>
  </si>
  <si>
    <t>Bupa Florida</t>
  </si>
  <si>
    <t>Zulutrade</t>
  </si>
  <si>
    <t>2009-?</t>
  </si>
  <si>
    <t>Branch Banking &amp; Trust Co.</t>
  </si>
  <si>
    <t>Epsilon Electronics</t>
  </si>
  <si>
    <t>Bank of America</t>
  </si>
  <si>
    <t>2005-2009</t>
  </si>
  <si>
    <t>FNKSR</t>
  </si>
  <si>
    <t>Narcotics Trafficking, Foreign Narcotics, Cuba</t>
  </si>
  <si>
    <t>NTSR</t>
  </si>
  <si>
    <t>BNP Paribas SA</t>
  </si>
  <si>
    <t>2005?-2012</t>
  </si>
  <si>
    <t>Red Bull North America</t>
  </si>
  <si>
    <t>Network Hardware Resale</t>
  </si>
  <si>
    <t>Syria</t>
  </si>
  <si>
    <t>Fokker Services B.V.</t>
  </si>
  <si>
    <t>2005-2010</t>
  </si>
  <si>
    <t>American International Group (AIG)</t>
  </si>
  <si>
    <t>2006-2009</t>
  </si>
  <si>
    <t>Decolar.com</t>
  </si>
  <si>
    <t>Individual from Washington State</t>
  </si>
  <si>
    <t>2007-2009</t>
  </si>
  <si>
    <t>CWT B.V.</t>
  </si>
  <si>
    <t>2006-2012</t>
  </si>
  <si>
    <t>?</t>
  </si>
  <si>
    <t>Sea Tel</t>
  </si>
  <si>
    <t>GAC Bunker Fuels</t>
  </si>
  <si>
    <t>Ubiquiti Networks</t>
  </si>
  <si>
    <t>Clearstream Banking S.A.</t>
  </si>
  <si>
    <t>HSBC Bank USA</t>
  </si>
  <si>
    <t>2010-2011</t>
  </si>
  <si>
    <t>The Royal Bank of Scotland</t>
  </si>
  <si>
    <t>Compass Bank</t>
  </si>
  <si>
    <t>Weatherford International</t>
  </si>
  <si>
    <t>2003-2008</t>
  </si>
  <si>
    <t>KMT Group</t>
  </si>
  <si>
    <t>Ameron International Corporation</t>
  </si>
  <si>
    <t>2005-2006</t>
  </si>
  <si>
    <t>Iran, Cuba</t>
  </si>
  <si>
    <t>Alma Investment LLC</t>
  </si>
  <si>
    <t>Finans</t>
  </si>
  <si>
    <t>World Fuel Services</t>
  </si>
  <si>
    <t>Communications and Power Industries</t>
  </si>
  <si>
    <t>2006-2010</t>
  </si>
  <si>
    <t>American Express Travel Related Services</t>
  </si>
  <si>
    <t>Stanley Drilling Equipment &amp; Supply</t>
  </si>
  <si>
    <t>Intesa Sanpaolo</t>
  </si>
  <si>
    <t>2004-2008</t>
  </si>
  <si>
    <t>Wells Fargo Bank</t>
  </si>
  <si>
    <t>2007-2010</t>
  </si>
  <si>
    <t>ATP Tour</t>
  </si>
  <si>
    <t>The American Steamship Owners Mutual Protection and Indemnity Association</t>
  </si>
  <si>
    <t>2003-2007</t>
  </si>
  <si>
    <t>Toyota Motor Credit Corporation</t>
  </si>
  <si>
    <t>2008-2010</t>
  </si>
  <si>
    <t>SAN Corporation</t>
  </si>
  <si>
    <t>EGL</t>
  </si>
  <si>
    <t>2005-2008</t>
  </si>
  <si>
    <t>Cuba, Iran</t>
  </si>
  <si>
    <t>Bank of Guam</t>
  </si>
  <si>
    <t>American Optisurgical</t>
  </si>
  <si>
    <t>Dal-Tech Devices</t>
  </si>
  <si>
    <t>HSBC Holdings</t>
  </si>
  <si>
    <t>2004-2010</t>
  </si>
  <si>
    <t>Libya</t>
  </si>
  <si>
    <t>Standard Charter Bank</t>
  </si>
  <si>
    <t>2001-2011</t>
  </si>
  <si>
    <t>Sogda Limited</t>
  </si>
  <si>
    <t>Natoli Engineering Company</t>
  </si>
  <si>
    <t>Brasseler USA</t>
  </si>
  <si>
    <t>Grand Resources USA</t>
  </si>
  <si>
    <t>Iran, WMDPSR</t>
  </si>
  <si>
    <t>Great Western Malting</t>
  </si>
  <si>
    <t>National Bank of Abu Dhabi</t>
  </si>
  <si>
    <t>2004-2005</t>
  </si>
  <si>
    <t>ING Bank</t>
  </si>
  <si>
    <t>2002-2007</t>
  </si>
  <si>
    <t>Genesis Asset Managers</t>
  </si>
  <si>
    <t>Sandhill Scientific</t>
  </si>
  <si>
    <t>Essie Cosmetics and former Individual Corporate Office</t>
  </si>
  <si>
    <t>Online Micro</t>
  </si>
  <si>
    <t>Richland Trace Homeowners</t>
  </si>
  <si>
    <t>Liberia</t>
  </si>
  <si>
    <t>Teledyne Technologies</t>
  </si>
  <si>
    <t>Lanier Marine Liquidators</t>
  </si>
  <si>
    <t>Commerzbank AG, NY Branch</t>
  </si>
  <si>
    <t>Wilson Tool International</t>
  </si>
  <si>
    <t>ASF</t>
  </si>
  <si>
    <t>Zurigo Trading</t>
  </si>
  <si>
    <t>Sunrise Technologies and Trading</t>
  </si>
  <si>
    <t>Flowserve</t>
  </si>
  <si>
    <t>Norton Lilly</t>
  </si>
  <si>
    <t>CMA CGM</t>
  </si>
  <si>
    <t>Societe Generale New York Branch</t>
  </si>
  <si>
    <t>Heritage Turbines</t>
  </si>
  <si>
    <t>General Reinsurance</t>
  </si>
  <si>
    <t>HCC Insurance Holdings</t>
  </si>
  <si>
    <t>Robbins Instruments</t>
  </si>
  <si>
    <t>Individual from Houston, TX</t>
  </si>
  <si>
    <t>Aegis Electronic Group</t>
  </si>
  <si>
    <t>2008-2009</t>
  </si>
  <si>
    <t>McGriff, Seibels &amp; Williams of Texas</t>
  </si>
  <si>
    <t>Metropolitan Life Insurance Company</t>
  </si>
  <si>
    <t>Trans Pacific National Bank</t>
  </si>
  <si>
    <t>Aon International Energy</t>
  </si>
  <si>
    <t>Individual</t>
  </si>
  <si>
    <t>Alcon Laboratories</t>
  </si>
  <si>
    <t>HyperBranch Medical Technology</t>
  </si>
  <si>
    <t>Halliburton Atlantic Limited</t>
  </si>
  <si>
    <t>CGG Services</t>
  </si>
  <si>
    <t>Barclays Bank</t>
  </si>
  <si>
    <t>Zimbabwe</t>
  </si>
  <si>
    <t>Financial vs. Non-Financial?</t>
  </si>
  <si>
    <t>Ellman International</t>
  </si>
  <si>
    <t>Non-Financial</t>
  </si>
  <si>
    <t>Financial</t>
  </si>
  <si>
    <t>Even</t>
  </si>
  <si>
    <t>Penalty Ratio</t>
  </si>
  <si>
    <t>Transaction Ratio</t>
  </si>
  <si>
    <t>Tung Tai Group</t>
  </si>
  <si>
    <t xml:space="preserve"> </t>
  </si>
  <si>
    <t>Total</t>
  </si>
  <si>
    <t>GTSR</t>
  </si>
  <si>
    <t>EO 13382</t>
  </si>
  <si>
    <t>World Class Technology Corporation</t>
  </si>
  <si>
    <t>PanAmerican Seed Company</t>
  </si>
  <si>
    <t>National Oilwell Varco</t>
  </si>
  <si>
    <t>2002-2009</t>
  </si>
  <si>
    <t>2018-2022</t>
  </si>
  <si>
    <t>Aban Offshore Limited</t>
  </si>
  <si>
    <t>Alliance for Responsible Cuba Policy Foundation</t>
  </si>
  <si>
    <t>Toronto-Dominion Bank</t>
  </si>
  <si>
    <t>2007-2012</t>
  </si>
  <si>
    <t>United Medical Instruments</t>
  </si>
  <si>
    <t>Zhongxing Telecommunications Equipment Corporation</t>
  </si>
  <si>
    <t>2010-2016</t>
  </si>
  <si>
    <t>American Honda Finance Corporation</t>
  </si>
  <si>
    <t>2011-2014</t>
  </si>
  <si>
    <t>ExxonMobil Corp</t>
  </si>
  <si>
    <t>CSE TransTel Pte. Ltd.</t>
  </si>
  <si>
    <t>2012-2013</t>
  </si>
  <si>
    <t>IPSA International Services</t>
  </si>
  <si>
    <t>American Export Lines and International Shipping Company</t>
  </si>
  <si>
    <t>COSL Singapore Ltd</t>
  </si>
  <si>
    <t>2011-2013</t>
  </si>
  <si>
    <t>Richemont North America, Inc. (Cartier)</t>
  </si>
  <si>
    <t>BD White Birch Investment LLC</t>
  </si>
  <si>
    <t>BCC Corporate SA</t>
  </si>
  <si>
    <t>2009-2014</t>
  </si>
  <si>
    <t>DENTSPLY SIRONA Inc.</t>
  </si>
  <si>
    <t>millions of dollars</t>
  </si>
  <si>
    <t>Ericssson, Inc., AB</t>
  </si>
  <si>
    <t>2011-2012</t>
  </si>
  <si>
    <t>Country (FY)</t>
  </si>
  <si>
    <t>JP Morgan Chase Bank</t>
  </si>
  <si>
    <t>Cuba, Iran, WMD</t>
  </si>
  <si>
    <t>Societe Generale</t>
  </si>
  <si>
    <t>Cobham Holdings</t>
  </si>
  <si>
    <t>2014-2015</t>
  </si>
  <si>
    <t>Yantai Jereh Oilfield Services Group</t>
  </si>
  <si>
    <t>2014-2016</t>
  </si>
  <si>
    <t>Zoltek Companies</t>
  </si>
  <si>
    <t>2011-2015</t>
  </si>
  <si>
    <t>Belarus</t>
  </si>
  <si>
    <t>e.l.f. Cosmetics</t>
  </si>
  <si>
    <t>2012-2017</t>
  </si>
  <si>
    <t>Kollmorgen Corporation</t>
  </si>
  <si>
    <t>2013-2015</t>
  </si>
  <si>
    <t>AppliChem GmbH</t>
  </si>
  <si>
    <t>2012-2016</t>
  </si>
  <si>
    <t>ZAG IP, LLC</t>
  </si>
  <si>
    <t>Stanley Black &amp; Decker</t>
  </si>
  <si>
    <t>Acteon Group</t>
  </si>
  <si>
    <t>UniCredit Bank AG</t>
  </si>
  <si>
    <t>UniCredit Bank Austria AG</t>
  </si>
  <si>
    <t>UniCredit S.p.A.</t>
  </si>
  <si>
    <t>Haverly Systems</t>
  </si>
  <si>
    <t>2015-2016</t>
  </si>
  <si>
    <t>MID-SHIP Group</t>
  </si>
  <si>
    <t>Western Union</t>
  </si>
  <si>
    <t>2010-2015</t>
  </si>
  <si>
    <t>Hotelbeds USA</t>
  </si>
  <si>
    <t>Expedia Group</t>
  </si>
  <si>
    <t>Cubasphere/"Individual"</t>
  </si>
  <si>
    <t>PACCAR Inc</t>
  </si>
  <si>
    <t>Atradius Trade Credit Insurance</t>
  </si>
  <si>
    <t xml:space="preserve">Kingpin Foreign Narcotics </t>
  </si>
  <si>
    <t>British Arab Commercial Bank plc</t>
  </si>
  <si>
    <t>2010-2014</t>
  </si>
  <si>
    <t>GE Company</t>
  </si>
  <si>
    <t xml:space="preserve">nonfinancial </t>
  </si>
  <si>
    <t>Apollo Aviation Group LLC</t>
  </si>
  <si>
    <t>Apple</t>
  </si>
  <si>
    <t>2015-2017</t>
  </si>
  <si>
    <t>Allianz Global Risks</t>
  </si>
  <si>
    <t>ACE Limited</t>
  </si>
  <si>
    <t>Part Strategies</t>
  </si>
  <si>
    <t xml:space="preserve">Global Terrorism </t>
  </si>
  <si>
    <t>Program Projections</t>
  </si>
  <si>
    <t xml:space="preserve">Eagle Shipping International </t>
  </si>
  <si>
    <t>Societe Internationale de Telecommunications Aeronaugtiques (SITA)</t>
  </si>
  <si>
    <t>2013-2018</t>
  </si>
  <si>
    <t>BIOMIN America</t>
  </si>
  <si>
    <t>Amazon</t>
  </si>
  <si>
    <t>2011-2018</t>
  </si>
  <si>
    <t xml:space="preserve">Whitford Worldwide Company </t>
  </si>
  <si>
    <t>2012-2015</t>
  </si>
  <si>
    <t xml:space="preserve">US Individual </t>
  </si>
  <si>
    <t>Comtech Telecommunications</t>
  </si>
  <si>
    <t>Keysight Technologies</t>
  </si>
  <si>
    <t>Generali Global Assistance</t>
  </si>
  <si>
    <t>Berkshire Hathaway</t>
  </si>
  <si>
    <t>National Commercial Bank</t>
  </si>
  <si>
    <t>BitGo</t>
  </si>
  <si>
    <t>2015-2019</t>
  </si>
  <si>
    <t>Union de Banques Arabes et Françaises</t>
  </si>
  <si>
    <t xml:space="preserve">Syria </t>
  </si>
  <si>
    <t>BitPay Inc</t>
  </si>
  <si>
    <t>UniControl</t>
  </si>
  <si>
    <t>Nordgas S.r.l</t>
  </si>
  <si>
    <t>2013-2017</t>
  </si>
  <si>
    <t>Alliance Steel</t>
  </si>
  <si>
    <t>MoneyGram</t>
  </si>
  <si>
    <t>2013-2016</t>
  </si>
  <si>
    <t>Foreign Narcotics, Narcotics trafficking, Syria, Congo, Central Africa, Weapons of Mass Destruction</t>
  </si>
  <si>
    <t>Central African Republic</t>
  </si>
  <si>
    <t>SAP SE</t>
  </si>
  <si>
    <t>Alfa laval Middle East</t>
  </si>
  <si>
    <t>Payoneer Inc</t>
  </si>
  <si>
    <t>Ukraine, Zimbabwe, Weapons of Mass Destruction, Iran, Syria</t>
  </si>
  <si>
    <t>Bank of China (UK)</t>
  </si>
  <si>
    <t>First Bank SA</t>
  </si>
  <si>
    <t>Iran, Syria</t>
  </si>
  <si>
    <t>2016-2019</t>
  </si>
  <si>
    <t>NewTek</t>
  </si>
  <si>
    <t>Cameron International Corporation</t>
  </si>
  <si>
    <t>Schlumberger Rod Lift Inc</t>
  </si>
  <si>
    <t xml:space="preserve">Individual </t>
  </si>
  <si>
    <t>TD Bank</t>
  </si>
  <si>
    <t>2016-2018</t>
  </si>
  <si>
    <t>Airbnb</t>
  </si>
  <si>
    <t>2015-2020</t>
  </si>
  <si>
    <t>Sojitz</t>
  </si>
  <si>
    <t>S&amp;P Global</t>
  </si>
  <si>
    <t>2016-2017</t>
  </si>
  <si>
    <t xml:space="preserve">Newmont Corporation </t>
  </si>
  <si>
    <t xml:space="preserve">Chisu International </t>
  </si>
  <si>
    <t>Toll Holdings Limited</t>
  </si>
  <si>
    <t>2013-2019</t>
  </si>
  <si>
    <t xml:space="preserve">Weapons of Mass Destruction </t>
  </si>
  <si>
    <t xml:space="preserve">Global Terrorism Sanctions </t>
  </si>
  <si>
    <t>Banco Popular de Puerto Rico</t>
  </si>
  <si>
    <t>Venezula</t>
  </si>
  <si>
    <t>AMEX</t>
  </si>
  <si>
    <t>CA Indosuez Switzerland</t>
  </si>
  <si>
    <t>2011-2016</t>
  </si>
  <si>
    <t>Tango Card</t>
  </si>
  <si>
    <t>Bittrex, Inc.</t>
  </si>
  <si>
    <t>Danfoss A/S</t>
  </si>
  <si>
    <t>Godfrey Phillips India, Ltd.</t>
  </si>
  <si>
    <t>Microsoft Corporation</t>
  </si>
  <si>
    <t>British American Tobacco</t>
  </si>
  <si>
    <t>Poloniex, LLC</t>
  </si>
  <si>
    <t>Murad, LLC</t>
  </si>
  <si>
    <t>2016-2021</t>
  </si>
  <si>
    <t>Cuba, Iran, Syria, North Korea, Ukraine</t>
  </si>
  <si>
    <t>Swedbank Latvia AS</t>
  </si>
  <si>
    <t>2014-2017</t>
  </si>
  <si>
    <t>Payward, Inc./"Kraken"</t>
  </si>
  <si>
    <t>Uphold HQ Inc.</t>
  </si>
  <si>
    <t>Iran, Cuba, Venezuela</t>
  </si>
  <si>
    <t>2017-2022</t>
  </si>
  <si>
    <t>2012-2019</t>
  </si>
  <si>
    <t>Cuba, Iran, Syria, Ukraine</t>
  </si>
  <si>
    <t>2009-2016</t>
  </si>
  <si>
    <t>2014-2019</t>
  </si>
  <si>
    <t>2009-2018</t>
  </si>
  <si>
    <t>Announced settlement amount</t>
  </si>
  <si>
    <t>Construction Specialties Inc.</t>
  </si>
  <si>
    <t>3M Company ("3M")</t>
  </si>
  <si>
    <t>2015-2018</t>
  </si>
  <si>
    <t>Emigrant Bank</t>
  </si>
  <si>
    <t>2017-2021</t>
  </si>
  <si>
    <t>Fiscal Year</t>
  </si>
  <si>
    <t>Country Projections</t>
  </si>
  <si>
    <t>Estimate Basis</t>
  </si>
  <si>
    <t>GDP Ratio</t>
  </si>
  <si>
    <t>Source: IMF World Economic Outlook (https://www.imf.org/external/datamapper/datasets/WEO)</t>
  </si>
  <si>
    <t>Average Collections, Iran Sanctions</t>
  </si>
  <si>
    <t>Iran Collections to Iran GDP Ratio</t>
  </si>
  <si>
    <t>2022 Iran GDP (USD)</t>
  </si>
  <si>
    <t>2022 Russia GDP (USD)</t>
  </si>
  <si>
    <t xml:space="preserve">Anticipated Increase in Russia Collections </t>
  </si>
  <si>
    <t>Swift Prepaid Solutions ("daVinci Payments")</t>
  </si>
  <si>
    <t>Ukraine, Iran, Syria, Cuba</t>
  </si>
  <si>
    <t>Nasdaq, Inc</t>
  </si>
  <si>
    <t>2012-2014</t>
  </si>
  <si>
    <t xml:space="preserve">Priviledge Underwriters Reciprocal Exchange </t>
  </si>
  <si>
    <t>2018-2020</t>
  </si>
  <si>
    <t>EFG International AG</t>
  </si>
  <si>
    <t>Finanical</t>
  </si>
  <si>
    <t>Cuba, SDNTK, Ukraine</t>
  </si>
  <si>
    <t>Cuba, FNKSR, Ukraine</t>
  </si>
  <si>
    <t>2014-2023</t>
  </si>
  <si>
    <t>SCG Plastics Co., LTD</t>
  </si>
  <si>
    <t>2017-2018</t>
  </si>
  <si>
    <t>Mondo TV, S.p.a.</t>
  </si>
  <si>
    <t>2019-2021</t>
  </si>
  <si>
    <t>State Street Bank and Trust Company/Charles River Systems</t>
  </si>
  <si>
    <t>2016-2020</t>
  </si>
  <si>
    <t>Vietnam Beverage Company Limited</t>
  </si>
  <si>
    <t>American Life Insurance Company</t>
  </si>
  <si>
    <t>2022-2023</t>
  </si>
  <si>
    <t>Aiotec GmbH</t>
  </si>
  <si>
    <t>C.H. Robinson International Inc.</t>
  </si>
  <si>
    <t>2016-2022</t>
  </si>
  <si>
    <t>2014-2018</t>
  </si>
  <si>
    <t>Córdoba Music Group LLC</t>
  </si>
  <si>
    <t>GMSR</t>
  </si>
  <si>
    <t xml:space="preserve">Financial </t>
  </si>
  <si>
    <t>SkyGeek Logistics, Inc</t>
  </si>
  <si>
    <t>Unicat Catalyst Technologies, LLC</t>
  </si>
  <si>
    <t>Iran, Venezuela</t>
  </si>
  <si>
    <t>Key Holding, LLC</t>
  </si>
  <si>
    <t>Fract FWO Inc.</t>
  </si>
  <si>
    <t>2012-2022</t>
  </si>
  <si>
    <t>2021-2022</t>
  </si>
  <si>
    <t>ShapeShift AG</t>
  </si>
  <si>
    <t>King Holdings LLC</t>
  </si>
  <si>
    <t>2023-2024</t>
  </si>
  <si>
    <t>IPI Partners, LLC</t>
  </si>
  <si>
    <t>2026-2036</t>
  </si>
  <si>
    <t>Russia</t>
  </si>
  <si>
    <t>Adjusted Russia Projections</t>
  </si>
  <si>
    <t>Winter 2026 Iran Actuals/Projections</t>
  </si>
  <si>
    <t>Winter 2026 Added Russia Projecton</t>
  </si>
  <si>
    <t>Projected Revenue</t>
  </si>
  <si>
    <t>Winter 2026 Russia Actuals/Projections</t>
  </si>
  <si>
    <t>Russia Collections to Russia GDP Ratio</t>
  </si>
  <si>
    <t>Average Collection, Prior Russia Sanctions</t>
  </si>
  <si>
    <t>*Anticipated first year of full revenue is 2029, because current Russian sanctions penalties are collected an average of 8 years after the start of the violation</t>
  </si>
  <si>
    <t>CBO's Projected Consumer Price Index for All Urban Consumers (CPI-U)</t>
  </si>
  <si>
    <t>Rate</t>
  </si>
  <si>
    <t>** Assuming a 40% increase in compliance vs Iran given existing shifts to decouple from Russia</t>
  </si>
  <si>
    <t>Afghanistan</t>
  </si>
  <si>
    <t>Democratic Republic of the Congo</t>
  </si>
  <si>
    <t>Ethopia</t>
  </si>
  <si>
    <t>Mali</t>
  </si>
  <si>
    <t>South Sudan</t>
  </si>
  <si>
    <t>Iran, South Sudan, Syria</t>
  </si>
  <si>
    <t>Cuba, Iran, South Sudan</t>
  </si>
  <si>
    <t>Iran, South Sudan, Cuba</t>
  </si>
  <si>
    <t>WMD, Burma, Iran, Cuba, South Sudan</t>
  </si>
  <si>
    <t>Cuba, South Sudan, Iran</t>
  </si>
  <si>
    <t>Cuba, Burma, South Sudan, Iran</t>
  </si>
  <si>
    <t>Iran, South Sudan</t>
  </si>
  <si>
    <t>South Sudan, Iran</t>
  </si>
  <si>
    <t>South Sudan, Iran, Cuba, Burma</t>
  </si>
  <si>
    <t>Iran, South Sudan, EO 13582</t>
  </si>
  <si>
    <t>WMD, Iran, South Sudan, Cuba, global terror</t>
  </si>
  <si>
    <t>South Sudan, Cuba, Burma, Iran</t>
  </si>
  <si>
    <t>Iran, WMD, South Sudan, Cuba</t>
  </si>
  <si>
    <t>Burma, Cuba, Iran, South Sudan, Syria</t>
  </si>
  <si>
    <t>WMD, Cuba, Burma, South Sudan, Syria, Iran, Libya, GTSR</t>
  </si>
  <si>
    <t>Iran, South Sudan, Burma, Syria, Cuba</t>
  </si>
  <si>
    <t>Cuba, Iran, Burma, South Sudan, Syria</t>
  </si>
  <si>
    <t xml:space="preserve">Syria and South Sudan </t>
  </si>
  <si>
    <t>Ukraine, Cuba, Iran, South Sudan Syria</t>
  </si>
  <si>
    <t>Ukraine, North Korea, Iran, South Sudan, Syria</t>
  </si>
  <si>
    <t>Somalia</t>
  </si>
  <si>
    <t>Abreviation</t>
  </si>
  <si>
    <t>Full Program Title</t>
  </si>
  <si>
    <t>Foreign Narcotics, Narcotics Trafficking</t>
  </si>
  <si>
    <t>Foreign Narcotics Trafficking Sanctions</t>
  </si>
  <si>
    <t>Narcotics Trafficking Sanctions</t>
  </si>
  <si>
    <t>Global Terrosim Sanctions</t>
  </si>
  <si>
    <t>Weapons of Mass Destruction Sanctions</t>
  </si>
  <si>
    <t>Global Magnitsky Sanctions</t>
  </si>
  <si>
    <t>TCO</t>
  </si>
  <si>
    <t>Transnational Criminal Organization Sanctions</t>
  </si>
  <si>
    <t>All Sanctions Violated</t>
  </si>
  <si>
    <t>2004-2009</t>
  </si>
  <si>
    <t>2004-2011</t>
  </si>
  <si>
    <t>2005-2013</t>
  </si>
  <si>
    <t>Individual Violations</t>
  </si>
  <si>
    <t>Percent Assigned to Each Type</t>
  </si>
  <si>
    <t>Base Penalty Per Type of Sanction</t>
  </si>
  <si>
    <t>Sum of Base Penalties</t>
  </si>
  <si>
    <t xml:space="preserve">Split Used </t>
  </si>
  <si>
    <t xml:space="preserve">Note: OFAC's terminology for some of these action-based programs has shifted over time. CBO has generally maintained the original categorization, but for ease, the corresponding programs are linked above. </t>
  </si>
  <si>
    <t>Cuba, Burma, South Sudan, Libya, Iran</t>
  </si>
  <si>
    <t>Burma, Iran, Libya, South Sudan, Foreign Narcotics</t>
  </si>
  <si>
    <t>Ukraine, Cuba, Iran, South Sudan, Syria</t>
  </si>
  <si>
    <t>Cuba, Iran, South Sudan, Syria</t>
  </si>
  <si>
    <t>Year</t>
  </si>
  <si>
    <t>Penalty Per Program</t>
  </si>
  <si>
    <t xml:space="preserve">What This Model Does </t>
  </si>
  <si>
    <t>This model projects penalty revenues from civil settlements for violations of various sanctions for CBO's revenue baseline.</t>
  </si>
  <si>
    <t>Background</t>
  </si>
  <si>
    <t>Projection Strategy</t>
  </si>
  <si>
    <r>
      <t xml:space="preserve">2. </t>
    </r>
    <r>
      <rPr>
        <sz val="11"/>
        <color rgb="FF000000"/>
        <rFont val="Calibri"/>
        <family val="2"/>
        <scheme val="minor"/>
      </rPr>
      <t xml:space="preserve">For any historic penalties associated with violations of multiple sanctions, assign a share of that penalty to each type of sanction violated.  </t>
    </r>
  </si>
  <si>
    <r>
      <t xml:space="preserve">3. </t>
    </r>
    <r>
      <rPr>
        <sz val="11"/>
        <color rgb="FF000000"/>
        <rFont val="Calibri"/>
        <family val="2"/>
        <scheme val="minor"/>
      </rPr>
      <t>Calculate the average settlement over the past 10 years for each type of sanction violation.</t>
    </r>
  </si>
  <si>
    <r>
      <t xml:space="preserve">4. </t>
    </r>
    <r>
      <rPr>
        <sz val="11"/>
        <color rgb="FF000000"/>
        <rFont val="Calibri"/>
        <family val="2"/>
        <scheme val="minor"/>
      </rPr>
      <t xml:space="preserve">Project revenues from 2026-2036 by growing that historical average by CBO’s projected growth of the Consumer Price Index for All Urban Consumers (CPI-U). </t>
    </r>
  </si>
  <si>
    <r>
      <t>6</t>
    </r>
    <r>
      <rPr>
        <sz val="11"/>
        <color rgb="FF000000"/>
        <rFont val="Calibri"/>
        <family val="2"/>
        <scheme val="minor"/>
      </rPr>
      <t xml:space="preserve">.  Sum projections from sanctions programs, along with the Russian adjustment, to calculate total projected revenues over the 2026-2036 period. </t>
    </r>
  </si>
  <si>
    <t>Table of Contents</t>
  </si>
  <si>
    <r>
      <t xml:space="preserve">Summary: </t>
    </r>
    <r>
      <rPr>
        <sz val="11"/>
        <color rgb="FF000000"/>
        <rFont val="Calibri"/>
        <family val="2"/>
        <scheme val="minor"/>
      </rPr>
      <t>Displays total projected revenue from civil settlements of sanctions violations over the 2026-2036 period.</t>
    </r>
  </si>
  <si>
    <r>
      <t xml:space="preserve">Fiscal Year Projections: </t>
    </r>
    <r>
      <rPr>
        <sz val="11"/>
        <color rgb="FF000000"/>
        <rFont val="Calibri"/>
        <family val="2"/>
        <scheme val="minor"/>
      </rPr>
      <t>Projects revenues from civil settlements across all sanctions programs across the 2026-2036 period.</t>
    </r>
  </si>
  <si>
    <r>
      <t xml:space="preserve">Adjusted Russia Projections: </t>
    </r>
    <r>
      <rPr>
        <sz val="11"/>
        <color rgb="FF000000"/>
        <rFont val="Calibri"/>
        <family val="2"/>
        <scheme val="minor"/>
      </rPr>
      <t>An adjustment to account for expanded sanctions on various Russian citizens and industries following the 2022 invasion of Ukraine</t>
    </r>
  </si>
  <si>
    <r>
      <t xml:space="preserve">ALLData: </t>
    </r>
    <r>
      <rPr>
        <sz val="11"/>
        <color rgb="FF000000"/>
        <rFont val="Calibri"/>
        <family val="2"/>
        <scheme val="minor"/>
      </rPr>
      <t xml:space="preserve">Contains settlement agreement history dating back to 2011, including: </t>
    </r>
  </si>
  <si>
    <r>
      <t xml:space="preserve">   b. FY: </t>
    </r>
    <r>
      <rPr>
        <sz val="11"/>
        <color rgb="FF000000"/>
        <rFont val="Calibri"/>
        <family val="2"/>
        <scheme val="minor"/>
      </rPr>
      <t>Fiscal year the settlement agreement was posted</t>
    </r>
  </si>
  <si>
    <r>
      <t xml:space="preserve">   c. Violator: </t>
    </r>
    <r>
      <rPr>
        <sz val="11"/>
        <color rgb="FF000000"/>
        <rFont val="Calibri"/>
        <family val="2"/>
        <scheme val="minor"/>
      </rPr>
      <t>Name of the person or organization that violated the sanction</t>
    </r>
  </si>
  <si>
    <r>
      <t xml:space="preserve">   d. Financial vs Non-Financial: </t>
    </r>
    <r>
      <rPr>
        <sz val="11"/>
        <color rgb="FF000000"/>
        <rFont val="Calibri"/>
        <family val="2"/>
        <scheme val="minor"/>
      </rPr>
      <t xml:space="preserve">A determination of whether the person or entity was providing financial services to the sanctioned entity, </t>
    </r>
  </si>
  <si>
    <t xml:space="preserve">        or non-financial services (i.e. – selling a product, providing consulting, etc.) </t>
  </si>
  <si>
    <r>
      <t xml:space="preserve">   e. Years of Violation: </t>
    </r>
    <r>
      <rPr>
        <sz val="11"/>
        <color rgb="FF000000"/>
        <rFont val="Calibri"/>
        <family val="2"/>
        <scheme val="minor"/>
      </rPr>
      <t>Years in which sanctions were violated</t>
    </r>
  </si>
  <si>
    <r>
      <t xml:space="preserve">   f. All Sanctions Violated: </t>
    </r>
    <r>
      <rPr>
        <sz val="11"/>
        <color rgb="FF000000"/>
        <rFont val="Calibri"/>
        <family val="2"/>
        <scheme val="minor"/>
      </rPr>
      <t xml:space="preserve">List of all the country-specific and action-based sanctions programs violations covered under a particular  </t>
    </r>
  </si>
  <si>
    <t xml:space="preserve">   settlement agreement</t>
  </si>
  <si>
    <r>
      <t xml:space="preserve">   g. Individual Violations: </t>
    </r>
    <r>
      <rPr>
        <sz val="11"/>
        <color rgb="FF000000"/>
        <rFont val="Calibri"/>
        <family val="2"/>
        <scheme val="minor"/>
      </rPr>
      <t>Specific country or action-based sanction addressed in that row of the sheet</t>
    </r>
  </si>
  <si>
    <r>
      <t xml:space="preserve">   h. Base Penalty Per Type of Sanction: </t>
    </r>
    <r>
      <rPr>
        <sz val="11"/>
        <color rgb="FF000000"/>
        <rFont val="Calibri"/>
        <family val="2"/>
        <scheme val="minor"/>
      </rPr>
      <t xml:space="preserve">Share of base penalty assigned to the specific violation in that row </t>
    </r>
  </si>
  <si>
    <r>
      <t xml:space="preserve">   i. Sum of Base Penalties: </t>
    </r>
    <r>
      <rPr>
        <sz val="11"/>
        <color rgb="FF000000"/>
        <rFont val="Calibri"/>
        <family val="2"/>
        <scheme val="minor"/>
      </rPr>
      <t>Total base penalty for all violations listed in the settlement agreement</t>
    </r>
  </si>
  <si>
    <r>
      <t xml:space="preserve">   j. Percent Assigned to Each Type: </t>
    </r>
    <r>
      <rPr>
        <sz val="11"/>
        <color rgb="FF000000"/>
        <rFont val="Calibri"/>
        <family val="2"/>
        <scheme val="minor"/>
      </rPr>
      <t>Share of penalty assigned to the specific violation in that row</t>
    </r>
  </si>
  <si>
    <r>
      <t xml:space="preserve">   k. Split Used: </t>
    </r>
    <r>
      <rPr>
        <sz val="11"/>
        <color rgb="FF000000"/>
        <rFont val="Calibri"/>
        <family val="2"/>
        <scheme val="minor"/>
      </rPr>
      <t>Method for assigning penalties to specific violation. Options include even (all violations get an equal share), penalty ratio</t>
    </r>
  </si>
  <si>
    <t xml:space="preserve">   (share is based on information about penalty split in the posted agreement), or transaction ratio (share is based on the share of </t>
  </si>
  <si>
    <t xml:space="preserve">    transactions with the specific sanctioned country or actor).</t>
  </si>
  <si>
    <r>
      <t xml:space="preserve">   l. Announced Settlement Amount: </t>
    </r>
    <r>
      <rPr>
        <sz val="11"/>
        <color rgb="FF000000"/>
        <rFont val="Calibri"/>
        <family val="2"/>
        <scheme val="minor"/>
      </rPr>
      <t>Total settlement paid</t>
    </r>
  </si>
  <si>
    <r>
      <t xml:space="preserve">   m. Penalty Per Program: </t>
    </r>
    <r>
      <rPr>
        <sz val="11"/>
        <color rgb="FF000000"/>
        <rFont val="Calibri"/>
        <family val="2"/>
        <scheme val="minor"/>
      </rPr>
      <t>Share of settlement assigned to the specific violation in that row</t>
    </r>
  </si>
  <si>
    <t xml:space="preserve">Acknowledgements </t>
  </si>
  <si>
    <t xml:space="preserve">The sanctions penalty model was developed by Emma Uebelhor, Madeleine Fox (formally of CBO), and Jacob Fabian (formally of CBO). </t>
  </si>
  <si>
    <t>The Department of Treasury’s Office of Foreign Assets Control (OFAC) administers and enforces economic sanctions. These sanctions prohibit people and</t>
  </si>
  <si>
    <t>organizations operating under U.S. jurisdiction from engaging in transactions with certain foreign actors</t>
  </si>
  <si>
    <t>This model tracks settlements, dating back to 2011, and uses those historic data to project future revenues from civil settlements. The model also</t>
  </si>
  <si>
    <t xml:space="preserve">incorporates adjustments for recent changes in sanctions that are not reflected in historic data. </t>
  </si>
  <si>
    <t>and industries following the 2022 invasion of Ukraine, which are not reflected in historical sett</t>
  </si>
  <si>
    <r>
      <rPr>
        <b/>
        <sz val="11"/>
        <color rgb="FF000000"/>
        <rFont val="Calibri"/>
        <family val="2"/>
        <scheme val="minor"/>
      </rPr>
      <t>5.</t>
    </r>
    <r>
      <rPr>
        <sz val="11"/>
        <color rgb="FF000000"/>
        <rFont val="Calibri"/>
        <family val="2"/>
        <scheme val="minor"/>
      </rPr>
      <t xml:space="preserve"> Adjust to account for an anticipated increase in settlements for violations related to Russia, arising from expanded sanctions on various Russian citizens</t>
    </r>
  </si>
  <si>
    <t>citizens, governments, and entities)</t>
  </si>
  <si>
    <r>
      <rPr>
        <b/>
        <sz val="11"/>
        <color rgb="FF000000"/>
        <rFont val="Calibri"/>
        <family val="2"/>
        <scheme val="minor"/>
      </rPr>
      <t>Country-Specific Data</t>
    </r>
    <r>
      <rPr>
        <sz val="11"/>
        <color rgb="FF000000"/>
        <rFont val="Calibri"/>
        <family val="2"/>
        <scheme val="minor"/>
      </rPr>
      <t>: Sums announced settlements from active country-specific sanctions programs (that is, violations of sanctions on certain countries’</t>
    </r>
  </si>
  <si>
    <t xml:space="preserve">supporting terrorism or undermining human rights) </t>
  </si>
  <si>
    <r>
      <rPr>
        <b/>
        <sz val="11"/>
        <color rgb="FF000000"/>
        <rFont val="Calibri"/>
        <family val="2"/>
        <scheme val="minor"/>
      </rPr>
      <t>Action-Based Data</t>
    </r>
    <r>
      <rPr>
        <sz val="11"/>
        <color rgb="FF000000"/>
        <rFont val="Calibri"/>
        <family val="2"/>
        <scheme val="minor"/>
      </rPr>
      <t>: Sums announced settlements from active action-based sanctions programs (that is, violations of sanctions on certain behaviors, such as</t>
    </r>
  </si>
  <si>
    <t>CBO's Sanctions Penalty Model</t>
  </si>
  <si>
    <t>Posted 2026-02-24</t>
  </si>
  <si>
    <t>https://github.com/US-CBO/sanctions-penalty-model</t>
  </si>
  <si>
    <r>
      <rPr>
        <sz val="11"/>
        <rFont val="Calibri"/>
        <family val="2"/>
        <scheme val="minor"/>
      </rPr>
      <t xml:space="preserve">1. Gather settlement data from agreements released on </t>
    </r>
    <r>
      <rPr>
        <sz val="11"/>
        <color theme="1"/>
        <rFont val="Calibri"/>
        <family val="2"/>
        <scheme val="minor"/>
      </rPr>
      <t xml:space="preserve">OFAC’s ‘Enforcement Actions’ page. </t>
    </r>
  </si>
  <si>
    <t>(https://ofac.treasury.gov/recent-actions/enforcement-actions)</t>
  </si>
  <si>
    <r>
      <t xml:space="preserve">   a. Date: </t>
    </r>
    <r>
      <rPr>
        <sz val="11"/>
        <color rgb="FF000000"/>
        <rFont val="Calibri"/>
        <family val="2"/>
        <scheme val="minor"/>
      </rPr>
      <t>Day the settlement agreement was posted on OFAC’s ‘Enforcement Actions’ page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</si>
</sst>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quot;$&quot;#,##0"/>
    <numFmt numFmtId="166" formatCode="m/d/yyyy;@"/>
    <numFmt numFmtId="167" formatCode="&quot;$&quot;#,##0.00"/>
    <numFmt numFmtId="168" formatCode="0.000"/>
    <numFmt numFmtId="169" formatCode="_(&quot;$&quot;* #,##0_);_(&quot;$&quot;* \(#,##0\);_(&quot;$&quot;* &quot;-&quot;??_);_(@_)"/>
    <numFmt numFmtId="170" formatCode="0.000%"/>
    <numFmt numFmtId="171" formatCode="0.0000000%"/>
  </numFmts>
  <fonts count="19"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0"/>
      <name val="Arial"/>
      <family val="2"/>
    </font>
    <font>
      <sz val="10"/>
      <name val="Arial"/>
      <family val="2"/>
    </font>
    <font>
      <u/>
      <sz val="10"/>
      <color theme="10"/>
      <name val="Arial"/>
      <family val="2"/>
    </font>
    <font>
      <b/>
      <i/>
      <sz val="11"/>
      <color theme="1"/>
      <name val="Calibri"/>
      <family val="2"/>
      <scheme val="minor"/>
    </font>
    <font>
      <i/>
      <sz val="11"/>
      <color theme="1"/>
      <name val="Calibri"/>
      <family val="2"/>
      <scheme val="minor"/>
    </font>
    <font>
      <sz val="8"/>
      <name val="Calibri"/>
      <family val="2"/>
      <scheme val="minor"/>
    </font>
    <font>
      <sz val="11"/>
      <name val="Calibri"/>
      <family val="2"/>
      <scheme val="minor"/>
    </font>
    <font>
      <u/>
      <sz val="11"/>
      <color theme="10"/>
      <name val="Calibri"/>
      <family val="2"/>
      <scheme val="minor"/>
    </font>
    <font>
      <b/>
      <sz val="12"/>
      <color theme="1"/>
      <name val="Arial"/>
      <family val="2"/>
    </font>
    <font>
      <sz val="11"/>
      <color theme="1"/>
      <name val="Arial"/>
      <family val="2"/>
    </font>
    <font>
      <u/>
      <sz val="11"/>
      <color theme="10"/>
      <name val="Arial"/>
      <family val="2"/>
    </font>
    <font>
      <b/>
      <sz val="11"/>
      <color rgb="FF000000"/>
      <name val="Calibri"/>
      <family val="2"/>
      <scheme val="minor"/>
    </font>
    <font>
      <sz val="11"/>
      <color rgb="FF000000"/>
      <name val="Calibri"/>
      <family val="2"/>
      <scheme val="minor"/>
    </font>
    <font>
      <b/>
      <sz val="12"/>
      <color rgb="FF000000"/>
      <name val="Calibri"/>
      <family val="2"/>
      <scheme val="minor"/>
    </font>
    <font>
      <b/>
      <sz val="14"/>
      <color rgb="FF000000"/>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5" fillId="0" borderId="0"/>
    <xf numFmtId="0" fontId="5" fillId="0" borderId="0"/>
    <xf numFmtId="44" fontId="1" fillId="0" borderId="0" applyFont="0" applyFill="0" applyBorder="0" applyAlignment="0" applyProtection="0"/>
    <xf numFmtId="0" fontId="11" fillId="0" borderId="0" applyNumberFormat="0" applyFill="0" applyBorder="0" applyAlignment="0" applyProtection="0"/>
  </cellStyleXfs>
  <cellXfs count="66">
    <xf numFmtId="0" fontId="0" fillId="0" borderId="0" xfId="0"/>
    <xf numFmtId="14" fontId="0" fillId="0" borderId="0" xfId="0" applyNumberFormat="1"/>
    <xf numFmtId="6" fontId="0" fillId="0" borderId="0" xfId="0" applyNumberFormat="1"/>
    <xf numFmtId="8" fontId="0" fillId="0" borderId="0" xfId="0" applyNumberFormat="1"/>
    <xf numFmtId="0" fontId="2" fillId="0" borderId="0" xfId="0" applyFont="1"/>
    <xf numFmtId="0" fontId="0" fillId="0" borderId="1" xfId="0" applyBorder="1"/>
    <xf numFmtId="2" fontId="0" fillId="0" borderId="0" xfId="0" applyNumberFormat="1"/>
    <xf numFmtId="165" fontId="0" fillId="0" borderId="0" xfId="0" applyNumberFormat="1"/>
    <xf numFmtId="167" fontId="0" fillId="0" borderId="0" xfId="0" applyNumberFormat="1"/>
    <xf numFmtId="9" fontId="0" fillId="0" borderId="0" xfId="0" applyNumberFormat="1"/>
    <xf numFmtId="10" fontId="0" fillId="0" borderId="0" xfId="0" applyNumberFormat="1"/>
    <xf numFmtId="0" fontId="3" fillId="0" borderId="1" xfId="0" applyFont="1" applyBorder="1"/>
    <xf numFmtId="0" fontId="7" fillId="0" borderId="0" xfId="0" applyFont="1"/>
    <xf numFmtId="0" fontId="8" fillId="0" borderId="0" xfId="0" applyFont="1"/>
    <xf numFmtId="0" fontId="2" fillId="0" borderId="1" xfId="0" applyFont="1" applyBorder="1"/>
    <xf numFmtId="168" fontId="8" fillId="0" borderId="0" xfId="0" applyNumberFormat="1" applyFont="1"/>
    <xf numFmtId="2" fontId="8" fillId="0" borderId="0" xfId="0" applyNumberFormat="1" applyFont="1"/>
    <xf numFmtId="3" fontId="0" fillId="0" borderId="0" xfId="0" applyNumberFormat="1"/>
    <xf numFmtId="0" fontId="3" fillId="2" borderId="1" xfId="0" applyFont="1" applyFill="1" applyBorder="1"/>
    <xf numFmtId="0" fontId="3" fillId="0" borderId="0" xfId="0" applyFont="1"/>
    <xf numFmtId="165" fontId="0" fillId="0" borderId="0" xfId="7" applyNumberFormat="1" applyFont="1" applyFill="1"/>
    <xf numFmtId="165" fontId="0" fillId="0" borderId="0" xfId="7" applyNumberFormat="1" applyFont="1"/>
    <xf numFmtId="0" fontId="0" fillId="3" borderId="0" xfId="0" applyFill="1"/>
    <xf numFmtId="165" fontId="0" fillId="3" borderId="0" xfId="7" applyNumberFormat="1" applyFont="1" applyFill="1"/>
    <xf numFmtId="2" fontId="10" fillId="0" borderId="0" xfId="5" applyNumberFormat="1" applyFont="1"/>
    <xf numFmtId="165" fontId="2" fillId="0" borderId="0" xfId="0" applyNumberFormat="1" applyFont="1"/>
    <xf numFmtId="0" fontId="2" fillId="2" borderId="1" xfId="0" applyFont="1" applyFill="1" applyBorder="1"/>
    <xf numFmtId="170" fontId="0" fillId="0" borderId="0" xfId="2" applyNumberFormat="1" applyFont="1"/>
    <xf numFmtId="1" fontId="0" fillId="0" borderId="0" xfId="2" applyNumberFormat="1" applyFont="1"/>
    <xf numFmtId="2" fontId="2" fillId="0" borderId="0" xfId="2" applyNumberFormat="1" applyFont="1"/>
    <xf numFmtId="171" fontId="0" fillId="0" borderId="0" xfId="2" applyNumberFormat="1" applyFont="1"/>
    <xf numFmtId="165" fontId="0" fillId="0" borderId="0" xfId="2" applyNumberFormat="1" applyFont="1" applyAlignment="1"/>
    <xf numFmtId="0" fontId="2" fillId="4" borderId="1" xfId="0" applyFont="1" applyFill="1" applyBorder="1" applyAlignment="1">
      <alignment horizontal="center" wrapText="1"/>
    </xf>
    <xf numFmtId="0" fontId="2" fillId="0" borderId="1" xfId="0" applyFont="1" applyBorder="1" applyAlignment="1">
      <alignment horizontal="center" wrapText="1"/>
    </xf>
    <xf numFmtId="0" fontId="11" fillId="0" borderId="0" xfId="8"/>
    <xf numFmtId="0" fontId="3" fillId="5" borderId="1" xfId="0" applyFont="1" applyFill="1" applyBorder="1"/>
    <xf numFmtId="2" fontId="10" fillId="3" borderId="0" xfId="5" applyNumberFormat="1" applyFont="1" applyFill="1"/>
    <xf numFmtId="2" fontId="0" fillId="3" borderId="0" xfId="0" applyNumberFormat="1" applyFill="1"/>
    <xf numFmtId="165" fontId="0" fillId="3" borderId="0" xfId="0" applyNumberFormat="1" applyFill="1"/>
    <xf numFmtId="0" fontId="2" fillId="5" borderId="1" xfId="0" applyFont="1" applyFill="1" applyBorder="1"/>
    <xf numFmtId="1" fontId="2" fillId="0" borderId="0" xfId="0" applyNumberFormat="1" applyFont="1"/>
    <xf numFmtId="0" fontId="11" fillId="0" borderId="0" xfId="8" applyFill="1" applyBorder="1"/>
    <xf numFmtId="165" fontId="10" fillId="0" borderId="0" xfId="0" applyNumberFormat="1" applyFont="1"/>
    <xf numFmtId="164" fontId="0" fillId="0" borderId="0" xfId="2" applyNumberFormat="1" applyFont="1" applyFill="1" applyAlignment="1"/>
    <xf numFmtId="9" fontId="0" fillId="0" borderId="0" xfId="2" applyFont="1" applyFill="1" applyAlignment="1"/>
    <xf numFmtId="10" fontId="0" fillId="0" borderId="0" xfId="2" applyNumberFormat="1" applyFont="1" applyFill="1" applyAlignment="1"/>
    <xf numFmtId="165" fontId="0" fillId="0" borderId="0" xfId="1" applyNumberFormat="1" applyFont="1" applyFill="1" applyAlignment="1"/>
    <xf numFmtId="166" fontId="0" fillId="0" borderId="0" xfId="0" applyNumberFormat="1"/>
    <xf numFmtId="16" fontId="0" fillId="0" borderId="0" xfId="0" applyNumberFormat="1"/>
    <xf numFmtId="165" fontId="0" fillId="0" borderId="0" xfId="7" applyNumberFormat="1" applyFont="1" applyFill="1" applyAlignment="1"/>
    <xf numFmtId="169" fontId="0" fillId="0" borderId="0" xfId="0" applyNumberFormat="1"/>
    <xf numFmtId="0" fontId="12" fillId="6" borderId="0" xfId="0" applyFont="1" applyFill="1"/>
    <xf numFmtId="0" fontId="13" fillId="6" borderId="0" xfId="0" applyFont="1" applyFill="1" applyAlignment="1">
      <alignment horizontal="left"/>
    </xf>
    <xf numFmtId="0" fontId="13" fillId="6" borderId="0" xfId="0" applyFont="1" applyFill="1"/>
    <xf numFmtId="0" fontId="14" fillId="6" borderId="0" xfId="8" applyFont="1" applyFill="1" applyAlignment="1"/>
    <xf numFmtId="0" fontId="0" fillId="6" borderId="0" xfId="0" applyFill="1" applyAlignment="1">
      <alignment horizontal="left"/>
    </xf>
    <xf numFmtId="0" fontId="0" fillId="6" borderId="0" xfId="0" applyFill="1"/>
    <xf numFmtId="0" fontId="12" fillId="6" borderId="0" xfId="0" applyFont="1" applyFill="1" applyAlignment="1">
      <alignment horizontal="left"/>
    </xf>
    <xf numFmtId="0" fontId="18" fillId="6" borderId="1" xfId="0" applyFont="1" applyFill="1" applyBorder="1"/>
    <xf numFmtId="0" fontId="0" fillId="6" borderId="1" xfId="0" applyFill="1" applyBorder="1"/>
    <xf numFmtId="0" fontId="16" fillId="6" borderId="0" xfId="0" applyFont="1" applyFill="1"/>
    <xf numFmtId="0" fontId="11" fillId="6" borderId="0" xfId="8" applyFill="1"/>
    <xf numFmtId="0" fontId="17" fillId="6" borderId="0" xfId="0" applyFont="1" applyFill="1"/>
    <xf numFmtId="0" fontId="15" fillId="6" borderId="0" xfId="0" applyFont="1" applyFill="1"/>
    <xf numFmtId="0" fontId="0" fillId="6" borderId="0" xfId="0" applyFont="1" applyFill="1"/>
    <xf numFmtId="0" fontId="0" fillId="4" borderId="0" xfId="0" applyFill="1"/>
  </cellXfs>
  <cellStyles count="9">
    <cellStyle name="Comma" xfId="1" builtinId="3"/>
    <cellStyle name="Currency" xfId="7" builtinId="4"/>
    <cellStyle name="Hyperlink" xfId="8" builtinId="8"/>
    <cellStyle name="Hyperlink 2" xfId="4" xr:uid="{00000000-0005-0000-0000-000001000000}"/>
    <cellStyle name="Normal" xfId="0" builtinId="0"/>
    <cellStyle name="Normal 2" xfId="5" xr:uid="{00000000-0005-0000-0000-000003000000}"/>
    <cellStyle name="Normal 3" xfId="6" xr:uid="{00000000-0005-0000-0000-000004000000}"/>
    <cellStyle name="Normal 4" xfId="3" xr:uid="{00000000-0005-0000-0000-000005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200024</xdr:colOff>
      <xdr:row>0</xdr:row>
      <xdr:rowOff>152402</xdr:rowOff>
    </xdr:from>
    <xdr:to>
      <xdr:col>18</xdr:col>
      <xdr:colOff>304800</xdr:colOff>
      <xdr:row>18</xdr:row>
      <xdr:rowOff>82550</xdr:rowOff>
    </xdr:to>
    <xdr:sp macro="" textlink="">
      <xdr:nvSpPr>
        <xdr:cNvPr id="2" name="TextBox 1">
          <a:extLst>
            <a:ext uri="{FF2B5EF4-FFF2-40B4-BE49-F238E27FC236}">
              <a16:creationId xmlns:a16="http://schemas.microsoft.com/office/drawing/2014/main" id="{73650F47-0C02-4DE8-86DC-EAC7C8F83AFA}"/>
            </a:ext>
          </a:extLst>
        </xdr:cNvPr>
        <xdr:cNvSpPr txBox="1"/>
      </xdr:nvSpPr>
      <xdr:spPr>
        <a:xfrm>
          <a:off x="203199" y="152402"/>
          <a:ext cx="9550401" cy="33623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License</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The model and documentation contained in the package were created by CBO employees in their official capacity. Therefore, they are not subject to copyright and are in the public domain in the United States. Users may copy, modify, distribute, and perform the package because it is in the public domain. CBO requests that those modifying the model clearly identify and accurately attribute authorship for all modifications.</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Disclaimer</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CBO is providing the package "as is" and disclaims any and all warranties, express or implied, including without limitation any implied warranty of merchantability or fitness for a particular purpose. Users assume the entire risk related to their use of the package, including updates. In no event will CBO be liable to any party for any direct, indirect, incidental, consequential, special, or exemplary damages or lost profit related to the package, including installation or use of the package, any related data, or other materials accompanying the package.</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b="1">
              <a:solidFill>
                <a:sysClr val="windowText" lastClr="000000"/>
              </a:solidFill>
              <a:effectLst/>
              <a:latin typeface="Arial" panose="020B0604020202020204" pitchFamily="34" charset="0"/>
              <a:ea typeface="+mn-ea"/>
              <a:cs typeface="Arial" panose="020B0604020202020204" pitchFamily="34" charset="0"/>
            </a:rPr>
            <a:t>Disclosures</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a:p>
          <a:pPr>
            <a:lnSpc>
              <a:spcPct val="108000"/>
            </a:lnSpc>
          </a:pPr>
          <a:r>
            <a:rPr lang="en-US" sz="1100">
              <a:solidFill>
                <a:sysClr val="windowText" lastClr="000000"/>
              </a:solidFill>
              <a:effectLst/>
              <a:latin typeface="Arial" panose="020B0604020202020204" pitchFamily="34" charset="0"/>
              <a:ea typeface="+mn-ea"/>
              <a:cs typeface="Arial" panose="020B0604020202020204" pitchFamily="34" charset="0"/>
            </a:rPr>
            <a:t>CBO has verified the accuracy of the results produced when using the package for its own analyses and publications but not for other purposes. Using the package with other data or for other purposes may not produce accurate results.</a:t>
          </a:r>
        </a:p>
        <a:p>
          <a:pPr>
            <a:lnSpc>
              <a:spcPct val="108000"/>
            </a:lnSpc>
          </a:pPr>
          <a:endParaRPr lang="en-US" sz="110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ofac.treasury.gov/recent-actions/enforcement-actions" TargetMode="External"/><Relationship Id="rId1" Type="http://schemas.openxmlformats.org/officeDocument/2006/relationships/hyperlink" Target="https://github.com/US-CBO/sanctions-penalty-mod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ofac.treasury.gov/media/5556/download?inline" TargetMode="External"/><Relationship Id="rId7" Type="http://schemas.openxmlformats.org/officeDocument/2006/relationships/hyperlink" Target="https://ofac.treasury.gov/sanctions-programs-and-country-information/counter-narcotics-trafficking-sanctions" TargetMode="External"/><Relationship Id="rId2" Type="http://schemas.openxmlformats.org/officeDocument/2006/relationships/hyperlink" Target="https://ofac.treasury.gov/sanctions-programs-and-country-information/global-magnitsky-sanctions" TargetMode="External"/><Relationship Id="rId1" Type="http://schemas.openxmlformats.org/officeDocument/2006/relationships/hyperlink" Target="https://ofac.treasury.gov/sanctions-programs-and-country-information/transnational-criminal-organizations" TargetMode="External"/><Relationship Id="rId6" Type="http://schemas.openxmlformats.org/officeDocument/2006/relationships/hyperlink" Target="https://ofac.treasury.gov/sanctions-programs-and-country-information/counter-narcotics-trafficking-sanctions" TargetMode="External"/><Relationship Id="rId5" Type="http://schemas.openxmlformats.org/officeDocument/2006/relationships/hyperlink" Target="https://ofac.treasury.gov/sanctions-programs-and-country-information/counter-terrorism-sanctions" TargetMode="External"/><Relationship Id="rId4" Type="http://schemas.openxmlformats.org/officeDocument/2006/relationships/hyperlink" Target="https://ofac.treasury.gov/sanctions-programs-and-country-information/non-proliferation-sanctions"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88389-FBB1-4BA2-8096-5ED58EE71914}">
  <dimension ref="B2:Q54"/>
  <sheetViews>
    <sheetView showGridLines="0" tabSelected="1" workbookViewId="0">
      <selection activeCell="W25" sqref="W25"/>
    </sheetView>
  </sheetViews>
  <sheetFormatPr defaultRowHeight="15" x14ac:dyDescent="0.25"/>
  <cols>
    <col min="1" max="16384" width="9.140625" style="65"/>
  </cols>
  <sheetData>
    <row r="2" spans="2:17" ht="18.75" x14ac:dyDescent="0.3">
      <c r="B2" s="58" t="s">
        <v>504</v>
      </c>
      <c r="C2" s="59"/>
      <c r="D2" s="59"/>
      <c r="E2" s="59"/>
      <c r="F2" s="59"/>
      <c r="G2" s="59"/>
      <c r="H2" s="59"/>
      <c r="I2" s="59"/>
      <c r="J2" s="59"/>
      <c r="K2" s="59"/>
      <c r="L2" s="59"/>
      <c r="M2" s="59"/>
      <c r="N2" s="59"/>
      <c r="O2" s="59"/>
      <c r="P2" s="59"/>
      <c r="Q2" s="59"/>
    </row>
    <row r="3" spans="2:17" x14ac:dyDescent="0.25">
      <c r="B3" s="60" t="s">
        <v>505</v>
      </c>
      <c r="C3" s="56"/>
      <c r="D3" s="56"/>
      <c r="E3" s="56"/>
      <c r="F3" s="56"/>
      <c r="G3" s="56"/>
      <c r="H3" s="56"/>
      <c r="I3" s="56"/>
      <c r="J3" s="56"/>
      <c r="K3" s="56"/>
      <c r="L3" s="56"/>
      <c r="M3" s="56"/>
      <c r="N3" s="56"/>
      <c r="O3" s="56"/>
      <c r="P3" s="56"/>
      <c r="Q3" s="56"/>
    </row>
    <row r="4" spans="2:17" x14ac:dyDescent="0.25">
      <c r="B4" s="61" t="s">
        <v>506</v>
      </c>
      <c r="C4" s="56"/>
      <c r="D4" s="56"/>
      <c r="E4" s="56"/>
      <c r="F4" s="56"/>
      <c r="G4" s="56"/>
      <c r="H4" s="56"/>
      <c r="I4" s="56"/>
      <c r="J4" s="56"/>
      <c r="K4" s="56"/>
      <c r="L4" s="56"/>
      <c r="M4" s="56"/>
      <c r="N4" s="56"/>
      <c r="O4" s="56"/>
      <c r="P4" s="56"/>
      <c r="Q4" s="56"/>
    </row>
    <row r="5" spans="2:17" x14ac:dyDescent="0.25">
      <c r="B5" s="56"/>
      <c r="C5" s="56"/>
      <c r="D5" s="56"/>
      <c r="E5" s="56"/>
      <c r="F5" s="56"/>
      <c r="G5" s="56"/>
      <c r="H5" s="56"/>
      <c r="I5" s="56"/>
      <c r="J5" s="56"/>
      <c r="K5" s="56"/>
      <c r="L5" s="56"/>
      <c r="M5" s="56"/>
      <c r="N5" s="56"/>
      <c r="O5" s="56"/>
      <c r="P5" s="56"/>
      <c r="Q5" s="56"/>
    </row>
    <row r="6" spans="2:17" ht="15.75" x14ac:dyDescent="0.25">
      <c r="B6" s="62" t="s">
        <v>463</v>
      </c>
      <c r="C6" s="56"/>
      <c r="D6" s="56"/>
      <c r="E6" s="56"/>
      <c r="F6" s="56"/>
      <c r="G6" s="56"/>
      <c r="H6" s="56"/>
      <c r="I6" s="56"/>
      <c r="J6" s="56"/>
      <c r="K6" s="56"/>
      <c r="L6" s="56"/>
      <c r="M6" s="56"/>
      <c r="N6" s="56"/>
      <c r="O6" s="56"/>
      <c r="P6" s="56"/>
      <c r="Q6" s="56"/>
    </row>
    <row r="7" spans="2:17" x14ac:dyDescent="0.25">
      <c r="B7" s="60" t="s">
        <v>464</v>
      </c>
      <c r="C7" s="56"/>
      <c r="D7" s="56"/>
      <c r="E7" s="56"/>
      <c r="F7" s="56"/>
      <c r="G7" s="56"/>
      <c r="H7" s="56"/>
      <c r="I7" s="56"/>
      <c r="J7" s="56"/>
      <c r="K7" s="56"/>
      <c r="L7" s="56"/>
      <c r="M7" s="56"/>
      <c r="N7" s="56"/>
      <c r="O7" s="56"/>
      <c r="P7" s="56"/>
      <c r="Q7" s="56"/>
    </row>
    <row r="8" spans="2:17" x14ac:dyDescent="0.25">
      <c r="B8" s="60" t="s">
        <v>187</v>
      </c>
      <c r="C8" s="56"/>
      <c r="D8" s="56"/>
      <c r="E8" s="56"/>
      <c r="F8" s="56"/>
      <c r="G8" s="56"/>
      <c r="H8" s="56"/>
      <c r="I8" s="56"/>
      <c r="J8" s="56"/>
      <c r="K8" s="56"/>
      <c r="L8" s="56"/>
      <c r="M8" s="56"/>
      <c r="N8" s="56"/>
      <c r="O8" s="56"/>
      <c r="P8" s="56"/>
      <c r="Q8" s="56"/>
    </row>
    <row r="9" spans="2:17" ht="15.75" x14ac:dyDescent="0.25">
      <c r="B9" s="62" t="s">
        <v>465</v>
      </c>
      <c r="C9" s="56"/>
      <c r="D9" s="56"/>
      <c r="E9" s="56"/>
      <c r="F9" s="56"/>
      <c r="G9" s="56"/>
      <c r="H9" s="56"/>
      <c r="I9" s="56"/>
      <c r="J9" s="56"/>
      <c r="K9" s="56"/>
      <c r="L9" s="56"/>
      <c r="M9" s="56"/>
      <c r="N9" s="56"/>
      <c r="O9" s="56"/>
      <c r="P9" s="56"/>
      <c r="Q9" s="56"/>
    </row>
    <row r="10" spans="2:17" x14ac:dyDescent="0.25">
      <c r="B10" s="60" t="s">
        <v>494</v>
      </c>
      <c r="C10" s="56"/>
      <c r="D10" s="56"/>
      <c r="E10" s="56"/>
      <c r="F10" s="56"/>
      <c r="G10" s="56"/>
      <c r="H10" s="56"/>
      <c r="I10" s="56"/>
      <c r="J10" s="56"/>
      <c r="K10" s="56"/>
      <c r="L10" s="56"/>
      <c r="M10" s="56"/>
      <c r="N10" s="56"/>
      <c r="O10" s="56"/>
      <c r="P10" s="56"/>
      <c r="Q10" s="56"/>
    </row>
    <row r="11" spans="2:17" x14ac:dyDescent="0.25">
      <c r="B11" s="60" t="s">
        <v>495</v>
      </c>
      <c r="C11" s="56"/>
      <c r="D11" s="56"/>
      <c r="E11" s="56"/>
      <c r="F11" s="56"/>
      <c r="G11" s="56"/>
      <c r="H11" s="56"/>
      <c r="I11" s="56"/>
      <c r="J11" s="56"/>
      <c r="K11" s="56"/>
      <c r="L11" s="56"/>
      <c r="M11" s="56"/>
      <c r="N11" s="56"/>
      <c r="O11" s="56"/>
      <c r="P11" s="56"/>
      <c r="Q11" s="56"/>
    </row>
    <row r="12" spans="2:17" x14ac:dyDescent="0.25">
      <c r="B12" s="60"/>
      <c r="C12" s="56"/>
      <c r="D12" s="56"/>
      <c r="E12" s="56"/>
      <c r="F12" s="56"/>
      <c r="G12" s="56"/>
      <c r="H12" s="56"/>
      <c r="I12" s="56"/>
      <c r="J12" s="56"/>
      <c r="K12" s="56"/>
      <c r="L12" s="56"/>
      <c r="M12" s="56"/>
      <c r="N12" s="56"/>
      <c r="O12" s="56"/>
      <c r="P12" s="56"/>
      <c r="Q12" s="56"/>
    </row>
    <row r="13" spans="2:17" x14ac:dyDescent="0.25">
      <c r="B13" s="60" t="s">
        <v>496</v>
      </c>
      <c r="C13" s="56"/>
      <c r="D13" s="56"/>
      <c r="E13" s="56"/>
      <c r="F13" s="56"/>
      <c r="G13" s="56"/>
      <c r="H13" s="56"/>
      <c r="I13" s="56"/>
      <c r="J13" s="56"/>
      <c r="K13" s="56"/>
      <c r="L13" s="56"/>
      <c r="M13" s="56"/>
      <c r="N13" s="56"/>
      <c r="O13" s="56"/>
      <c r="P13" s="56"/>
      <c r="Q13" s="56"/>
    </row>
    <row r="14" spans="2:17" x14ac:dyDescent="0.25">
      <c r="B14" s="60" t="s">
        <v>497</v>
      </c>
      <c r="C14" s="56"/>
      <c r="D14" s="56"/>
      <c r="E14" s="56"/>
      <c r="F14" s="56"/>
      <c r="G14" s="56"/>
      <c r="H14" s="56"/>
      <c r="I14" s="56"/>
      <c r="J14" s="56"/>
      <c r="K14" s="56"/>
      <c r="L14" s="56"/>
      <c r="M14" s="56"/>
      <c r="N14" s="56"/>
      <c r="O14" s="56"/>
      <c r="P14" s="56"/>
      <c r="Q14" s="56"/>
    </row>
    <row r="15" spans="2:17" x14ac:dyDescent="0.25">
      <c r="B15" s="60"/>
      <c r="C15" s="56"/>
      <c r="D15" s="56"/>
      <c r="E15" s="56"/>
      <c r="F15" s="56"/>
      <c r="G15" s="56"/>
      <c r="H15" s="56"/>
      <c r="I15" s="56"/>
      <c r="J15" s="56"/>
      <c r="K15" s="56"/>
      <c r="L15" s="56"/>
      <c r="M15" s="56"/>
      <c r="N15" s="56"/>
      <c r="O15" s="56"/>
      <c r="P15" s="56"/>
      <c r="Q15" s="56"/>
    </row>
    <row r="16" spans="2:17" ht="15.75" x14ac:dyDescent="0.25">
      <c r="B16" s="62" t="s">
        <v>466</v>
      </c>
      <c r="C16" s="56"/>
      <c r="D16" s="56"/>
      <c r="E16" s="56"/>
      <c r="F16" s="56"/>
      <c r="G16" s="56"/>
      <c r="H16" s="56"/>
      <c r="I16" s="56"/>
      <c r="J16" s="56"/>
      <c r="K16" s="56"/>
      <c r="L16" s="56"/>
      <c r="M16" s="56"/>
      <c r="N16" s="56"/>
      <c r="O16" s="56"/>
      <c r="P16" s="56"/>
      <c r="Q16" s="56"/>
    </row>
    <row r="17" spans="2:17" x14ac:dyDescent="0.25">
      <c r="B17" s="56" t="s">
        <v>507</v>
      </c>
      <c r="C17" s="61"/>
      <c r="D17" s="61"/>
      <c r="E17" s="61"/>
      <c r="F17" s="61"/>
      <c r="G17" s="61"/>
      <c r="H17" s="61"/>
      <c r="I17" s="61"/>
      <c r="J17" s="61"/>
      <c r="K17" s="61" t="s">
        <v>508</v>
      </c>
      <c r="L17" s="56"/>
      <c r="M17" s="56"/>
      <c r="N17" s="56"/>
      <c r="O17" s="56"/>
      <c r="P17" s="56"/>
      <c r="Q17" s="56"/>
    </row>
    <row r="18" spans="2:17" x14ac:dyDescent="0.25">
      <c r="B18" s="63" t="s">
        <v>467</v>
      </c>
      <c r="C18" s="56"/>
      <c r="D18" s="56"/>
      <c r="E18" s="56"/>
      <c r="F18" s="56"/>
      <c r="G18" s="56"/>
      <c r="H18" s="56"/>
      <c r="I18" s="56"/>
      <c r="J18" s="56"/>
      <c r="K18" s="56"/>
      <c r="L18" s="56"/>
      <c r="M18" s="56"/>
      <c r="N18" s="56"/>
      <c r="O18" s="56"/>
      <c r="P18" s="56"/>
      <c r="Q18" s="56"/>
    </row>
    <row r="19" spans="2:17" x14ac:dyDescent="0.25">
      <c r="B19" s="63" t="s">
        <v>468</v>
      </c>
      <c r="C19" s="56"/>
      <c r="D19" s="56"/>
      <c r="E19" s="56"/>
      <c r="F19" s="56"/>
      <c r="G19" s="56"/>
      <c r="H19" s="56"/>
      <c r="I19" s="56"/>
      <c r="J19" s="56"/>
      <c r="K19" s="56"/>
      <c r="L19" s="56"/>
      <c r="M19" s="56"/>
      <c r="N19" s="56"/>
      <c r="O19" s="56"/>
      <c r="P19" s="56"/>
      <c r="Q19" s="56"/>
    </row>
    <row r="20" spans="2:17" x14ac:dyDescent="0.25">
      <c r="B20" s="63" t="s">
        <v>469</v>
      </c>
      <c r="C20" s="56"/>
      <c r="D20" s="56"/>
      <c r="E20" s="56"/>
      <c r="F20" s="56"/>
      <c r="G20" s="56"/>
      <c r="H20" s="56"/>
      <c r="I20" s="56"/>
      <c r="J20" s="56"/>
      <c r="K20" s="56"/>
      <c r="L20" s="56"/>
      <c r="M20" s="56"/>
      <c r="N20" s="56"/>
      <c r="O20" s="56"/>
      <c r="P20" s="56"/>
      <c r="Q20" s="56"/>
    </row>
    <row r="21" spans="2:17" x14ac:dyDescent="0.25">
      <c r="B21" s="60" t="s">
        <v>499</v>
      </c>
      <c r="C21" s="64"/>
      <c r="D21" s="64"/>
      <c r="E21" s="64"/>
      <c r="F21" s="64"/>
      <c r="G21" s="64"/>
      <c r="H21" s="64"/>
      <c r="I21" s="64"/>
      <c r="J21" s="64"/>
      <c r="K21" s="64"/>
      <c r="L21" s="64"/>
      <c r="M21" s="64"/>
      <c r="N21" s="64"/>
      <c r="O21" s="64"/>
      <c r="P21" s="64"/>
      <c r="Q21" s="56"/>
    </row>
    <row r="22" spans="2:17" x14ac:dyDescent="0.25">
      <c r="B22" s="60" t="s">
        <v>498</v>
      </c>
      <c r="C22" s="64"/>
      <c r="D22" s="64"/>
      <c r="E22" s="64"/>
      <c r="F22" s="64"/>
      <c r="G22" s="64"/>
      <c r="H22" s="64"/>
      <c r="I22" s="64"/>
      <c r="J22" s="64"/>
      <c r="K22" s="64"/>
      <c r="L22" s="64"/>
      <c r="M22" s="64"/>
      <c r="N22" s="64"/>
      <c r="O22" s="64"/>
      <c r="P22" s="64"/>
      <c r="Q22" s="56"/>
    </row>
    <row r="23" spans="2:17" x14ac:dyDescent="0.25">
      <c r="B23" s="63" t="s">
        <v>470</v>
      </c>
      <c r="C23" s="56"/>
      <c r="D23" s="56"/>
      <c r="E23" s="56"/>
      <c r="F23" s="56"/>
      <c r="G23" s="56"/>
      <c r="H23" s="56"/>
      <c r="I23" s="56"/>
      <c r="J23" s="56"/>
      <c r="K23" s="56"/>
      <c r="L23" s="56"/>
      <c r="M23" s="56"/>
      <c r="N23" s="56"/>
      <c r="O23" s="56"/>
      <c r="P23" s="56"/>
      <c r="Q23" s="56"/>
    </row>
    <row r="24" spans="2:17" x14ac:dyDescent="0.25">
      <c r="B24" s="63"/>
      <c r="C24" s="56"/>
      <c r="D24" s="56"/>
      <c r="E24" s="56"/>
      <c r="F24" s="56"/>
      <c r="G24" s="56"/>
      <c r="H24" s="56"/>
      <c r="I24" s="56"/>
      <c r="J24" s="56"/>
      <c r="K24" s="56"/>
      <c r="L24" s="56"/>
      <c r="M24" s="56"/>
      <c r="N24" s="56"/>
      <c r="O24" s="56"/>
      <c r="P24" s="56"/>
      <c r="Q24" s="56"/>
    </row>
    <row r="25" spans="2:17" ht="15.75" x14ac:dyDescent="0.25">
      <c r="B25" s="62" t="s">
        <v>471</v>
      </c>
      <c r="C25" s="56"/>
      <c r="D25" s="56"/>
      <c r="E25" s="56"/>
      <c r="F25" s="56"/>
      <c r="G25" s="56"/>
      <c r="H25" s="56"/>
      <c r="I25" s="56"/>
      <c r="J25" s="56"/>
      <c r="K25" s="56"/>
      <c r="L25" s="56"/>
      <c r="M25" s="56"/>
      <c r="N25" s="56"/>
      <c r="O25" s="56"/>
      <c r="P25" s="56"/>
      <c r="Q25" s="56"/>
    </row>
    <row r="26" spans="2:17" x14ac:dyDescent="0.25">
      <c r="B26" s="63" t="s">
        <v>472</v>
      </c>
      <c r="C26" s="56"/>
      <c r="D26" s="56"/>
      <c r="E26" s="56"/>
      <c r="F26" s="56"/>
      <c r="G26" s="56"/>
      <c r="H26" s="56"/>
      <c r="I26" s="56"/>
      <c r="J26" s="56"/>
      <c r="K26" s="56"/>
      <c r="L26" s="56"/>
      <c r="M26" s="56"/>
      <c r="N26" s="56"/>
      <c r="O26" s="56"/>
      <c r="P26" s="56"/>
      <c r="Q26" s="56"/>
    </row>
    <row r="27" spans="2:17" x14ac:dyDescent="0.25">
      <c r="B27" s="63" t="s">
        <v>473</v>
      </c>
      <c r="C27" s="56"/>
      <c r="D27" s="56"/>
      <c r="E27" s="56"/>
      <c r="F27" s="56"/>
      <c r="G27" s="56"/>
      <c r="H27" s="56"/>
      <c r="I27" s="56"/>
      <c r="J27" s="56"/>
      <c r="K27" s="56"/>
      <c r="L27" s="56"/>
      <c r="M27" s="56"/>
      <c r="N27" s="56"/>
      <c r="O27" s="56"/>
      <c r="P27" s="56"/>
      <c r="Q27" s="56"/>
    </row>
    <row r="28" spans="2:17" x14ac:dyDescent="0.25">
      <c r="B28" s="63" t="s">
        <v>474</v>
      </c>
      <c r="C28" s="56"/>
      <c r="D28" s="56"/>
      <c r="E28" s="56"/>
      <c r="F28" s="56"/>
      <c r="G28" s="56"/>
      <c r="H28" s="56"/>
      <c r="I28" s="56"/>
      <c r="J28" s="56"/>
      <c r="K28" s="56"/>
      <c r="L28" s="56"/>
      <c r="M28" s="56"/>
      <c r="N28" s="56"/>
      <c r="O28" s="56"/>
      <c r="P28" s="56"/>
      <c r="Q28" s="56"/>
    </row>
    <row r="29" spans="2:17" x14ac:dyDescent="0.25">
      <c r="B29" s="60" t="s">
        <v>501</v>
      </c>
      <c r="C29" s="56"/>
      <c r="D29" s="56"/>
      <c r="E29" s="56"/>
      <c r="F29" s="56"/>
      <c r="G29" s="56"/>
      <c r="H29" s="56"/>
      <c r="I29" s="56"/>
      <c r="J29" s="56"/>
      <c r="K29" s="56"/>
      <c r="L29" s="56"/>
      <c r="M29" s="56"/>
      <c r="N29" s="56"/>
      <c r="O29" s="56"/>
      <c r="P29" s="56"/>
      <c r="Q29" s="56"/>
    </row>
    <row r="30" spans="2:17" x14ac:dyDescent="0.25">
      <c r="B30" s="60" t="s">
        <v>500</v>
      </c>
      <c r="C30" s="56"/>
      <c r="D30" s="56"/>
      <c r="E30" s="56"/>
      <c r="F30" s="56"/>
      <c r="G30" s="56"/>
      <c r="H30" s="56"/>
      <c r="I30" s="56"/>
      <c r="J30" s="56"/>
      <c r="K30" s="56"/>
      <c r="L30" s="56"/>
      <c r="M30" s="56"/>
      <c r="N30" s="56"/>
      <c r="O30" s="56"/>
      <c r="P30" s="56"/>
      <c r="Q30" s="56"/>
    </row>
    <row r="31" spans="2:17" x14ac:dyDescent="0.25">
      <c r="B31" s="60" t="s">
        <v>503</v>
      </c>
      <c r="C31" s="56"/>
      <c r="D31" s="56"/>
      <c r="E31" s="56"/>
      <c r="F31" s="56"/>
      <c r="G31" s="56"/>
      <c r="H31" s="56"/>
      <c r="I31" s="56"/>
      <c r="J31" s="56"/>
      <c r="K31" s="56"/>
      <c r="L31" s="56"/>
      <c r="M31" s="56"/>
      <c r="N31" s="56"/>
      <c r="O31" s="56"/>
      <c r="P31" s="56"/>
      <c r="Q31" s="56"/>
    </row>
    <row r="32" spans="2:17" x14ac:dyDescent="0.25">
      <c r="B32" s="60" t="s">
        <v>502</v>
      </c>
      <c r="C32" s="56"/>
      <c r="D32" s="56"/>
      <c r="E32" s="56"/>
      <c r="F32" s="56"/>
      <c r="G32" s="56"/>
      <c r="H32" s="56"/>
      <c r="I32" s="56"/>
      <c r="J32" s="56"/>
      <c r="K32" s="56"/>
      <c r="L32" s="56"/>
      <c r="M32" s="56"/>
      <c r="N32" s="56"/>
      <c r="O32" s="56"/>
      <c r="P32" s="56"/>
      <c r="Q32" s="56"/>
    </row>
    <row r="33" spans="2:17" x14ac:dyDescent="0.25">
      <c r="B33" s="63" t="s">
        <v>475</v>
      </c>
      <c r="C33" s="56"/>
      <c r="D33" s="56"/>
      <c r="E33" s="56"/>
      <c r="F33" s="56"/>
      <c r="G33" s="56"/>
      <c r="H33" s="56"/>
      <c r="I33" s="56"/>
      <c r="J33" s="56"/>
      <c r="K33" s="56"/>
      <c r="L33" s="56"/>
      <c r="M33" s="56"/>
      <c r="N33" s="56"/>
      <c r="O33" s="56"/>
      <c r="P33" s="56"/>
      <c r="Q33" s="56"/>
    </row>
    <row r="34" spans="2:17" x14ac:dyDescent="0.25">
      <c r="B34" s="63" t="s">
        <v>509</v>
      </c>
      <c r="C34" s="56"/>
      <c r="D34" s="56"/>
      <c r="E34" s="56"/>
      <c r="F34" s="56"/>
      <c r="G34" s="56"/>
      <c r="H34" s="56"/>
      <c r="I34" s="56"/>
      <c r="J34" s="56"/>
      <c r="K34" s="56"/>
      <c r="L34" s="56"/>
      <c r="M34" s="56"/>
      <c r="N34" s="56"/>
      <c r="O34" s="56"/>
      <c r="P34" s="56"/>
      <c r="Q34" s="56"/>
    </row>
    <row r="35" spans="2:17" x14ac:dyDescent="0.25">
      <c r="B35" s="63" t="s">
        <v>476</v>
      </c>
      <c r="C35" s="56"/>
      <c r="D35" s="56"/>
      <c r="E35" s="56"/>
      <c r="F35" s="56"/>
      <c r="G35" s="56"/>
      <c r="H35" s="56"/>
      <c r="I35" s="56"/>
      <c r="J35" s="56"/>
      <c r="K35" s="56"/>
      <c r="L35" s="56"/>
      <c r="M35" s="56"/>
      <c r="N35" s="56"/>
      <c r="O35" s="56"/>
      <c r="P35" s="56"/>
      <c r="Q35" s="56"/>
    </row>
    <row r="36" spans="2:17" x14ac:dyDescent="0.25">
      <c r="B36" s="63" t="s">
        <v>477</v>
      </c>
      <c r="C36" s="56"/>
      <c r="D36" s="56"/>
      <c r="E36" s="56"/>
      <c r="F36" s="56"/>
      <c r="G36" s="56"/>
      <c r="H36" s="56"/>
      <c r="I36" s="56"/>
      <c r="J36" s="56"/>
      <c r="K36" s="56"/>
      <c r="L36" s="56"/>
      <c r="M36" s="56"/>
      <c r="N36" s="56"/>
      <c r="O36" s="56"/>
      <c r="P36" s="56"/>
      <c r="Q36" s="56"/>
    </row>
    <row r="37" spans="2:17" x14ac:dyDescent="0.25">
      <c r="B37" s="63" t="s">
        <v>478</v>
      </c>
      <c r="C37" s="56"/>
      <c r="D37" s="56"/>
      <c r="E37" s="56"/>
      <c r="F37" s="56"/>
      <c r="G37" s="56"/>
      <c r="H37" s="56"/>
      <c r="I37" s="56"/>
      <c r="J37" s="56"/>
      <c r="K37" s="56"/>
      <c r="L37" s="56"/>
      <c r="M37" s="56"/>
      <c r="N37" s="56"/>
      <c r="O37" s="56"/>
      <c r="P37" s="56"/>
      <c r="Q37" s="56"/>
    </row>
    <row r="38" spans="2:17" x14ac:dyDescent="0.25">
      <c r="B38" s="60" t="s">
        <v>479</v>
      </c>
      <c r="C38" s="56"/>
      <c r="D38" s="56"/>
      <c r="E38" s="56"/>
      <c r="F38" s="56"/>
      <c r="G38" s="56"/>
      <c r="H38" s="56"/>
      <c r="I38" s="56"/>
      <c r="J38" s="56"/>
      <c r="K38" s="56"/>
      <c r="L38" s="56"/>
      <c r="M38" s="56"/>
      <c r="N38" s="56"/>
      <c r="O38" s="56"/>
      <c r="P38" s="56"/>
      <c r="Q38" s="56"/>
    </row>
    <row r="39" spans="2:17" x14ac:dyDescent="0.25">
      <c r="B39" s="63" t="s">
        <v>480</v>
      </c>
      <c r="C39" s="56"/>
      <c r="D39" s="56"/>
      <c r="E39" s="56"/>
      <c r="F39" s="56"/>
      <c r="G39" s="56"/>
      <c r="H39" s="56"/>
      <c r="I39" s="56"/>
      <c r="J39" s="56"/>
      <c r="K39" s="56"/>
      <c r="L39" s="56"/>
      <c r="M39" s="56"/>
      <c r="N39" s="56"/>
      <c r="O39" s="56"/>
      <c r="P39" s="56"/>
      <c r="Q39" s="56"/>
    </row>
    <row r="40" spans="2:17" x14ac:dyDescent="0.25">
      <c r="B40" s="63" t="s">
        <v>481</v>
      </c>
      <c r="C40" s="56"/>
      <c r="D40" s="56"/>
      <c r="E40" s="56"/>
      <c r="F40" s="56"/>
      <c r="G40" s="56"/>
      <c r="H40" s="56"/>
      <c r="I40" s="56"/>
      <c r="J40" s="56"/>
      <c r="K40" s="56"/>
      <c r="L40" s="56"/>
      <c r="M40" s="56"/>
      <c r="N40" s="56"/>
      <c r="O40" s="56"/>
      <c r="P40" s="56"/>
      <c r="Q40" s="56"/>
    </row>
    <row r="41" spans="2:17" x14ac:dyDescent="0.25">
      <c r="B41" s="60" t="s">
        <v>482</v>
      </c>
      <c r="C41" s="56"/>
      <c r="D41" s="56"/>
      <c r="E41" s="56"/>
      <c r="F41" s="56"/>
      <c r="G41" s="56"/>
      <c r="H41" s="56"/>
      <c r="I41" s="56"/>
      <c r="J41" s="56"/>
      <c r="K41" s="56"/>
      <c r="L41" s="56"/>
      <c r="M41" s="56"/>
      <c r="N41" s="56"/>
      <c r="O41" s="56"/>
      <c r="P41" s="56"/>
      <c r="Q41" s="56"/>
    </row>
    <row r="42" spans="2:17" x14ac:dyDescent="0.25">
      <c r="B42" s="63" t="s">
        <v>483</v>
      </c>
      <c r="C42" s="56"/>
      <c r="D42" s="56"/>
      <c r="E42" s="56"/>
      <c r="F42" s="56"/>
      <c r="G42" s="56"/>
      <c r="H42" s="56"/>
      <c r="I42" s="56"/>
      <c r="J42" s="56"/>
      <c r="K42" s="56"/>
      <c r="L42" s="56"/>
      <c r="M42" s="56"/>
      <c r="N42" s="56"/>
      <c r="O42" s="56"/>
      <c r="P42" s="56"/>
      <c r="Q42" s="56"/>
    </row>
    <row r="43" spans="2:17" x14ac:dyDescent="0.25">
      <c r="B43" s="63" t="s">
        <v>484</v>
      </c>
      <c r="C43" s="56"/>
      <c r="D43" s="56"/>
      <c r="E43" s="56"/>
      <c r="F43" s="56"/>
      <c r="G43" s="56"/>
      <c r="H43" s="56"/>
      <c r="I43" s="56"/>
      <c r="J43" s="56"/>
      <c r="K43" s="56"/>
      <c r="L43" s="56"/>
      <c r="M43" s="56"/>
      <c r="N43" s="56"/>
      <c r="O43" s="56"/>
      <c r="P43" s="56"/>
      <c r="Q43" s="56"/>
    </row>
    <row r="44" spans="2:17" x14ac:dyDescent="0.25">
      <c r="B44" s="63" t="s">
        <v>485</v>
      </c>
      <c r="C44" s="56"/>
      <c r="D44" s="56"/>
      <c r="E44" s="56"/>
      <c r="F44" s="56"/>
      <c r="G44" s="56"/>
      <c r="H44" s="56"/>
      <c r="I44" s="56"/>
      <c r="J44" s="56"/>
      <c r="K44" s="56"/>
      <c r="L44" s="56"/>
      <c r="M44" s="56"/>
      <c r="N44" s="56"/>
      <c r="O44" s="56"/>
      <c r="P44" s="56"/>
      <c r="Q44" s="56"/>
    </row>
    <row r="45" spans="2:17" x14ac:dyDescent="0.25">
      <c r="B45" s="63" t="s">
        <v>486</v>
      </c>
      <c r="C45" s="56"/>
      <c r="D45" s="56"/>
      <c r="E45" s="56"/>
      <c r="F45" s="56"/>
      <c r="G45" s="56"/>
      <c r="H45" s="56"/>
      <c r="I45" s="56"/>
      <c r="J45" s="56"/>
      <c r="K45" s="56"/>
      <c r="L45" s="56"/>
      <c r="M45" s="56"/>
      <c r="N45" s="56"/>
      <c r="O45" s="56"/>
      <c r="P45" s="56"/>
      <c r="Q45" s="56"/>
    </row>
    <row r="46" spans="2:17" x14ac:dyDescent="0.25">
      <c r="B46" s="63" t="s">
        <v>487</v>
      </c>
      <c r="C46" s="56"/>
      <c r="D46" s="56"/>
      <c r="E46" s="56"/>
      <c r="F46" s="56"/>
      <c r="G46" s="56"/>
      <c r="H46" s="56"/>
      <c r="I46" s="56"/>
      <c r="J46" s="56"/>
      <c r="K46" s="56"/>
      <c r="L46" s="56"/>
      <c r="M46" s="56"/>
      <c r="N46" s="56"/>
      <c r="O46" s="56"/>
      <c r="P46" s="56"/>
      <c r="Q46" s="56"/>
    </row>
    <row r="47" spans="2:17" x14ac:dyDescent="0.25">
      <c r="B47" s="60" t="s">
        <v>488</v>
      </c>
      <c r="C47" s="56"/>
      <c r="D47" s="56"/>
      <c r="E47" s="56"/>
      <c r="F47" s="56"/>
      <c r="G47" s="56"/>
      <c r="H47" s="56"/>
      <c r="I47" s="56"/>
      <c r="J47" s="56"/>
      <c r="K47" s="56"/>
      <c r="L47" s="56"/>
      <c r="M47" s="56"/>
      <c r="N47" s="56"/>
      <c r="O47" s="56"/>
      <c r="P47" s="56"/>
      <c r="Q47" s="56"/>
    </row>
    <row r="48" spans="2:17" x14ac:dyDescent="0.25">
      <c r="B48" s="60" t="s">
        <v>489</v>
      </c>
      <c r="C48" s="56"/>
      <c r="D48" s="56"/>
      <c r="E48" s="56"/>
      <c r="F48" s="56"/>
      <c r="G48" s="56"/>
      <c r="H48" s="56"/>
      <c r="I48" s="56"/>
      <c r="J48" s="56"/>
      <c r="K48" s="56"/>
      <c r="L48" s="56"/>
      <c r="M48" s="56"/>
      <c r="N48" s="56"/>
      <c r="O48" s="56"/>
      <c r="P48" s="56"/>
      <c r="Q48" s="56"/>
    </row>
    <row r="49" spans="2:17" x14ac:dyDescent="0.25">
      <c r="B49" s="63" t="s">
        <v>490</v>
      </c>
      <c r="C49" s="56"/>
      <c r="D49" s="56"/>
      <c r="E49" s="56"/>
      <c r="F49" s="56"/>
      <c r="G49" s="56"/>
      <c r="H49" s="56"/>
      <c r="I49" s="56"/>
      <c r="J49" s="56"/>
      <c r="K49" s="56"/>
      <c r="L49" s="56"/>
      <c r="M49" s="56"/>
      <c r="N49" s="56"/>
      <c r="O49" s="56"/>
      <c r="P49" s="56"/>
      <c r="Q49" s="56"/>
    </row>
    <row r="50" spans="2:17" x14ac:dyDescent="0.25">
      <c r="B50" s="63" t="s">
        <v>491</v>
      </c>
      <c r="C50" s="56"/>
      <c r="D50" s="56"/>
      <c r="E50" s="56"/>
      <c r="F50" s="56"/>
      <c r="G50" s="56"/>
      <c r="H50" s="56"/>
      <c r="I50" s="56"/>
      <c r="J50" s="56"/>
      <c r="K50" s="56"/>
      <c r="L50" s="56"/>
      <c r="M50" s="56"/>
      <c r="N50" s="56"/>
      <c r="O50" s="56"/>
      <c r="P50" s="56"/>
      <c r="Q50" s="56"/>
    </row>
    <row r="51" spans="2:17" x14ac:dyDescent="0.25">
      <c r="B51" s="63"/>
      <c r="C51" s="56"/>
      <c r="D51" s="56"/>
      <c r="E51" s="56"/>
      <c r="F51" s="56"/>
      <c r="G51" s="56"/>
      <c r="H51" s="56"/>
      <c r="I51" s="56"/>
      <c r="J51" s="56"/>
      <c r="K51" s="56"/>
      <c r="L51" s="56"/>
      <c r="M51" s="56"/>
      <c r="N51" s="56"/>
      <c r="O51" s="56"/>
      <c r="P51" s="56"/>
      <c r="Q51" s="56"/>
    </row>
    <row r="52" spans="2:17" ht="15.75" x14ac:dyDescent="0.25">
      <c r="B52" s="62" t="s">
        <v>492</v>
      </c>
      <c r="C52" s="56"/>
      <c r="D52" s="56"/>
      <c r="E52" s="56"/>
      <c r="F52" s="56"/>
      <c r="G52" s="56"/>
      <c r="H52" s="56"/>
      <c r="I52" s="56"/>
      <c r="J52" s="56"/>
      <c r="K52" s="56"/>
      <c r="L52" s="56"/>
      <c r="M52" s="56"/>
      <c r="N52" s="56"/>
      <c r="O52" s="56"/>
      <c r="P52" s="56"/>
      <c r="Q52" s="56"/>
    </row>
    <row r="53" spans="2:17" x14ac:dyDescent="0.25">
      <c r="B53" s="60" t="s">
        <v>493</v>
      </c>
      <c r="C53" s="56"/>
      <c r="D53" s="56"/>
      <c r="E53" s="56"/>
      <c r="F53" s="56"/>
      <c r="G53" s="56"/>
      <c r="H53" s="56"/>
      <c r="I53" s="56"/>
      <c r="J53" s="56"/>
      <c r="K53" s="56"/>
      <c r="L53" s="56"/>
      <c r="M53" s="56"/>
      <c r="N53" s="56"/>
      <c r="O53" s="56"/>
      <c r="P53" s="56"/>
      <c r="Q53" s="56"/>
    </row>
    <row r="54" spans="2:17" x14ac:dyDescent="0.25">
      <c r="B54" s="56"/>
      <c r="C54" s="56"/>
      <c r="D54" s="56"/>
      <c r="E54" s="56"/>
      <c r="F54" s="56"/>
      <c r="G54" s="56"/>
      <c r="H54" s="56"/>
      <c r="I54" s="56"/>
      <c r="J54" s="56"/>
      <c r="K54" s="56"/>
      <c r="L54" s="56"/>
      <c r="M54" s="56"/>
      <c r="N54" s="56"/>
      <c r="O54" s="56"/>
      <c r="P54" s="56"/>
      <c r="Q54" s="56"/>
    </row>
  </sheetData>
  <hyperlinks>
    <hyperlink ref="B4" r:id="rId1" xr:uid="{742670B8-6E6F-46A9-81D5-428583DF7D8A}"/>
    <hyperlink ref="K17" r:id="rId2" xr:uid="{AEF9F49E-653E-46FC-917E-1E02B231FCD8}"/>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workbookViewId="0">
      <selection activeCell="B22" sqref="B22"/>
    </sheetView>
  </sheetViews>
  <sheetFormatPr defaultRowHeight="15" x14ac:dyDescent="0.25"/>
  <cols>
    <col min="1" max="1" width="24.140625" customWidth="1"/>
    <col min="2" max="5" width="8.140625" customWidth="1"/>
    <col min="13" max="13" width="8.85546875" customWidth="1"/>
  </cols>
  <sheetData>
    <row r="1" spans="1:13" x14ac:dyDescent="0.25">
      <c r="A1" s="14" t="s">
        <v>350</v>
      </c>
      <c r="B1" s="14">
        <v>2026</v>
      </c>
      <c r="C1" s="14">
        <v>2027</v>
      </c>
      <c r="D1" s="14">
        <v>2028</v>
      </c>
      <c r="E1" s="14">
        <v>2029</v>
      </c>
      <c r="F1" s="14">
        <v>2030</v>
      </c>
      <c r="G1" s="14">
        <v>2031</v>
      </c>
      <c r="H1" s="14">
        <v>2032</v>
      </c>
      <c r="I1" s="14">
        <v>2033</v>
      </c>
      <c r="J1" s="14">
        <v>2034</v>
      </c>
      <c r="K1" s="14">
        <v>2035</v>
      </c>
      <c r="L1" s="14">
        <v>2036</v>
      </c>
      <c r="M1" s="14" t="s">
        <v>398</v>
      </c>
    </row>
    <row r="2" spans="1:13" x14ac:dyDescent="0.25">
      <c r="A2" s="13" t="s">
        <v>217</v>
      </c>
      <c r="B2" s="4"/>
      <c r="C2" s="4"/>
      <c r="D2" s="4"/>
      <c r="E2" s="4"/>
    </row>
    <row r="3" spans="1:13" x14ac:dyDescent="0.25">
      <c r="A3" s="13"/>
      <c r="B3" s="4"/>
      <c r="C3" s="4"/>
      <c r="D3" s="4"/>
      <c r="E3" s="4"/>
    </row>
    <row r="4" spans="1:13" x14ac:dyDescent="0.25">
      <c r="A4" s="12" t="s">
        <v>403</v>
      </c>
      <c r="B4" s="7">
        <f>'Fiscal Year Projections'!Q37/1000000</f>
        <v>256.30800001843278</v>
      </c>
      <c r="C4" s="7">
        <f>'Fiscal Year Projections'!R37/1000000</f>
        <v>263.08400141605154</v>
      </c>
      <c r="D4" s="7">
        <f>'Fiscal Year Projections'!S37/1000000</f>
        <v>269.36932170316078</v>
      </c>
      <c r="E4" s="7">
        <f>'Fiscal Year Projections'!T37/1000000</f>
        <v>716.52913555017926</v>
      </c>
      <c r="F4" s="7">
        <f>'Fiscal Year Projections'!U37/1000000</f>
        <v>732.76965814154244</v>
      </c>
      <c r="G4" s="7">
        <f>'Fiscal Year Projections'!V37/1000000</f>
        <v>749.32683219292971</v>
      </c>
      <c r="H4" s="7">
        <f>'Fiscal Year Projections'!W37/1000000</f>
        <v>766.24303657244832</v>
      </c>
      <c r="I4" s="7">
        <f>'Fiscal Year Projections'!X37/1000000</f>
        <v>783.53495146376326</v>
      </c>
      <c r="J4" s="7">
        <f>'Fiscal Year Projections'!Y37/1000000</f>
        <v>801.21627367823066</v>
      </c>
      <c r="K4" s="7">
        <f>'Fiscal Year Projections'!Z37/1000000</f>
        <v>819.29890476679952</v>
      </c>
      <c r="L4" s="7">
        <f>'Fiscal Year Projections'!AA37/1000000</f>
        <v>837.79365956109643</v>
      </c>
      <c r="M4" s="7">
        <f>SUM(B4:L4)</f>
        <v>6995.4737750646354</v>
      </c>
    </row>
    <row r="5" spans="1:13" x14ac:dyDescent="0.25">
      <c r="M5" s="7"/>
    </row>
    <row r="10" spans="1:13" x14ac:dyDescent="0.25">
      <c r="A10" s="34"/>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37"/>
  <sheetViews>
    <sheetView zoomScale="52" zoomScaleNormal="80" workbookViewId="0">
      <pane xSplit="1" topLeftCell="B1" activePane="topRight" state="frozen"/>
      <selection pane="topRight" activeCell="K45" sqref="K45"/>
    </sheetView>
  </sheetViews>
  <sheetFormatPr defaultRowHeight="15" x14ac:dyDescent="0.25"/>
  <cols>
    <col min="1" max="1" width="63.28515625" customWidth="1"/>
    <col min="2" max="2" width="15.140625" customWidth="1"/>
    <col min="3" max="3" width="14.28515625" customWidth="1"/>
    <col min="4" max="4" width="17" customWidth="1"/>
    <col min="5" max="5" width="14.85546875" customWidth="1"/>
    <col min="6" max="6" width="16" customWidth="1"/>
    <col min="7" max="7" width="17" customWidth="1"/>
    <col min="8" max="8" width="15.85546875" customWidth="1"/>
    <col min="9" max="9" width="14.42578125" customWidth="1"/>
    <col min="10" max="10" width="16" customWidth="1"/>
    <col min="11" max="11" width="16.85546875" customWidth="1"/>
    <col min="12" max="12" width="16.42578125" customWidth="1"/>
    <col min="13" max="13" width="16.85546875" customWidth="1"/>
    <col min="14" max="14" width="18.28515625" customWidth="1"/>
    <col min="15" max="15" width="17.140625" customWidth="1"/>
    <col min="16" max="16" width="18.140625" customWidth="1"/>
    <col min="17" max="17" width="17.140625" customWidth="1"/>
    <col min="18" max="18" width="17.42578125" customWidth="1"/>
    <col min="19" max="19" width="18.28515625" customWidth="1"/>
    <col min="20" max="20" width="18.42578125" customWidth="1"/>
    <col min="21" max="21" width="15.85546875" customWidth="1"/>
    <col min="22" max="22" width="16.42578125" customWidth="1"/>
    <col min="23" max="23" width="13.28515625" customWidth="1"/>
    <col min="24" max="24" width="16.140625" customWidth="1"/>
    <col min="25" max="25" width="15.5703125" customWidth="1"/>
    <col min="26" max="26" width="15.7109375" customWidth="1"/>
    <col min="27" max="27" width="15.42578125" customWidth="1"/>
  </cols>
  <sheetData>
    <row r="1" spans="1:27" ht="15.75" x14ac:dyDescent="0.25">
      <c r="A1" s="18" t="s">
        <v>350</v>
      </c>
      <c r="B1" s="18">
        <v>2011</v>
      </c>
      <c r="C1" s="18">
        <v>2012</v>
      </c>
      <c r="D1" s="18">
        <v>2013</v>
      </c>
      <c r="E1" s="18">
        <v>2014</v>
      </c>
      <c r="F1" s="18">
        <v>2015</v>
      </c>
      <c r="G1" s="18">
        <v>2016</v>
      </c>
      <c r="H1" s="18">
        <v>2017</v>
      </c>
      <c r="I1" s="18">
        <v>2018</v>
      </c>
      <c r="J1" s="18">
        <v>2019</v>
      </c>
      <c r="K1" s="18">
        <v>2020</v>
      </c>
      <c r="L1" s="18">
        <v>2021</v>
      </c>
      <c r="M1" s="18">
        <v>2022</v>
      </c>
      <c r="N1" s="18">
        <v>2023</v>
      </c>
      <c r="O1" s="18">
        <v>2024</v>
      </c>
      <c r="P1" s="18">
        <v>2025</v>
      </c>
      <c r="Q1" s="35">
        <v>2026</v>
      </c>
      <c r="R1" s="35">
        <v>2027</v>
      </c>
      <c r="S1" s="35">
        <v>2028</v>
      </c>
      <c r="T1" s="35">
        <v>2029</v>
      </c>
      <c r="U1" s="35">
        <v>2030</v>
      </c>
      <c r="V1" s="35">
        <v>2031</v>
      </c>
      <c r="W1" s="35">
        <v>2032</v>
      </c>
      <c r="X1" s="35">
        <v>2033</v>
      </c>
      <c r="Y1" s="35">
        <v>2034</v>
      </c>
      <c r="Z1" s="35">
        <v>2035</v>
      </c>
      <c r="AA1" s="35">
        <v>2036</v>
      </c>
    </row>
    <row r="2" spans="1:27" x14ac:dyDescent="0.25">
      <c r="Q2" s="22"/>
      <c r="R2" s="22"/>
      <c r="S2" s="22"/>
      <c r="T2" s="22"/>
      <c r="U2" s="22"/>
      <c r="V2" s="22"/>
      <c r="W2" s="22"/>
      <c r="X2" s="22"/>
      <c r="Y2" s="22"/>
      <c r="Z2" s="22"/>
      <c r="AA2" s="22"/>
    </row>
    <row r="3" spans="1:27" x14ac:dyDescent="0.25">
      <c r="A3" s="4" t="s">
        <v>408</v>
      </c>
      <c r="B3" s="24">
        <v>2.2308591666666668</v>
      </c>
      <c r="C3" s="24">
        <v>2.2850558333333328</v>
      </c>
      <c r="D3" s="24">
        <v>2.3225341666666668</v>
      </c>
      <c r="E3" s="24">
        <v>2.3603358333333331</v>
      </c>
      <c r="F3" s="24">
        <v>2.367645833333333</v>
      </c>
      <c r="G3" s="24">
        <v>2.38931</v>
      </c>
      <c r="H3" s="24">
        <v>2.438450833333333</v>
      </c>
      <c r="I3" s="24">
        <v>2.4973133333333331</v>
      </c>
      <c r="J3" s="24">
        <v>2.5435833333333329</v>
      </c>
      <c r="K3" s="24">
        <v>2.5805483333333332</v>
      </c>
      <c r="L3" s="24">
        <v>2.66561</v>
      </c>
      <c r="M3" s="24">
        <v>2.876806666666667</v>
      </c>
      <c r="N3" s="24">
        <v>3.0228916666666672</v>
      </c>
      <c r="O3" s="24">
        <v>3.1160275</v>
      </c>
      <c r="P3" s="24">
        <v>3.2002974999991669</v>
      </c>
      <c r="Q3" s="36">
        <v>3.2950815190424998</v>
      </c>
      <c r="R3" s="36">
        <v>3.3821934194774999</v>
      </c>
      <c r="S3" s="36">
        <v>3.4629971506050001</v>
      </c>
      <c r="T3" s="36">
        <v>3.5426797153175</v>
      </c>
      <c r="U3" s="36">
        <v>3.6229764779974998</v>
      </c>
      <c r="V3" s="36">
        <v>3.7048388360575002</v>
      </c>
      <c r="W3" s="36">
        <v>3.788476320065</v>
      </c>
      <c r="X3" s="36">
        <v>3.8739714005649999</v>
      </c>
      <c r="Y3" s="36">
        <v>3.9613917976450002</v>
      </c>
      <c r="Z3" s="37">
        <v>4.0507963552249997</v>
      </c>
      <c r="AA3" s="37">
        <v>4.1422385442425007</v>
      </c>
    </row>
    <row r="4" spans="1:27" x14ac:dyDescent="0.25">
      <c r="A4" s="4" t="s">
        <v>409</v>
      </c>
      <c r="B4" t="s">
        <v>187</v>
      </c>
      <c r="C4" s="6">
        <f>C3/B3</f>
        <v>1.0242940780289802</v>
      </c>
      <c r="D4" s="6">
        <f t="shared" ref="D4:AA4" si="0">D3/C3</f>
        <v>1.016401495660026</v>
      </c>
      <c r="E4" s="6">
        <f t="shared" si="0"/>
        <v>1.0162760433018385</v>
      </c>
      <c r="F4" s="6">
        <f t="shared" si="0"/>
        <v>1.0030970169146127</v>
      </c>
      <c r="G4" s="6">
        <f t="shared" si="0"/>
        <v>1.0091500875518054</v>
      </c>
      <c r="H4" s="6">
        <f t="shared" si="0"/>
        <v>1.0205669558714998</v>
      </c>
      <c r="I4" s="6">
        <f t="shared" si="0"/>
        <v>1.0241393015579223</v>
      </c>
      <c r="J4" s="6">
        <f t="shared" si="0"/>
        <v>1.0185279113287078</v>
      </c>
      <c r="K4" s="6">
        <f t="shared" si="0"/>
        <v>1.0145326475117127</v>
      </c>
      <c r="L4" s="6">
        <f t="shared" si="0"/>
        <v>1.0329626326187782</v>
      </c>
      <c r="M4" s="6">
        <f t="shared" si="0"/>
        <v>1.0792301449449346</v>
      </c>
      <c r="N4" s="6">
        <f t="shared" si="0"/>
        <v>1.0507802633012067</v>
      </c>
      <c r="O4" s="6">
        <f t="shared" si="0"/>
        <v>1.0308101789952775</v>
      </c>
      <c r="P4" s="6">
        <f t="shared" si="0"/>
        <v>1.0270440488728572</v>
      </c>
      <c r="Q4" s="37">
        <f t="shared" si="0"/>
        <v>1.0296172524721086</v>
      </c>
      <c r="R4" s="37">
        <f t="shared" si="0"/>
        <v>1.026436948503876</v>
      </c>
      <c r="S4" s="37">
        <f t="shared" si="0"/>
        <v>1.0238909255343485</v>
      </c>
      <c r="T4" s="37">
        <f t="shared" si="0"/>
        <v>1.0230097113128087</v>
      </c>
      <c r="U4" s="37">
        <f t="shared" si="0"/>
        <v>1.0226655439194292</v>
      </c>
      <c r="V4" s="37">
        <f t="shared" si="0"/>
        <v>1.0225953324723895</v>
      </c>
      <c r="W4" s="37">
        <f t="shared" si="0"/>
        <v>1.0225752017047258</v>
      </c>
      <c r="X4" s="37">
        <f t="shared" si="0"/>
        <v>1.0225671413193715</v>
      </c>
      <c r="Y4" s="37">
        <f t="shared" si="0"/>
        <v>1.022566092529039</v>
      </c>
      <c r="Z4" s="37">
        <f t="shared" si="0"/>
        <v>1.0225689762959447</v>
      </c>
      <c r="AA4" s="37">
        <f t="shared" si="0"/>
        <v>1.0225738795532273</v>
      </c>
    </row>
    <row r="5" spans="1:27" x14ac:dyDescent="0.25">
      <c r="Q5" s="22"/>
      <c r="R5" s="22"/>
      <c r="S5" s="22"/>
      <c r="T5" s="22"/>
      <c r="U5" s="22"/>
      <c r="V5" s="22"/>
      <c r="W5" s="22"/>
      <c r="X5" s="22"/>
      <c r="Y5" s="22"/>
      <c r="Z5" s="22"/>
      <c r="AA5" s="22"/>
    </row>
    <row r="6" spans="1:27" x14ac:dyDescent="0.25">
      <c r="Q6" s="22"/>
      <c r="R6" s="22"/>
      <c r="S6" s="22"/>
      <c r="T6" s="22"/>
      <c r="U6" s="22"/>
      <c r="V6" s="22"/>
      <c r="W6" s="22"/>
      <c r="X6" s="22"/>
      <c r="Y6" s="22"/>
      <c r="Z6" s="22"/>
      <c r="AA6" s="22"/>
    </row>
    <row r="7" spans="1:27" x14ac:dyDescent="0.25">
      <c r="A7" s="4" t="s">
        <v>351</v>
      </c>
      <c r="B7" s="7"/>
      <c r="C7" s="7"/>
      <c r="D7" s="7"/>
      <c r="E7" s="7"/>
      <c r="F7" s="7"/>
      <c r="G7" s="7"/>
      <c r="H7" s="7"/>
      <c r="I7" s="7"/>
      <c r="J7" s="7"/>
      <c r="P7" s="7"/>
      <c r="Q7" s="22"/>
      <c r="R7" s="22"/>
      <c r="S7" s="22"/>
      <c r="T7" s="22"/>
      <c r="U7" s="22"/>
      <c r="V7" s="22"/>
      <c r="W7" s="22"/>
      <c r="X7" s="22"/>
      <c r="Y7" s="22"/>
      <c r="Z7" s="22"/>
      <c r="AA7" s="22"/>
    </row>
    <row r="8" spans="1:27" x14ac:dyDescent="0.25">
      <c r="A8" t="s">
        <v>411</v>
      </c>
      <c r="B8" s="7">
        <f>'Country-Specific Data'!B3</f>
        <v>0</v>
      </c>
      <c r="C8" s="7">
        <f>'Country-Specific Data'!C3</f>
        <v>0</v>
      </c>
      <c r="D8" s="7">
        <f>'Country-Specific Data'!D3</f>
        <v>0</v>
      </c>
      <c r="E8" s="7">
        <f>'Country-Specific Data'!E3</f>
        <v>0</v>
      </c>
      <c r="F8" s="7">
        <f>'Country-Specific Data'!F3</f>
        <v>0</v>
      </c>
      <c r="G8" s="7">
        <f>'Country-Specific Data'!G3</f>
        <v>0</v>
      </c>
      <c r="H8" s="7">
        <f>'Country-Specific Data'!H3</f>
        <v>0</v>
      </c>
      <c r="I8" s="7">
        <f>'Country-Specific Data'!I3</f>
        <v>0</v>
      </c>
      <c r="J8" s="7">
        <f>'Country-Specific Data'!J3</f>
        <v>0</v>
      </c>
      <c r="K8" s="7">
        <f>'Country-Specific Data'!K3</f>
        <v>0</v>
      </c>
      <c r="L8" s="7">
        <f>'Country-Specific Data'!L3</f>
        <v>0</v>
      </c>
      <c r="M8" s="7">
        <f>'Country-Specific Data'!M3</f>
        <v>0</v>
      </c>
      <c r="N8" s="7">
        <f>'Country-Specific Data'!N3</f>
        <v>0</v>
      </c>
      <c r="O8" s="7">
        <f>'Country-Specific Data'!O3</f>
        <v>0</v>
      </c>
      <c r="P8" s="7">
        <f>'Country-Specific Data'!P3</f>
        <v>0</v>
      </c>
      <c r="Q8" s="38">
        <f t="shared" ref="Q8" si="1">AVERAGE(G8:P8)*Q$4</f>
        <v>0</v>
      </c>
      <c r="R8" s="38">
        <f>Q8*R$4</f>
        <v>0</v>
      </c>
      <c r="S8" s="38">
        <f t="shared" ref="S8:AA8" si="2">R8*S$4</f>
        <v>0</v>
      </c>
      <c r="T8" s="38">
        <f t="shared" si="2"/>
        <v>0</v>
      </c>
      <c r="U8" s="38">
        <f t="shared" si="2"/>
        <v>0</v>
      </c>
      <c r="V8" s="38">
        <f t="shared" si="2"/>
        <v>0</v>
      </c>
      <c r="W8" s="38">
        <f t="shared" si="2"/>
        <v>0</v>
      </c>
      <c r="X8" s="38">
        <f t="shared" si="2"/>
        <v>0</v>
      </c>
      <c r="Y8" s="38">
        <f t="shared" si="2"/>
        <v>0</v>
      </c>
      <c r="Z8" s="38">
        <f t="shared" si="2"/>
        <v>0</v>
      </c>
      <c r="AA8" s="38">
        <f t="shared" si="2"/>
        <v>0</v>
      </c>
    </row>
    <row r="9" spans="1:27" x14ac:dyDescent="0.25">
      <c r="A9" t="s">
        <v>230</v>
      </c>
      <c r="B9" s="7">
        <f>'Country-Specific Data'!B4</f>
        <v>0</v>
      </c>
      <c r="C9" s="7">
        <f>'Country-Specific Data'!C4</f>
        <v>0</v>
      </c>
      <c r="D9" s="7">
        <f>'Country-Specific Data'!D4</f>
        <v>0</v>
      </c>
      <c r="E9" s="7">
        <f>'Country-Specific Data'!E4</f>
        <v>0</v>
      </c>
      <c r="F9" s="7">
        <f>'Country-Specific Data'!F4</f>
        <v>0</v>
      </c>
      <c r="G9" s="7">
        <f>'Country-Specific Data'!G4</f>
        <v>0</v>
      </c>
      <c r="H9" s="7">
        <f>'Country-Specific Data'!H4</f>
        <v>0</v>
      </c>
      <c r="I9" s="7">
        <f>'Country-Specific Data'!I4</f>
        <v>0</v>
      </c>
      <c r="J9" s="7">
        <f>'Country-Specific Data'!J4</f>
        <v>7772102</v>
      </c>
      <c r="K9" s="7">
        <f>'Country-Specific Data'!K4</f>
        <v>0</v>
      </c>
      <c r="L9" s="7">
        <f>'Country-Specific Data'!L4</f>
        <v>0</v>
      </c>
      <c r="M9" s="7">
        <f>'Country-Specific Data'!M4</f>
        <v>0</v>
      </c>
      <c r="N9" s="7">
        <f>'Country-Specific Data'!N4</f>
        <v>0</v>
      </c>
      <c r="O9" s="7">
        <f>'Country-Specific Data'!O4</f>
        <v>0</v>
      </c>
      <c r="P9" s="7">
        <f>'Country-Specific Data'!P4</f>
        <v>0</v>
      </c>
      <c r="Q9" s="38">
        <f t="shared" ref="Q9:Q10" si="3">AVERAGE(G9:P9)*Q$4</f>
        <v>800229.03071729792</v>
      </c>
      <c r="R9" s="38">
        <f>Q9*R$4</f>
        <v>821384.64439367771</v>
      </c>
      <c r="S9" s="38">
        <f t="shared" ref="S9:AA9" si="4">R9*S$4</f>
        <v>841008.28376794432</v>
      </c>
      <c r="T9" s="38">
        <f t="shared" si="4"/>
        <v>860359.64158912539</v>
      </c>
      <c r="U9" s="38">
        <f t="shared" si="4"/>
        <v>879860.16083206807</v>
      </c>
      <c r="V9" s="38">
        <f t="shared" si="4"/>
        <v>899740.89369527879</v>
      </c>
      <c r="W9" s="38">
        <f t="shared" si="4"/>
        <v>920052.72585243999</v>
      </c>
      <c r="X9" s="38">
        <f t="shared" si="4"/>
        <v>940815.685738025</v>
      </c>
      <c r="Y9" s="38">
        <f t="shared" si="4"/>
        <v>962046.2195551605</v>
      </c>
      <c r="Z9" s="38">
        <f t="shared" si="4"/>
        <v>983758.61787990411</v>
      </c>
      <c r="AA9" s="38">
        <f t="shared" si="4"/>
        <v>1005965.8664293744</v>
      </c>
    </row>
    <row r="10" spans="1:27" x14ac:dyDescent="0.25">
      <c r="A10" t="s">
        <v>7</v>
      </c>
      <c r="B10" s="7">
        <f>'Country-Specific Data'!B5</f>
        <v>0</v>
      </c>
      <c r="C10" s="7">
        <f>'Country-Specific Data'!C5</f>
        <v>18514021.391810264</v>
      </c>
      <c r="D10" s="7">
        <f>'Country-Specific Data'!D5</f>
        <v>136717283.40013719</v>
      </c>
      <c r="E10" s="7">
        <f>'Country-Specific Data'!E5</f>
        <v>3082289.3845256157</v>
      </c>
      <c r="F10" s="7">
        <f>'Country-Specific Data'!F5</f>
        <v>8925835.9327460583</v>
      </c>
      <c r="G10" s="7">
        <f>'Country-Specific Data'!G5</f>
        <v>5231994.3027779637</v>
      </c>
      <c r="H10" s="7">
        <f>'Country-Specific Data'!H5</f>
        <v>0</v>
      </c>
      <c r="I10" s="7">
        <f>'Country-Specific Data'!I5</f>
        <v>0</v>
      </c>
      <c r="J10" s="7">
        <f>'Country-Specific Data'!J5</f>
        <v>1319659.4231199999</v>
      </c>
      <c r="K10" s="7">
        <f>'Country-Specific Data'!K5</f>
        <v>1125000</v>
      </c>
      <c r="L10" s="7">
        <f>'Country-Specific Data'!L5</f>
        <v>0</v>
      </c>
      <c r="M10" s="7">
        <f>'Country-Specific Data'!M5</f>
        <v>0</v>
      </c>
      <c r="N10" s="7">
        <f>'Country-Specific Data'!N5</f>
        <v>0</v>
      </c>
      <c r="O10" s="7">
        <f>'Country-Specific Data'!O5</f>
        <v>0</v>
      </c>
      <c r="P10" s="7">
        <f>'Country-Specific Data'!P5</f>
        <v>0</v>
      </c>
      <c r="Q10" s="38">
        <f t="shared" si="3"/>
        <v>790401.51174388372</v>
      </c>
      <c r="R10" s="38">
        <f t="shared" ref="R10:AA10" si="5">Q10*R$4</f>
        <v>811297.31580724253</v>
      </c>
      <c r="S10" s="38">
        <f t="shared" si="5"/>
        <v>830679.95956541016</v>
      </c>
      <c r="T10" s="38">
        <f t="shared" si="5"/>
        <v>849793.66562834592</v>
      </c>
      <c r="U10" s="38">
        <f t="shared" si="5"/>
        <v>869054.70127909794</v>
      </c>
      <c r="V10" s="38">
        <f t="shared" si="5"/>
        <v>888691.28119119233</v>
      </c>
      <c r="W10" s="38">
        <f t="shared" si="5"/>
        <v>908753.66611731471</v>
      </c>
      <c r="X10" s="38">
        <f t="shared" si="5"/>
        <v>929261.6385250811</v>
      </c>
      <c r="Y10" s="38">
        <f t="shared" si="5"/>
        <v>950231.44264372438</v>
      </c>
      <c r="Z10" s="38">
        <f t="shared" si="5"/>
        <v>971677.19354841195</v>
      </c>
      <c r="AA10" s="38">
        <f t="shared" si="5"/>
        <v>993611.71748019173</v>
      </c>
    </row>
    <row r="11" spans="1:27" x14ac:dyDescent="0.25">
      <c r="A11" t="s">
        <v>292</v>
      </c>
      <c r="B11" s="7">
        <f>'Country-Specific Data'!B6</f>
        <v>0</v>
      </c>
      <c r="C11" s="7">
        <f>'Country-Specific Data'!C6</f>
        <v>0</v>
      </c>
      <c r="D11" s="7">
        <f>'Country-Specific Data'!D6</f>
        <v>0</v>
      </c>
      <c r="E11" s="7">
        <f>'Country-Specific Data'!E6</f>
        <v>0</v>
      </c>
      <c r="F11" s="7">
        <f>'Country-Specific Data'!F6</f>
        <v>0</v>
      </c>
      <c r="G11" s="7">
        <f>'Country-Specific Data'!G6</f>
        <v>0</v>
      </c>
      <c r="H11" s="7">
        <f>'Country-Specific Data'!H6</f>
        <v>0</v>
      </c>
      <c r="I11" s="7">
        <f>'Country-Specific Data'!I6</f>
        <v>0</v>
      </c>
      <c r="J11" s="7">
        <f>'Country-Specific Data'!J6</f>
        <v>0</v>
      </c>
      <c r="K11" s="7">
        <f>'Country-Specific Data'!K6</f>
        <v>0</v>
      </c>
      <c r="L11" s="7">
        <f>'Country-Specific Data'!L6</f>
        <v>5721.4633333333331</v>
      </c>
      <c r="M11" s="7">
        <f>'Country-Specific Data'!M6</f>
        <v>0</v>
      </c>
      <c r="N11" s="7">
        <f>'Country-Specific Data'!N6</f>
        <v>0</v>
      </c>
      <c r="O11" s="7">
        <f>'Country-Specific Data'!O6</f>
        <v>0</v>
      </c>
      <c r="P11" s="7">
        <f>'Country-Specific Data'!P6</f>
        <v>0</v>
      </c>
      <c r="Q11" s="38">
        <f>AVERAGE(G11:P11)*Q$4</f>
        <v>589.09173573865792</v>
      </c>
      <c r="R11" s="38">
        <f>Q11*R$4</f>
        <v>604.66552362043979</v>
      </c>
      <c r="S11" s="38">
        <f>R11*S$4</f>
        <v>619.11154261844354</v>
      </c>
      <c r="T11" s="38">
        <f t="shared" ref="T11:AA24" si="6">S11*T$4</f>
        <v>633.3571204845216</v>
      </c>
      <c r="U11" s="38">
        <f t="shared" si="6"/>
        <v>647.71250411554672</v>
      </c>
      <c r="V11" s="38">
        <f t="shared" si="6"/>
        <v>662.34778349256146</v>
      </c>
      <c r="W11" s="38">
        <f t="shared" si="6"/>
        <v>677.30041830358414</v>
      </c>
      <c r="X11" s="38">
        <f t="shared" si="6"/>
        <v>692.58515255911061</v>
      </c>
      <c r="Y11" s="38">
        <f t="shared" si="6"/>
        <v>708.21409319599809</v>
      </c>
      <c r="Z11" s="38">
        <f t="shared" si="6"/>
        <v>724.19776027779255</v>
      </c>
      <c r="AA11" s="38">
        <f t="shared" si="6"/>
        <v>740.54571329102043</v>
      </c>
    </row>
    <row r="12" spans="1:27" x14ac:dyDescent="0.25">
      <c r="A12" t="s">
        <v>6</v>
      </c>
      <c r="B12" s="7">
        <f>'Country-Specific Data'!B7</f>
        <v>86344238.131343469</v>
      </c>
      <c r="C12" s="7">
        <f>'Country-Specific Data'!C7</f>
        <v>593065321.60944903</v>
      </c>
      <c r="D12" s="7">
        <f>'Country-Specific Data'!D7</f>
        <v>8508305.8835027814</v>
      </c>
      <c r="E12" s="7">
        <f>'Country-Specific Data'!E7</f>
        <v>80845798.293287992</v>
      </c>
      <c r="F12" s="7">
        <f>'Country-Specific Data'!F7</f>
        <v>3714101.3979758513</v>
      </c>
      <c r="G12" s="7">
        <f>'Country-Specific Data'!G7</f>
        <v>3633356.0013433876</v>
      </c>
      <c r="H12" s="7">
        <f>'Country-Specific Data'!H7</f>
        <v>1069620.14504151</v>
      </c>
      <c r="I12" s="7">
        <f>'Country-Specific Data'!I7</f>
        <v>204277</v>
      </c>
      <c r="J12" s="7">
        <f>'Country-Specific Data'!J7</f>
        <v>61858396.333993331</v>
      </c>
      <c r="K12" s="7">
        <f>'Country-Specific Data'!K7</f>
        <v>3213190</v>
      </c>
      <c r="L12" s="7">
        <f>'Country-Specific Data'!L7</f>
        <v>5883626</v>
      </c>
      <c r="M12" s="7">
        <f>'Country-Specific Data'!M7</f>
        <v>578126.06999999995</v>
      </c>
      <c r="N12" s="7">
        <f>'Country-Specific Data'!N7</f>
        <v>7176619.75</v>
      </c>
      <c r="O12" s="7">
        <f>'Country-Specific Data'!O7</f>
        <v>3156120.11</v>
      </c>
      <c r="P12" s="7">
        <f>'Country-Specific Data'!P7</f>
        <v>925170</v>
      </c>
      <c r="Q12" s="38">
        <f t="shared" ref="Q12:Q22" si="7">AVERAGE(G12:P12)*Q$4</f>
        <v>9029589.0068074949</v>
      </c>
      <c r="R12" s="38">
        <f>Q12*R$4</f>
        <v>9268303.7863916289</v>
      </c>
      <c r="S12" s="38">
        <f>R12*S$4</f>
        <v>9489732.141982032</v>
      </c>
      <c r="T12" s="38">
        <f t="shared" ref="R12:Z24" si="8">S12*T$4</f>
        <v>9708088.1390049197</v>
      </c>
      <c r="U12" s="38">
        <f t="shared" si="8"/>
        <v>9928127.2370932251</v>
      </c>
      <c r="V12" s="38">
        <f t="shared" si="8"/>
        <v>10152456.572843533</v>
      </c>
      <c r="W12" s="38">
        <f t="shared" si="8"/>
        <v>10381650.327773945</v>
      </c>
      <c r="X12" s="38">
        <f t="shared" si="8"/>
        <v>10615934.49784912</v>
      </c>
      <c r="Y12" s="38">
        <f t="shared" si="8"/>
        <v>10855494.658009799</v>
      </c>
      <c r="Z12" s="38">
        <f t="shared" si="8"/>
        <v>11100492.059627177</v>
      </c>
      <c r="AA12" s="38">
        <f t="shared" si="6"/>
        <v>11351073.230362758</v>
      </c>
    </row>
    <row r="13" spans="1:27" x14ac:dyDescent="0.25">
      <c r="A13" t="s">
        <v>412</v>
      </c>
      <c r="B13" s="7">
        <f>'Country-Specific Data'!B8</f>
        <v>0</v>
      </c>
      <c r="C13" s="7">
        <f>'Country-Specific Data'!C8</f>
        <v>0</v>
      </c>
      <c r="D13" s="7">
        <f>'Country-Specific Data'!D8</f>
        <v>0</v>
      </c>
      <c r="E13" s="7">
        <f>'Country-Specific Data'!E8</f>
        <v>0</v>
      </c>
      <c r="F13" s="7">
        <f>'Country-Specific Data'!F8</f>
        <v>0</v>
      </c>
      <c r="G13" s="7">
        <f>'Country-Specific Data'!G8</f>
        <v>0</v>
      </c>
      <c r="H13" s="7">
        <f>'Country-Specific Data'!H8</f>
        <v>0</v>
      </c>
      <c r="I13" s="7">
        <f>'Country-Specific Data'!I8</f>
        <v>0</v>
      </c>
      <c r="J13" s="7">
        <f>'Country-Specific Data'!J8</f>
        <v>0</v>
      </c>
      <c r="K13" s="7">
        <f>'Country-Specific Data'!K8</f>
        <v>0</v>
      </c>
      <c r="L13" s="7">
        <f>'Country-Specific Data'!L8</f>
        <v>5721.4633333333331</v>
      </c>
      <c r="M13" s="7">
        <f>'Country-Specific Data'!M8</f>
        <v>0</v>
      </c>
      <c r="N13" s="7">
        <f>'Country-Specific Data'!N8</f>
        <v>0</v>
      </c>
      <c r="O13" s="7">
        <f>'Country-Specific Data'!O8</f>
        <v>0</v>
      </c>
      <c r="P13" s="7">
        <f>'Country-Specific Data'!P8</f>
        <v>0</v>
      </c>
      <c r="Q13" s="38">
        <f t="shared" si="7"/>
        <v>589.09173573865792</v>
      </c>
      <c r="R13" s="38">
        <f t="shared" si="8"/>
        <v>604.66552362043979</v>
      </c>
      <c r="S13" s="38">
        <f t="shared" si="8"/>
        <v>619.11154261844354</v>
      </c>
      <c r="T13" s="38">
        <f t="shared" si="8"/>
        <v>633.3571204845216</v>
      </c>
      <c r="U13" s="38">
        <f t="shared" si="8"/>
        <v>647.71250411554672</v>
      </c>
      <c r="V13" s="38">
        <f t="shared" si="8"/>
        <v>662.34778349256146</v>
      </c>
      <c r="W13" s="38">
        <f t="shared" si="8"/>
        <v>677.30041830358414</v>
      </c>
      <c r="X13" s="38">
        <f t="shared" si="8"/>
        <v>692.58515255911061</v>
      </c>
      <c r="Y13" s="38">
        <f t="shared" si="8"/>
        <v>708.21409319599809</v>
      </c>
      <c r="Z13" s="38">
        <f t="shared" si="8"/>
        <v>724.19776027779255</v>
      </c>
      <c r="AA13" s="38">
        <f t="shared" si="6"/>
        <v>740.54571329102043</v>
      </c>
    </row>
    <row r="14" spans="1:27" x14ac:dyDescent="0.25">
      <c r="A14" t="s">
        <v>413</v>
      </c>
      <c r="B14" s="7">
        <f>'Country-Specific Data'!B9</f>
        <v>0</v>
      </c>
      <c r="C14" s="7">
        <f>'Country-Specific Data'!C9</f>
        <v>0</v>
      </c>
      <c r="D14" s="7">
        <f>'Country-Specific Data'!D9</f>
        <v>0</v>
      </c>
      <c r="E14" s="7">
        <f>'Country-Specific Data'!E9</f>
        <v>0</v>
      </c>
      <c r="F14" s="7">
        <f>'Country-Specific Data'!F9</f>
        <v>0</v>
      </c>
      <c r="G14" s="7">
        <f>'Country-Specific Data'!G9</f>
        <v>0</v>
      </c>
      <c r="H14" s="7">
        <f>'Country-Specific Data'!H9</f>
        <v>0</v>
      </c>
      <c r="I14" s="7">
        <f>'Country-Specific Data'!I9</f>
        <v>0</v>
      </c>
      <c r="J14" s="7">
        <f>'Country-Specific Data'!J9</f>
        <v>0</v>
      </c>
      <c r="K14" s="7">
        <f>'Country-Specific Data'!K9</f>
        <v>0</v>
      </c>
      <c r="L14" s="7">
        <f>'Country-Specific Data'!L9</f>
        <v>0</v>
      </c>
      <c r="M14" s="7">
        <f>'Country-Specific Data'!M9</f>
        <v>0</v>
      </c>
      <c r="N14" s="7">
        <f>'Country-Specific Data'!N9</f>
        <v>0</v>
      </c>
      <c r="O14" s="7">
        <f>'Country-Specific Data'!O9</f>
        <v>0</v>
      </c>
      <c r="P14" s="7">
        <f>'Country-Specific Data'!P9</f>
        <v>0</v>
      </c>
      <c r="Q14" s="38">
        <f t="shared" si="7"/>
        <v>0</v>
      </c>
      <c r="R14" s="38">
        <f t="shared" si="8"/>
        <v>0</v>
      </c>
      <c r="S14" s="38">
        <f>R14*S$4</f>
        <v>0</v>
      </c>
      <c r="T14" s="38">
        <f t="shared" ref="T14:Y14" si="9">S14*T$4</f>
        <v>0</v>
      </c>
      <c r="U14" s="38">
        <f t="shared" si="9"/>
        <v>0</v>
      </c>
      <c r="V14" s="38">
        <f t="shared" si="9"/>
        <v>0</v>
      </c>
      <c r="W14" s="38">
        <f t="shared" si="9"/>
        <v>0</v>
      </c>
      <c r="X14" s="38">
        <f t="shared" si="9"/>
        <v>0</v>
      </c>
      <c r="Y14" s="38">
        <f t="shared" si="9"/>
        <v>0</v>
      </c>
      <c r="Z14" s="38">
        <f t="shared" si="8"/>
        <v>0</v>
      </c>
      <c r="AA14" s="38">
        <f t="shared" si="6"/>
        <v>0</v>
      </c>
    </row>
    <row r="15" spans="1:27" x14ac:dyDescent="0.25">
      <c r="A15" t="s">
        <v>8</v>
      </c>
      <c r="B15" s="7">
        <f>'Country-Specific Data'!B10</f>
        <v>729194.33333333326</v>
      </c>
      <c r="C15" s="7">
        <f>'Country-Specific Data'!C10</f>
        <v>6150318.9700546209</v>
      </c>
      <c r="D15" s="7">
        <f>'Country-Specific Data'!D10</f>
        <v>166408264.83318123</v>
      </c>
      <c r="E15" s="7">
        <f>'Country-Specific Data'!E10</f>
        <v>322767522.85112655</v>
      </c>
      <c r="F15" s="7">
        <f>'Country-Specific Data'!F10</f>
        <v>108974630.24382377</v>
      </c>
      <c r="G15" s="7">
        <f>'Country-Specific Data'!G10</f>
        <v>9394492.9671777394</v>
      </c>
      <c r="H15" s="7">
        <f>'Country-Specific Data'!H10</f>
        <v>120238354.17407729</v>
      </c>
      <c r="I15" s="7">
        <f>'Country-Specific Data'!I10</f>
        <v>2720400</v>
      </c>
      <c r="J15" s="7">
        <f>'Country-Specific Data'!J10</f>
        <v>883657320.03957331</v>
      </c>
      <c r="K15" s="7">
        <f>'Country-Specific Data'!K10</f>
        <v>1297471</v>
      </c>
      <c r="L15" s="7">
        <f>'Country-Specific Data'!L10</f>
        <v>9314930.2799999993</v>
      </c>
      <c r="M15" s="7">
        <f>'Country-Specific Data'!M10</f>
        <v>7318699.7166666659</v>
      </c>
      <c r="N15" s="7">
        <f>'Country-Specific Data'!N10</f>
        <v>32776323.616666667</v>
      </c>
      <c r="O15" s="7">
        <f>'Country-Specific Data'!O10</f>
        <v>24092476.25</v>
      </c>
      <c r="P15" s="7">
        <f>'Country-Specific Data'!P10</f>
        <v>17833143</v>
      </c>
      <c r="Q15" s="38">
        <f t="shared" si="7"/>
        <v>114147858.87740469</v>
      </c>
      <c r="R15" s="38">
        <f t="shared" si="8"/>
        <v>117165579.94437434</v>
      </c>
      <c r="S15" s="38">
        <f t="shared" si="8"/>
        <v>119964774.09001413</v>
      </c>
      <c r="T15" s="38">
        <f t="shared" si="8"/>
        <v>122725128.90953167</v>
      </c>
      <c r="U15" s="38">
        <f t="shared" si="8"/>
        <v>125506760.70884827</v>
      </c>
      <c r="V15" s="38">
        <f t="shared" si="8"/>
        <v>128342627.69459733</v>
      </c>
      <c r="W15" s="38">
        <f t="shared" si="8"/>
        <v>131239988.4021174</v>
      </c>
      <c r="X15" s="38">
        <f t="shared" si="8"/>
        <v>134201699.76714067</v>
      </c>
      <c r="Y15" s="38">
        <f t="shared" si="8"/>
        <v>137230107.74164027</v>
      </c>
      <c r="Z15" s="38">
        <f t="shared" si="8"/>
        <v>140327250.79035127</v>
      </c>
      <c r="AA15" s="38">
        <f t="shared" si="6"/>
        <v>143494981.2477282</v>
      </c>
    </row>
    <row r="16" spans="1:27" x14ac:dyDescent="0.25">
      <c r="A16" t="s">
        <v>62</v>
      </c>
      <c r="B16" s="7">
        <f>'Country-Specific Data'!B11</f>
        <v>0</v>
      </c>
      <c r="C16" s="7">
        <f>'Country-Specific Data'!C11</f>
        <v>0</v>
      </c>
      <c r="D16" s="7">
        <f>'Country-Specific Data'!D11</f>
        <v>0</v>
      </c>
      <c r="E16" s="7">
        <f>'Country-Specific Data'!E11</f>
        <v>0</v>
      </c>
      <c r="F16" s="7">
        <f>'Country-Specific Data'!F11</f>
        <v>780000</v>
      </c>
      <c r="G16" s="7">
        <f>'Country-Specific Data'!G11</f>
        <v>0</v>
      </c>
      <c r="H16" s="7">
        <f>'Country-Specific Data'!H11</f>
        <v>0</v>
      </c>
      <c r="I16" s="7">
        <f>'Country-Specific Data'!I11</f>
        <v>0</v>
      </c>
      <c r="J16" s="7">
        <f>'Country-Specific Data'!J11</f>
        <v>0</v>
      </c>
      <c r="K16" s="7">
        <f>'Country-Specific Data'!K11</f>
        <v>0</v>
      </c>
      <c r="L16" s="7">
        <f>'Country-Specific Data'!L11</f>
        <v>0</v>
      </c>
      <c r="M16" s="7">
        <f>'Country-Specific Data'!M11</f>
        <v>0</v>
      </c>
      <c r="N16" s="7">
        <f>'Country-Specific Data'!N11</f>
        <v>0</v>
      </c>
      <c r="O16" s="7">
        <f>'Country-Specific Data'!O11</f>
        <v>0</v>
      </c>
      <c r="P16" s="7">
        <f>'Country-Specific Data'!P11</f>
        <v>0</v>
      </c>
      <c r="Q16" s="38">
        <f t="shared" si="7"/>
        <v>0</v>
      </c>
      <c r="R16" s="38">
        <f t="shared" si="8"/>
        <v>0</v>
      </c>
      <c r="S16" s="38">
        <f t="shared" si="8"/>
        <v>0</v>
      </c>
      <c r="T16" s="38">
        <f t="shared" si="8"/>
        <v>0</v>
      </c>
      <c r="U16" s="38">
        <f t="shared" si="8"/>
        <v>0</v>
      </c>
      <c r="V16" s="38">
        <f t="shared" si="8"/>
        <v>0</v>
      </c>
      <c r="W16" s="38">
        <f t="shared" si="8"/>
        <v>0</v>
      </c>
      <c r="X16" s="38">
        <f t="shared" si="8"/>
        <v>0</v>
      </c>
      <c r="Y16" s="38">
        <f t="shared" si="8"/>
        <v>0</v>
      </c>
      <c r="Z16" s="38">
        <f t="shared" si="8"/>
        <v>0</v>
      </c>
      <c r="AA16" s="38">
        <f t="shared" si="6"/>
        <v>0</v>
      </c>
    </row>
    <row r="17" spans="1:27" x14ac:dyDescent="0.25">
      <c r="A17" t="s">
        <v>131</v>
      </c>
      <c r="B17" s="7">
        <f>'Country-Specific Data'!B12</f>
        <v>0</v>
      </c>
      <c r="C17" s="7">
        <f>'Country-Specific Data'!C12</f>
        <v>348539.99034259311</v>
      </c>
      <c r="D17" s="7">
        <f>'Country-Specific Data'!D12</f>
        <v>18075418.870202549</v>
      </c>
      <c r="E17" s="7">
        <f>'Country-Specific Data'!E12</f>
        <v>0</v>
      </c>
      <c r="F17" s="7">
        <f>'Country-Specific Data'!F12</f>
        <v>0</v>
      </c>
      <c r="G17" s="7">
        <f>'Country-Specific Data'!G12</f>
        <v>0</v>
      </c>
      <c r="H17" s="7">
        <f>'Country-Specific Data'!H12</f>
        <v>0</v>
      </c>
      <c r="I17" s="7">
        <f>'Country-Specific Data'!I12</f>
        <v>0</v>
      </c>
      <c r="J17" s="7">
        <f>'Country-Specific Data'!J12</f>
        <v>6197864.5007999996</v>
      </c>
      <c r="K17" s="7">
        <f>'Country-Specific Data'!K12</f>
        <v>0</v>
      </c>
      <c r="L17" s="7">
        <f>'Country-Specific Data'!L12</f>
        <v>0</v>
      </c>
      <c r="M17" s="7">
        <f>'Country-Specific Data'!M12</f>
        <v>0</v>
      </c>
      <c r="N17" s="7">
        <f>'Country-Specific Data'!N12</f>
        <v>0</v>
      </c>
      <c r="O17" s="7">
        <f>'Country-Specific Data'!O12</f>
        <v>0</v>
      </c>
      <c r="P17" s="7">
        <f>'Country-Specific Data'!P12</f>
        <v>0</v>
      </c>
      <c r="Q17" s="38">
        <f t="shared" si="7"/>
        <v>638142.82185081125</v>
      </c>
      <c r="R17" s="38">
        <f t="shared" si="8"/>
        <v>655013.37077019922</v>
      </c>
      <c r="S17" s="38">
        <f>R17*S$4</f>
        <v>670662.24643527262</v>
      </c>
      <c r="T17" s="38">
        <f t="shared" ref="T17:Y17" si="10">S17*T$4</f>
        <v>686093.99111414806</v>
      </c>
      <c r="U17" s="38">
        <f t="shared" si="10"/>
        <v>701644.68460260227</v>
      </c>
      <c r="V17" s="38">
        <f t="shared" si="10"/>
        <v>717498.57952868298</v>
      </c>
      <c r="W17" s="38">
        <f t="shared" si="10"/>
        <v>733696.25468439725</v>
      </c>
      <c r="X17" s="38">
        <f t="shared" si="10"/>
        <v>750253.68174935365</v>
      </c>
      <c r="Y17" s="38">
        <f t="shared" si="10"/>
        <v>767183.9757519617</v>
      </c>
      <c r="Z17" s="38">
        <f t="shared" si="8"/>
        <v>784498.5327153363</v>
      </c>
      <c r="AA17" s="38">
        <f t="shared" si="6"/>
        <v>802207.70810253592</v>
      </c>
    </row>
    <row r="18" spans="1:27" x14ac:dyDescent="0.25">
      <c r="A18" t="s">
        <v>414</v>
      </c>
      <c r="B18" s="7">
        <f>'Country-Specific Data'!B13</f>
        <v>0</v>
      </c>
      <c r="C18" s="7">
        <f>'Country-Specific Data'!C13</f>
        <v>0</v>
      </c>
      <c r="D18" s="7">
        <f>'Country-Specific Data'!D13</f>
        <v>0</v>
      </c>
      <c r="E18" s="7">
        <f>'Country-Specific Data'!E13</f>
        <v>0</v>
      </c>
      <c r="F18" s="7">
        <f>'Country-Specific Data'!F13</f>
        <v>0</v>
      </c>
      <c r="G18" s="7">
        <f>'Country-Specific Data'!G13</f>
        <v>0</v>
      </c>
      <c r="H18" s="7">
        <f>'Country-Specific Data'!H13</f>
        <v>0</v>
      </c>
      <c r="I18" s="7">
        <f>'Country-Specific Data'!I13</f>
        <v>0</v>
      </c>
      <c r="J18" s="7">
        <f>'Country-Specific Data'!J13</f>
        <v>0</v>
      </c>
      <c r="K18" s="7">
        <f>'Country-Specific Data'!K13</f>
        <v>0</v>
      </c>
      <c r="L18" s="7">
        <f>'Country-Specific Data'!L13</f>
        <v>0</v>
      </c>
      <c r="M18" s="7">
        <f>'Country-Specific Data'!M13</f>
        <v>0</v>
      </c>
      <c r="N18" s="7">
        <f>'Country-Specific Data'!N13</f>
        <v>0</v>
      </c>
      <c r="O18" s="7">
        <f>'Country-Specific Data'!O13</f>
        <v>0</v>
      </c>
      <c r="P18" s="7">
        <f>'Country-Specific Data'!P13</f>
        <v>0</v>
      </c>
      <c r="Q18" s="38">
        <f t="shared" si="7"/>
        <v>0</v>
      </c>
      <c r="R18" s="38">
        <f t="shared" si="8"/>
        <v>0</v>
      </c>
      <c r="S18" s="38">
        <f t="shared" si="8"/>
        <v>0</v>
      </c>
      <c r="T18" s="38">
        <f t="shared" si="8"/>
        <v>0</v>
      </c>
      <c r="U18" s="38">
        <f t="shared" si="8"/>
        <v>0</v>
      </c>
      <c r="V18" s="38">
        <f t="shared" si="8"/>
        <v>0</v>
      </c>
      <c r="W18" s="38">
        <f t="shared" si="8"/>
        <v>0</v>
      </c>
      <c r="X18" s="38">
        <f t="shared" si="8"/>
        <v>0</v>
      </c>
      <c r="Y18" s="38">
        <f t="shared" si="8"/>
        <v>0</v>
      </c>
      <c r="Z18" s="38">
        <f t="shared" si="8"/>
        <v>0</v>
      </c>
      <c r="AA18" s="38">
        <f t="shared" si="6"/>
        <v>0</v>
      </c>
    </row>
    <row r="19" spans="1:27" x14ac:dyDescent="0.25">
      <c r="A19" t="s">
        <v>46</v>
      </c>
      <c r="B19" s="7">
        <f>'Country-Specific Data'!B14</f>
        <v>0</v>
      </c>
      <c r="C19" s="7">
        <f>'Country-Specific Data'!C14</f>
        <v>0</v>
      </c>
      <c r="D19" s="7">
        <f>'Country-Specific Data'!D14</f>
        <v>0</v>
      </c>
      <c r="E19" s="7">
        <f>'Country-Specific Data'!E14</f>
        <v>0</v>
      </c>
      <c r="F19" s="7">
        <f>'Country-Specific Data'!F14</f>
        <v>207805.22825882534</v>
      </c>
      <c r="G19" s="7">
        <f>'Country-Specific Data'!G14</f>
        <v>0</v>
      </c>
      <c r="H19" s="7">
        <f>'Country-Specific Data'!H14</f>
        <v>0</v>
      </c>
      <c r="I19" s="7">
        <f>'Country-Specific Data'!I14</f>
        <v>0</v>
      </c>
      <c r="J19" s="7">
        <f>'Country-Specific Data'!J14</f>
        <v>996080</v>
      </c>
      <c r="K19" s="7">
        <f>'Country-Specific Data'!K14</f>
        <v>0</v>
      </c>
      <c r="L19" s="7">
        <f>'Country-Specific Data'!L14</f>
        <v>101475</v>
      </c>
      <c r="M19" s="7">
        <f>'Country-Specific Data'!M14</f>
        <v>1784048.4500000002</v>
      </c>
      <c r="N19" s="7">
        <f>'Country-Specific Data'!N14</f>
        <v>508944992</v>
      </c>
      <c r="O19" s="7">
        <f>'Country-Specific Data'!O14</f>
        <v>538000</v>
      </c>
      <c r="P19" s="7">
        <f>'Country-Specific Data'!P14</f>
        <v>860000</v>
      </c>
      <c r="Q19" s="38">
        <f t="shared" si="7"/>
        <v>52842489.786833845</v>
      </c>
      <c r="R19" s="38">
        <f t="shared" si="8"/>
        <v>54239483.968144968</v>
      </c>
      <c r="S19" s="38">
        <f t="shared" si="8"/>
        <v>55535315.440649405</v>
      </c>
      <c r="T19" s="38">
        <f t="shared" si="8"/>
        <v>56813167.016604513</v>
      </c>
      <c r="U19" s="38">
        <f t="shared" si="8"/>
        <v>58100868.34882123</v>
      </c>
      <c r="V19" s="38">
        <f t="shared" si="8"/>
        <v>59413676.786097378</v>
      </c>
      <c r="W19" s="38">
        <f t="shared" si="8"/>
        <v>60754952.523562916</v>
      </c>
      <c r="X19" s="38">
        <f t="shared" si="8"/>
        <v>62126018.123013869</v>
      </c>
      <c r="Y19" s="38">
        <f t="shared" si="8"/>
        <v>63527959.596438549</v>
      </c>
      <c r="Z19" s="38">
        <f t="shared" si="8"/>
        <v>64961720.610700302</v>
      </c>
      <c r="AA19" s="38">
        <f t="shared" si="6"/>
        <v>66428158.667336658</v>
      </c>
    </row>
    <row r="20" spans="1:27" x14ac:dyDescent="0.25">
      <c r="A20" t="s">
        <v>399</v>
      </c>
      <c r="B20" s="7">
        <f>'Country-Specific Data'!B15</f>
        <v>0</v>
      </c>
      <c r="C20" s="7">
        <f>'Country-Specific Data'!C15</f>
        <v>0</v>
      </c>
      <c r="D20" s="7">
        <f>'Country-Specific Data'!D15</f>
        <v>0</v>
      </c>
      <c r="E20" s="7">
        <f>'Country-Specific Data'!E15</f>
        <v>0</v>
      </c>
      <c r="F20" s="7">
        <f>'Country-Specific Data'!F15</f>
        <v>0</v>
      </c>
      <c r="G20" s="7">
        <f>'Country-Specific Data'!G15</f>
        <v>0</v>
      </c>
      <c r="H20" s="7">
        <f>'Country-Specific Data'!H15</f>
        <v>0</v>
      </c>
      <c r="I20" s="7">
        <f>'Country-Specific Data'!I15</f>
        <v>0</v>
      </c>
      <c r="J20" s="7">
        <f>'Country-Specific Data'!J15</f>
        <v>162882</v>
      </c>
      <c r="K20" s="7">
        <f>'Country-Specific Data'!K15</f>
        <v>291523</v>
      </c>
      <c r="L20" s="7">
        <f>'Country-Specific Data'!L15</f>
        <v>1824067.28</v>
      </c>
      <c r="M20" s="7">
        <f>'Country-Specific Data'!M15</f>
        <v>246011.2</v>
      </c>
      <c r="N20" s="7">
        <f>'Country-Specific Data'!N15</f>
        <v>10550458.050000001</v>
      </c>
      <c r="O20" s="7">
        <f>'Country-Specific Data'!O15</f>
        <v>8007658.6699999999</v>
      </c>
      <c r="P20" s="7">
        <f>'Country-Specific Data'!P15</f>
        <v>22172</v>
      </c>
      <c r="Q20" s="38">
        <f t="shared" si="7"/>
        <v>2172983.7566613741</v>
      </c>
      <c r="R20" s="38">
        <f t="shared" si="8"/>
        <v>2230430.8163359901</v>
      </c>
      <c r="S20" s="38">
        <f t="shared" si="8"/>
        <v>2283717.8728785892</v>
      </c>
      <c r="T20" s="38">
        <f t="shared" si="8"/>
        <v>2336265.561853427</v>
      </c>
      <c r="U20" s="38">
        <f t="shared" si="8"/>
        <v>2389218.2915530656</v>
      </c>
      <c r="V20" s="38">
        <f t="shared" si="8"/>
        <v>2443203.4731998215</v>
      </c>
      <c r="W20" s="38">
        <f t="shared" si="8"/>
        <v>2498359.284412994</v>
      </c>
      <c r="X20" s="38">
        <f t="shared" si="8"/>
        <v>2554740.1114509059</v>
      </c>
      <c r="Y20" s="38">
        <f t="shared" si="8"/>
        <v>2612390.6131935543</v>
      </c>
      <c r="Z20" s="38">
        <f t="shared" si="8"/>
        <v>2671349.5950184679</v>
      </c>
      <c r="AA20" s="38">
        <f t="shared" si="6"/>
        <v>2731652.3190209772</v>
      </c>
    </row>
    <row r="21" spans="1:27" x14ac:dyDescent="0.25">
      <c r="A21" t="s">
        <v>436</v>
      </c>
      <c r="B21" s="7">
        <f>'Country-Specific Data'!B16</f>
        <v>0</v>
      </c>
      <c r="C21" s="7">
        <f>'Country-Specific Data'!C16</f>
        <v>0</v>
      </c>
      <c r="D21" s="7">
        <f>'Country-Specific Data'!D16</f>
        <v>0</v>
      </c>
      <c r="E21" s="7">
        <f>'Country-Specific Data'!E16</f>
        <v>0</v>
      </c>
      <c r="F21" s="7">
        <f>'Country-Specific Data'!F16</f>
        <v>0</v>
      </c>
      <c r="G21" s="7">
        <f>'Country-Specific Data'!G16</f>
        <v>0</v>
      </c>
      <c r="H21" s="7">
        <f>'Country-Specific Data'!H16</f>
        <v>0</v>
      </c>
      <c r="I21" s="7">
        <f>'Country-Specific Data'!I16</f>
        <v>0</v>
      </c>
      <c r="J21" s="7">
        <f>'Country-Specific Data'!J16</f>
        <v>0</v>
      </c>
      <c r="K21" s="7">
        <f>'Country-Specific Data'!K16</f>
        <v>0</v>
      </c>
      <c r="L21" s="7">
        <f>'Country-Specific Data'!L16</f>
        <v>0</v>
      </c>
      <c r="M21" s="7">
        <f>'Country-Specific Data'!M16</f>
        <v>0</v>
      </c>
      <c r="N21" s="7">
        <f>'Country-Specific Data'!N16</f>
        <v>0</v>
      </c>
      <c r="O21" s="7">
        <f>'Country-Specific Data'!O16</f>
        <v>0</v>
      </c>
      <c r="P21" s="7">
        <f>'Country-Specific Data'!P16</f>
        <v>0</v>
      </c>
      <c r="Q21" s="38">
        <f t="shared" si="7"/>
        <v>0</v>
      </c>
      <c r="R21" s="38">
        <f t="shared" si="8"/>
        <v>0</v>
      </c>
      <c r="S21" s="38">
        <f t="shared" si="8"/>
        <v>0</v>
      </c>
      <c r="T21" s="38">
        <f t="shared" si="8"/>
        <v>0</v>
      </c>
      <c r="U21" s="38">
        <f t="shared" si="8"/>
        <v>0</v>
      </c>
      <c r="V21" s="38">
        <f t="shared" si="8"/>
        <v>0</v>
      </c>
      <c r="W21" s="38">
        <f t="shared" si="8"/>
        <v>0</v>
      </c>
      <c r="X21" s="38">
        <f t="shared" si="8"/>
        <v>0</v>
      </c>
      <c r="Y21" s="38">
        <f t="shared" si="8"/>
        <v>0</v>
      </c>
      <c r="Z21" s="38">
        <f t="shared" si="8"/>
        <v>0</v>
      </c>
      <c r="AA21" s="38">
        <f t="shared" si="6"/>
        <v>0</v>
      </c>
    </row>
    <row r="22" spans="1:27" x14ac:dyDescent="0.25">
      <c r="A22" t="s">
        <v>415</v>
      </c>
      <c r="B22" s="7">
        <f>'Country-Specific Data'!B17</f>
        <v>409269.33333333331</v>
      </c>
      <c r="C22" s="7">
        <f>'Country-Specific Data'!C17</f>
        <v>6969893.0383434501</v>
      </c>
      <c r="D22" s="7">
        <f>'Country-Specific Data'!D17</f>
        <v>194148255.85388988</v>
      </c>
      <c r="E22" s="7">
        <f>'Country-Specific Data'!E17</f>
        <v>894656004.08439314</v>
      </c>
      <c r="F22" s="7">
        <f>'Country-Specific Data'!F17</f>
        <v>94313734.807110339</v>
      </c>
      <c r="G22" s="7">
        <f>'Country-Specific Data'!G17</f>
        <v>324690467.36203426</v>
      </c>
      <c r="H22" s="7">
        <f>'Country-Specific Data'!H17</f>
        <v>11569.145603722292</v>
      </c>
      <c r="I22" s="7">
        <f>'Country-Specific Data'!I17</f>
        <v>518358</v>
      </c>
      <c r="J22" s="7">
        <f>'Country-Specific Data'!J17</f>
        <v>48698418.371820003</v>
      </c>
      <c r="K22" s="7">
        <f>'Country-Specific Data'!K17</f>
        <v>1104711</v>
      </c>
      <c r="L22" s="7">
        <f>'Country-Specific Data'!L17</f>
        <v>2936905.5</v>
      </c>
      <c r="M22" s="7">
        <f>'Country-Specific Data'!M17</f>
        <v>144051.6</v>
      </c>
      <c r="N22" s="7">
        <f>'Country-Specific Data'!N17</f>
        <v>17834428.466666669</v>
      </c>
      <c r="O22" s="7">
        <f>'Country-Specific Data'!O17</f>
        <v>0</v>
      </c>
      <c r="P22" s="7">
        <f>'Country-Specific Data'!P17</f>
        <v>187500</v>
      </c>
      <c r="Q22" s="38">
        <f t="shared" si="7"/>
        <v>40785858.532556035</v>
      </c>
      <c r="R22" s="38">
        <f t="shared" si="8"/>
        <v>41864112.17426759</v>
      </c>
      <c r="S22" s="38">
        <f t="shared" si="8"/>
        <v>42864284.56078463</v>
      </c>
      <c r="T22" s="38">
        <f t="shared" si="8"/>
        <v>43850579.374158368</v>
      </c>
      <c r="U22" s="38">
        <f t="shared" si="8"/>
        <v>44844476.606855772</v>
      </c>
      <c r="V22" s="38">
        <f t="shared" si="8"/>
        <v>45857752.465337977</v>
      </c>
      <c r="W22" s="38">
        <f t="shared" si="8"/>
        <v>46893000.47696837</v>
      </c>
      <c r="X22" s="38">
        <f t="shared" si="8"/>
        <v>47951241.445621476</v>
      </c>
      <c r="Y22" s="38">
        <f>X22*Y$4</f>
        <v>49033313.596965656</v>
      </c>
      <c r="Z22" s="38">
        <f t="shared" si="8"/>
        <v>50139945.289247192</v>
      </c>
      <c r="AA22" s="38">
        <f t="shared" si="6"/>
        <v>51271798.375012062</v>
      </c>
    </row>
    <row r="23" spans="1:27" x14ac:dyDescent="0.25">
      <c r="A23" t="s">
        <v>319</v>
      </c>
      <c r="B23" s="7">
        <f>'Country-Specific Data'!B18</f>
        <v>0</v>
      </c>
      <c r="C23" s="7">
        <f>'Country-Specific Data'!C18</f>
        <v>0</v>
      </c>
      <c r="D23" s="7">
        <f>'Country-Specific Data'!D18</f>
        <v>0</v>
      </c>
      <c r="E23" s="7">
        <f>'Country-Specific Data'!E18</f>
        <v>0</v>
      </c>
      <c r="F23" s="7">
        <f>'Country-Specific Data'!F18</f>
        <v>0</v>
      </c>
      <c r="G23" s="7">
        <f>'Country-Specific Data'!G18</f>
        <v>0</v>
      </c>
      <c r="H23" s="7">
        <f>'Country-Specific Data'!H18</f>
        <v>0</v>
      </c>
      <c r="I23" s="7">
        <f>'Country-Specific Data'!I18</f>
        <v>0</v>
      </c>
      <c r="J23" s="7">
        <f>'Country-Specific Data'!J18</f>
        <v>0</v>
      </c>
      <c r="K23" s="7">
        <f>'Country-Specific Data'!K18</f>
        <v>0</v>
      </c>
      <c r="L23" s="7">
        <f>'Country-Specific Data'!L18</f>
        <v>0</v>
      </c>
      <c r="M23" s="7">
        <f>'Country-Specific Data'!M18</f>
        <v>225937.86</v>
      </c>
      <c r="N23" s="7">
        <f>'Country-Specific Data'!N18</f>
        <v>722.30000000000007</v>
      </c>
      <c r="O23" s="7">
        <f>'Country-Specific Data'!O18</f>
        <v>0</v>
      </c>
      <c r="P23" s="7">
        <f>'Country-Specific Data'!P18</f>
        <v>2746786</v>
      </c>
      <c r="Q23" s="38">
        <f>AVERAGE(G23:P23)*Q$4</f>
        <v>306151.14656329423</v>
      </c>
      <c r="R23" s="38">
        <f t="shared" ref="R23:Y24" si="11">Q23*R$4</f>
        <v>314244.84865939064</v>
      </c>
      <c r="S23" s="38">
        <f t="shared" si="11"/>
        <v>321752.44893826474</v>
      </c>
      <c r="T23" s="38">
        <f t="shared" si="11"/>
        <v>329155.87990252342</v>
      </c>
      <c r="U23" s="38">
        <f t="shared" si="11"/>
        <v>336616.37695479242</v>
      </c>
      <c r="V23" s="38">
        <f t="shared" si="11"/>
        <v>344222.33590773714</v>
      </c>
      <c r="W23" s="38">
        <f t="shared" si="11"/>
        <v>351993.22457212617</v>
      </c>
      <c r="X23" s="38">
        <f t="shared" si="11"/>
        <v>359936.70541450661</v>
      </c>
      <c r="Y23" s="38">
        <f t="shared" si="11"/>
        <v>368059.07041348779</v>
      </c>
      <c r="Z23" s="38">
        <f t="shared" si="8"/>
        <v>376365.78684915724</v>
      </c>
      <c r="AA23" s="38">
        <f t="shared" si="6"/>
        <v>384861.82278944575</v>
      </c>
    </row>
    <row r="24" spans="1:27" x14ac:dyDescent="0.25">
      <c r="A24" t="s">
        <v>178</v>
      </c>
      <c r="B24" s="7">
        <f>'Country-Specific Data'!B19</f>
        <v>0</v>
      </c>
      <c r="C24" s="7">
        <f>'Country-Specific Data'!C19</f>
        <v>0</v>
      </c>
      <c r="D24" s="7">
        <f>'Country-Specific Data'!D19</f>
        <v>0</v>
      </c>
      <c r="E24" s="7">
        <f>'Country-Specific Data'!E19</f>
        <v>0</v>
      </c>
      <c r="F24" s="7">
        <f>'Country-Specific Data'!F19</f>
        <v>0</v>
      </c>
      <c r="G24" s="7">
        <f>'Country-Specific Data'!G19</f>
        <v>2485890</v>
      </c>
      <c r="H24" s="7">
        <f>'Country-Specific Data'!H19</f>
        <v>0</v>
      </c>
      <c r="I24" s="7">
        <f>'Country-Specific Data'!I19</f>
        <v>0</v>
      </c>
      <c r="J24" s="7">
        <f>'Country-Specific Data'!J19</f>
        <v>18016283</v>
      </c>
      <c r="K24" s="7">
        <f>'Country-Specific Data'!K19</f>
        <v>0</v>
      </c>
      <c r="L24" s="7">
        <f>'Country-Specific Data'!L19</f>
        <v>280060.27999999997</v>
      </c>
      <c r="M24" s="7">
        <f>'Country-Specific Data'!M19</f>
        <v>0</v>
      </c>
      <c r="N24" s="7">
        <f>'Country-Specific Data'!N19</f>
        <v>0</v>
      </c>
      <c r="O24" s="7">
        <f>'Country-Specific Data'!O19</f>
        <v>0</v>
      </c>
      <c r="P24" s="7">
        <f>'Country-Specific Data'!P19</f>
        <v>0</v>
      </c>
      <c r="Q24" s="38">
        <f>AVERAGE(G24:P24)*Q$4</f>
        <v>2139774.5929988017</v>
      </c>
      <c r="R24" s="38">
        <f t="shared" si="11"/>
        <v>2196343.7037238134</v>
      </c>
      <c r="S24" s="38">
        <f t="shared" ref="S24" si="12">R24*S$4</f>
        <v>2248816.3875973141</v>
      </c>
      <c r="T24" s="38">
        <f t="shared" ref="T24" si="13">S24*T$4</f>
        <v>2300561.0034714416</v>
      </c>
      <c r="U24" s="38">
        <f t="shared" ref="U24" si="14">T24*U$4</f>
        <v>2352704.4699349497</v>
      </c>
      <c r="V24" s="38">
        <f t="shared" ref="V24" si="15">U24*V$4</f>
        <v>2405864.6096424069</v>
      </c>
      <c r="W24" s="38">
        <f t="shared" ref="W24" si="16">V24*W$4</f>
        <v>2460177.4884793456</v>
      </c>
      <c r="X24" s="38">
        <f t="shared" ref="X24" si="17">W24*X$4</f>
        <v>2515696.6615325953</v>
      </c>
      <c r="Y24" s="38">
        <f t="shared" ref="Y24" si="18">X24*Y$4</f>
        <v>2572466.1051717345</v>
      </c>
      <c r="Z24" s="38">
        <f t="shared" si="8"/>
        <v>2630524.0317214765</v>
      </c>
      <c r="AA24" s="38">
        <f t="shared" si="6"/>
        <v>2689905.1643754272</v>
      </c>
    </row>
    <row r="25" spans="1:27" x14ac:dyDescent="0.25">
      <c r="B25" s="7"/>
      <c r="C25" s="7"/>
      <c r="D25" s="7"/>
      <c r="E25" s="7"/>
      <c r="F25" s="7"/>
      <c r="G25" s="7"/>
      <c r="H25" s="7"/>
      <c r="I25" s="7"/>
      <c r="J25" s="7"/>
      <c r="K25" s="7"/>
      <c r="L25" s="7"/>
      <c r="M25" s="7"/>
      <c r="N25" s="7"/>
      <c r="O25" s="7"/>
      <c r="P25" s="7"/>
      <c r="Q25" s="38"/>
      <c r="R25" s="38"/>
      <c r="S25" s="38"/>
      <c r="T25" s="38"/>
      <c r="U25" s="38"/>
      <c r="V25" s="38"/>
      <c r="W25" s="38"/>
      <c r="X25" s="38"/>
      <c r="Y25" s="38"/>
      <c r="Z25" s="38"/>
      <c r="AA25" s="38"/>
    </row>
    <row r="26" spans="1:27" x14ac:dyDescent="0.25">
      <c r="A26" s="4" t="s">
        <v>265</v>
      </c>
      <c r="B26" s="7"/>
      <c r="C26" s="7"/>
      <c r="D26" s="7"/>
      <c r="E26" s="7"/>
      <c r="F26" s="7"/>
      <c r="G26" s="7"/>
      <c r="H26" s="7"/>
      <c r="I26" s="7"/>
      <c r="J26" s="7"/>
      <c r="Q26" s="22"/>
      <c r="R26" s="22"/>
      <c r="S26" s="22"/>
      <c r="T26" s="22"/>
      <c r="U26" s="22"/>
      <c r="V26" s="22"/>
      <c r="W26" s="22"/>
      <c r="X26" s="22"/>
      <c r="Y26" s="22"/>
      <c r="Z26" s="22"/>
      <c r="AA26" s="22"/>
    </row>
    <row r="27" spans="1:27" x14ac:dyDescent="0.25">
      <c r="A27" t="s">
        <v>190</v>
      </c>
      <c r="B27" s="7">
        <f>'Action-Based Data'!C4</f>
        <v>0</v>
      </c>
      <c r="C27" s="7">
        <f>'Action-Based Data'!D4</f>
        <v>0</v>
      </c>
      <c r="D27" s="7">
        <f>'Action-Based Data'!E4</f>
        <v>1782074.3</v>
      </c>
      <c r="E27" s="7">
        <f>'Action-Based Data'!F4</f>
        <v>9492525</v>
      </c>
      <c r="F27" s="7">
        <f>'Action-Based Data'!G4</f>
        <v>605950</v>
      </c>
      <c r="G27" s="7">
        <f>'Action-Based Data'!H4</f>
        <v>0</v>
      </c>
      <c r="H27" s="7">
        <f>'Action-Based Data'!I4</f>
        <v>0</v>
      </c>
      <c r="I27" s="7">
        <f>'Action-Based Data'!J4</f>
        <v>0</v>
      </c>
      <c r="J27" s="7">
        <f>'Action-Based Data'!K4</f>
        <v>0</v>
      </c>
      <c r="K27" s="7">
        <f>'Action-Based Data'!L4</f>
        <v>0</v>
      </c>
      <c r="L27" s="7">
        <f>'Action-Based Data'!M4</f>
        <v>0</v>
      </c>
      <c r="M27" s="7">
        <f>'Action-Based Data'!N4</f>
        <v>0</v>
      </c>
      <c r="N27" s="7">
        <f>'Action-Based Data'!O4</f>
        <v>0</v>
      </c>
      <c r="O27" s="7">
        <f>'Action-Based Data'!P4</f>
        <v>0</v>
      </c>
      <c r="P27" s="7">
        <f>'Action-Based Data'!Q4</f>
        <v>0</v>
      </c>
      <c r="Q27" s="38">
        <f t="shared" ref="Q27:Q33" si="19">AVERAGE(G27:P27)*Q$4</f>
        <v>0</v>
      </c>
      <c r="R27" s="38">
        <f t="shared" ref="R27:AA27" si="20">Q27*R$4</f>
        <v>0</v>
      </c>
      <c r="S27" s="38">
        <f t="shared" si="20"/>
        <v>0</v>
      </c>
      <c r="T27" s="38">
        <f t="shared" si="20"/>
        <v>0</v>
      </c>
      <c r="U27" s="38">
        <f t="shared" si="20"/>
        <v>0</v>
      </c>
      <c r="V27" s="38">
        <f t="shared" si="20"/>
        <v>0</v>
      </c>
      <c r="W27" s="38">
        <f t="shared" si="20"/>
        <v>0</v>
      </c>
      <c r="X27" s="38">
        <f t="shared" si="20"/>
        <v>0</v>
      </c>
      <c r="Y27" s="38">
        <f t="shared" si="20"/>
        <v>0</v>
      </c>
      <c r="Z27" s="38">
        <f t="shared" si="20"/>
        <v>0</v>
      </c>
      <c r="AA27" s="38">
        <f t="shared" si="20"/>
        <v>0</v>
      </c>
    </row>
    <row r="28" spans="1:27" x14ac:dyDescent="0.25">
      <c r="A28" t="s">
        <v>74</v>
      </c>
      <c r="B28" s="7">
        <f>'Action-Based Data'!C5</f>
        <v>0</v>
      </c>
      <c r="C28" s="7">
        <f>'Action-Based Data'!D5</f>
        <v>0</v>
      </c>
      <c r="D28" s="7">
        <f>'Action-Based Data'!E5</f>
        <v>176879.48841369082</v>
      </c>
      <c r="E28" s="7">
        <f>'Action-Based Data'!F5</f>
        <v>16418163.279999999</v>
      </c>
      <c r="F28" s="7">
        <f>'Action-Based Data'!G5</f>
        <v>58086.080000000002</v>
      </c>
      <c r="G28" s="7">
        <f>'Action-Based Data'!H5</f>
        <v>0</v>
      </c>
      <c r="H28" s="7">
        <f>'Action-Based Data'!I5</f>
        <v>334800</v>
      </c>
      <c r="I28" s="7">
        <f>'Action-Based Data'!J5</f>
        <v>0</v>
      </c>
      <c r="J28" s="7">
        <f>'Action-Based Data'!K5</f>
        <v>345315</v>
      </c>
      <c r="K28" s="7">
        <f>'Action-Based Data'!L5</f>
        <v>471912</v>
      </c>
      <c r="L28" s="7">
        <f>'Action-Based Data'!M5</f>
        <v>5721.4633333333331</v>
      </c>
      <c r="M28" s="7">
        <f>'Action-Based Data'!N5</f>
        <v>440266</v>
      </c>
      <c r="N28" s="7">
        <f>'Action-Based Data'!O5</f>
        <v>0</v>
      </c>
      <c r="O28" s="7">
        <f>'Action-Based Data'!P5</f>
        <v>598470.72</v>
      </c>
      <c r="P28" s="7">
        <f>'Action-Based Data'!Q5</f>
        <v>0</v>
      </c>
      <c r="Q28" s="38">
        <f t="shared" si="19"/>
        <v>226153.90395593626</v>
      </c>
      <c r="R28" s="38">
        <f t="shared" ref="R28:AA28" si="21">Q28*R$4</f>
        <v>232132.72306876988</v>
      </c>
      <c r="S28" s="38">
        <f t="shared" si="21"/>
        <v>237678.58866969138</v>
      </c>
      <c r="T28" s="38">
        <f t="shared" si="21"/>
        <v>243147.50438021679</v>
      </c>
      <c r="U28" s="38">
        <f t="shared" si="21"/>
        <v>248658.57481964619</v>
      </c>
      <c r="V28" s="38">
        <f t="shared" si="21"/>
        <v>254277.09798980664</v>
      </c>
      <c r="W28" s="38">
        <f t="shared" si="21"/>
        <v>260017.45476581887</v>
      </c>
      <c r="X28" s="38">
        <f t="shared" si="21"/>
        <v>265885.3054130224</v>
      </c>
      <c r="Y28" s="38">
        <f t="shared" si="21"/>
        <v>271885.29781708447</v>
      </c>
      <c r="Z28" s="38">
        <f t="shared" si="21"/>
        <v>278021.47065873409</v>
      </c>
      <c r="AA28" s="38">
        <f t="shared" si="21"/>
        <v>284297.49385059549</v>
      </c>
    </row>
    <row r="29" spans="1:27" x14ac:dyDescent="0.25">
      <c r="A29" t="s">
        <v>385</v>
      </c>
      <c r="B29" s="7">
        <f>'Action-Based Data'!C6</f>
        <v>0</v>
      </c>
      <c r="C29" s="7">
        <f>'Action-Based Data'!D6</f>
        <v>0</v>
      </c>
      <c r="D29" s="7">
        <f>'Action-Based Data'!E6</f>
        <v>0</v>
      </c>
      <c r="E29" s="7">
        <f>'Action-Based Data'!F6</f>
        <v>0</v>
      </c>
      <c r="F29" s="7">
        <f>'Action-Based Data'!G6</f>
        <v>0</v>
      </c>
      <c r="G29" s="7">
        <f>'Action-Based Data'!H6</f>
        <v>0</v>
      </c>
      <c r="H29" s="7">
        <f>'Action-Based Data'!I6</f>
        <v>0</v>
      </c>
      <c r="I29" s="7">
        <f>'Action-Based Data'!J6</f>
        <v>0</v>
      </c>
      <c r="J29" s="7">
        <f>'Action-Based Data'!K6</f>
        <v>0</v>
      </c>
      <c r="K29" s="7">
        <f>'Action-Based Data'!L6</f>
        <v>0</v>
      </c>
      <c r="L29" s="7">
        <f>'Action-Based Data'!M6</f>
        <v>0</v>
      </c>
      <c r="M29" s="7">
        <f>'Action-Based Data'!N6</f>
        <v>0</v>
      </c>
      <c r="N29" s="7">
        <f>'Action-Based Data'!O6</f>
        <v>0</v>
      </c>
      <c r="O29" s="7">
        <f>'Action-Based Data'!P6</f>
        <v>0</v>
      </c>
      <c r="P29" s="7">
        <f>'Action-Based Data'!Q6</f>
        <v>45179</v>
      </c>
      <c r="Q29" s="38">
        <f t="shared" si="19"/>
        <v>4651.7077849437392</v>
      </c>
      <c r="R29" s="38">
        <f t="shared" ref="R29:AA29" si="22">Q29*R$4</f>
        <v>4774.684744109376</v>
      </c>
      <c r="S29" s="38">
        <f t="shared" si="22"/>
        <v>4888.7563817808823</v>
      </c>
      <c r="T29" s="38">
        <f t="shared" si="22"/>
        <v>5001.245254804312</v>
      </c>
      <c r="U29" s="38">
        <f t="shared" si="22"/>
        <v>5114.6011987789161</v>
      </c>
      <c r="V29" s="38">
        <f t="shared" si="22"/>
        <v>5230.1673133290078</v>
      </c>
      <c r="W29" s="38">
        <f t="shared" si="22"/>
        <v>5348.2393953768742</v>
      </c>
      <c r="X29" s="38">
        <f t="shared" si="22"/>
        <v>5468.9338696221739</v>
      </c>
      <c r="Y29" s="38">
        <f t="shared" si="22"/>
        <v>5592.3463373592631</v>
      </c>
      <c r="Z29" s="38">
        <f t="shared" si="22"/>
        <v>5718.5598692858375</v>
      </c>
      <c r="AA29" s="38">
        <f t="shared" si="22"/>
        <v>5847.6499509930154</v>
      </c>
    </row>
    <row r="30" spans="1:27" x14ac:dyDescent="0.25">
      <c r="A30" t="s">
        <v>189</v>
      </c>
      <c r="B30" s="7">
        <f>'Action-Based Data'!C7</f>
        <v>0</v>
      </c>
      <c r="C30" s="7">
        <f>'Action-Based Data'!D7</f>
        <v>0</v>
      </c>
      <c r="D30" s="7">
        <f>'Action-Based Data'!E7</f>
        <v>0</v>
      </c>
      <c r="E30" s="7">
        <f>'Action-Based Data'!F7</f>
        <v>49827.28</v>
      </c>
      <c r="F30" s="7">
        <f>'Action-Based Data'!G7</f>
        <v>1730243.1961140041</v>
      </c>
      <c r="G30" s="7">
        <f>'Action-Based Data'!H7</f>
        <v>0</v>
      </c>
      <c r="H30" s="7">
        <f>'Action-Based Data'!I7</f>
        <v>0</v>
      </c>
      <c r="I30" s="7">
        <f>'Action-Based Data'!J7</f>
        <v>0</v>
      </c>
      <c r="J30" s="7">
        <f>'Action-Based Data'!K7</f>
        <v>1010415.8349</v>
      </c>
      <c r="K30" s="7">
        <f>'Action-Based Data'!L7</f>
        <v>7841790</v>
      </c>
      <c r="L30" s="7">
        <f>'Action-Based Data'!M7</f>
        <v>0</v>
      </c>
      <c r="M30" s="7">
        <f>'Action-Based Data'!N7</f>
        <v>367911.3</v>
      </c>
      <c r="N30" s="7">
        <f>'Action-Based Data'!O7</f>
        <v>0</v>
      </c>
      <c r="O30" s="7">
        <f>'Action-Based Data'!P7</f>
        <v>0</v>
      </c>
      <c r="P30" s="7">
        <f>'Action-Based Data'!Q7</f>
        <v>0</v>
      </c>
      <c r="Q30" s="38">
        <f t="shared" si="19"/>
        <v>949319.16719067469</v>
      </c>
      <c r="R30" s="38">
        <f t="shared" ref="R30:AA30" si="23">Q30*R$4</f>
        <v>974416.26912743703</v>
      </c>
      <c r="S30" s="38">
        <f t="shared" si="23"/>
        <v>997695.97565261833</v>
      </c>
      <c r="T30" s="38">
        <f t="shared" si="23"/>
        <v>1020652.6720303361</v>
      </c>
      <c r="U30" s="38">
        <f t="shared" si="23"/>
        <v>1043786.3199947225</v>
      </c>
      <c r="V30" s="38">
        <f t="shared" si="23"/>
        <v>1067371.0189251353</v>
      </c>
      <c r="W30" s="38">
        <f t="shared" si="23"/>
        <v>1091467.1349711488</v>
      </c>
      <c r="X30" s="38">
        <f t="shared" si="23"/>
        <v>1116098.4280514922</v>
      </c>
      <c r="Y30" s="38">
        <f t="shared" si="23"/>
        <v>1141284.4084504172</v>
      </c>
      <c r="Z30" s="38">
        <f t="shared" si="23"/>
        <v>1167042.029211666</v>
      </c>
      <c r="AA30" s="38">
        <f t="shared" si="23"/>
        <v>1193386.6954126442</v>
      </c>
    </row>
    <row r="31" spans="1:27" x14ac:dyDescent="0.25">
      <c r="A31" t="s">
        <v>76</v>
      </c>
      <c r="B31" s="7">
        <f>'Action-Based Data'!C8</f>
        <v>0</v>
      </c>
      <c r="C31" s="7">
        <f>'Action-Based Data'!D8</f>
        <v>0</v>
      </c>
      <c r="D31" s="7">
        <f>'Action-Based Data'!E8</f>
        <v>0</v>
      </c>
      <c r="E31" s="7">
        <f>'Action-Based Data'!F8</f>
        <v>138798</v>
      </c>
      <c r="F31" s="7">
        <f>'Action-Based Data'!G8</f>
        <v>83657.600000000006</v>
      </c>
      <c r="G31" s="7">
        <f>'Action-Based Data'!H8</f>
        <v>0</v>
      </c>
      <c r="H31" s="7">
        <f>'Action-Based Data'!I8</f>
        <v>0</v>
      </c>
      <c r="I31" s="7">
        <f>'Action-Based Data'!J8</f>
        <v>0</v>
      </c>
      <c r="J31" s="7">
        <f>'Action-Based Data'!K8</f>
        <v>0</v>
      </c>
      <c r="K31" s="7">
        <f>'Action-Based Data'!L8</f>
        <v>0</v>
      </c>
      <c r="L31" s="7">
        <f>'Action-Based Data'!M8</f>
        <v>5721.4633333333331</v>
      </c>
      <c r="M31" s="7">
        <f>'Action-Based Data'!N8</f>
        <v>0</v>
      </c>
      <c r="N31" s="7">
        <f>'Action-Based Data'!O8</f>
        <v>0</v>
      </c>
      <c r="O31" s="7">
        <f>'Action-Based Data'!P8</f>
        <v>0</v>
      </c>
      <c r="P31" s="7">
        <f>'Action-Based Data'!Q8</f>
        <v>0</v>
      </c>
      <c r="Q31" s="38">
        <f t="shared" si="19"/>
        <v>589.09173573865792</v>
      </c>
      <c r="R31" s="38">
        <f t="shared" ref="R31:AA31" si="24">Q31*R$4</f>
        <v>604.66552362043979</v>
      </c>
      <c r="S31" s="38">
        <f t="shared" si="24"/>
        <v>619.11154261844354</v>
      </c>
      <c r="T31" s="38">
        <f t="shared" si="24"/>
        <v>633.3571204845216</v>
      </c>
      <c r="U31" s="38">
        <f t="shared" si="24"/>
        <v>647.71250411554672</v>
      </c>
      <c r="V31" s="38">
        <f t="shared" si="24"/>
        <v>662.34778349256146</v>
      </c>
      <c r="W31" s="38">
        <f t="shared" si="24"/>
        <v>677.30041830358414</v>
      </c>
      <c r="X31" s="38">
        <f t="shared" si="24"/>
        <v>692.58515255911061</v>
      </c>
      <c r="Y31" s="38">
        <f t="shared" si="24"/>
        <v>708.21409319599809</v>
      </c>
      <c r="Z31" s="38">
        <f t="shared" si="24"/>
        <v>724.19776027779255</v>
      </c>
      <c r="AA31" s="38">
        <f t="shared" si="24"/>
        <v>740.54571329102043</v>
      </c>
    </row>
    <row r="32" spans="1:27" x14ac:dyDescent="0.25">
      <c r="A32" t="s">
        <v>445</v>
      </c>
      <c r="B32" s="7">
        <f>'Action-Based Data'!C9</f>
        <v>0</v>
      </c>
      <c r="C32" s="7">
        <f>'Action-Based Data'!D9</f>
        <v>0</v>
      </c>
      <c r="D32" s="7">
        <f>'Action-Based Data'!E9</f>
        <v>0</v>
      </c>
      <c r="E32" s="7">
        <f>'Action-Based Data'!F9</f>
        <v>0</v>
      </c>
      <c r="F32" s="7">
        <f>'Action-Based Data'!G9</f>
        <v>0</v>
      </c>
      <c r="G32" s="7">
        <f>'Action-Based Data'!H9</f>
        <v>0</v>
      </c>
      <c r="H32" s="7">
        <f>'Action-Based Data'!I9</f>
        <v>0</v>
      </c>
      <c r="I32" s="7">
        <f>'Action-Based Data'!J9</f>
        <v>0</v>
      </c>
      <c r="J32" s="7">
        <f>'Action-Based Data'!K9</f>
        <v>0</v>
      </c>
      <c r="K32" s="7">
        <f>'Action-Based Data'!L9</f>
        <v>0</v>
      </c>
      <c r="L32" s="7">
        <f>'Action-Based Data'!M9</f>
        <v>0</v>
      </c>
      <c r="M32" s="7">
        <f>'Action-Based Data'!N9</f>
        <v>0</v>
      </c>
      <c r="N32" s="7">
        <f>'Action-Based Data'!O9</f>
        <v>0</v>
      </c>
      <c r="O32" s="7">
        <f>'Action-Based Data'!P9</f>
        <v>0</v>
      </c>
      <c r="P32" s="7">
        <f>'Action-Based Data'!Q9</f>
        <v>0</v>
      </c>
      <c r="Q32" s="38">
        <f t="shared" si="19"/>
        <v>0</v>
      </c>
      <c r="R32" s="38">
        <f t="shared" ref="R32:AA33" si="25">Q32*R$4</f>
        <v>0</v>
      </c>
      <c r="S32" s="38">
        <f t="shared" si="25"/>
        <v>0</v>
      </c>
      <c r="T32" s="38">
        <f t="shared" si="25"/>
        <v>0</v>
      </c>
      <c r="U32" s="38">
        <f t="shared" si="25"/>
        <v>0</v>
      </c>
      <c r="V32" s="38">
        <f t="shared" si="25"/>
        <v>0</v>
      </c>
      <c r="W32" s="38">
        <f t="shared" si="25"/>
        <v>0</v>
      </c>
      <c r="X32" s="38">
        <f t="shared" si="25"/>
        <v>0</v>
      </c>
      <c r="Y32" s="38">
        <f t="shared" si="25"/>
        <v>0</v>
      </c>
      <c r="Z32" s="38">
        <f t="shared" si="25"/>
        <v>0</v>
      </c>
      <c r="AA32" s="38">
        <f t="shared" si="25"/>
        <v>0</v>
      </c>
    </row>
    <row r="33" spans="1:27" x14ac:dyDescent="0.25">
      <c r="A33" t="s">
        <v>31</v>
      </c>
      <c r="B33" s="7">
        <f>'Action-Based Data'!C10</f>
        <v>2270531.2019898673</v>
      </c>
      <c r="C33" s="7">
        <f>'Action-Based Data'!D10</f>
        <v>201000</v>
      </c>
      <c r="D33" s="7">
        <f>'Action-Based Data'!E10</f>
        <v>20800</v>
      </c>
      <c r="E33" s="7">
        <f>'Action-Based Data'!F10</f>
        <v>200004.62</v>
      </c>
      <c r="F33" s="7">
        <f>'Action-Based Data'!G10</f>
        <v>52644896.662471175</v>
      </c>
      <c r="G33" s="7">
        <f>'Action-Based Data'!H10</f>
        <v>0</v>
      </c>
      <c r="H33" s="7">
        <f>'Action-Based Data'!I10</f>
        <v>39399.528777444335</v>
      </c>
      <c r="I33" s="7">
        <f>'Action-Based Data'!J10</f>
        <v>0</v>
      </c>
      <c r="J33" s="7">
        <f>'Action-Based Data'!K10</f>
        <v>304550769.44373327</v>
      </c>
      <c r="K33" s="7">
        <f>'Action-Based Data'!L10</f>
        <v>0</v>
      </c>
      <c r="L33" s="7">
        <f>'Action-Based Data'!M10</f>
        <v>285781.74333333329</v>
      </c>
      <c r="M33" s="7">
        <f>'Action-Based Data'!N10</f>
        <v>797141.15</v>
      </c>
      <c r="N33" s="7">
        <f>'Action-Based Data'!O10</f>
        <v>0</v>
      </c>
      <c r="O33" s="7">
        <f>'Action-Based Data'!P10</f>
        <v>0</v>
      </c>
      <c r="P33" s="7">
        <f>'Action-Based Data'!Q10</f>
        <v>0</v>
      </c>
      <c r="Q33" s="38">
        <f t="shared" si="19"/>
        <v>31472628.900156476</v>
      </c>
      <c r="R33" s="38">
        <f t="shared" si="25"/>
        <v>32304669.169671513</v>
      </c>
      <c r="S33" s="38">
        <f t="shared" si="25"/>
        <v>33076457.615215898</v>
      </c>
      <c r="T33" s="38">
        <f t="shared" si="25"/>
        <v>33837537.356192365</v>
      </c>
      <c r="U33" s="38">
        <f t="shared" si="25"/>
        <v>34604483.545264468</v>
      </c>
      <c r="V33" s="38">
        <f t="shared" si="25"/>
        <v>35386383.35600505</v>
      </c>
      <c r="W33" s="38">
        <f t="shared" si="25"/>
        <v>36185238.097867616</v>
      </c>
      <c r="X33" s="38">
        <f t="shared" si="25"/>
        <v>37001835.479697302</v>
      </c>
      <c r="Y33" s="38">
        <f t="shared" si="25"/>
        <v>37836822.322876431</v>
      </c>
      <c r="Z33" s="38">
        <f t="shared" si="25"/>
        <v>38690760.668995298</v>
      </c>
      <c r="AA33" s="38">
        <f t="shared" si="25"/>
        <v>39564161.240159944</v>
      </c>
    </row>
    <row r="34" spans="1:27" x14ac:dyDescent="0.25">
      <c r="B34" s="7"/>
      <c r="C34" s="7"/>
      <c r="D34" s="7"/>
      <c r="E34" s="7"/>
      <c r="F34" s="7"/>
      <c r="G34" s="7"/>
      <c r="H34" s="7"/>
      <c r="I34" s="7"/>
      <c r="J34" s="7"/>
      <c r="K34" s="7"/>
      <c r="L34" s="7"/>
      <c r="M34" s="7"/>
      <c r="N34" s="7"/>
      <c r="O34" s="7"/>
      <c r="P34" s="7"/>
      <c r="Q34" s="38"/>
      <c r="R34" s="38"/>
      <c r="S34" s="38"/>
      <c r="T34" s="38"/>
      <c r="U34" s="38"/>
      <c r="V34" s="38"/>
      <c r="W34" s="38"/>
      <c r="X34" s="38"/>
      <c r="Y34" s="38"/>
      <c r="Z34" s="38"/>
      <c r="AA34" s="22"/>
    </row>
    <row r="35" spans="1:27" x14ac:dyDescent="0.25">
      <c r="A35" s="4" t="s">
        <v>400</v>
      </c>
      <c r="B35" s="7">
        <f>'Adjusted Russia Projections'!B6</f>
        <v>0</v>
      </c>
      <c r="C35" s="7">
        <f>'Adjusted Russia Projections'!C6</f>
        <v>0</v>
      </c>
      <c r="D35" s="7">
        <f>'Adjusted Russia Projections'!D6</f>
        <v>0</v>
      </c>
      <c r="E35" s="7">
        <f>'Adjusted Russia Projections'!E6</f>
        <v>0</v>
      </c>
      <c r="F35" s="7">
        <f>'Adjusted Russia Projections'!F6</f>
        <v>0</v>
      </c>
      <c r="G35" s="7">
        <f>'Adjusted Russia Projections'!G6</f>
        <v>0</v>
      </c>
      <c r="H35" s="7">
        <f>'Adjusted Russia Projections'!H6</f>
        <v>0</v>
      </c>
      <c r="I35" s="7">
        <f>'Adjusted Russia Projections'!I6</f>
        <v>0</v>
      </c>
      <c r="J35" s="7">
        <f>'Adjusted Russia Projections'!J6</f>
        <v>0</v>
      </c>
      <c r="K35" s="7">
        <f>'Adjusted Russia Projections'!K6</f>
        <v>0</v>
      </c>
      <c r="L35" s="7">
        <f>'Adjusted Russia Projections'!L6</f>
        <v>0</v>
      </c>
      <c r="M35" s="7">
        <f>'Adjusted Russia Projections'!M6</f>
        <v>0</v>
      </c>
      <c r="N35" s="7">
        <f>'Adjusted Russia Projections'!N6</f>
        <v>0</v>
      </c>
      <c r="O35" s="7">
        <f>'Adjusted Russia Projections'!O6</f>
        <v>0</v>
      </c>
      <c r="P35" s="7">
        <f>'Adjusted Russia Projections'!P6</f>
        <v>0</v>
      </c>
      <c r="Q35" s="38">
        <f>'Adjusted Russia Projections'!Q6</f>
        <v>0</v>
      </c>
      <c r="R35" s="38">
        <f>'Adjusted Russia Projections'!R6</f>
        <v>0</v>
      </c>
      <c r="S35" s="38">
        <f>'Adjusted Russia Projections'!S6</f>
        <v>0</v>
      </c>
      <c r="T35" s="38">
        <f>'Adjusted Russia Projections'!T6</f>
        <v>440961703.51810163</v>
      </c>
      <c r="U35" s="38">
        <f>'Adjusted Russia Projections'!U6</f>
        <v>450956340.37597746</v>
      </c>
      <c r="V35" s="38">
        <f>'Adjusted Russia Projections'!V6</f>
        <v>461145848.81730461</v>
      </c>
      <c r="W35" s="38">
        <f>'Adjusted Russia Projections'!W6</f>
        <v>471556309.36965227</v>
      </c>
      <c r="X35" s="38">
        <f>'Adjusted Russia Projections'!X6</f>
        <v>482197987.24323845</v>
      </c>
      <c r="Y35" s="38">
        <f>'Adjusted Russia Projections'!Y6</f>
        <v>493079311.6406858</v>
      </c>
      <c r="Z35" s="38">
        <f>'Adjusted Russia Projections'!Z6</f>
        <v>504207606.93712503</v>
      </c>
      <c r="AA35" s="38">
        <f>'Adjusted Russia Projections'!AA6</f>
        <v>515589528.72594476</v>
      </c>
    </row>
    <row r="36" spans="1:27" x14ac:dyDescent="0.25">
      <c r="B36" s="7"/>
      <c r="C36" s="7"/>
      <c r="D36" s="7"/>
      <c r="E36" s="7"/>
      <c r="F36" s="7"/>
      <c r="G36" s="7"/>
      <c r="H36" s="7"/>
      <c r="I36" s="7"/>
      <c r="J36" s="7"/>
      <c r="P36" s="7"/>
      <c r="Q36" s="22"/>
      <c r="R36" s="22"/>
      <c r="S36" s="22"/>
      <c r="T36" s="38"/>
      <c r="U36" s="38"/>
      <c r="V36" s="22"/>
      <c r="W36" s="22"/>
      <c r="X36" s="22"/>
      <c r="Y36" s="22"/>
      <c r="Z36" s="22"/>
      <c r="AA36" s="22"/>
    </row>
    <row r="37" spans="1:27" x14ac:dyDescent="0.25">
      <c r="A37" s="4" t="s">
        <v>188</v>
      </c>
      <c r="B37" s="7">
        <f t="shared" ref="B37:M37" si="26">SUM(B8:B24,B27:B33,B35)</f>
        <v>89753233</v>
      </c>
      <c r="C37" s="7">
        <f t="shared" si="26"/>
        <v>625249095</v>
      </c>
      <c r="D37" s="7">
        <f t="shared" si="26"/>
        <v>525837282.6293273</v>
      </c>
      <c r="E37" s="7">
        <f t="shared" si="26"/>
        <v>1327650932.7933331</v>
      </c>
      <c r="F37" s="7">
        <f t="shared" si="26"/>
        <v>272038941.14850003</v>
      </c>
      <c r="G37" s="7">
        <f t="shared" si="26"/>
        <v>345436200.63333333</v>
      </c>
      <c r="H37" s="7">
        <f t="shared" si="26"/>
        <v>121693742.99349996</v>
      </c>
      <c r="I37" s="7">
        <f t="shared" si="26"/>
        <v>3443035</v>
      </c>
      <c r="J37" s="7">
        <f t="shared" si="26"/>
        <v>1334585505.9479399</v>
      </c>
      <c r="K37" s="7">
        <f t="shared" si="26"/>
        <v>15345597</v>
      </c>
      <c r="L37" s="7">
        <f t="shared" si="26"/>
        <v>20649731.936666667</v>
      </c>
      <c r="M37" s="7">
        <f t="shared" si="26"/>
        <v>11902193.346666666</v>
      </c>
      <c r="N37" s="7">
        <f>SUM(N8:N24,N27:N33,N35)</f>
        <v>577283544.18333328</v>
      </c>
      <c r="O37" s="7">
        <f t="shared" ref="O37:AA37" si="27">SUM(O8:O24,O27:O33,O35)</f>
        <v>36392725.75</v>
      </c>
      <c r="P37" s="7">
        <f t="shared" si="27"/>
        <v>22619950</v>
      </c>
      <c r="Q37" s="38">
        <f t="shared" si="27"/>
        <v>256308000.01843277</v>
      </c>
      <c r="R37" s="38">
        <f t="shared" si="27"/>
        <v>263084001.41605154</v>
      </c>
      <c r="S37" s="38">
        <f t="shared" si="27"/>
        <v>269369321.70316076</v>
      </c>
      <c r="T37" s="38">
        <f t="shared" si="27"/>
        <v>716529135.55017924</v>
      </c>
      <c r="U37" s="38">
        <f t="shared" si="27"/>
        <v>732769658.14154243</v>
      </c>
      <c r="V37" s="38">
        <f t="shared" si="27"/>
        <v>749326832.19292974</v>
      </c>
      <c r="W37" s="38">
        <f t="shared" si="27"/>
        <v>766243036.57244837</v>
      </c>
      <c r="X37" s="38">
        <f t="shared" si="27"/>
        <v>783534951.46376324</v>
      </c>
      <c r="Y37" s="38">
        <f t="shared" si="27"/>
        <v>801216273.67823064</v>
      </c>
      <c r="Z37" s="38">
        <f t="shared" si="27"/>
        <v>819298904.76679957</v>
      </c>
      <c r="AA37" s="38">
        <f t="shared" si="27"/>
        <v>837793659.56109643</v>
      </c>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DE2C3-49BD-435F-BFB3-849F66905FFD}">
  <dimension ref="A1:AA24"/>
  <sheetViews>
    <sheetView zoomScale="59" workbookViewId="0">
      <selection activeCell="Q4" sqref="Q4"/>
    </sheetView>
  </sheetViews>
  <sheetFormatPr defaultRowHeight="15" x14ac:dyDescent="0.25"/>
  <cols>
    <col min="1" max="1" width="43.42578125" customWidth="1"/>
    <col min="2" max="2" width="18.7109375" customWidth="1"/>
    <col min="3" max="16" width="12.7109375" customWidth="1"/>
    <col min="17" max="27" width="14.85546875" customWidth="1"/>
  </cols>
  <sheetData>
    <row r="1" spans="1:27" x14ac:dyDescent="0.25">
      <c r="A1" s="26" t="s">
        <v>350</v>
      </c>
      <c r="B1" s="26">
        <v>2011</v>
      </c>
      <c r="C1" s="26">
        <v>2012</v>
      </c>
      <c r="D1" s="26">
        <v>2013</v>
      </c>
      <c r="E1" s="26">
        <v>2014</v>
      </c>
      <c r="F1" s="26">
        <v>2015</v>
      </c>
      <c r="G1" s="26">
        <v>2016</v>
      </c>
      <c r="H1" s="26">
        <v>2017</v>
      </c>
      <c r="I1" s="26">
        <v>2018</v>
      </c>
      <c r="J1" s="26">
        <v>2019</v>
      </c>
      <c r="K1" s="26">
        <v>2020</v>
      </c>
      <c r="L1" s="26">
        <v>2021</v>
      </c>
      <c r="M1" s="26">
        <v>2022</v>
      </c>
      <c r="N1" s="26">
        <v>2023</v>
      </c>
      <c r="O1" s="26">
        <v>2024</v>
      </c>
      <c r="P1" s="26">
        <v>2025</v>
      </c>
      <c r="Q1" s="39">
        <v>2026</v>
      </c>
      <c r="R1" s="39">
        <v>2027</v>
      </c>
      <c r="S1" s="39">
        <v>2028</v>
      </c>
      <c r="T1" s="39">
        <v>2029</v>
      </c>
      <c r="U1" s="39">
        <v>2030</v>
      </c>
      <c r="V1" s="39">
        <v>2031</v>
      </c>
      <c r="W1" s="39">
        <v>2032</v>
      </c>
      <c r="X1" s="39">
        <v>2033</v>
      </c>
      <c r="Y1" s="39">
        <v>2034</v>
      </c>
      <c r="Z1" s="39">
        <v>2035</v>
      </c>
      <c r="AA1" s="39">
        <v>2036</v>
      </c>
    </row>
    <row r="2" spans="1:27" x14ac:dyDescent="0.25">
      <c r="A2" s="25" t="s">
        <v>404</v>
      </c>
      <c r="B2" s="7">
        <f>'Fiscal Year Projections'!B20</f>
        <v>0</v>
      </c>
      <c r="C2" s="7">
        <f>'Fiscal Year Projections'!C20</f>
        <v>0</v>
      </c>
      <c r="D2" s="7">
        <f>'Fiscal Year Projections'!D20</f>
        <v>0</v>
      </c>
      <c r="E2" s="7">
        <f>'Fiscal Year Projections'!E20</f>
        <v>0</v>
      </c>
      <c r="F2" s="7">
        <f>'Fiscal Year Projections'!F20</f>
        <v>0</v>
      </c>
      <c r="G2" s="7">
        <f>'Fiscal Year Projections'!G20</f>
        <v>0</v>
      </c>
      <c r="H2" s="7">
        <f>'Fiscal Year Projections'!H20</f>
        <v>0</v>
      </c>
      <c r="I2" s="7">
        <f>'Fiscal Year Projections'!I20</f>
        <v>0</v>
      </c>
      <c r="J2" s="7">
        <f>'Fiscal Year Projections'!J20</f>
        <v>162882</v>
      </c>
      <c r="K2" s="7">
        <f>'Fiscal Year Projections'!K20</f>
        <v>291523</v>
      </c>
      <c r="L2" s="7">
        <f>'Fiscal Year Projections'!L20</f>
        <v>1824067.28</v>
      </c>
      <c r="M2" s="7">
        <f>'Fiscal Year Projections'!M20</f>
        <v>246011.2</v>
      </c>
      <c r="N2" s="7">
        <f>'Fiscal Year Projections'!N20</f>
        <v>10550458.050000001</v>
      </c>
      <c r="O2" s="7">
        <f>'Fiscal Year Projections'!O20</f>
        <v>8007658.6699999999</v>
      </c>
      <c r="P2" s="7">
        <f>'Fiscal Year Projections'!P20</f>
        <v>22172</v>
      </c>
      <c r="Q2" s="38">
        <f>'Fiscal Year Projections'!Q20</f>
        <v>2172983.7566613741</v>
      </c>
      <c r="R2" s="38">
        <f>'Fiscal Year Projections'!R20</f>
        <v>2230430.8163359901</v>
      </c>
      <c r="S2" s="38">
        <f>'Fiscal Year Projections'!S20</f>
        <v>2283717.8728785892</v>
      </c>
      <c r="T2" s="38">
        <f>'Fiscal Year Projections'!T20</f>
        <v>2336265.561853427</v>
      </c>
      <c r="U2" s="38">
        <f>'Fiscal Year Projections'!U20</f>
        <v>2389218.2915530656</v>
      </c>
      <c r="V2" s="38">
        <f>'Fiscal Year Projections'!V20</f>
        <v>2443203.4731998215</v>
      </c>
      <c r="W2" s="38">
        <f>'Fiscal Year Projections'!W20</f>
        <v>2498359.284412994</v>
      </c>
      <c r="X2" s="38">
        <f>'Fiscal Year Projections'!X20</f>
        <v>2554740.1114509059</v>
      </c>
      <c r="Y2" s="38">
        <f>'Fiscal Year Projections'!Y20</f>
        <v>2612390.6131935543</v>
      </c>
      <c r="Z2" s="38">
        <f>'Fiscal Year Projections'!Z20</f>
        <v>2671349.5950184679</v>
      </c>
      <c r="AA2" s="38">
        <f>'Fiscal Year Projections'!AA20</f>
        <v>2731652.3190209772</v>
      </c>
    </row>
    <row r="3" spans="1:27" x14ac:dyDescent="0.25">
      <c r="Q3" s="22"/>
      <c r="R3" s="22"/>
      <c r="S3" s="22"/>
      <c r="T3" s="22"/>
      <c r="U3" s="22"/>
      <c r="V3" s="22"/>
      <c r="W3" s="22"/>
      <c r="X3" s="22"/>
      <c r="Y3" s="22"/>
      <c r="Z3" s="22"/>
      <c r="AA3" s="22"/>
    </row>
    <row r="4" spans="1:27" x14ac:dyDescent="0.25">
      <c r="A4" s="4" t="s">
        <v>401</v>
      </c>
      <c r="B4" s="7">
        <f>'Fiscal Year Projections'!B15</f>
        <v>729194.33333333326</v>
      </c>
      <c r="C4" s="7">
        <f>'Fiscal Year Projections'!C15</f>
        <v>6150318.9700546209</v>
      </c>
      <c r="D4" s="7">
        <f>'Fiscal Year Projections'!D15</f>
        <v>166408264.83318123</v>
      </c>
      <c r="E4" s="7">
        <f>'Fiscal Year Projections'!E15</f>
        <v>322767522.85112655</v>
      </c>
      <c r="F4" s="7">
        <f>'Fiscal Year Projections'!F15</f>
        <v>108974630.24382377</v>
      </c>
      <c r="G4" s="7">
        <f>'Fiscal Year Projections'!G15</f>
        <v>9394492.9671777394</v>
      </c>
      <c r="H4" s="7">
        <f>'Fiscal Year Projections'!H15</f>
        <v>120238354.17407729</v>
      </c>
      <c r="I4" s="7">
        <f>'Fiscal Year Projections'!I15</f>
        <v>2720400</v>
      </c>
      <c r="J4" s="7">
        <f>'Fiscal Year Projections'!J15</f>
        <v>883657320.03957331</v>
      </c>
      <c r="K4" s="7">
        <f>'Fiscal Year Projections'!K15</f>
        <v>1297471</v>
      </c>
      <c r="L4" s="7">
        <f>'Fiscal Year Projections'!L15</f>
        <v>9314930.2799999993</v>
      </c>
      <c r="M4" s="7">
        <f>'Fiscal Year Projections'!M15</f>
        <v>7318699.7166666659</v>
      </c>
      <c r="N4" s="7">
        <f>'Fiscal Year Projections'!N15</f>
        <v>32776323.616666667</v>
      </c>
      <c r="O4" s="7">
        <f>'Fiscal Year Projections'!O15</f>
        <v>24092476.25</v>
      </c>
      <c r="P4" s="7">
        <f>'Fiscal Year Projections'!P15</f>
        <v>17833143</v>
      </c>
      <c r="Q4" s="38">
        <f>'Fiscal Year Projections'!Q15</f>
        <v>114147858.87740469</v>
      </c>
      <c r="R4" s="38">
        <f>'Fiscal Year Projections'!R15</f>
        <v>117165579.94437434</v>
      </c>
      <c r="S4" s="38">
        <f>'Fiscal Year Projections'!S15</f>
        <v>119964774.09001413</v>
      </c>
      <c r="T4" s="38">
        <f>'Fiscal Year Projections'!T15</f>
        <v>122725128.90953167</v>
      </c>
      <c r="U4" s="38">
        <f>'Fiscal Year Projections'!U15</f>
        <v>125506760.70884827</v>
      </c>
      <c r="V4" s="38">
        <f>'Fiscal Year Projections'!V15</f>
        <v>128342627.69459733</v>
      </c>
      <c r="W4" s="38">
        <f>'Fiscal Year Projections'!W15</f>
        <v>131239988.4021174</v>
      </c>
      <c r="X4" s="38">
        <f>'Fiscal Year Projections'!X15</f>
        <v>134201699.76714067</v>
      </c>
      <c r="Y4" s="38">
        <f>'Fiscal Year Projections'!Y15</f>
        <v>137230107.74164027</v>
      </c>
      <c r="Z4" s="38">
        <f>'Fiscal Year Projections'!Z15</f>
        <v>140327250.79035127</v>
      </c>
      <c r="AA4" s="38">
        <f>'Fiscal Year Projections'!AA15</f>
        <v>143494981.2477282</v>
      </c>
    </row>
    <row r="5" spans="1:27" x14ac:dyDescent="0.25">
      <c r="Q5" s="22"/>
      <c r="R5" s="22"/>
      <c r="S5" s="22"/>
      <c r="T5" s="22"/>
      <c r="U5" s="22"/>
      <c r="V5" s="22"/>
      <c r="W5" s="22"/>
      <c r="X5" s="22"/>
      <c r="Y5" s="22"/>
      <c r="Z5" s="22"/>
      <c r="AA5" s="22"/>
    </row>
    <row r="6" spans="1:27" x14ac:dyDescent="0.25">
      <c r="A6" s="4" t="s">
        <v>402</v>
      </c>
      <c r="B6" s="21">
        <v>0</v>
      </c>
      <c r="C6" s="21">
        <v>0</v>
      </c>
      <c r="D6" s="21">
        <v>0</v>
      </c>
      <c r="E6" s="21">
        <v>0</v>
      </c>
      <c r="F6" s="21">
        <v>0</v>
      </c>
      <c r="G6" s="21">
        <v>0</v>
      </c>
      <c r="H6" s="21">
        <v>0</v>
      </c>
      <c r="I6" s="21">
        <v>0</v>
      </c>
      <c r="J6" s="21">
        <v>0</v>
      </c>
      <c r="K6" s="21">
        <v>0</v>
      </c>
      <c r="L6" s="21">
        <v>0</v>
      </c>
      <c r="M6" s="21">
        <v>0</v>
      </c>
      <c r="N6" s="21">
        <v>0</v>
      </c>
      <c r="O6" s="21">
        <v>0</v>
      </c>
      <c r="P6" s="20">
        <v>0</v>
      </c>
      <c r="Q6" s="23">
        <v>0</v>
      </c>
      <c r="R6" s="23">
        <v>0</v>
      </c>
      <c r="S6" s="23">
        <v>0</v>
      </c>
      <c r="T6" s="38">
        <f t="shared" ref="T6:AA6" si="0">T2*$B$21*0.4</f>
        <v>440961703.51810163</v>
      </c>
      <c r="U6" s="38">
        <f t="shared" si="0"/>
        <v>450956340.37597746</v>
      </c>
      <c r="V6" s="38">
        <f t="shared" si="0"/>
        <v>461145848.81730461</v>
      </c>
      <c r="W6" s="38">
        <f t="shared" si="0"/>
        <v>471556309.36965227</v>
      </c>
      <c r="X6" s="38">
        <f t="shared" si="0"/>
        <v>482197987.24323845</v>
      </c>
      <c r="Y6" s="38">
        <f t="shared" si="0"/>
        <v>493079311.6406858</v>
      </c>
      <c r="Z6" s="38">
        <f t="shared" si="0"/>
        <v>504207606.93712503</v>
      </c>
      <c r="AA6" s="38">
        <f t="shared" si="0"/>
        <v>515589528.72594476</v>
      </c>
    </row>
    <row r="7" spans="1:27" x14ac:dyDescent="0.25">
      <c r="A7" s="4"/>
      <c r="B7" s="17"/>
    </row>
    <row r="9" spans="1:27" s="5" customFormat="1" x14ac:dyDescent="0.25">
      <c r="A9" s="14" t="s">
        <v>352</v>
      </c>
    </row>
    <row r="10" spans="1:27" ht="15.75" customHeight="1" x14ac:dyDescent="0.25">
      <c r="A10" s="4"/>
    </row>
    <row r="11" spans="1:27" x14ac:dyDescent="0.25">
      <c r="A11" t="s">
        <v>358</v>
      </c>
      <c r="B11" s="31">
        <v>2240000000000</v>
      </c>
    </row>
    <row r="12" spans="1:27" x14ac:dyDescent="0.25">
      <c r="A12" t="s">
        <v>357</v>
      </c>
      <c r="B12" s="7">
        <v>346480000000</v>
      </c>
    </row>
    <row r="13" spans="1:27" x14ac:dyDescent="0.25">
      <c r="A13" s="4" t="s">
        <v>353</v>
      </c>
      <c r="B13" s="29">
        <f>B11/B12</f>
        <v>6.4650196259524355</v>
      </c>
    </row>
    <row r="14" spans="1:27" x14ac:dyDescent="0.25">
      <c r="A14" s="13" t="s">
        <v>354</v>
      </c>
      <c r="B14" s="28"/>
    </row>
    <row r="15" spans="1:27" x14ac:dyDescent="0.25">
      <c r="B15" s="27"/>
      <c r="D15" s="6"/>
    </row>
    <row r="16" spans="1:27" x14ac:dyDescent="0.25">
      <c r="A16" t="s">
        <v>406</v>
      </c>
      <c r="B16" s="7">
        <f>AVERAGE(E2:P2)</f>
        <v>1758731.0166666668</v>
      </c>
      <c r="F16" s="20"/>
    </row>
    <row r="17" spans="1:6" x14ac:dyDescent="0.25">
      <c r="A17" t="s">
        <v>355</v>
      </c>
      <c r="B17" s="7">
        <f>AVERAGE(E4:P4)</f>
        <v>128365480.344926</v>
      </c>
      <c r="F17" s="7"/>
    </row>
    <row r="18" spans="1:6" x14ac:dyDescent="0.25">
      <c r="F18" s="7"/>
    </row>
    <row r="19" spans="1:6" x14ac:dyDescent="0.25">
      <c r="A19" t="s">
        <v>405</v>
      </c>
      <c r="B19" s="30">
        <f>B16/B11</f>
        <v>7.851477752976191E-7</v>
      </c>
    </row>
    <row r="20" spans="1:6" x14ac:dyDescent="0.25">
      <c r="A20" t="s">
        <v>356</v>
      </c>
      <c r="B20" s="30">
        <f>B17/B12</f>
        <v>3.7048453112712424E-4</v>
      </c>
    </row>
    <row r="21" spans="1:6" x14ac:dyDescent="0.25">
      <c r="A21" s="4" t="s">
        <v>359</v>
      </c>
      <c r="B21" s="40">
        <f>B20/B19</f>
        <v>471.86598852259107</v>
      </c>
    </row>
    <row r="23" spans="1:6" x14ac:dyDescent="0.25">
      <c r="A23" t="s">
        <v>407</v>
      </c>
    </row>
    <row r="24" spans="1:6" x14ac:dyDescent="0.25">
      <c r="A24" t="s">
        <v>410</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
  <sheetViews>
    <sheetView zoomScale="80" zoomScaleNormal="80" workbookViewId="0">
      <pane ySplit="1" topLeftCell="A2" activePane="bottomLeft" state="frozen"/>
      <selection pane="bottomLeft" activeCell="J43" sqref="J43:J44"/>
    </sheetView>
  </sheetViews>
  <sheetFormatPr defaultRowHeight="15" x14ac:dyDescent="0.25"/>
  <cols>
    <col min="1" max="1" width="22.7109375" bestFit="1" customWidth="1"/>
    <col min="2" max="2" width="14.7109375" bestFit="1" customWidth="1"/>
    <col min="3" max="3" width="16.5703125" bestFit="1" customWidth="1"/>
    <col min="4" max="4" width="15" bestFit="1" customWidth="1"/>
    <col min="5" max="5" width="16.5703125" bestFit="1" customWidth="1"/>
    <col min="6" max="11" width="15" bestFit="1" customWidth="1"/>
    <col min="12" max="12" width="16.85546875" customWidth="1"/>
    <col min="13" max="14" width="18.85546875" customWidth="1"/>
    <col min="15" max="15" width="12.85546875" customWidth="1"/>
    <col min="16" max="16" width="16.42578125" customWidth="1"/>
  </cols>
  <sheetData>
    <row r="1" spans="1:16" ht="15.75" x14ac:dyDescent="0.25">
      <c r="A1" s="11" t="s">
        <v>220</v>
      </c>
      <c r="B1" s="11">
        <v>2011</v>
      </c>
      <c r="C1" s="11">
        <v>2012</v>
      </c>
      <c r="D1" s="11">
        <v>2013</v>
      </c>
      <c r="E1" s="11">
        <v>2014</v>
      </c>
      <c r="F1" s="11">
        <v>2015</v>
      </c>
      <c r="G1" s="11">
        <v>2016</v>
      </c>
      <c r="H1" s="11">
        <v>2017</v>
      </c>
      <c r="I1" s="11">
        <v>2018</v>
      </c>
      <c r="J1" s="11">
        <v>2019</v>
      </c>
      <c r="K1" s="11">
        <v>2020</v>
      </c>
      <c r="L1" s="19">
        <v>2021</v>
      </c>
      <c r="M1" s="19">
        <v>2022</v>
      </c>
      <c r="N1" s="19">
        <v>2023</v>
      </c>
      <c r="O1" s="19">
        <v>2024</v>
      </c>
      <c r="P1" s="19">
        <v>2025</v>
      </c>
    </row>
    <row r="3" spans="1:16" x14ac:dyDescent="0.25">
      <c r="A3" t="s">
        <v>411</v>
      </c>
      <c r="B3" s="7">
        <f>SUMIFS(ALLData!$M$2:$M$400, ALLData!$B$2:$B$400, 'Country-Specific Data'!B$1, ALLData!$G$2:$G$400, 'Country-Specific Data'!$A3)</f>
        <v>0</v>
      </c>
      <c r="C3" s="7">
        <f>SUMIFS(ALLData!$M$2:$M$400, ALLData!$B$2:$B$400, 'Country-Specific Data'!C$1, ALLData!$G$2:$G$400, 'Country-Specific Data'!$A3)</f>
        <v>0</v>
      </c>
      <c r="D3" s="7">
        <f>SUMIFS(ALLData!$M$2:$M$400, ALLData!$B$2:$B$400, 'Country-Specific Data'!D$1, ALLData!$G$2:$G$400, 'Country-Specific Data'!$A3)</f>
        <v>0</v>
      </c>
      <c r="E3" s="7">
        <f>SUMIFS(ALLData!$M$2:$M$400, ALLData!$B$2:$B$400, 'Country-Specific Data'!E$1, ALLData!$G$2:$G$400, 'Country-Specific Data'!$A3)</f>
        <v>0</v>
      </c>
      <c r="F3" s="7">
        <f>SUMIFS(ALLData!$M$2:$M$400, ALLData!$B$2:$B$400, 'Country-Specific Data'!F$1, ALLData!$G$2:$G$400, 'Country-Specific Data'!$A3)</f>
        <v>0</v>
      </c>
      <c r="G3" s="7">
        <f>SUMIFS(ALLData!$M$2:$M$400, ALLData!$B$2:$B$400, 'Country-Specific Data'!G$1, ALLData!$G$2:$G$400, 'Country-Specific Data'!$A3)</f>
        <v>0</v>
      </c>
      <c r="H3" s="7">
        <f>SUMIFS(ALLData!$M$2:$M$400, ALLData!$B$2:$B$400, 'Country-Specific Data'!H$1, ALLData!$G$2:$G$400, 'Country-Specific Data'!$A3)</f>
        <v>0</v>
      </c>
      <c r="I3" s="7">
        <f>SUMIFS(ALLData!$M$2:$M$400, ALLData!$B$2:$B$400, 'Country-Specific Data'!I$1, ALLData!$G$2:$G$400, 'Country-Specific Data'!$A3)</f>
        <v>0</v>
      </c>
      <c r="J3" s="7">
        <f>SUMIFS(ALLData!$M$2:$M$400, ALLData!$B$2:$B$400, 'Country-Specific Data'!J$1, ALLData!$G$2:$G$400, 'Country-Specific Data'!$A3)</f>
        <v>0</v>
      </c>
      <c r="K3" s="7">
        <f>SUMIFS(ALLData!$M$2:$M$400, ALLData!$B$2:$B$400, 'Country-Specific Data'!K$1, ALLData!$G$2:$G$400, 'Country-Specific Data'!$A3)</f>
        <v>0</v>
      </c>
      <c r="L3" s="7">
        <f>SUMIFS(ALLData!$M$2:$M$400, ALLData!$B$2:$B$400, 'Country-Specific Data'!L$1, ALLData!$G$2:$G$400, 'Country-Specific Data'!$A3)</f>
        <v>0</v>
      </c>
      <c r="M3" s="7">
        <f>SUMIFS(ALLData!$M$2:$M$400, ALLData!$B$2:$B$400, 'Country-Specific Data'!M$1, ALLData!$G$2:$G$400, 'Country-Specific Data'!$A3)</f>
        <v>0</v>
      </c>
      <c r="N3" s="7">
        <f>SUMIFS(ALLData!$M$2:$M$400, ALLData!$B$2:$B$400, 'Country-Specific Data'!N$1, ALLData!$G$2:$G$400, 'Country-Specific Data'!$A3)</f>
        <v>0</v>
      </c>
      <c r="O3" s="7">
        <f>SUMIFS(ALLData!$M$2:$M$400, ALLData!$B$2:$B$400, 'Country-Specific Data'!O$1, ALLData!$G$2:$G$400, 'Country-Specific Data'!$A3)</f>
        <v>0</v>
      </c>
      <c r="P3" s="7">
        <f>SUMIFS(ALLData!$M$2:$M$400, ALLData!$B$2:$B$400, 'Country-Specific Data'!P$1, ALLData!$G$2:$G$400, 'Country-Specific Data'!$A3)</f>
        <v>0</v>
      </c>
    </row>
    <row r="4" spans="1:16" x14ac:dyDescent="0.25">
      <c r="A4" t="s">
        <v>230</v>
      </c>
      <c r="B4" s="7">
        <f>SUMIFS(ALLData!$M$2:$M$400, ALLData!$B$2:$B$400, 'Country-Specific Data'!B$1, ALLData!$G$2:$G$400, 'Country-Specific Data'!$A4)</f>
        <v>0</v>
      </c>
      <c r="C4" s="7">
        <f>SUMIFS(ALLData!$M$2:$M$400, ALLData!$B$2:$B$400, 'Country-Specific Data'!C$1, ALLData!$G$2:$G$400, 'Country-Specific Data'!$A4)</f>
        <v>0</v>
      </c>
      <c r="D4" s="7">
        <f>SUMIFS(ALLData!$M$2:$M$400, ALLData!$B$2:$B$400, 'Country-Specific Data'!D$1, ALLData!$G$2:$G$400, 'Country-Specific Data'!$A4)</f>
        <v>0</v>
      </c>
      <c r="E4" s="7">
        <f>SUMIFS(ALLData!$M$2:$M$400, ALLData!$B$2:$B$400, 'Country-Specific Data'!E$1, ALLData!$G$2:$G$400, 'Country-Specific Data'!$A4)</f>
        <v>0</v>
      </c>
      <c r="F4" s="7">
        <f>SUMIFS(ALLData!$M$2:$M$400, ALLData!$B$2:$B$400, 'Country-Specific Data'!F$1, ALLData!$G$2:$G$400, 'Country-Specific Data'!$A4)</f>
        <v>0</v>
      </c>
      <c r="G4" s="7">
        <f>SUMIFS(ALLData!$M$2:$M$400, ALLData!$B$2:$B$400, 'Country-Specific Data'!G$1, ALLData!$G$2:$G$400, 'Country-Specific Data'!$A4)</f>
        <v>0</v>
      </c>
      <c r="H4" s="7">
        <f>SUMIFS(ALLData!$M$2:$M$400, ALLData!$B$2:$B$400, 'Country-Specific Data'!H$1, ALLData!$G$2:$G$400, 'Country-Specific Data'!$A4)</f>
        <v>0</v>
      </c>
      <c r="I4" s="7">
        <f>SUMIFS(ALLData!$M$2:$M$400, ALLData!$B$2:$B$400, 'Country-Specific Data'!I$1, ALLData!$G$2:$G$400, 'Country-Specific Data'!$A4)</f>
        <v>0</v>
      </c>
      <c r="J4" s="7">
        <f>SUMIFS(ALLData!$M$2:$M$400, ALLData!$B$2:$B$400, 'Country-Specific Data'!J$1, ALLData!$G$2:$G$400, 'Country-Specific Data'!$A4)</f>
        <v>7772102</v>
      </c>
      <c r="K4" s="7">
        <f>SUMIFS(ALLData!$M$2:$M$400, ALLData!$B$2:$B$400, 'Country-Specific Data'!K$1, ALLData!$G$2:$G$400, 'Country-Specific Data'!$A4)</f>
        <v>0</v>
      </c>
      <c r="L4" s="7">
        <f>SUMIFS(ALLData!$M$2:$M$400, ALLData!$B$2:$B$400, 'Country-Specific Data'!L$1, ALLData!$G$2:$G$400, 'Country-Specific Data'!$A4)</f>
        <v>0</v>
      </c>
      <c r="M4" s="7">
        <f>SUMIFS(ALLData!$M$2:$M$400, ALLData!$B$2:$B$400, 'Country-Specific Data'!M$1, ALLData!$G$2:$G$400, 'Country-Specific Data'!$A4)</f>
        <v>0</v>
      </c>
      <c r="N4" s="7">
        <f>SUMIFS(ALLData!$M$2:$M$400, ALLData!$B$2:$B$400, 'Country-Specific Data'!N$1, ALLData!$G$2:$G$400, 'Country-Specific Data'!$A4)</f>
        <v>0</v>
      </c>
      <c r="O4" s="7">
        <f>SUMIFS(ALLData!$M$2:$M$400, ALLData!$B$2:$B$400, 'Country-Specific Data'!O$1, ALLData!$G$2:$G$400, 'Country-Specific Data'!$A4)</f>
        <v>0</v>
      </c>
      <c r="P4" s="7">
        <f>SUMIFS(ALLData!$M$2:$M$400, ALLData!$B$2:$B$400, 'Country-Specific Data'!P$1, ALLData!$G$2:$G$400, 'Country-Specific Data'!$A4)</f>
        <v>0</v>
      </c>
    </row>
    <row r="5" spans="1:16" x14ac:dyDescent="0.25">
      <c r="A5" t="s">
        <v>7</v>
      </c>
      <c r="B5" s="7">
        <f>SUMIFS(ALLData!$M$2:$M$400, ALLData!$B$2:$B$400, 'Country-Specific Data'!B$1, ALLData!$G$2:$G$400, 'Country-Specific Data'!$A5)</f>
        <v>0</v>
      </c>
      <c r="C5" s="7">
        <f>SUMIFS(ALLData!$M$2:$M$400, ALLData!$B$2:$B$400, 'Country-Specific Data'!C$1, ALLData!$G$2:$G$400, 'Country-Specific Data'!$A5)</f>
        <v>18514021.391810264</v>
      </c>
      <c r="D5" s="7">
        <f>SUMIFS(ALLData!$M$2:$M$400, ALLData!$B$2:$B$400, 'Country-Specific Data'!D$1, ALLData!$G$2:$G$400, 'Country-Specific Data'!$A5)</f>
        <v>136717283.40013719</v>
      </c>
      <c r="E5" s="7">
        <f>SUMIFS(ALLData!$M$2:$M$400, ALLData!$B$2:$B$400, 'Country-Specific Data'!E$1, ALLData!$G$2:$G$400, 'Country-Specific Data'!$A5)</f>
        <v>3082289.3845256157</v>
      </c>
      <c r="F5" s="7">
        <f>SUMIFS(ALLData!$M$2:$M$400, ALLData!$B$2:$B$400, 'Country-Specific Data'!F$1, ALLData!$G$2:$G$400, 'Country-Specific Data'!$A5)</f>
        <v>8925835.9327460583</v>
      </c>
      <c r="G5" s="7">
        <f>SUMIFS(ALLData!$M$2:$M$400, ALLData!$B$2:$B$400, 'Country-Specific Data'!G$1, ALLData!$G$2:$G$400, 'Country-Specific Data'!$A5)</f>
        <v>5231994.3027779637</v>
      </c>
      <c r="H5" s="7">
        <f>SUMIFS(ALLData!$M$2:$M$400, ALLData!$B$2:$B$400, 'Country-Specific Data'!H$1, ALLData!$G$2:$G$400, 'Country-Specific Data'!$A5)</f>
        <v>0</v>
      </c>
      <c r="I5" s="7">
        <f>SUMIFS(ALLData!$M$2:$M$400, ALLData!$B$2:$B$400, 'Country-Specific Data'!I$1, ALLData!$G$2:$G$400, 'Country-Specific Data'!$A5)</f>
        <v>0</v>
      </c>
      <c r="J5" s="7">
        <f>SUMIFS(ALLData!$M$2:$M$400, ALLData!$B$2:$B$400, 'Country-Specific Data'!J$1, ALLData!$G$2:$G$400, 'Country-Specific Data'!$A5)</f>
        <v>1319659.4231199999</v>
      </c>
      <c r="K5" s="7">
        <f>SUMIFS(ALLData!$M$2:$M$400, ALLData!$B$2:$B$400, 'Country-Specific Data'!K$1, ALLData!$G$2:$G$400, 'Country-Specific Data'!$A5)</f>
        <v>1125000</v>
      </c>
      <c r="L5" s="7">
        <f>SUMIFS(ALLData!$M$2:$M$400, ALLData!$B$2:$B$400, 'Country-Specific Data'!L$1, ALLData!$G$2:$G$400, 'Country-Specific Data'!$A5)</f>
        <v>0</v>
      </c>
      <c r="M5" s="7">
        <f>SUMIFS(ALLData!$M$2:$M$400, ALLData!$B$2:$B$400, 'Country-Specific Data'!M$1, ALLData!$G$2:$G$400, 'Country-Specific Data'!$A5)</f>
        <v>0</v>
      </c>
      <c r="N5" s="7">
        <f>SUMIFS(ALLData!$M$2:$M$400, ALLData!$B$2:$B$400, 'Country-Specific Data'!N$1, ALLData!$G$2:$G$400, 'Country-Specific Data'!$A5)</f>
        <v>0</v>
      </c>
      <c r="O5" s="7">
        <f>SUMIFS(ALLData!$M$2:$M$400, ALLData!$B$2:$B$400, 'Country-Specific Data'!O$1, ALLData!$G$2:$G$400, 'Country-Specific Data'!$A5)</f>
        <v>0</v>
      </c>
      <c r="P5" s="7">
        <f>SUMIFS(ALLData!$M$2:$M$400, ALLData!$B$2:$B$400, 'Country-Specific Data'!P$1, ALLData!$G$2:$G$400, 'Country-Specific Data'!$A5)</f>
        <v>0</v>
      </c>
    </row>
    <row r="6" spans="1:16" x14ac:dyDescent="0.25">
      <c r="A6" t="s">
        <v>292</v>
      </c>
      <c r="B6" s="7">
        <f>SUMIFS(ALLData!$M$2:$M$400, ALLData!$B$2:$B$400, 'Country-Specific Data'!B$1, ALLData!$G$2:$G$400, 'Country-Specific Data'!$A6)</f>
        <v>0</v>
      </c>
      <c r="C6" s="7">
        <f>SUMIFS(ALLData!$M$2:$M$400, ALLData!$B$2:$B$400, 'Country-Specific Data'!C$1, ALLData!$G$2:$G$400, 'Country-Specific Data'!$A6)</f>
        <v>0</v>
      </c>
      <c r="D6" s="7">
        <f>SUMIFS(ALLData!$M$2:$M$400, ALLData!$B$2:$B$400, 'Country-Specific Data'!D$1, ALLData!$G$2:$G$400, 'Country-Specific Data'!$A6)</f>
        <v>0</v>
      </c>
      <c r="E6" s="7">
        <f>SUMIFS(ALLData!$M$2:$M$400, ALLData!$B$2:$B$400, 'Country-Specific Data'!E$1, ALLData!$G$2:$G$400, 'Country-Specific Data'!$A6)</f>
        <v>0</v>
      </c>
      <c r="F6" s="7">
        <f>SUMIFS(ALLData!$M$2:$M$400, ALLData!$B$2:$B$400, 'Country-Specific Data'!F$1, ALLData!$G$2:$G$400, 'Country-Specific Data'!$A6)</f>
        <v>0</v>
      </c>
      <c r="G6" s="7">
        <f>SUMIFS(ALLData!$M$2:$M$400, ALLData!$B$2:$B$400, 'Country-Specific Data'!G$1, ALLData!$G$2:$G$400, 'Country-Specific Data'!$A6)</f>
        <v>0</v>
      </c>
      <c r="H6" s="7">
        <f>SUMIFS(ALLData!$M$2:$M$400, ALLData!$B$2:$B$400, 'Country-Specific Data'!H$1, ALLData!$G$2:$G$400, 'Country-Specific Data'!$A6)</f>
        <v>0</v>
      </c>
      <c r="I6" s="7">
        <f>SUMIFS(ALLData!$M$2:$M$400, ALLData!$B$2:$B$400, 'Country-Specific Data'!I$1, ALLData!$G$2:$G$400, 'Country-Specific Data'!$A6)</f>
        <v>0</v>
      </c>
      <c r="J6" s="7">
        <f>SUMIFS(ALLData!$M$2:$M$400, ALLData!$B$2:$B$400, 'Country-Specific Data'!J$1, ALLData!$G$2:$G$400, 'Country-Specific Data'!$A6)</f>
        <v>0</v>
      </c>
      <c r="K6" s="7">
        <f>SUMIFS(ALLData!$M$2:$M$400, ALLData!$B$2:$B$400, 'Country-Specific Data'!K$1, ALLData!$G$2:$G$400, 'Country-Specific Data'!$A6)</f>
        <v>0</v>
      </c>
      <c r="L6" s="7">
        <f>SUMIFS(ALLData!$M$2:$M$400, ALLData!$B$2:$B$400, 'Country-Specific Data'!L$1, ALLData!$G$2:$G$400, 'Country-Specific Data'!$A6)</f>
        <v>5721.4633333333331</v>
      </c>
      <c r="M6" s="7">
        <f>SUMIFS(ALLData!$M$2:$M$400, ALLData!$B$2:$B$400, 'Country-Specific Data'!M$1, ALLData!$G$2:$G$400, 'Country-Specific Data'!$A6)</f>
        <v>0</v>
      </c>
      <c r="N6" s="7">
        <f>SUMIFS(ALLData!$M$2:$M$400, ALLData!$B$2:$B$400, 'Country-Specific Data'!N$1, ALLData!$G$2:$G$400, 'Country-Specific Data'!$A6)</f>
        <v>0</v>
      </c>
      <c r="O6" s="7">
        <f>SUMIFS(ALLData!$M$2:$M$400, ALLData!$B$2:$B$400, 'Country-Specific Data'!O$1, ALLData!$G$2:$G$400, 'Country-Specific Data'!$A6)</f>
        <v>0</v>
      </c>
      <c r="P6" s="7">
        <f>SUMIFS(ALLData!$M$2:$M$400, ALLData!$B$2:$B$400, 'Country-Specific Data'!P$1, ALLData!$G$2:$G$400, 'Country-Specific Data'!$A6)</f>
        <v>0</v>
      </c>
    </row>
    <row r="7" spans="1:16" x14ac:dyDescent="0.25">
      <c r="A7" t="s">
        <v>6</v>
      </c>
      <c r="B7" s="7">
        <f>SUMIFS(ALLData!$M$2:$M$400, ALLData!$B$2:$B$400, 'Country-Specific Data'!B$1, ALLData!$G$2:$G$400, 'Country-Specific Data'!$A7)</f>
        <v>86344238.131343469</v>
      </c>
      <c r="C7" s="7">
        <f>SUMIFS(ALLData!$M$2:$M$400, ALLData!$B$2:$B$400, 'Country-Specific Data'!C$1, ALLData!$G$2:$G$400, 'Country-Specific Data'!$A7)</f>
        <v>593065321.60944903</v>
      </c>
      <c r="D7" s="7">
        <f>SUMIFS(ALLData!$M$2:$M$400, ALLData!$B$2:$B$400, 'Country-Specific Data'!D$1, ALLData!$G$2:$G$400, 'Country-Specific Data'!$A7)</f>
        <v>8508305.8835027814</v>
      </c>
      <c r="E7" s="7">
        <f>SUMIFS(ALLData!$M$2:$M$400, ALLData!$B$2:$B$400, 'Country-Specific Data'!E$1, ALLData!$G$2:$G$400, 'Country-Specific Data'!$A7)</f>
        <v>80845798.293287992</v>
      </c>
      <c r="F7" s="7">
        <f>SUMIFS(ALLData!$M$2:$M$400, ALLData!$B$2:$B$400, 'Country-Specific Data'!F$1, ALLData!$G$2:$G$400, 'Country-Specific Data'!$A7)</f>
        <v>3714101.3979758513</v>
      </c>
      <c r="G7" s="7">
        <f>SUMIFS(ALLData!$M$2:$M$400, ALLData!$B$2:$B$400, 'Country-Specific Data'!G$1, ALLData!$G$2:$G$400, 'Country-Specific Data'!$A7)</f>
        <v>3633356.0013433876</v>
      </c>
      <c r="H7" s="7">
        <f>SUMIFS(ALLData!$M$2:$M$400, ALLData!$B$2:$B$400, 'Country-Specific Data'!H$1, ALLData!$G$2:$G$400, 'Country-Specific Data'!$A7)</f>
        <v>1069620.14504151</v>
      </c>
      <c r="I7" s="7">
        <f>SUMIFS(ALLData!$M$2:$M$400, ALLData!$B$2:$B$400, 'Country-Specific Data'!I$1, ALLData!$G$2:$G$400, 'Country-Specific Data'!$A7)</f>
        <v>204277</v>
      </c>
      <c r="J7" s="7">
        <f>SUMIFS(ALLData!$M$2:$M$400, ALLData!$B$2:$B$400, 'Country-Specific Data'!J$1, ALLData!$G$2:$G$400, 'Country-Specific Data'!$A7)</f>
        <v>61858396.333993331</v>
      </c>
      <c r="K7" s="7">
        <f>SUMIFS(ALLData!$M$2:$M$400, ALLData!$B$2:$B$400, 'Country-Specific Data'!K$1, ALLData!$G$2:$G$400, 'Country-Specific Data'!$A7)</f>
        <v>3213190</v>
      </c>
      <c r="L7" s="7">
        <f>SUMIFS(ALLData!$M$2:$M$400, ALLData!$B$2:$B$400, 'Country-Specific Data'!L$1, ALLData!$G$2:$G$400, 'Country-Specific Data'!$A7)</f>
        <v>5883626</v>
      </c>
      <c r="M7" s="7">
        <f>SUMIFS(ALLData!$M$2:$M$400, ALLData!$B$2:$B$400, 'Country-Specific Data'!M$1, ALLData!$G$2:$G$400, 'Country-Specific Data'!$A7)</f>
        <v>578126.06999999995</v>
      </c>
      <c r="N7" s="7">
        <f>SUMIFS(ALLData!$M$2:$M$400, ALLData!$B$2:$B$400, 'Country-Specific Data'!N$1, ALLData!$G$2:$G$400, 'Country-Specific Data'!$A7)</f>
        <v>7176619.75</v>
      </c>
      <c r="O7" s="7">
        <f>SUMIFS(ALLData!$M$2:$M$400, ALLData!$B$2:$B$400, 'Country-Specific Data'!O$1, ALLData!$G$2:$G$400, 'Country-Specific Data'!$A7)</f>
        <v>3156120.11</v>
      </c>
      <c r="P7" s="7">
        <f>SUMIFS(ALLData!$M$2:$M$400, ALLData!$B$2:$B$400, 'Country-Specific Data'!P$1, ALLData!$G$2:$G$400, 'Country-Specific Data'!$A7)</f>
        <v>925170</v>
      </c>
    </row>
    <row r="8" spans="1:16" x14ac:dyDescent="0.25">
      <c r="A8" t="s">
        <v>412</v>
      </c>
      <c r="B8" s="7">
        <f>SUMIFS(ALLData!$M$2:$M$400, ALLData!$B$2:$B$400, 'Country-Specific Data'!B$1, ALLData!$G$2:$G$400, 'Country-Specific Data'!$A8)</f>
        <v>0</v>
      </c>
      <c r="C8" s="7">
        <f>SUMIFS(ALLData!$M$2:$M$400, ALLData!$B$2:$B$400, 'Country-Specific Data'!C$1, ALLData!$G$2:$G$400, 'Country-Specific Data'!$A8)</f>
        <v>0</v>
      </c>
      <c r="D8" s="7">
        <f>SUMIFS(ALLData!$M$2:$M$400, ALLData!$B$2:$B$400, 'Country-Specific Data'!D$1, ALLData!$G$2:$G$400, 'Country-Specific Data'!$A8)</f>
        <v>0</v>
      </c>
      <c r="E8" s="7">
        <f>SUMIFS(ALLData!$M$2:$M$400, ALLData!$B$2:$B$400, 'Country-Specific Data'!E$1, ALLData!$G$2:$G$400, 'Country-Specific Data'!$A8)</f>
        <v>0</v>
      </c>
      <c r="F8" s="7">
        <f>SUMIFS(ALLData!$M$2:$M$400, ALLData!$B$2:$B$400, 'Country-Specific Data'!F$1, ALLData!$G$2:$G$400, 'Country-Specific Data'!$A8)</f>
        <v>0</v>
      </c>
      <c r="G8" s="7">
        <f>SUMIFS(ALLData!$M$2:$M$400, ALLData!$B$2:$B$400, 'Country-Specific Data'!G$1, ALLData!$G$2:$G$400, 'Country-Specific Data'!$A8)</f>
        <v>0</v>
      </c>
      <c r="H8" s="7">
        <f>SUMIFS(ALLData!$M$2:$M$400, ALLData!$B$2:$B$400, 'Country-Specific Data'!H$1, ALLData!$G$2:$G$400, 'Country-Specific Data'!$A8)</f>
        <v>0</v>
      </c>
      <c r="I8" s="7">
        <f>SUMIFS(ALLData!$M$2:$M$400, ALLData!$B$2:$B$400, 'Country-Specific Data'!I$1, ALLData!$G$2:$G$400, 'Country-Specific Data'!$A8)</f>
        <v>0</v>
      </c>
      <c r="J8" s="7">
        <f>SUMIFS(ALLData!$M$2:$M$400, ALLData!$B$2:$B$400, 'Country-Specific Data'!J$1, ALLData!$G$2:$G$400, 'Country-Specific Data'!$A8)</f>
        <v>0</v>
      </c>
      <c r="K8" s="7">
        <f>SUMIFS(ALLData!$M$2:$M$400, ALLData!$B$2:$B$400, 'Country-Specific Data'!K$1, ALLData!$G$2:$G$400, 'Country-Specific Data'!$A8)</f>
        <v>0</v>
      </c>
      <c r="L8" s="7">
        <f>SUMIFS(ALLData!$M$2:$M$400, ALLData!$B$2:$B$400, 'Country-Specific Data'!L$1, ALLData!$G$2:$G$400, 'Country-Specific Data'!$A8)</f>
        <v>5721.4633333333331</v>
      </c>
      <c r="M8" s="7">
        <f>SUMIFS(ALLData!$M$2:$M$400, ALLData!$B$2:$B$400, 'Country-Specific Data'!M$1, ALLData!$G$2:$G$400, 'Country-Specific Data'!$A8)</f>
        <v>0</v>
      </c>
      <c r="N8" s="7">
        <f>SUMIFS(ALLData!$M$2:$M$400, ALLData!$B$2:$B$400, 'Country-Specific Data'!N$1, ALLData!$G$2:$G$400, 'Country-Specific Data'!$A8)</f>
        <v>0</v>
      </c>
      <c r="O8" s="7">
        <f>SUMIFS(ALLData!$M$2:$M$400, ALLData!$B$2:$B$400, 'Country-Specific Data'!O$1, ALLData!$G$2:$G$400, 'Country-Specific Data'!$A8)</f>
        <v>0</v>
      </c>
      <c r="P8" s="7">
        <f>SUMIFS(ALLData!$M$2:$M$400, ALLData!$B$2:$B$400, 'Country-Specific Data'!P$1, ALLData!$G$2:$G$400, 'Country-Specific Data'!$A8)</f>
        <v>0</v>
      </c>
    </row>
    <row r="9" spans="1:16" x14ac:dyDescent="0.25">
      <c r="A9" t="s">
        <v>413</v>
      </c>
      <c r="B9" s="7">
        <f>SUMIFS(ALLData!$M$2:$M$400, ALLData!$B$2:$B$400, 'Country-Specific Data'!B$1, ALLData!$G$2:$G$400, 'Country-Specific Data'!$A9)</f>
        <v>0</v>
      </c>
      <c r="C9" s="7">
        <f>SUMIFS(ALLData!$M$2:$M$400, ALLData!$B$2:$B$400, 'Country-Specific Data'!C$1, ALLData!$G$2:$G$400, 'Country-Specific Data'!$A9)</f>
        <v>0</v>
      </c>
      <c r="D9" s="7">
        <f>SUMIFS(ALLData!$M$2:$M$400, ALLData!$B$2:$B$400, 'Country-Specific Data'!D$1, ALLData!$G$2:$G$400, 'Country-Specific Data'!$A9)</f>
        <v>0</v>
      </c>
      <c r="E9" s="7">
        <f>SUMIFS(ALLData!$M$2:$M$400, ALLData!$B$2:$B$400, 'Country-Specific Data'!E$1, ALLData!$G$2:$G$400, 'Country-Specific Data'!$A9)</f>
        <v>0</v>
      </c>
      <c r="F9" s="7">
        <f>SUMIFS(ALLData!$M$2:$M$400, ALLData!$B$2:$B$400, 'Country-Specific Data'!F$1, ALLData!$G$2:$G$400, 'Country-Specific Data'!$A9)</f>
        <v>0</v>
      </c>
      <c r="G9" s="7">
        <f>SUMIFS(ALLData!$M$2:$M$400, ALLData!$B$2:$B$400, 'Country-Specific Data'!G$1, ALLData!$G$2:$G$400, 'Country-Specific Data'!$A9)</f>
        <v>0</v>
      </c>
      <c r="H9" s="7">
        <f>SUMIFS(ALLData!$M$2:$M$400, ALLData!$B$2:$B$400, 'Country-Specific Data'!H$1, ALLData!$G$2:$G$400, 'Country-Specific Data'!$A9)</f>
        <v>0</v>
      </c>
      <c r="I9" s="7">
        <f>SUMIFS(ALLData!$M$2:$M$400, ALLData!$B$2:$B$400, 'Country-Specific Data'!I$1, ALLData!$G$2:$G$400, 'Country-Specific Data'!$A9)</f>
        <v>0</v>
      </c>
      <c r="J9" s="7">
        <f>SUMIFS(ALLData!$M$2:$M$400, ALLData!$B$2:$B$400, 'Country-Specific Data'!J$1, ALLData!$G$2:$G$400, 'Country-Specific Data'!$A9)</f>
        <v>0</v>
      </c>
      <c r="K9" s="7">
        <f>SUMIFS(ALLData!$M$2:$M$400, ALLData!$B$2:$B$400, 'Country-Specific Data'!K$1, ALLData!$G$2:$G$400, 'Country-Specific Data'!$A9)</f>
        <v>0</v>
      </c>
      <c r="L9" s="7">
        <f>SUMIFS(ALLData!$M$2:$M$400, ALLData!$B$2:$B$400, 'Country-Specific Data'!L$1, ALLData!$G$2:$G$400, 'Country-Specific Data'!$A9)</f>
        <v>0</v>
      </c>
      <c r="M9" s="7">
        <f>SUMIFS(ALLData!$M$2:$M$400, ALLData!$B$2:$B$400, 'Country-Specific Data'!M$1, ALLData!$G$2:$G$400, 'Country-Specific Data'!$A9)</f>
        <v>0</v>
      </c>
      <c r="N9" s="7">
        <f>SUMIFS(ALLData!$M$2:$M$400, ALLData!$B$2:$B$400, 'Country-Specific Data'!N$1, ALLData!$G$2:$G$400, 'Country-Specific Data'!$A9)</f>
        <v>0</v>
      </c>
      <c r="O9" s="7">
        <f>SUMIFS(ALLData!$M$2:$M$400, ALLData!$B$2:$B$400, 'Country-Specific Data'!O$1, ALLData!$G$2:$G$400, 'Country-Specific Data'!$A9)</f>
        <v>0</v>
      </c>
      <c r="P9" s="7">
        <f>SUMIFS(ALLData!$M$2:$M$400, ALLData!$B$2:$B$400, 'Country-Specific Data'!P$1, ALLData!$G$2:$G$400, 'Country-Specific Data'!$A9)</f>
        <v>0</v>
      </c>
    </row>
    <row r="10" spans="1:16" x14ac:dyDescent="0.25">
      <c r="A10" t="s">
        <v>8</v>
      </c>
      <c r="B10" s="7">
        <f>SUMIFS(ALLData!$M$2:$M$400, ALLData!$B$2:$B$400, 'Country-Specific Data'!B$1, ALLData!$G$2:$G$400, 'Country-Specific Data'!$A10)</f>
        <v>729194.33333333326</v>
      </c>
      <c r="C10" s="7">
        <f>SUMIFS(ALLData!$M$2:$M$400, ALLData!$B$2:$B$400, 'Country-Specific Data'!C$1, ALLData!$G$2:$G$400, 'Country-Specific Data'!$A10)</f>
        <v>6150318.9700546209</v>
      </c>
      <c r="D10" s="7">
        <f>SUMIFS(ALLData!$M$2:$M$400, ALLData!$B$2:$B$400, 'Country-Specific Data'!D$1, ALLData!$G$2:$G$400, 'Country-Specific Data'!$A10)</f>
        <v>166408264.83318123</v>
      </c>
      <c r="E10" s="7">
        <f>SUMIFS(ALLData!$M$2:$M$400, ALLData!$B$2:$B$400, 'Country-Specific Data'!E$1, ALLData!$G$2:$G$400, 'Country-Specific Data'!$A10)</f>
        <v>322767522.85112655</v>
      </c>
      <c r="F10" s="7">
        <f>SUMIFS(ALLData!$M$2:$M$400, ALLData!$B$2:$B$400, 'Country-Specific Data'!F$1, ALLData!$G$2:$G$400, 'Country-Specific Data'!$A10)</f>
        <v>108974630.24382377</v>
      </c>
      <c r="G10" s="7">
        <f>SUMIFS(ALLData!$M$2:$M$400, ALLData!$B$2:$B$400, 'Country-Specific Data'!G$1, ALLData!$G$2:$G$400, 'Country-Specific Data'!$A10)</f>
        <v>9394492.9671777394</v>
      </c>
      <c r="H10" s="7">
        <f>SUMIFS(ALLData!$M$2:$M$400, ALLData!$B$2:$B$400, 'Country-Specific Data'!H$1, ALLData!$G$2:$G$400, 'Country-Specific Data'!$A10)</f>
        <v>120238354.17407729</v>
      </c>
      <c r="I10" s="7">
        <f>SUMIFS(ALLData!$M$2:$M$400, ALLData!$B$2:$B$400, 'Country-Specific Data'!I$1, ALLData!$G$2:$G$400, 'Country-Specific Data'!$A10)</f>
        <v>2720400</v>
      </c>
      <c r="J10" s="7">
        <f>SUMIFS(ALLData!$M$2:$M$400, ALLData!$B$2:$B$400, 'Country-Specific Data'!J$1, ALLData!$G$2:$G$400, 'Country-Specific Data'!$A10)</f>
        <v>883657320.03957331</v>
      </c>
      <c r="K10" s="7">
        <f>SUMIFS(ALLData!$M$2:$M$400, ALLData!$B$2:$B$400, 'Country-Specific Data'!K$1, ALLData!$G$2:$G$400, 'Country-Specific Data'!$A10)</f>
        <v>1297471</v>
      </c>
      <c r="L10" s="7">
        <f>SUMIFS(ALLData!$M$2:$M$400, ALLData!$B$2:$B$400, 'Country-Specific Data'!L$1, ALLData!$G$2:$G$400, 'Country-Specific Data'!$A10)</f>
        <v>9314930.2799999993</v>
      </c>
      <c r="M10" s="7">
        <f>SUMIFS(ALLData!$M$2:$M$400, ALLData!$B$2:$B$400, 'Country-Specific Data'!M$1, ALLData!$G$2:$G$400, 'Country-Specific Data'!$A10)</f>
        <v>7318699.7166666659</v>
      </c>
      <c r="N10" s="7">
        <f>SUMIFS(ALLData!$M$2:$M$400, ALLData!$B$2:$B$400, 'Country-Specific Data'!N$1, ALLData!$G$2:$G$400, 'Country-Specific Data'!$A10)</f>
        <v>32776323.616666667</v>
      </c>
      <c r="O10" s="7">
        <f>SUMIFS(ALLData!$M$2:$M$400, ALLData!$B$2:$B$400, 'Country-Specific Data'!O$1, ALLData!$G$2:$G$400, 'Country-Specific Data'!$A10)</f>
        <v>24092476.25</v>
      </c>
      <c r="P10" s="7">
        <f>SUMIFS(ALLData!$M$2:$M$400, ALLData!$B$2:$B$400, 'Country-Specific Data'!P$1, ALLData!$G$2:$G$400, 'Country-Specific Data'!$A10)</f>
        <v>17833143</v>
      </c>
    </row>
    <row r="11" spans="1:16" x14ac:dyDescent="0.25">
      <c r="A11" t="s">
        <v>62</v>
      </c>
      <c r="B11" s="7">
        <f>SUMIFS(ALLData!$M$2:$M$400, ALLData!$B$2:$B$400, 'Country-Specific Data'!B$1, ALLData!$G$2:$G$400, 'Country-Specific Data'!$A11)</f>
        <v>0</v>
      </c>
      <c r="C11" s="7">
        <f>SUMIFS(ALLData!$M$2:$M$400, ALLData!$B$2:$B$400, 'Country-Specific Data'!C$1, ALLData!$G$2:$G$400, 'Country-Specific Data'!$A11)</f>
        <v>0</v>
      </c>
      <c r="D11" s="7">
        <f>SUMIFS(ALLData!$M$2:$M$400, ALLData!$B$2:$B$400, 'Country-Specific Data'!D$1, ALLData!$G$2:$G$400, 'Country-Specific Data'!$A11)</f>
        <v>0</v>
      </c>
      <c r="E11" s="7">
        <f>SUMIFS(ALLData!$M$2:$M$400, ALLData!$B$2:$B$400, 'Country-Specific Data'!E$1, ALLData!$G$2:$G$400, 'Country-Specific Data'!$A11)</f>
        <v>0</v>
      </c>
      <c r="F11" s="7">
        <f>SUMIFS(ALLData!$M$2:$M$400, ALLData!$B$2:$B$400, 'Country-Specific Data'!F$1, ALLData!$G$2:$G$400, 'Country-Specific Data'!$A11)</f>
        <v>780000</v>
      </c>
      <c r="G11" s="7">
        <f>SUMIFS(ALLData!$M$2:$M$400, ALLData!$B$2:$B$400, 'Country-Specific Data'!G$1, ALLData!$G$2:$G$400, 'Country-Specific Data'!$A11)</f>
        <v>0</v>
      </c>
      <c r="H11" s="7">
        <f>SUMIFS(ALLData!$M$2:$M$400, ALLData!$B$2:$B$400, 'Country-Specific Data'!H$1, ALLData!$G$2:$G$400, 'Country-Specific Data'!$A11)</f>
        <v>0</v>
      </c>
      <c r="I11" s="7">
        <f>SUMIFS(ALLData!$M$2:$M$400, ALLData!$B$2:$B$400, 'Country-Specific Data'!I$1, ALLData!$G$2:$G$400, 'Country-Specific Data'!$A11)</f>
        <v>0</v>
      </c>
      <c r="J11" s="7">
        <f>SUMIFS(ALLData!$M$2:$M$400, ALLData!$B$2:$B$400, 'Country-Specific Data'!J$1, ALLData!$G$2:$G$400, 'Country-Specific Data'!$A11)</f>
        <v>0</v>
      </c>
      <c r="K11" s="7">
        <f>SUMIFS(ALLData!$M$2:$M$400, ALLData!$B$2:$B$400, 'Country-Specific Data'!K$1, ALLData!$G$2:$G$400, 'Country-Specific Data'!$A11)</f>
        <v>0</v>
      </c>
      <c r="L11" s="7">
        <f>SUMIFS(ALLData!$M$2:$M$400, ALLData!$B$2:$B$400, 'Country-Specific Data'!L$1, ALLData!$G$2:$G$400, 'Country-Specific Data'!$A11)</f>
        <v>0</v>
      </c>
      <c r="M11" s="7">
        <f>SUMIFS(ALLData!$M$2:$M$400, ALLData!$B$2:$B$400, 'Country-Specific Data'!M$1, ALLData!$G$2:$G$400, 'Country-Specific Data'!$A11)</f>
        <v>0</v>
      </c>
      <c r="N11" s="7">
        <f>SUMIFS(ALLData!$M$2:$M$400, ALLData!$B$2:$B$400, 'Country-Specific Data'!N$1, ALLData!$G$2:$G$400, 'Country-Specific Data'!$A11)</f>
        <v>0</v>
      </c>
      <c r="O11" s="7">
        <f>SUMIFS(ALLData!$M$2:$M$400, ALLData!$B$2:$B$400, 'Country-Specific Data'!O$1, ALLData!$G$2:$G$400, 'Country-Specific Data'!$A11)</f>
        <v>0</v>
      </c>
      <c r="P11" s="7">
        <f>SUMIFS(ALLData!$M$2:$M$400, ALLData!$B$2:$B$400, 'Country-Specific Data'!P$1, ALLData!$G$2:$G$400, 'Country-Specific Data'!$A11)</f>
        <v>0</v>
      </c>
    </row>
    <row r="12" spans="1:16" x14ac:dyDescent="0.25">
      <c r="A12" t="s">
        <v>131</v>
      </c>
      <c r="B12" s="7">
        <f>SUMIFS(ALLData!$M$2:$M$400, ALLData!$B$2:$B$400, 'Country-Specific Data'!B$1, ALLData!$G$2:$G$400, 'Country-Specific Data'!$A12)</f>
        <v>0</v>
      </c>
      <c r="C12" s="7">
        <f>SUMIFS(ALLData!$M$2:$M$400, ALLData!$B$2:$B$400, 'Country-Specific Data'!C$1, ALLData!$G$2:$G$400, 'Country-Specific Data'!$A12)</f>
        <v>348539.99034259311</v>
      </c>
      <c r="D12" s="7">
        <f>SUMIFS(ALLData!$M$2:$M$400, ALLData!$B$2:$B$400, 'Country-Specific Data'!D$1, ALLData!$G$2:$G$400, 'Country-Specific Data'!$A12)</f>
        <v>18075418.870202549</v>
      </c>
      <c r="E12" s="7">
        <f>SUMIFS(ALLData!$M$2:$M$400, ALLData!$B$2:$B$400, 'Country-Specific Data'!E$1, ALLData!$G$2:$G$400, 'Country-Specific Data'!$A12)</f>
        <v>0</v>
      </c>
      <c r="F12" s="7">
        <f>SUMIFS(ALLData!$M$2:$M$400, ALLData!$B$2:$B$400, 'Country-Specific Data'!F$1, ALLData!$G$2:$G$400, 'Country-Specific Data'!$A12)</f>
        <v>0</v>
      </c>
      <c r="G12" s="7">
        <f>SUMIFS(ALLData!$M$2:$M$400, ALLData!$B$2:$B$400, 'Country-Specific Data'!G$1, ALLData!$G$2:$G$400, 'Country-Specific Data'!$A12)</f>
        <v>0</v>
      </c>
      <c r="H12" s="7">
        <f>SUMIFS(ALLData!$M$2:$M$400, ALLData!$B$2:$B$400, 'Country-Specific Data'!H$1, ALLData!$G$2:$G$400, 'Country-Specific Data'!$A12)</f>
        <v>0</v>
      </c>
      <c r="I12" s="7">
        <f>SUMIFS(ALLData!$M$2:$M$400, ALLData!$B$2:$B$400, 'Country-Specific Data'!I$1, ALLData!$G$2:$G$400, 'Country-Specific Data'!$A12)</f>
        <v>0</v>
      </c>
      <c r="J12" s="7">
        <f>SUMIFS(ALLData!$M$2:$M$400, ALLData!$B$2:$B$400, 'Country-Specific Data'!J$1, ALLData!$G$2:$G$400, 'Country-Specific Data'!$A12)</f>
        <v>6197864.5007999996</v>
      </c>
      <c r="K12" s="7">
        <f>SUMIFS(ALLData!$M$2:$M$400, ALLData!$B$2:$B$400, 'Country-Specific Data'!K$1, ALLData!$G$2:$G$400, 'Country-Specific Data'!$A12)</f>
        <v>0</v>
      </c>
      <c r="L12" s="7">
        <f>SUMIFS(ALLData!$M$2:$M$400, ALLData!$B$2:$B$400, 'Country-Specific Data'!L$1, ALLData!$G$2:$G$400, 'Country-Specific Data'!$A12)</f>
        <v>0</v>
      </c>
      <c r="M12" s="7">
        <f>SUMIFS(ALLData!$M$2:$M$400, ALLData!$B$2:$B$400, 'Country-Specific Data'!M$1, ALLData!$G$2:$G$400, 'Country-Specific Data'!$A12)</f>
        <v>0</v>
      </c>
      <c r="N12" s="7">
        <f>SUMIFS(ALLData!$M$2:$M$400, ALLData!$B$2:$B$400, 'Country-Specific Data'!N$1, ALLData!$G$2:$G$400, 'Country-Specific Data'!$A12)</f>
        <v>0</v>
      </c>
      <c r="O12" s="7">
        <f>SUMIFS(ALLData!$M$2:$M$400, ALLData!$B$2:$B$400, 'Country-Specific Data'!O$1, ALLData!$G$2:$G$400, 'Country-Specific Data'!$A12)</f>
        <v>0</v>
      </c>
      <c r="P12" s="7">
        <f>SUMIFS(ALLData!$M$2:$M$400, ALLData!$B$2:$B$400, 'Country-Specific Data'!P$1, ALLData!$G$2:$G$400, 'Country-Specific Data'!$A12)</f>
        <v>0</v>
      </c>
    </row>
    <row r="13" spans="1:16" x14ac:dyDescent="0.25">
      <c r="A13" t="s">
        <v>414</v>
      </c>
      <c r="B13" s="7">
        <f>SUMIFS(ALLData!$M$2:$M$400, ALLData!$B$2:$B$400, 'Country-Specific Data'!B$1, ALLData!$G$2:$G$400, 'Country-Specific Data'!$A13)</f>
        <v>0</v>
      </c>
      <c r="C13" s="7">
        <f>SUMIFS(ALLData!$M$2:$M$400, ALLData!$B$2:$B$400, 'Country-Specific Data'!C$1, ALLData!$G$2:$G$400, 'Country-Specific Data'!$A13)</f>
        <v>0</v>
      </c>
      <c r="D13" s="7">
        <f>SUMIFS(ALLData!$M$2:$M$400, ALLData!$B$2:$B$400, 'Country-Specific Data'!D$1, ALLData!$G$2:$G$400, 'Country-Specific Data'!$A13)</f>
        <v>0</v>
      </c>
      <c r="E13" s="7">
        <f>SUMIFS(ALLData!$M$2:$M$400, ALLData!$B$2:$B$400, 'Country-Specific Data'!E$1, ALLData!$G$2:$G$400, 'Country-Specific Data'!$A13)</f>
        <v>0</v>
      </c>
      <c r="F13" s="7">
        <f>SUMIFS(ALLData!$M$2:$M$400, ALLData!$B$2:$B$400, 'Country-Specific Data'!F$1, ALLData!$G$2:$G$400, 'Country-Specific Data'!$A13)</f>
        <v>0</v>
      </c>
      <c r="G13" s="7">
        <f>SUMIFS(ALLData!$M$2:$M$400, ALLData!$B$2:$B$400, 'Country-Specific Data'!G$1, ALLData!$G$2:$G$400, 'Country-Specific Data'!$A13)</f>
        <v>0</v>
      </c>
      <c r="H13" s="7">
        <f>SUMIFS(ALLData!$M$2:$M$400, ALLData!$B$2:$B$400, 'Country-Specific Data'!H$1, ALLData!$G$2:$G$400, 'Country-Specific Data'!$A13)</f>
        <v>0</v>
      </c>
      <c r="I13" s="7">
        <f>SUMIFS(ALLData!$M$2:$M$400, ALLData!$B$2:$B$400, 'Country-Specific Data'!I$1, ALLData!$G$2:$G$400, 'Country-Specific Data'!$A13)</f>
        <v>0</v>
      </c>
      <c r="J13" s="7">
        <f>SUMIFS(ALLData!$M$2:$M$400, ALLData!$B$2:$B$400, 'Country-Specific Data'!J$1, ALLData!$G$2:$G$400, 'Country-Specific Data'!$A13)</f>
        <v>0</v>
      </c>
      <c r="K13" s="7">
        <f>SUMIFS(ALLData!$M$2:$M$400, ALLData!$B$2:$B$400, 'Country-Specific Data'!K$1, ALLData!$G$2:$G$400, 'Country-Specific Data'!$A13)</f>
        <v>0</v>
      </c>
      <c r="L13" s="7">
        <f>SUMIFS(ALLData!$M$2:$M$400, ALLData!$B$2:$B$400, 'Country-Specific Data'!L$1, ALLData!$G$2:$G$400, 'Country-Specific Data'!$A13)</f>
        <v>0</v>
      </c>
      <c r="M13" s="7">
        <f>SUMIFS(ALLData!$M$2:$M$400, ALLData!$B$2:$B$400, 'Country-Specific Data'!M$1, ALLData!$G$2:$G$400, 'Country-Specific Data'!$A13)</f>
        <v>0</v>
      </c>
      <c r="N13" s="7">
        <f>SUMIFS(ALLData!$M$2:$M$400, ALLData!$B$2:$B$400, 'Country-Specific Data'!N$1, ALLData!$G$2:$G$400, 'Country-Specific Data'!$A13)</f>
        <v>0</v>
      </c>
      <c r="O13" s="7">
        <f>SUMIFS(ALLData!$M$2:$M$400, ALLData!$B$2:$B$400, 'Country-Specific Data'!O$1, ALLData!$G$2:$G$400, 'Country-Specific Data'!$A13)</f>
        <v>0</v>
      </c>
      <c r="P13" s="7">
        <f>SUMIFS(ALLData!$M$2:$M$400, ALLData!$B$2:$B$400, 'Country-Specific Data'!P$1, ALLData!$G$2:$G$400, 'Country-Specific Data'!$A13)</f>
        <v>0</v>
      </c>
    </row>
    <row r="14" spans="1:16" x14ac:dyDescent="0.25">
      <c r="A14" t="s">
        <v>46</v>
      </c>
      <c r="B14" s="7">
        <f>SUMIFS(ALLData!$M$2:$M$400, ALLData!$B$2:$B$400, 'Country-Specific Data'!B$1, ALLData!$G$2:$G$400, 'Country-Specific Data'!$A14)</f>
        <v>0</v>
      </c>
      <c r="C14" s="7">
        <f>SUMIFS(ALLData!$M$2:$M$400, ALLData!$B$2:$B$400, 'Country-Specific Data'!C$1, ALLData!$G$2:$G$400, 'Country-Specific Data'!$A14)</f>
        <v>0</v>
      </c>
      <c r="D14" s="7">
        <f>SUMIFS(ALLData!$M$2:$M$400, ALLData!$B$2:$B$400, 'Country-Specific Data'!D$1, ALLData!$G$2:$G$400, 'Country-Specific Data'!$A14)</f>
        <v>0</v>
      </c>
      <c r="E14" s="7">
        <f>SUMIFS(ALLData!$M$2:$M$400, ALLData!$B$2:$B$400, 'Country-Specific Data'!E$1, ALLData!$G$2:$G$400, 'Country-Specific Data'!$A14)</f>
        <v>0</v>
      </c>
      <c r="F14" s="7">
        <f>SUMIFS(ALLData!$M$2:$M$400, ALLData!$B$2:$B$400, 'Country-Specific Data'!F$1, ALLData!$G$2:$G$400, 'Country-Specific Data'!$A14)</f>
        <v>207805.22825882534</v>
      </c>
      <c r="G14" s="7">
        <f>SUMIFS(ALLData!$M$2:$M$400, ALLData!$B$2:$B$400, 'Country-Specific Data'!G$1, ALLData!$G$2:$G$400, 'Country-Specific Data'!$A14)</f>
        <v>0</v>
      </c>
      <c r="H14" s="7">
        <f>SUMIFS(ALLData!$M$2:$M$400, ALLData!$B$2:$B$400, 'Country-Specific Data'!H$1, ALLData!$G$2:$G$400, 'Country-Specific Data'!$A14)</f>
        <v>0</v>
      </c>
      <c r="I14" s="7">
        <f>SUMIFS(ALLData!$M$2:$M$400, ALLData!$B$2:$B$400, 'Country-Specific Data'!I$1, ALLData!$G$2:$G$400, 'Country-Specific Data'!$A14)</f>
        <v>0</v>
      </c>
      <c r="J14" s="7">
        <f>SUMIFS(ALLData!$M$2:$M$400, ALLData!$B$2:$B$400, 'Country-Specific Data'!J$1, ALLData!$G$2:$G$400, 'Country-Specific Data'!$A14)</f>
        <v>996080</v>
      </c>
      <c r="K14" s="7">
        <f>SUMIFS(ALLData!$M$2:$M$400, ALLData!$B$2:$B$400, 'Country-Specific Data'!K$1, ALLData!$G$2:$G$400, 'Country-Specific Data'!$A14)</f>
        <v>0</v>
      </c>
      <c r="L14" s="7">
        <f>SUMIFS(ALLData!$M$2:$M$400, ALLData!$B$2:$B$400, 'Country-Specific Data'!L$1, ALLData!$G$2:$G$400, 'Country-Specific Data'!$A14)</f>
        <v>101475</v>
      </c>
      <c r="M14" s="7">
        <f>SUMIFS(ALLData!$M$2:$M$400, ALLData!$B$2:$B$400, 'Country-Specific Data'!M$1, ALLData!$G$2:$G$400, 'Country-Specific Data'!$A14)</f>
        <v>1784048.4500000002</v>
      </c>
      <c r="N14" s="7">
        <f>SUMIFS(ALLData!$M$2:$M$400, ALLData!$B$2:$B$400, 'Country-Specific Data'!N$1, ALLData!$G$2:$G$400, 'Country-Specific Data'!$A14)</f>
        <v>508944992</v>
      </c>
      <c r="O14" s="7">
        <f>SUMIFS(ALLData!$M$2:$M$400, ALLData!$B$2:$B$400, 'Country-Specific Data'!O$1, ALLData!$G$2:$G$400, 'Country-Specific Data'!$A14)</f>
        <v>538000</v>
      </c>
      <c r="P14" s="7">
        <f>SUMIFS(ALLData!$M$2:$M$400, ALLData!$B$2:$B$400, 'Country-Specific Data'!P$1, ALLData!$G$2:$G$400, 'Country-Specific Data'!$A14)</f>
        <v>860000</v>
      </c>
    </row>
    <row r="15" spans="1:16" x14ac:dyDescent="0.25">
      <c r="A15" t="s">
        <v>399</v>
      </c>
      <c r="B15" s="7">
        <f>SUMIFS(ALLData!$M$2:$M$400, ALLData!$B$2:$B$400, 'Country-Specific Data'!B$1, ALLData!$G$2:$G$400, 'Country-Specific Data'!$A15)</f>
        <v>0</v>
      </c>
      <c r="C15" s="7">
        <f>SUMIFS(ALLData!$M$2:$M$400, ALLData!$B$2:$B$400, 'Country-Specific Data'!C$1, ALLData!$G$2:$G$400, 'Country-Specific Data'!$A15)</f>
        <v>0</v>
      </c>
      <c r="D15" s="7">
        <f>SUMIFS(ALLData!$M$2:$M$400, ALLData!$B$2:$B$400, 'Country-Specific Data'!D$1, ALLData!$G$2:$G$400, 'Country-Specific Data'!$A15)</f>
        <v>0</v>
      </c>
      <c r="E15" s="7">
        <f>SUMIFS(ALLData!$M$2:$M$400, ALLData!$B$2:$B$400, 'Country-Specific Data'!E$1, ALLData!$G$2:$G$400, 'Country-Specific Data'!$A15)</f>
        <v>0</v>
      </c>
      <c r="F15" s="7">
        <f>SUMIFS(ALLData!$M$2:$M$400, ALLData!$B$2:$B$400, 'Country-Specific Data'!F$1, ALLData!$G$2:$G$400, 'Country-Specific Data'!$A15)</f>
        <v>0</v>
      </c>
      <c r="G15" s="7">
        <f>SUMIFS(ALLData!$M$2:$M$400, ALLData!$B$2:$B$400, 'Country-Specific Data'!G$1, ALLData!$G$2:$G$400, 'Country-Specific Data'!$A15)</f>
        <v>0</v>
      </c>
      <c r="H15" s="7">
        <f>SUMIFS(ALLData!$M$2:$M$400, ALLData!$B$2:$B$400, 'Country-Specific Data'!H$1, ALLData!$G$2:$G$400, 'Country-Specific Data'!$A15)</f>
        <v>0</v>
      </c>
      <c r="I15" s="7">
        <f>SUMIFS(ALLData!$M$2:$M$400, ALLData!$B$2:$B$400, 'Country-Specific Data'!I$1, ALLData!$G$2:$G$400, 'Country-Specific Data'!$A15)</f>
        <v>0</v>
      </c>
      <c r="J15" s="7">
        <f>SUMIFS(ALLData!$M$2:$M$400, ALLData!$B$2:$B$400, 'Country-Specific Data'!J$1, ALLData!$G$2:$G$400, 'Country-Specific Data'!$A15)</f>
        <v>162882</v>
      </c>
      <c r="K15" s="7">
        <f>SUMIFS(ALLData!$M$2:$M$400, ALLData!$B$2:$B$400, 'Country-Specific Data'!K$1, ALLData!$G$2:$G$400, 'Country-Specific Data'!$A15)</f>
        <v>291523</v>
      </c>
      <c r="L15" s="7">
        <f>SUMIFS(ALLData!$M$2:$M$400, ALLData!$B$2:$B$400, 'Country-Specific Data'!L$1, ALLData!$G$2:$G$400, 'Country-Specific Data'!$A15)</f>
        <v>1824067.28</v>
      </c>
      <c r="M15" s="7">
        <f>SUMIFS(ALLData!$M$2:$M$400, ALLData!$B$2:$B$400, 'Country-Specific Data'!M$1, ALLData!$G$2:$G$400, 'Country-Specific Data'!$A15)</f>
        <v>246011.2</v>
      </c>
      <c r="N15" s="7">
        <f>SUMIFS(ALLData!$M$2:$M$400, ALLData!$B$2:$B$400, 'Country-Specific Data'!N$1, ALLData!$G$2:$G$400, 'Country-Specific Data'!$A15)</f>
        <v>10550458.050000001</v>
      </c>
      <c r="O15" s="7">
        <f>SUMIFS(ALLData!$M$2:$M$400, ALLData!$B$2:$B$400, 'Country-Specific Data'!O$1, ALLData!$G$2:$G$400, 'Country-Specific Data'!$A15)</f>
        <v>8007658.6699999999</v>
      </c>
      <c r="P15" s="7">
        <f>SUMIFS(ALLData!$M$2:$M$400, ALLData!$B$2:$B$400, 'Country-Specific Data'!P$1, ALLData!$G$2:$G$400, 'Country-Specific Data'!$A15)</f>
        <v>22172</v>
      </c>
    </row>
    <row r="16" spans="1:16" x14ac:dyDescent="0.25">
      <c r="A16" t="s">
        <v>436</v>
      </c>
      <c r="B16" s="7">
        <f>SUMIFS(ALLData!$M$2:$M$400, ALLData!$B$2:$B$400, 'Country-Specific Data'!B$1, ALLData!$G$2:$G$400, 'Country-Specific Data'!$A16)</f>
        <v>0</v>
      </c>
      <c r="C16" s="7">
        <f>SUMIFS(ALLData!$M$2:$M$400, ALLData!$B$2:$B$400, 'Country-Specific Data'!C$1, ALLData!$G$2:$G$400, 'Country-Specific Data'!$A16)</f>
        <v>0</v>
      </c>
      <c r="D16" s="7">
        <f>SUMIFS(ALLData!$M$2:$M$400, ALLData!$B$2:$B$400, 'Country-Specific Data'!D$1, ALLData!$G$2:$G$400, 'Country-Specific Data'!$A16)</f>
        <v>0</v>
      </c>
      <c r="E16" s="7">
        <f>SUMIFS(ALLData!$M$2:$M$400, ALLData!$B$2:$B$400, 'Country-Specific Data'!E$1, ALLData!$G$2:$G$400, 'Country-Specific Data'!$A16)</f>
        <v>0</v>
      </c>
      <c r="F16" s="7">
        <f>SUMIFS(ALLData!$M$2:$M$400, ALLData!$B$2:$B$400, 'Country-Specific Data'!F$1, ALLData!$G$2:$G$400, 'Country-Specific Data'!$A16)</f>
        <v>0</v>
      </c>
      <c r="G16" s="7">
        <f>SUMIFS(ALLData!$M$2:$M$400, ALLData!$B$2:$B$400, 'Country-Specific Data'!G$1, ALLData!$G$2:$G$400, 'Country-Specific Data'!$A16)</f>
        <v>0</v>
      </c>
      <c r="H16" s="7">
        <f>SUMIFS(ALLData!$M$2:$M$400, ALLData!$B$2:$B$400, 'Country-Specific Data'!H$1, ALLData!$G$2:$G$400, 'Country-Specific Data'!$A16)</f>
        <v>0</v>
      </c>
      <c r="I16" s="7">
        <f>SUMIFS(ALLData!$M$2:$M$400, ALLData!$B$2:$B$400, 'Country-Specific Data'!I$1, ALLData!$G$2:$G$400, 'Country-Specific Data'!$A16)</f>
        <v>0</v>
      </c>
      <c r="J16" s="7">
        <f>SUMIFS(ALLData!$M$2:$M$400, ALLData!$B$2:$B$400, 'Country-Specific Data'!J$1, ALLData!$G$2:$G$400, 'Country-Specific Data'!$A16)</f>
        <v>0</v>
      </c>
      <c r="K16" s="7">
        <f>SUMIFS(ALLData!$M$2:$M$400, ALLData!$B$2:$B$400, 'Country-Specific Data'!K$1, ALLData!$G$2:$G$400, 'Country-Specific Data'!$A16)</f>
        <v>0</v>
      </c>
      <c r="L16" s="7">
        <f>SUMIFS(ALLData!$M$2:$M$400, ALLData!$B$2:$B$400, 'Country-Specific Data'!L$1, ALLData!$G$2:$G$400, 'Country-Specific Data'!$A16)</f>
        <v>0</v>
      </c>
      <c r="M16" s="7">
        <f>SUMIFS(ALLData!$M$2:$M$400, ALLData!$B$2:$B$400, 'Country-Specific Data'!M$1, ALLData!$G$2:$G$400, 'Country-Specific Data'!$A16)</f>
        <v>0</v>
      </c>
      <c r="N16" s="7">
        <f>SUMIFS(ALLData!$M$2:$M$400, ALLData!$B$2:$B$400, 'Country-Specific Data'!N$1, ALLData!$G$2:$G$400, 'Country-Specific Data'!$A16)</f>
        <v>0</v>
      </c>
      <c r="O16" s="7">
        <f>SUMIFS(ALLData!$M$2:$M$400, ALLData!$B$2:$B$400, 'Country-Specific Data'!O$1, ALLData!$G$2:$G$400, 'Country-Specific Data'!$A16)</f>
        <v>0</v>
      </c>
      <c r="P16" s="7">
        <f>SUMIFS(ALLData!$M$2:$M$400, ALLData!$B$2:$B$400, 'Country-Specific Data'!P$1, ALLData!$G$2:$G$400, 'Country-Specific Data'!$A16)</f>
        <v>0</v>
      </c>
    </row>
    <row r="17" spans="1:16" x14ac:dyDescent="0.25">
      <c r="A17" t="s">
        <v>415</v>
      </c>
      <c r="B17" s="7">
        <f>SUMIFS(ALLData!$M$2:$M$400, ALLData!$B$2:$B$400, 'Country-Specific Data'!B$1, ALLData!$G$2:$G$400, 'Country-Specific Data'!$A17)</f>
        <v>409269.33333333331</v>
      </c>
      <c r="C17" s="7">
        <f>SUMIFS(ALLData!$M$2:$M$400, ALLData!$B$2:$B$400, 'Country-Specific Data'!C$1, ALLData!$G$2:$G$400, 'Country-Specific Data'!$A17)</f>
        <v>6969893.0383434501</v>
      </c>
      <c r="D17" s="7">
        <f>SUMIFS(ALLData!$M$2:$M$400, ALLData!$B$2:$B$400, 'Country-Specific Data'!D$1, ALLData!$G$2:$G$400, 'Country-Specific Data'!$A17)</f>
        <v>194148255.85388988</v>
      </c>
      <c r="E17" s="7">
        <f>SUMIFS(ALLData!$M$2:$M$400, ALLData!$B$2:$B$400, 'Country-Specific Data'!E$1, ALLData!$G$2:$G$400, 'Country-Specific Data'!$A17)</f>
        <v>894656004.08439314</v>
      </c>
      <c r="F17" s="7">
        <f>SUMIFS(ALLData!$M$2:$M$400, ALLData!$B$2:$B$400, 'Country-Specific Data'!F$1, ALLData!$G$2:$G$400, 'Country-Specific Data'!$A17)</f>
        <v>94313734.807110339</v>
      </c>
      <c r="G17" s="7">
        <f>SUMIFS(ALLData!$M$2:$M$400, ALLData!$B$2:$B$400, 'Country-Specific Data'!G$1, ALLData!$G$2:$G$400, 'Country-Specific Data'!$A17)</f>
        <v>324690467.36203426</v>
      </c>
      <c r="H17" s="7">
        <f>SUMIFS(ALLData!$M$2:$M$400, ALLData!$B$2:$B$400, 'Country-Specific Data'!H$1, ALLData!$G$2:$G$400, 'Country-Specific Data'!$A17)</f>
        <v>11569.145603722292</v>
      </c>
      <c r="I17" s="7">
        <f>SUMIFS(ALLData!$M$2:$M$400, ALLData!$B$2:$B$400, 'Country-Specific Data'!I$1, ALLData!$G$2:$G$400, 'Country-Specific Data'!$A17)</f>
        <v>518358</v>
      </c>
      <c r="J17" s="7">
        <f>SUMIFS(ALLData!$M$2:$M$400, ALLData!$B$2:$B$400, 'Country-Specific Data'!J$1, ALLData!$G$2:$G$400, 'Country-Specific Data'!$A17)</f>
        <v>48698418.371820003</v>
      </c>
      <c r="K17" s="7">
        <f>SUMIFS(ALLData!$M$2:$M$400, ALLData!$B$2:$B$400, 'Country-Specific Data'!K$1, ALLData!$G$2:$G$400, 'Country-Specific Data'!$A17)</f>
        <v>1104711</v>
      </c>
      <c r="L17" s="7">
        <f>SUMIFS(ALLData!$M$2:$M$400, ALLData!$B$2:$B$400, 'Country-Specific Data'!L$1, ALLData!$G$2:$G$400, 'Country-Specific Data'!$A17)</f>
        <v>2936905.5</v>
      </c>
      <c r="M17" s="7">
        <f>SUMIFS(ALLData!$M$2:$M$400, ALLData!$B$2:$B$400, 'Country-Specific Data'!M$1, ALLData!$G$2:$G$400, 'Country-Specific Data'!$A17)</f>
        <v>144051.6</v>
      </c>
      <c r="N17" s="7">
        <f>SUMIFS(ALLData!$M$2:$M$400, ALLData!$B$2:$B$400, 'Country-Specific Data'!N$1, ALLData!$G$2:$G$400, 'Country-Specific Data'!$A17)</f>
        <v>17834428.466666669</v>
      </c>
      <c r="O17" s="7">
        <f>SUMIFS(ALLData!$M$2:$M$400, ALLData!$B$2:$B$400, 'Country-Specific Data'!O$1, ALLData!$G$2:$G$400, 'Country-Specific Data'!$A17)</f>
        <v>0</v>
      </c>
      <c r="P17" s="7">
        <f>SUMIFS(ALLData!$M$2:$M$400, ALLData!$B$2:$B$400, 'Country-Specific Data'!P$1, ALLData!$G$2:$G$400, 'Country-Specific Data'!$A17)</f>
        <v>187500</v>
      </c>
    </row>
    <row r="18" spans="1:16" x14ac:dyDescent="0.25">
      <c r="A18" t="s">
        <v>319</v>
      </c>
      <c r="B18" s="7">
        <f>SUMIFS(ALLData!$M$2:$M$400, ALLData!$B$2:$B$400, 'Country-Specific Data'!B$1, ALLData!$G$2:$G$400, 'Country-Specific Data'!$A18)</f>
        <v>0</v>
      </c>
      <c r="C18" s="7">
        <f>SUMIFS(ALLData!$M$2:$M$400, ALLData!$B$2:$B$400, 'Country-Specific Data'!C$1, ALLData!$G$2:$G$400, 'Country-Specific Data'!$A18)</f>
        <v>0</v>
      </c>
      <c r="D18" s="7">
        <f>SUMIFS(ALLData!$M$2:$M$400, ALLData!$B$2:$B$400, 'Country-Specific Data'!D$1, ALLData!$G$2:$G$400, 'Country-Specific Data'!$A18)</f>
        <v>0</v>
      </c>
      <c r="E18" s="7">
        <f>SUMIFS(ALLData!$M$2:$M$400, ALLData!$B$2:$B$400, 'Country-Specific Data'!E$1, ALLData!$G$2:$G$400, 'Country-Specific Data'!$A18)</f>
        <v>0</v>
      </c>
      <c r="F18" s="7">
        <f>SUMIFS(ALLData!$M$2:$M$400, ALLData!$B$2:$B$400, 'Country-Specific Data'!F$1, ALLData!$G$2:$G$400, 'Country-Specific Data'!$A18)</f>
        <v>0</v>
      </c>
      <c r="G18" s="7">
        <f>SUMIFS(ALLData!$M$2:$M$400, ALLData!$B$2:$B$400, 'Country-Specific Data'!G$1, ALLData!$G$2:$G$400, 'Country-Specific Data'!$A18)</f>
        <v>0</v>
      </c>
      <c r="H18" s="7">
        <f>SUMIFS(ALLData!$M$2:$M$400, ALLData!$B$2:$B$400, 'Country-Specific Data'!H$1, ALLData!$G$2:$G$400, 'Country-Specific Data'!$A18)</f>
        <v>0</v>
      </c>
      <c r="I18" s="7">
        <f>SUMIFS(ALLData!$M$2:$M$400, ALLData!$B$2:$B$400, 'Country-Specific Data'!I$1, ALLData!$G$2:$G$400, 'Country-Specific Data'!$A18)</f>
        <v>0</v>
      </c>
      <c r="J18" s="7">
        <f>SUMIFS(ALLData!$M$2:$M$400, ALLData!$B$2:$B$400, 'Country-Specific Data'!J$1, ALLData!$G$2:$G$400, 'Country-Specific Data'!$A18)</f>
        <v>0</v>
      </c>
      <c r="K18" s="7">
        <f>SUMIFS(ALLData!$M$2:$M$400, ALLData!$B$2:$B$400, 'Country-Specific Data'!K$1, ALLData!$G$2:$G$400, 'Country-Specific Data'!$A18)</f>
        <v>0</v>
      </c>
      <c r="L18" s="7">
        <f>SUMIFS(ALLData!$M$2:$M$400, ALLData!$B$2:$B$400, 'Country-Specific Data'!L$1, ALLData!$G$2:$G$400, 'Country-Specific Data'!$A18)</f>
        <v>0</v>
      </c>
      <c r="M18" s="7">
        <f>SUMIFS(ALLData!$M$2:$M$400, ALLData!$B$2:$B$400, 'Country-Specific Data'!M$1, ALLData!$G$2:$G$400, 'Country-Specific Data'!$A18)</f>
        <v>225937.86</v>
      </c>
      <c r="N18" s="7">
        <f>SUMIFS(ALLData!$M$2:$M$400, ALLData!$B$2:$B$400, 'Country-Specific Data'!N$1, ALLData!$G$2:$G$400, 'Country-Specific Data'!$A18)</f>
        <v>722.30000000000007</v>
      </c>
      <c r="O18" s="7">
        <f>SUMIFS(ALLData!$M$2:$M$400, ALLData!$B$2:$B$400, 'Country-Specific Data'!O$1, ALLData!$G$2:$G$400, 'Country-Specific Data'!$A18)</f>
        <v>0</v>
      </c>
      <c r="P18" s="7">
        <f>SUMIFS(ALLData!$M$2:$M$400, ALLData!$B$2:$B$400, 'Country-Specific Data'!P$1, ALLData!$G$2:$G$400, 'Country-Specific Data'!$A18)</f>
        <v>2746786</v>
      </c>
    </row>
    <row r="19" spans="1:16" x14ac:dyDescent="0.25">
      <c r="A19" t="s">
        <v>178</v>
      </c>
      <c r="B19" s="7">
        <f>SUMIFS(ALLData!$M$2:$M$400, ALLData!$B$2:$B$400, 'Country-Specific Data'!B$1, ALLData!$G$2:$G$400, 'Country-Specific Data'!$A19)</f>
        <v>0</v>
      </c>
      <c r="C19" s="7">
        <f>SUMIFS(ALLData!$M$2:$M$400, ALLData!$B$2:$B$400, 'Country-Specific Data'!C$1, ALLData!$G$2:$G$400, 'Country-Specific Data'!$A19)</f>
        <v>0</v>
      </c>
      <c r="D19" s="7">
        <f>SUMIFS(ALLData!$M$2:$M$400, ALLData!$B$2:$B$400, 'Country-Specific Data'!D$1, ALLData!$G$2:$G$400, 'Country-Specific Data'!$A19)</f>
        <v>0</v>
      </c>
      <c r="E19" s="7">
        <f>SUMIFS(ALLData!$M$2:$M$400, ALLData!$B$2:$B$400, 'Country-Specific Data'!E$1, ALLData!$G$2:$G$400, 'Country-Specific Data'!$A19)</f>
        <v>0</v>
      </c>
      <c r="F19" s="7">
        <f>SUMIFS(ALLData!$M$2:$M$400, ALLData!$B$2:$B$400, 'Country-Specific Data'!F$1, ALLData!$G$2:$G$400, 'Country-Specific Data'!$A19)</f>
        <v>0</v>
      </c>
      <c r="G19" s="7">
        <f>SUMIFS(ALLData!$M$2:$M$400, ALLData!$B$2:$B$400, 'Country-Specific Data'!G$1, ALLData!$G$2:$G$400, 'Country-Specific Data'!$A19)</f>
        <v>2485890</v>
      </c>
      <c r="H19" s="7">
        <f>SUMIFS(ALLData!$M$2:$M$400, ALLData!$B$2:$B$400, 'Country-Specific Data'!H$1, ALLData!$G$2:$G$400, 'Country-Specific Data'!$A19)</f>
        <v>0</v>
      </c>
      <c r="I19" s="7">
        <f>SUMIFS(ALLData!$M$2:$M$400, ALLData!$B$2:$B$400, 'Country-Specific Data'!I$1, ALLData!$G$2:$G$400, 'Country-Specific Data'!$A19)</f>
        <v>0</v>
      </c>
      <c r="J19" s="7">
        <f>SUMIFS(ALLData!$M$2:$M$400, ALLData!$B$2:$B$400, 'Country-Specific Data'!J$1, ALLData!$G$2:$G$400, 'Country-Specific Data'!$A19)</f>
        <v>18016283</v>
      </c>
      <c r="K19" s="7">
        <f>SUMIFS(ALLData!$M$2:$M$400, ALLData!$B$2:$B$400, 'Country-Specific Data'!K$1, ALLData!$G$2:$G$400, 'Country-Specific Data'!$A19)</f>
        <v>0</v>
      </c>
      <c r="L19" s="7">
        <f>SUMIFS(ALLData!$M$2:$M$400, ALLData!$B$2:$B$400, 'Country-Specific Data'!L$1, ALLData!$G$2:$G$400, 'Country-Specific Data'!$A19)</f>
        <v>280060.27999999997</v>
      </c>
      <c r="M19" s="7">
        <f>SUMIFS(ALLData!$M$2:$M$400, ALLData!$B$2:$B$400, 'Country-Specific Data'!M$1, ALLData!$G$2:$G$400, 'Country-Specific Data'!$A19)</f>
        <v>0</v>
      </c>
      <c r="N19" s="7">
        <f>SUMIFS(ALLData!$M$2:$M$400, ALLData!$B$2:$B$400, 'Country-Specific Data'!N$1, ALLData!$G$2:$G$400, 'Country-Specific Data'!$A19)</f>
        <v>0</v>
      </c>
      <c r="O19" s="7">
        <f>SUMIFS(ALLData!$M$2:$M$400, ALLData!$B$2:$B$400, 'Country-Specific Data'!O$1, ALLData!$G$2:$G$400, 'Country-Specific Data'!$A19)</f>
        <v>0</v>
      </c>
      <c r="P19" s="7">
        <f>SUMIFS(ALLData!$M$2:$M$400, ALLData!$B$2:$B$400, 'Country-Specific Data'!P$1, ALLData!$G$2:$G$400, 'Country-Specific Data'!$A19)</f>
        <v>0</v>
      </c>
    </row>
    <row r="21" spans="1:16" x14ac:dyDescent="0.25">
      <c r="A21" s="4" t="s">
        <v>188</v>
      </c>
      <c r="B21" s="25">
        <f>SUM(B3:B19)</f>
        <v>87482701.798010126</v>
      </c>
      <c r="C21" s="25">
        <f t="shared" ref="C21:P21" si="0">SUM(C3:C19)</f>
        <v>625048095</v>
      </c>
      <c r="D21" s="25">
        <f t="shared" si="0"/>
        <v>523857528.84091359</v>
      </c>
      <c r="E21" s="25">
        <f t="shared" si="0"/>
        <v>1301351614.6133332</v>
      </c>
      <c r="F21" s="25">
        <f t="shared" si="0"/>
        <v>216916107.60991484</v>
      </c>
      <c r="G21" s="25">
        <f t="shared" si="0"/>
        <v>345436200.63333333</v>
      </c>
      <c r="H21" s="25">
        <f t="shared" si="0"/>
        <v>121319543.46472251</v>
      </c>
      <c r="I21" s="25">
        <f t="shared" si="0"/>
        <v>3443035</v>
      </c>
      <c r="J21" s="25">
        <f t="shared" si="0"/>
        <v>1028679005.6693066</v>
      </c>
      <c r="K21" s="25">
        <f t="shared" si="0"/>
        <v>7031895</v>
      </c>
      <c r="L21" s="25">
        <f t="shared" si="0"/>
        <v>20352507.266666666</v>
      </c>
      <c r="M21" s="25">
        <f t="shared" si="0"/>
        <v>10296874.896666665</v>
      </c>
      <c r="N21" s="25">
        <f t="shared" si="0"/>
        <v>577283544.18333328</v>
      </c>
      <c r="O21" s="25">
        <f t="shared" si="0"/>
        <v>35794255.030000001</v>
      </c>
      <c r="P21" s="25">
        <f t="shared" si="0"/>
        <v>22574771</v>
      </c>
    </row>
    <row r="22" spans="1:16" x14ac:dyDescent="0.25">
      <c r="P22" s="7"/>
    </row>
    <row r="23" spans="1:16" x14ac:dyDescent="0.25">
      <c r="M23" s="7"/>
    </row>
  </sheetData>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5"/>
  <sheetViews>
    <sheetView zoomScale="80" zoomScaleNormal="80" workbookViewId="0">
      <pane ySplit="1" topLeftCell="A2" activePane="bottomLeft" state="frozen"/>
      <selection pane="bottomLeft" activeCell="D30" sqref="D30"/>
    </sheetView>
  </sheetViews>
  <sheetFormatPr defaultRowHeight="15" x14ac:dyDescent="0.25"/>
  <cols>
    <col min="1" max="1" width="23" customWidth="1"/>
    <col min="2" max="2" width="20.5703125" customWidth="1"/>
    <col min="3" max="3" width="16.5703125" bestFit="1" customWidth="1"/>
    <col min="4" max="4" width="11.28515625" bestFit="1" customWidth="1"/>
    <col min="5" max="5" width="16.5703125" bestFit="1" customWidth="1"/>
    <col min="6" max="6" width="14" bestFit="1" customWidth="1"/>
    <col min="7" max="7" width="15" bestFit="1" customWidth="1"/>
    <col min="8" max="9" width="12.7109375" bestFit="1" customWidth="1"/>
    <col min="10" max="10" width="12.140625" bestFit="1" customWidth="1"/>
    <col min="11" max="11" width="13.28515625" customWidth="1"/>
    <col min="12" max="12" width="12.140625" bestFit="1" customWidth="1"/>
    <col min="13" max="13" width="13.5703125" customWidth="1"/>
    <col min="14" max="14" width="14.42578125" customWidth="1"/>
  </cols>
  <sheetData>
    <row r="1" spans="1:17" x14ac:dyDescent="0.25">
      <c r="A1" s="14" t="s">
        <v>350</v>
      </c>
      <c r="B1" s="14"/>
      <c r="C1" s="14">
        <v>2011</v>
      </c>
      <c r="D1" s="14">
        <v>2012</v>
      </c>
      <c r="E1" s="14">
        <v>2013</v>
      </c>
      <c r="F1" s="14">
        <v>2014</v>
      </c>
      <c r="G1" s="14">
        <v>2015</v>
      </c>
      <c r="H1" s="14">
        <v>2016</v>
      </c>
      <c r="I1" s="14">
        <v>2017</v>
      </c>
      <c r="J1" s="14">
        <v>2018</v>
      </c>
      <c r="K1" s="14">
        <v>2019</v>
      </c>
      <c r="L1" s="14">
        <v>2020</v>
      </c>
      <c r="M1" s="14">
        <v>2021</v>
      </c>
      <c r="N1" s="4">
        <v>2022</v>
      </c>
      <c r="O1" s="4">
        <v>2023</v>
      </c>
      <c r="P1" s="4">
        <v>2024</v>
      </c>
      <c r="Q1" s="4">
        <v>2025</v>
      </c>
    </row>
    <row r="2" spans="1:17" x14ac:dyDescent="0.25">
      <c r="A2" s="4"/>
      <c r="B2" s="4"/>
      <c r="C2" s="4"/>
      <c r="D2" s="4"/>
      <c r="E2" s="4"/>
      <c r="F2" s="4"/>
      <c r="G2" s="4"/>
      <c r="H2" s="4"/>
      <c r="I2" s="4"/>
      <c r="J2" s="4"/>
      <c r="K2" s="4"/>
      <c r="L2" s="4"/>
    </row>
    <row r="3" spans="1:17" x14ac:dyDescent="0.25">
      <c r="A3" s="4" t="s">
        <v>437</v>
      </c>
      <c r="B3" s="4" t="s">
        <v>438</v>
      </c>
      <c r="C3" s="4"/>
      <c r="D3" s="4"/>
      <c r="E3" s="4"/>
      <c r="F3" s="4"/>
      <c r="G3" s="4"/>
      <c r="H3" s="4"/>
      <c r="I3" s="4"/>
      <c r="J3" s="4"/>
      <c r="K3" s="4"/>
      <c r="L3" s="4"/>
    </row>
    <row r="4" spans="1:17" x14ac:dyDescent="0.25">
      <c r="A4" t="s">
        <v>190</v>
      </c>
      <c r="B4" s="34" t="s">
        <v>190</v>
      </c>
      <c r="C4" s="7">
        <f>SUMIFS(ALLData!$M$2:$M$400, ALLData!$B$2:$B$400, 'Action-Based Data'!C$1, ALLData!$G$2:$G$400, 'Action-Based Data'!$A4)</f>
        <v>0</v>
      </c>
      <c r="D4" s="7">
        <f>SUMIFS(ALLData!$M$2:$M$400, ALLData!$B$2:$B$400, 'Action-Based Data'!D$1, ALLData!$G$2:$G$400, 'Action-Based Data'!$A4)</f>
        <v>0</v>
      </c>
      <c r="E4" s="7">
        <f>SUMIFS(ALLData!$M$2:$M$400, ALLData!$B$2:$B$400, 'Action-Based Data'!E$1, ALLData!$G$2:$G$400, 'Action-Based Data'!$A4)</f>
        <v>1782074.3</v>
      </c>
      <c r="F4" s="7">
        <f>SUMIFS(ALLData!$M$2:$M$400, ALLData!$B$2:$B$400, 'Action-Based Data'!F$1, ALLData!$G$2:$G$400, 'Action-Based Data'!$A4)</f>
        <v>9492525</v>
      </c>
      <c r="G4" s="7">
        <f>SUMIFS(ALLData!$M$2:$M$400, ALLData!$B$2:$B$400, 'Action-Based Data'!G$1, ALLData!$G$2:$G$400, 'Action-Based Data'!$A4)</f>
        <v>605950</v>
      </c>
      <c r="H4" s="7">
        <f>SUMIFS(ALLData!$M$2:$M$400, ALLData!$B$2:$B$400, 'Action-Based Data'!H$1, ALLData!$G$2:$G$400, 'Action-Based Data'!$A4)</f>
        <v>0</v>
      </c>
      <c r="I4" s="7">
        <f>SUMIFS(ALLData!$M$2:$M$400, ALLData!$B$2:$B$400, 'Action-Based Data'!I$1, ALLData!$G$2:$G$400, 'Action-Based Data'!$A4)</f>
        <v>0</v>
      </c>
      <c r="J4" s="7">
        <f>SUMIFS(ALLData!$M$2:$M$400, ALLData!$B$2:$B$400, 'Action-Based Data'!J$1, ALLData!$G$2:$G$400, 'Action-Based Data'!$A4)</f>
        <v>0</v>
      </c>
      <c r="K4" s="7">
        <f>SUMIFS(ALLData!$M$2:$M$400, ALLData!$B$2:$B$400, 'Action-Based Data'!K$1, ALLData!$G$2:$G$400, 'Action-Based Data'!$A4)</f>
        <v>0</v>
      </c>
      <c r="L4" s="7">
        <f>SUMIFS(ALLData!$M$2:$M$400, ALLData!$B$2:$B$400, 'Action-Based Data'!L$1, ALLData!$G$2:$G$400, 'Action-Based Data'!$A4)</f>
        <v>0</v>
      </c>
      <c r="M4" s="7">
        <f>SUMIFS(ALLData!$M$2:$M$400, ALLData!$B$2:$B$400, 'Action-Based Data'!M$1, ALLData!$G$2:$G$400, 'Action-Based Data'!$A4)</f>
        <v>0</v>
      </c>
      <c r="N4" s="7">
        <f>SUMIFS(ALLData!$M$2:$M$400, ALLData!$B$2:$B$400, 'Action-Based Data'!N$1, ALLData!$G$2:$G$400, 'Action-Based Data'!$A4)</f>
        <v>0</v>
      </c>
      <c r="O4" s="7">
        <f>SUMIFS(ALLData!$M$2:$M$400, ALLData!$B$2:$B$400, 'Action-Based Data'!O$1, ALLData!$G$2:$G$400, 'Action-Based Data'!$A4)</f>
        <v>0</v>
      </c>
      <c r="P4" s="7">
        <f>SUMIFS(ALLData!$M$2:$M$400, ALLData!$B$2:$B$400, 'Action-Based Data'!P$1, ALLData!$G$2:$G$400, 'Action-Based Data'!$A4)</f>
        <v>0</v>
      </c>
      <c r="Q4" s="7">
        <f>SUMIFS(ALLData!$M$2:$M$400, ALLData!$B$2:$B$400, 'Action-Based Data'!Q$1, ALLData!$G$2:$G$400, 'Action-Based Data'!$A4)</f>
        <v>0</v>
      </c>
    </row>
    <row r="5" spans="1:17" x14ac:dyDescent="0.25">
      <c r="A5" t="s">
        <v>74</v>
      </c>
      <c r="B5" s="34" t="s">
        <v>440</v>
      </c>
      <c r="C5" s="7">
        <f>SUMIFS(ALLData!$M$2:$M$400, ALLData!$B$2:$B$400, 'Action-Based Data'!C$1, ALLData!$G$2:$G$400, 'Action-Based Data'!$A5)</f>
        <v>0</v>
      </c>
      <c r="D5" s="7">
        <f>SUMIFS(ALLData!$M$2:$M$400, ALLData!$B$2:$B$400, 'Action-Based Data'!D$1, ALLData!$G$2:$G$400, 'Action-Based Data'!$A5)</f>
        <v>0</v>
      </c>
      <c r="E5" s="7">
        <f>SUMIFS(ALLData!$M$2:$M$400, ALLData!$B$2:$B$400, 'Action-Based Data'!E$1, ALLData!$G$2:$G$400, 'Action-Based Data'!$A5)</f>
        <v>176879.48841369082</v>
      </c>
      <c r="F5" s="7">
        <f>SUMIFS(ALLData!$M$2:$M$400, ALLData!$B$2:$B$400, 'Action-Based Data'!F$1, ALLData!$G$2:$G$400, 'Action-Based Data'!$A5)</f>
        <v>16418163.279999999</v>
      </c>
      <c r="G5" s="7">
        <f>SUMIFS(ALLData!$M$2:$M$400, ALLData!$B$2:$B$400, 'Action-Based Data'!G$1, ALLData!$G$2:$G$400, 'Action-Based Data'!$A5)</f>
        <v>58086.080000000002</v>
      </c>
      <c r="H5" s="7">
        <f>SUMIFS(ALLData!$M$2:$M$400, ALLData!$B$2:$B$400, 'Action-Based Data'!H$1, ALLData!$G$2:$G$400, 'Action-Based Data'!$A5)</f>
        <v>0</v>
      </c>
      <c r="I5" s="7">
        <f>SUMIFS(ALLData!$M$2:$M$400, ALLData!$B$2:$B$400, 'Action-Based Data'!I$1, ALLData!$G$2:$G$400, 'Action-Based Data'!$A5)</f>
        <v>334800</v>
      </c>
      <c r="J5" s="7">
        <f>SUMIFS(ALLData!$M$2:$M$400, ALLData!$B$2:$B$400, 'Action-Based Data'!J$1, ALLData!$G$2:$G$400, 'Action-Based Data'!$A5)</f>
        <v>0</v>
      </c>
      <c r="K5" s="7">
        <f>SUMIFS(ALLData!$M$2:$M$400, ALLData!$B$2:$B$400, 'Action-Based Data'!K$1, ALLData!$G$2:$G$400, 'Action-Based Data'!$A5)</f>
        <v>345315</v>
      </c>
      <c r="L5" s="7">
        <f>SUMIFS(ALLData!$M$2:$M$400, ALLData!$B$2:$B$400, 'Action-Based Data'!L$1, ALLData!$G$2:$G$400, 'Action-Based Data'!$A5)</f>
        <v>471912</v>
      </c>
      <c r="M5" s="7">
        <f>SUMIFS(ALLData!$M$2:$M$400, ALLData!$B$2:$B$400, 'Action-Based Data'!M$1, ALLData!$G$2:$G$400, 'Action-Based Data'!$A5)</f>
        <v>5721.4633333333331</v>
      </c>
      <c r="N5" s="7">
        <f>SUMIFS(ALLData!$M$2:$M$400, ALLData!$B$2:$B$400, 'Action-Based Data'!N$1, ALLData!$G$2:$G$400, 'Action-Based Data'!$A5)</f>
        <v>440266</v>
      </c>
      <c r="O5" s="7">
        <f>SUMIFS(ALLData!$M$2:$M$400, ALLData!$B$2:$B$400, 'Action-Based Data'!O$1, ALLData!$G$2:$G$400, 'Action-Based Data'!$A5)</f>
        <v>0</v>
      </c>
      <c r="P5" s="7">
        <f>SUMIFS(ALLData!$M$2:$M$400, ALLData!$B$2:$B$400, 'Action-Based Data'!P$1, ALLData!$G$2:$G$400, 'Action-Based Data'!$A5)</f>
        <v>598470.72</v>
      </c>
      <c r="Q5" s="7">
        <f>SUMIFS(ALLData!$M$2:$M$400, ALLData!$B$2:$B$400, 'Action-Based Data'!Q$1, ALLData!$G$2:$G$400, 'Action-Based Data'!$A5)</f>
        <v>0</v>
      </c>
    </row>
    <row r="6" spans="1:17" x14ac:dyDescent="0.25">
      <c r="A6" t="s">
        <v>385</v>
      </c>
      <c r="B6" s="41" t="s">
        <v>444</v>
      </c>
      <c r="C6" s="7">
        <f>SUMIFS(ALLData!$M$2:$M$400, ALLData!$B$2:$B$400, 'Action-Based Data'!C$1, ALLData!$G$2:$G$400, 'Action-Based Data'!$A6)</f>
        <v>0</v>
      </c>
      <c r="D6" s="7">
        <f>SUMIFS(ALLData!$M$2:$M$400, ALLData!$B$2:$B$400, 'Action-Based Data'!D$1, ALLData!$G$2:$G$400, 'Action-Based Data'!$A6)</f>
        <v>0</v>
      </c>
      <c r="E6" s="7">
        <f>SUMIFS(ALLData!$M$2:$M$400, ALLData!$B$2:$B$400, 'Action-Based Data'!E$1, ALLData!$G$2:$G$400, 'Action-Based Data'!$A6)</f>
        <v>0</v>
      </c>
      <c r="F6" s="7">
        <f>SUMIFS(ALLData!$M$2:$M$400, ALLData!$B$2:$B$400, 'Action-Based Data'!F$1, ALLData!$G$2:$G$400, 'Action-Based Data'!$A6)</f>
        <v>0</v>
      </c>
      <c r="G6" s="7">
        <f>SUMIFS(ALLData!$M$2:$M$400, ALLData!$B$2:$B$400, 'Action-Based Data'!G$1, ALLData!$G$2:$G$400, 'Action-Based Data'!$A6)</f>
        <v>0</v>
      </c>
      <c r="H6" s="7">
        <f>SUMIFS(ALLData!$M$2:$M$400, ALLData!$B$2:$B$400, 'Action-Based Data'!H$1, ALLData!$G$2:$G$400, 'Action-Based Data'!$A6)</f>
        <v>0</v>
      </c>
      <c r="I6" s="7">
        <f>SUMIFS(ALLData!$M$2:$M$400, ALLData!$B$2:$B$400, 'Action-Based Data'!I$1, ALLData!$G$2:$G$400, 'Action-Based Data'!$A6)</f>
        <v>0</v>
      </c>
      <c r="J6" s="7">
        <f>SUMIFS(ALLData!$M$2:$M$400, ALLData!$B$2:$B$400, 'Action-Based Data'!J$1, ALLData!$G$2:$G$400, 'Action-Based Data'!$A6)</f>
        <v>0</v>
      </c>
      <c r="K6" s="7">
        <f>SUMIFS(ALLData!$M$2:$M$400, ALLData!$B$2:$B$400, 'Action-Based Data'!K$1, ALLData!$G$2:$G$400, 'Action-Based Data'!$A6)</f>
        <v>0</v>
      </c>
      <c r="L6" s="7">
        <f>SUMIFS(ALLData!$M$2:$M$400, ALLData!$B$2:$B$400, 'Action-Based Data'!L$1, ALLData!$G$2:$G$400, 'Action-Based Data'!$A6)</f>
        <v>0</v>
      </c>
      <c r="M6" s="7">
        <f>SUMIFS(ALLData!$M$2:$M$400, ALLData!$B$2:$B$400, 'Action-Based Data'!M$1, ALLData!$G$2:$G$400, 'Action-Based Data'!$A6)</f>
        <v>0</v>
      </c>
      <c r="N6" s="7">
        <f>SUMIFS(ALLData!$M$2:$M$400, ALLData!$B$2:$B$400, 'Action-Based Data'!N$1, ALLData!$G$2:$G$400, 'Action-Based Data'!$A6)</f>
        <v>0</v>
      </c>
      <c r="O6" s="7">
        <f>SUMIFS(ALLData!$M$2:$M$400, ALLData!$B$2:$B$400, 'Action-Based Data'!O$1, ALLData!$G$2:$G$400, 'Action-Based Data'!$A6)</f>
        <v>0</v>
      </c>
      <c r="P6" s="7">
        <f>SUMIFS(ALLData!$M$2:$M$400, ALLData!$B$2:$B$400, 'Action-Based Data'!P$1, ALLData!$G$2:$G$400, 'Action-Based Data'!$A6)</f>
        <v>0</v>
      </c>
      <c r="Q6" s="7">
        <f>SUMIFS(ALLData!$M$2:$M$400, ALLData!$B$2:$B$400, 'Action-Based Data'!Q$1, ALLData!$G$2:$G$400, 'Action-Based Data'!$A6)</f>
        <v>45179</v>
      </c>
    </row>
    <row r="7" spans="1:17" x14ac:dyDescent="0.25">
      <c r="A7" t="s">
        <v>189</v>
      </c>
      <c r="B7" s="34" t="s">
        <v>442</v>
      </c>
      <c r="C7" s="7">
        <f>SUMIFS(ALLData!$M$2:$M$400, ALLData!$B$2:$B$400, 'Action-Based Data'!C$1, ALLData!$G$2:$G$400, 'Action-Based Data'!$A7)</f>
        <v>0</v>
      </c>
      <c r="D7" s="7">
        <f>SUMIFS(ALLData!$M$2:$M$400, ALLData!$B$2:$B$400, 'Action-Based Data'!D$1, ALLData!$G$2:$G$400, 'Action-Based Data'!$A7)</f>
        <v>0</v>
      </c>
      <c r="E7" s="7">
        <f>SUMIFS(ALLData!$M$2:$M$400, ALLData!$B$2:$B$400, 'Action-Based Data'!E$1, ALLData!$G$2:$G$400, 'Action-Based Data'!$A7)</f>
        <v>0</v>
      </c>
      <c r="F7" s="7">
        <f>SUMIFS(ALLData!$M$2:$M$400, ALLData!$B$2:$B$400, 'Action-Based Data'!F$1, ALLData!$G$2:$G$400, 'Action-Based Data'!$A7)</f>
        <v>49827.28</v>
      </c>
      <c r="G7" s="7">
        <f>SUMIFS(ALLData!$M$2:$M$400, ALLData!$B$2:$B$400, 'Action-Based Data'!G$1, ALLData!$G$2:$G$400, 'Action-Based Data'!$A7)</f>
        <v>1730243.1961140041</v>
      </c>
      <c r="H7" s="7">
        <f>SUMIFS(ALLData!$M$2:$M$400, ALLData!$B$2:$B$400, 'Action-Based Data'!H$1, ALLData!$G$2:$G$400, 'Action-Based Data'!$A7)</f>
        <v>0</v>
      </c>
      <c r="I7" s="7">
        <f>SUMIFS(ALLData!$M$2:$M$400, ALLData!$B$2:$B$400, 'Action-Based Data'!I$1, ALLData!$G$2:$G$400, 'Action-Based Data'!$A7)</f>
        <v>0</v>
      </c>
      <c r="J7" s="7">
        <f>SUMIFS(ALLData!$M$2:$M$400, ALLData!$B$2:$B$400, 'Action-Based Data'!J$1, ALLData!$G$2:$G$400, 'Action-Based Data'!$A7)</f>
        <v>0</v>
      </c>
      <c r="K7" s="7">
        <f>SUMIFS(ALLData!$M$2:$M$400, ALLData!$B$2:$B$400, 'Action-Based Data'!K$1, ALLData!$G$2:$G$400, 'Action-Based Data'!$A7)</f>
        <v>1010415.8349</v>
      </c>
      <c r="L7" s="7">
        <f>SUMIFS(ALLData!$M$2:$M$400, ALLData!$B$2:$B$400, 'Action-Based Data'!L$1, ALLData!$G$2:$G$400, 'Action-Based Data'!$A7)</f>
        <v>7841790</v>
      </c>
      <c r="M7" s="7">
        <f>SUMIFS(ALLData!$M$2:$M$400, ALLData!$B$2:$B$400, 'Action-Based Data'!M$1, ALLData!$G$2:$G$400, 'Action-Based Data'!$A7)</f>
        <v>0</v>
      </c>
      <c r="N7" s="7">
        <f>SUMIFS(ALLData!$M$2:$M$400, ALLData!$B$2:$B$400, 'Action-Based Data'!N$1, ALLData!$G$2:$G$400, 'Action-Based Data'!$A7)</f>
        <v>367911.3</v>
      </c>
      <c r="O7" s="7">
        <f>SUMIFS(ALLData!$M$2:$M$400, ALLData!$B$2:$B$400, 'Action-Based Data'!O$1, ALLData!$G$2:$G$400, 'Action-Based Data'!$A7)</f>
        <v>0</v>
      </c>
      <c r="P7" s="7">
        <f>SUMIFS(ALLData!$M$2:$M$400, ALLData!$B$2:$B$400, 'Action-Based Data'!P$1, ALLData!$G$2:$G$400, 'Action-Based Data'!$A7)</f>
        <v>0</v>
      </c>
      <c r="Q7" s="7">
        <f>SUMIFS(ALLData!$M$2:$M$400, ALLData!$B$2:$B$400, 'Action-Based Data'!Q$1, ALLData!$G$2:$G$400, 'Action-Based Data'!$A7)</f>
        <v>0</v>
      </c>
    </row>
    <row r="8" spans="1:17" x14ac:dyDescent="0.25">
      <c r="A8" t="s">
        <v>76</v>
      </c>
      <c r="B8" s="34" t="s">
        <v>441</v>
      </c>
      <c r="C8" s="7">
        <f>SUMIFS(ALLData!$M$2:$M$400, ALLData!$B$2:$B$400, 'Action-Based Data'!C$1, ALLData!$G$2:$G$400, 'Action-Based Data'!$A8)</f>
        <v>0</v>
      </c>
      <c r="D8" s="7">
        <f>SUMIFS(ALLData!$M$2:$M$400, ALLData!$B$2:$B$400, 'Action-Based Data'!D$1, ALLData!$G$2:$G$400, 'Action-Based Data'!$A8)</f>
        <v>0</v>
      </c>
      <c r="E8" s="7">
        <f>SUMIFS(ALLData!$M$2:$M$400, ALLData!$B$2:$B$400, 'Action-Based Data'!E$1, ALLData!$G$2:$G$400, 'Action-Based Data'!$A8)</f>
        <v>0</v>
      </c>
      <c r="F8" s="7">
        <f>SUMIFS(ALLData!$M$2:$M$400, ALLData!$B$2:$B$400, 'Action-Based Data'!F$1, ALLData!$G$2:$G$400, 'Action-Based Data'!$A8)</f>
        <v>138798</v>
      </c>
      <c r="G8" s="7">
        <f>SUMIFS(ALLData!$M$2:$M$400, ALLData!$B$2:$B$400, 'Action-Based Data'!G$1, ALLData!$G$2:$G$400, 'Action-Based Data'!$A8)</f>
        <v>83657.600000000006</v>
      </c>
      <c r="H8" s="7">
        <f>SUMIFS(ALLData!$M$2:$M$400, ALLData!$B$2:$B$400, 'Action-Based Data'!H$1, ALLData!$G$2:$G$400, 'Action-Based Data'!$A8)</f>
        <v>0</v>
      </c>
      <c r="I8" s="7">
        <f>SUMIFS(ALLData!$M$2:$M$400, ALLData!$B$2:$B$400, 'Action-Based Data'!I$1, ALLData!$G$2:$G$400, 'Action-Based Data'!$A8)</f>
        <v>0</v>
      </c>
      <c r="J8" s="7">
        <f>SUMIFS(ALLData!$M$2:$M$400, ALLData!$B$2:$B$400, 'Action-Based Data'!J$1, ALLData!$G$2:$G$400, 'Action-Based Data'!$A8)</f>
        <v>0</v>
      </c>
      <c r="K8" s="7">
        <f>SUMIFS(ALLData!$M$2:$M$400, ALLData!$B$2:$B$400, 'Action-Based Data'!K$1, ALLData!$G$2:$G$400, 'Action-Based Data'!$A8)</f>
        <v>0</v>
      </c>
      <c r="L8" s="7">
        <f>SUMIFS(ALLData!$M$2:$M$400, ALLData!$B$2:$B$400, 'Action-Based Data'!L$1, ALLData!$G$2:$G$400, 'Action-Based Data'!$A8)</f>
        <v>0</v>
      </c>
      <c r="M8" s="7">
        <f>SUMIFS(ALLData!$M$2:$M$400, ALLData!$B$2:$B$400, 'Action-Based Data'!M$1, ALLData!$G$2:$G$400, 'Action-Based Data'!$A8)</f>
        <v>5721.4633333333331</v>
      </c>
      <c r="N8" s="7">
        <f>SUMIFS(ALLData!$M$2:$M$400, ALLData!$B$2:$B$400, 'Action-Based Data'!N$1, ALLData!$G$2:$G$400, 'Action-Based Data'!$A8)</f>
        <v>0</v>
      </c>
      <c r="O8" s="7">
        <f>SUMIFS(ALLData!$M$2:$M$400, ALLData!$B$2:$B$400, 'Action-Based Data'!O$1, ALLData!$G$2:$G$400, 'Action-Based Data'!$A8)</f>
        <v>0</v>
      </c>
      <c r="P8" s="7">
        <f>SUMIFS(ALLData!$M$2:$M$400, ALLData!$B$2:$B$400, 'Action-Based Data'!P$1, ALLData!$G$2:$G$400, 'Action-Based Data'!$A8)</f>
        <v>0</v>
      </c>
      <c r="Q8" s="7">
        <f>SUMIFS(ALLData!$M$2:$M$400, ALLData!$B$2:$B$400, 'Action-Based Data'!Q$1, ALLData!$G$2:$G$400, 'Action-Based Data'!$A8)</f>
        <v>0</v>
      </c>
    </row>
    <row r="9" spans="1:17" x14ac:dyDescent="0.25">
      <c r="A9" t="s">
        <v>445</v>
      </c>
      <c r="B9" s="34" t="s">
        <v>446</v>
      </c>
      <c r="C9" s="7">
        <f>SUMIFS(ALLData!$M$2:$M$400, ALLData!$B$2:$B$400, 'Action-Based Data'!C$1, ALLData!$G$2:$G$400, 'Action-Based Data'!$A9)</f>
        <v>0</v>
      </c>
      <c r="D9" s="7">
        <f>SUMIFS(ALLData!$M$2:$M$400, ALLData!$B$2:$B$400, 'Action-Based Data'!D$1, ALLData!$G$2:$G$400, 'Action-Based Data'!$A9)</f>
        <v>0</v>
      </c>
      <c r="E9" s="7">
        <f>SUMIFS(ALLData!$M$2:$M$400, ALLData!$B$2:$B$400, 'Action-Based Data'!E$1, ALLData!$G$2:$G$400, 'Action-Based Data'!$A9)</f>
        <v>0</v>
      </c>
      <c r="F9" s="7">
        <f>SUMIFS(ALLData!$M$2:$M$400, ALLData!$B$2:$B$400, 'Action-Based Data'!F$1, ALLData!$G$2:$G$400, 'Action-Based Data'!$A9)</f>
        <v>0</v>
      </c>
      <c r="G9" s="7">
        <f>SUMIFS(ALLData!$M$2:$M$400, ALLData!$B$2:$B$400, 'Action-Based Data'!G$1, ALLData!$G$2:$G$400, 'Action-Based Data'!$A9)</f>
        <v>0</v>
      </c>
      <c r="H9" s="7">
        <f>SUMIFS(ALLData!$M$2:$M$400, ALLData!$B$2:$B$400, 'Action-Based Data'!H$1, ALLData!$G$2:$G$400, 'Action-Based Data'!$A9)</f>
        <v>0</v>
      </c>
      <c r="I9" s="7">
        <f>SUMIFS(ALLData!$M$2:$M$400, ALLData!$B$2:$B$400, 'Action-Based Data'!I$1, ALLData!$G$2:$G$400, 'Action-Based Data'!$A9)</f>
        <v>0</v>
      </c>
      <c r="J9" s="7">
        <f>SUMIFS(ALLData!$M$2:$M$400, ALLData!$B$2:$B$400, 'Action-Based Data'!J$1, ALLData!$G$2:$G$400, 'Action-Based Data'!$A9)</f>
        <v>0</v>
      </c>
      <c r="K9" s="7">
        <f>SUMIFS(ALLData!$M$2:$M$400, ALLData!$B$2:$B$400, 'Action-Based Data'!K$1, ALLData!$G$2:$G$400, 'Action-Based Data'!$A9)</f>
        <v>0</v>
      </c>
      <c r="L9" s="7">
        <f>SUMIFS(ALLData!$M$2:$M$400, ALLData!$B$2:$B$400, 'Action-Based Data'!L$1, ALLData!$G$2:$G$400, 'Action-Based Data'!$A9)</f>
        <v>0</v>
      </c>
      <c r="M9" s="7">
        <f>SUMIFS(ALLData!$M$2:$M$400, ALLData!$B$2:$B$400, 'Action-Based Data'!M$1, ALLData!$G$2:$G$400, 'Action-Based Data'!$A9)</f>
        <v>0</v>
      </c>
      <c r="N9" s="7">
        <f>SUMIFS(ALLData!$M$2:$M$400, ALLData!$B$2:$B$400, 'Action-Based Data'!N$1, ALLData!$G$2:$G$400, 'Action-Based Data'!$A9)</f>
        <v>0</v>
      </c>
      <c r="O9" s="7">
        <f>SUMIFS(ALLData!$M$2:$M$400, ALLData!$B$2:$B$400, 'Action-Based Data'!O$1, ALLData!$G$2:$G$400, 'Action-Based Data'!$A9)</f>
        <v>0</v>
      </c>
      <c r="P9" s="7">
        <f>SUMIFS(ALLData!$M$2:$M$400, ALLData!$B$2:$B$400, 'Action-Based Data'!P$1, ALLData!$G$2:$G$400, 'Action-Based Data'!$A9)</f>
        <v>0</v>
      </c>
      <c r="Q9" s="7">
        <f>SUMIFS(ALLData!$M$2:$M$400, ALLData!$B$2:$B$400, 'Action-Based Data'!Q$1, ALLData!$G$2:$G$400, 'Action-Based Data'!$A9)</f>
        <v>0</v>
      </c>
    </row>
    <row r="10" spans="1:17" x14ac:dyDescent="0.25">
      <c r="A10" t="s">
        <v>31</v>
      </c>
      <c r="B10" s="34" t="s">
        <v>443</v>
      </c>
      <c r="C10" s="7">
        <f>SUMIFS(ALLData!$M$2:$M$400, ALLData!$B$2:$B$400, 'Action-Based Data'!C$1, ALLData!$G$2:$G$400, 'Action-Based Data'!$A10)</f>
        <v>2270531.2019898673</v>
      </c>
      <c r="D10" s="7">
        <f>SUMIFS(ALLData!$M$2:$M$400, ALLData!$B$2:$B$400, 'Action-Based Data'!D$1, ALLData!$G$2:$G$400, 'Action-Based Data'!$A10)</f>
        <v>201000</v>
      </c>
      <c r="E10" s="7">
        <f>SUMIFS(ALLData!$M$2:$M$400, ALLData!$B$2:$B$400, 'Action-Based Data'!E$1, ALLData!$G$2:$G$400, 'Action-Based Data'!$A10)</f>
        <v>20800</v>
      </c>
      <c r="F10" s="7">
        <f>SUMIFS(ALLData!$M$2:$M$400, ALLData!$B$2:$B$400, 'Action-Based Data'!F$1, ALLData!$G$2:$G$400, 'Action-Based Data'!$A10)</f>
        <v>200004.62</v>
      </c>
      <c r="G10" s="7">
        <f>SUMIFS(ALLData!$M$2:$M$400, ALLData!$B$2:$B$400, 'Action-Based Data'!G$1, ALLData!$G$2:$G$400, 'Action-Based Data'!$A10)</f>
        <v>52644896.662471175</v>
      </c>
      <c r="H10" s="7">
        <f>SUMIFS(ALLData!$M$2:$M$400, ALLData!$B$2:$B$400, 'Action-Based Data'!H$1, ALLData!$G$2:$G$400, 'Action-Based Data'!$A10)</f>
        <v>0</v>
      </c>
      <c r="I10" s="7">
        <f>SUMIFS(ALLData!$M$2:$M$400, ALLData!$B$2:$B$400, 'Action-Based Data'!I$1, ALLData!$G$2:$G$400, 'Action-Based Data'!$A10)</f>
        <v>39399.528777444335</v>
      </c>
      <c r="J10" s="7">
        <f>SUMIFS(ALLData!$M$2:$M$400, ALLData!$B$2:$B$400, 'Action-Based Data'!J$1, ALLData!$G$2:$G$400, 'Action-Based Data'!$A10)</f>
        <v>0</v>
      </c>
      <c r="K10" s="7">
        <f>SUMIFS(ALLData!$M$2:$M$400, ALLData!$B$2:$B$400, 'Action-Based Data'!K$1, ALLData!$G$2:$G$400, 'Action-Based Data'!$A10)</f>
        <v>304550769.44373327</v>
      </c>
      <c r="L10" s="7">
        <f>SUMIFS(ALLData!$M$2:$M$400, ALLData!$B$2:$B$400, 'Action-Based Data'!L$1, ALLData!$G$2:$G$400, 'Action-Based Data'!$A10)</f>
        <v>0</v>
      </c>
      <c r="M10" s="7">
        <f>SUMIFS(ALLData!$M$2:$M$400, ALLData!$B$2:$B$400, 'Action-Based Data'!M$1, ALLData!$G$2:$G$400, 'Action-Based Data'!$A10)</f>
        <v>285781.74333333329</v>
      </c>
      <c r="N10" s="7">
        <f>SUMIFS(ALLData!$M$2:$M$400, ALLData!$B$2:$B$400, 'Action-Based Data'!N$1, ALLData!$G$2:$G$400, 'Action-Based Data'!$A10)</f>
        <v>797141.15</v>
      </c>
      <c r="O10" s="7">
        <f>SUMIFS(ALLData!$M$2:$M$400, ALLData!$B$2:$B$400, 'Action-Based Data'!O$1, ALLData!$G$2:$G$400, 'Action-Based Data'!$A10)</f>
        <v>0</v>
      </c>
      <c r="P10" s="7">
        <f>SUMIFS(ALLData!$M$2:$M$400, ALLData!$B$2:$B$400, 'Action-Based Data'!P$1, ALLData!$G$2:$G$400, 'Action-Based Data'!$A10)</f>
        <v>0</v>
      </c>
      <c r="Q10" s="7">
        <f>SUMIFS(ALLData!$M$2:$M$400, ALLData!$B$2:$B$400, 'Action-Based Data'!Q$1, ALLData!$G$2:$G$400, 'Action-Based Data'!$A10)</f>
        <v>0</v>
      </c>
    </row>
    <row r="12" spans="1:17" s="4" customFormat="1" x14ac:dyDescent="0.25">
      <c r="A12" s="4" t="s">
        <v>188</v>
      </c>
      <c r="C12" s="25">
        <f>SUM(C4:C10)</f>
        <v>2270531.2019898673</v>
      </c>
      <c r="D12" s="25">
        <f t="shared" ref="D12:Q12" si="0">SUM(D4:D10)</f>
        <v>201000</v>
      </c>
      <c r="E12" s="25">
        <f t="shared" si="0"/>
        <v>1979753.7884136909</v>
      </c>
      <c r="F12" s="25">
        <f t="shared" si="0"/>
        <v>26299318.180000003</v>
      </c>
      <c r="G12" s="25">
        <f t="shared" si="0"/>
        <v>55122833.538585179</v>
      </c>
      <c r="H12" s="25">
        <f t="shared" si="0"/>
        <v>0</v>
      </c>
      <c r="I12" s="25">
        <f t="shared" si="0"/>
        <v>374199.52877744433</v>
      </c>
      <c r="J12" s="25">
        <f t="shared" si="0"/>
        <v>0</v>
      </c>
      <c r="K12" s="25">
        <f t="shared" si="0"/>
        <v>305906500.2786333</v>
      </c>
      <c r="L12" s="25">
        <f t="shared" si="0"/>
        <v>8313702</v>
      </c>
      <c r="M12" s="25">
        <f t="shared" si="0"/>
        <v>297224.66999999993</v>
      </c>
      <c r="N12" s="25">
        <f t="shared" si="0"/>
        <v>1605318.4500000002</v>
      </c>
      <c r="O12" s="25">
        <f t="shared" si="0"/>
        <v>0</v>
      </c>
      <c r="P12" s="25">
        <f t="shared" si="0"/>
        <v>598470.72</v>
      </c>
      <c r="Q12" s="25">
        <f t="shared" si="0"/>
        <v>45179</v>
      </c>
    </row>
    <row r="13" spans="1:17" x14ac:dyDescent="0.25">
      <c r="C13" s="7"/>
      <c r="D13" s="7"/>
      <c r="E13" s="7"/>
      <c r="F13" s="7"/>
      <c r="G13" s="7"/>
      <c r="H13" s="7"/>
      <c r="I13" s="7"/>
      <c r="J13" s="7"/>
      <c r="K13" s="7"/>
    </row>
    <row r="14" spans="1:17" x14ac:dyDescent="0.25">
      <c r="A14" s="13" t="s">
        <v>456</v>
      </c>
      <c r="B14" s="13"/>
      <c r="C14" s="15"/>
      <c r="D14" s="15"/>
      <c r="E14" s="15"/>
      <c r="F14" s="15"/>
      <c r="G14" s="15"/>
      <c r="H14" s="15"/>
      <c r="I14" s="15"/>
      <c r="J14" s="15"/>
      <c r="K14" s="15"/>
      <c r="L14" s="15"/>
    </row>
    <row r="15" spans="1:17" x14ac:dyDescent="0.25">
      <c r="A15" s="13"/>
      <c r="B15" s="13"/>
      <c r="C15" s="13"/>
      <c r="D15" s="16"/>
      <c r="E15" s="16"/>
      <c r="F15" s="16"/>
      <c r="G15" s="16"/>
      <c r="H15" s="16"/>
      <c r="I15" s="16"/>
      <c r="J15" s="16"/>
      <c r="K15" s="16"/>
      <c r="L15" s="16"/>
    </row>
  </sheetData>
  <hyperlinks>
    <hyperlink ref="B10" r:id="rId1" display="Transnational Criminal Organization Sanctions" xr:uid="{68C125AD-532A-4D85-926F-5AEAD6FD82A5}"/>
    <hyperlink ref="B9" r:id="rId2" display="Global Magnitsky Sanctions" xr:uid="{2B801140-F65C-4581-8F5C-FBD55D9BEA44}"/>
    <hyperlink ref="B8" r:id="rId3" display="EO 13382" xr:uid="{126D74C9-5BD9-476C-940B-B97853F724B1}"/>
    <hyperlink ref="B7" r:id="rId4" display="Weapons of Mass Destruction Sanctions" xr:uid="{9D188AE7-13F3-4A6A-8929-3180C2BD793F}"/>
    <hyperlink ref="B6" r:id="rId5" display="Global Terrosim Sanctions" xr:uid="{7359AE90-CE87-439A-88F5-BF1B6112B971}"/>
    <hyperlink ref="B5" r:id="rId6" display="Narcotics Trafficking Sanctions" xr:uid="{8ECAF2E3-3ED8-45F1-AC7A-DB38E464527E}"/>
    <hyperlink ref="B4" r:id="rId7" display="Foreign Narcotics Trafficking Sanctions" xr:uid="{9A07CE05-781E-404B-A18D-29254106967D}"/>
  </hyperlinks>
  <pageMargins left="0.7" right="0.7" top="0.75" bottom="0.75" header="0.3" footer="0.3"/>
  <pageSetup orientation="portrait" horizontalDpi="4294967295" verticalDpi="4294967295"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2"/>
  <sheetViews>
    <sheetView zoomScale="93" zoomScaleNormal="93" workbookViewId="0">
      <pane xSplit="3" ySplit="1" topLeftCell="D2" activePane="bottomRight" state="frozen"/>
      <selection pane="topRight" activeCell="D1" sqref="D1"/>
      <selection pane="bottomLeft" activeCell="A2" sqref="A2"/>
      <selection pane="bottomRight" activeCell="G21" sqref="G21"/>
    </sheetView>
  </sheetViews>
  <sheetFormatPr defaultRowHeight="15" x14ac:dyDescent="0.25"/>
  <cols>
    <col min="1" max="1" width="11.7109375" customWidth="1"/>
    <col min="2" max="2" width="6" bestFit="1" customWidth="1"/>
    <col min="3" max="3" width="38.42578125" bestFit="1" customWidth="1"/>
    <col min="4" max="4" width="38.42578125" customWidth="1"/>
    <col min="5" max="5" width="10.7109375" bestFit="1" customWidth="1"/>
    <col min="6" max="6" width="19.7109375" customWidth="1"/>
    <col min="7" max="7" width="19.140625" customWidth="1"/>
    <col min="8" max="8" width="17.5703125" bestFit="1" customWidth="1"/>
    <col min="9" max="9" width="17.28515625" customWidth="1"/>
    <col min="10" max="10" width="15.140625" customWidth="1"/>
    <col min="11" max="11" width="16.28515625" bestFit="1" customWidth="1"/>
    <col min="12" max="12" width="17.7109375" customWidth="1"/>
    <col min="13" max="13" width="15.85546875" customWidth="1"/>
  </cols>
  <sheetData>
    <row r="1" spans="1:13" s="33" customFormat="1" ht="45" customHeight="1" x14ac:dyDescent="0.25">
      <c r="A1" s="32" t="s">
        <v>0</v>
      </c>
      <c r="B1" s="32" t="s">
        <v>1</v>
      </c>
      <c r="C1" s="32" t="s">
        <v>3</v>
      </c>
      <c r="D1" s="32" t="s">
        <v>179</v>
      </c>
      <c r="E1" s="32" t="s">
        <v>2</v>
      </c>
      <c r="F1" s="32" t="s">
        <v>447</v>
      </c>
      <c r="G1" s="32" t="s">
        <v>451</v>
      </c>
      <c r="H1" s="32" t="s">
        <v>453</v>
      </c>
      <c r="I1" s="32" t="s">
        <v>454</v>
      </c>
      <c r="J1" s="32" t="s">
        <v>452</v>
      </c>
      <c r="K1" s="32" t="s">
        <v>455</v>
      </c>
      <c r="L1" s="32" t="s">
        <v>344</v>
      </c>
      <c r="M1" s="32" t="s">
        <v>462</v>
      </c>
    </row>
    <row r="2" spans="1:13" ht="15" customHeight="1" x14ac:dyDescent="0.25">
      <c r="A2" s="1">
        <v>40574</v>
      </c>
      <c r="B2">
        <v>2011</v>
      </c>
      <c r="C2" t="s">
        <v>170</v>
      </c>
      <c r="D2" t="s">
        <v>182</v>
      </c>
      <c r="E2" t="s">
        <v>42</v>
      </c>
      <c r="F2" t="s">
        <v>8</v>
      </c>
      <c r="G2" t="s">
        <v>8</v>
      </c>
      <c r="H2" s="7">
        <v>50000</v>
      </c>
      <c r="I2" s="7">
        <v>50000</v>
      </c>
      <c r="J2" s="9">
        <v>1</v>
      </c>
      <c r="K2" s="9"/>
      <c r="L2" s="7">
        <v>12500</v>
      </c>
      <c r="M2" s="7">
        <v>12500</v>
      </c>
    </row>
    <row r="3" spans="1:13" ht="15" customHeight="1" x14ac:dyDescent="0.25">
      <c r="A3" s="1">
        <v>40574</v>
      </c>
      <c r="B3">
        <v>2011</v>
      </c>
      <c r="C3" t="s">
        <v>171</v>
      </c>
      <c r="D3" t="s">
        <v>181</v>
      </c>
      <c r="E3">
        <v>2005</v>
      </c>
      <c r="F3" t="s">
        <v>8</v>
      </c>
      <c r="G3" t="s">
        <v>8</v>
      </c>
      <c r="H3" s="7"/>
      <c r="I3" s="7"/>
      <c r="J3" s="9">
        <v>1</v>
      </c>
      <c r="K3" s="9"/>
      <c r="L3" s="7">
        <v>36000</v>
      </c>
      <c r="M3" s="7">
        <v>36000</v>
      </c>
    </row>
    <row r="4" spans="1:13" ht="15" customHeight="1" x14ac:dyDescent="0.25">
      <c r="A4" s="1">
        <v>40640</v>
      </c>
      <c r="B4">
        <v>2011</v>
      </c>
      <c r="C4" t="s">
        <v>169</v>
      </c>
      <c r="D4" t="s">
        <v>182</v>
      </c>
      <c r="E4">
        <v>2006</v>
      </c>
      <c r="F4" t="s">
        <v>6</v>
      </c>
      <c r="G4" t="s">
        <v>6</v>
      </c>
      <c r="H4" s="7">
        <v>50000</v>
      </c>
      <c r="I4" s="7">
        <v>50000</v>
      </c>
      <c r="J4" s="9">
        <v>1</v>
      </c>
      <c r="K4" s="9"/>
      <c r="L4" s="7">
        <v>22500</v>
      </c>
      <c r="M4" s="7">
        <v>22500</v>
      </c>
    </row>
    <row r="5" spans="1:13" ht="15" customHeight="1" x14ac:dyDescent="0.25">
      <c r="A5" s="1">
        <v>40640</v>
      </c>
      <c r="B5">
        <v>2011</v>
      </c>
      <c r="C5" t="s">
        <v>166</v>
      </c>
      <c r="D5" t="s">
        <v>181</v>
      </c>
      <c r="E5" t="s">
        <v>167</v>
      </c>
      <c r="F5" t="s">
        <v>8</v>
      </c>
      <c r="G5" t="s">
        <v>8</v>
      </c>
      <c r="H5" s="7">
        <v>10000</v>
      </c>
      <c r="I5" s="7">
        <v>10000</v>
      </c>
      <c r="J5" s="9">
        <v>1</v>
      </c>
      <c r="K5" s="9"/>
      <c r="L5" s="7">
        <v>20000</v>
      </c>
      <c r="M5" s="7">
        <v>20000</v>
      </c>
    </row>
    <row r="6" spans="1:13" ht="15" customHeight="1" x14ac:dyDescent="0.25">
      <c r="A6" s="1">
        <v>40640</v>
      </c>
      <c r="B6">
        <v>2011</v>
      </c>
      <c r="C6" t="s">
        <v>168</v>
      </c>
      <c r="D6" t="s">
        <v>182</v>
      </c>
      <c r="E6" t="s">
        <v>141</v>
      </c>
      <c r="F6" t="s">
        <v>8</v>
      </c>
      <c r="G6" t="s">
        <v>8</v>
      </c>
      <c r="H6" s="7"/>
      <c r="I6" s="7"/>
      <c r="J6" s="9">
        <v>1</v>
      </c>
      <c r="K6" s="9"/>
      <c r="L6" s="7">
        <v>122408</v>
      </c>
      <c r="M6" s="7">
        <v>122408</v>
      </c>
    </row>
    <row r="7" spans="1:13" ht="15" customHeight="1" x14ac:dyDescent="0.25">
      <c r="A7" s="1">
        <v>40659</v>
      </c>
      <c r="B7">
        <v>2011</v>
      </c>
      <c r="C7" t="s">
        <v>163</v>
      </c>
      <c r="D7" t="s">
        <v>182</v>
      </c>
      <c r="E7" t="s">
        <v>104</v>
      </c>
      <c r="F7" t="s">
        <v>8</v>
      </c>
      <c r="G7" t="s">
        <v>8</v>
      </c>
      <c r="H7" s="7">
        <v>56960</v>
      </c>
      <c r="I7" s="7">
        <v>56960</v>
      </c>
      <c r="J7" s="9">
        <v>1</v>
      </c>
      <c r="K7" s="9"/>
      <c r="L7" s="7">
        <v>38448</v>
      </c>
      <c r="M7" s="7">
        <v>38448</v>
      </c>
    </row>
    <row r="8" spans="1:13" ht="15" customHeight="1" x14ac:dyDescent="0.25">
      <c r="A8" s="1">
        <v>40659</v>
      </c>
      <c r="B8">
        <v>2011</v>
      </c>
      <c r="C8" t="s">
        <v>164</v>
      </c>
      <c r="D8" t="s">
        <v>181</v>
      </c>
      <c r="E8" t="s">
        <v>73</v>
      </c>
      <c r="F8" t="s">
        <v>8</v>
      </c>
      <c r="G8" t="s">
        <v>8</v>
      </c>
      <c r="H8" s="7">
        <v>103000</v>
      </c>
      <c r="I8" s="7">
        <v>103000</v>
      </c>
      <c r="J8" s="9">
        <v>1</v>
      </c>
      <c r="K8" s="9"/>
      <c r="L8" s="7">
        <v>37080</v>
      </c>
      <c r="M8" s="7">
        <v>37080</v>
      </c>
    </row>
    <row r="9" spans="1:13" ht="19.899999999999999" customHeight="1" x14ac:dyDescent="0.25">
      <c r="A9" s="1">
        <v>40659</v>
      </c>
      <c r="B9">
        <v>2011</v>
      </c>
      <c r="C9" t="s">
        <v>165</v>
      </c>
      <c r="D9" t="s">
        <v>181</v>
      </c>
      <c r="E9">
        <v>2005</v>
      </c>
      <c r="F9" t="s">
        <v>415</v>
      </c>
      <c r="G9" t="s">
        <v>415</v>
      </c>
      <c r="H9" s="7">
        <v>250000</v>
      </c>
      <c r="I9" s="7">
        <v>250000</v>
      </c>
      <c r="J9" s="9">
        <v>1</v>
      </c>
      <c r="K9" s="9"/>
      <c r="L9" s="7">
        <v>112500</v>
      </c>
      <c r="M9" s="7">
        <v>112500</v>
      </c>
    </row>
    <row r="10" spans="1:13" ht="18.75" customHeight="1" x14ac:dyDescent="0.25">
      <c r="A10" s="1">
        <v>40723</v>
      </c>
      <c r="B10">
        <v>2011</v>
      </c>
      <c r="C10" t="s">
        <v>162</v>
      </c>
      <c r="D10" t="s">
        <v>182</v>
      </c>
      <c r="E10">
        <v>2005</v>
      </c>
      <c r="F10" t="s">
        <v>8</v>
      </c>
      <c r="G10" t="s">
        <v>8</v>
      </c>
      <c r="H10" s="7">
        <v>131424</v>
      </c>
      <c r="I10" s="7">
        <v>131424</v>
      </c>
      <c r="J10" s="9">
        <v>1</v>
      </c>
      <c r="K10" s="9"/>
      <c r="L10" s="7">
        <v>59130</v>
      </c>
      <c r="M10" s="42">
        <v>59130</v>
      </c>
    </row>
    <row r="11" spans="1:13" ht="18.75" customHeight="1" x14ac:dyDescent="0.25">
      <c r="A11" s="1">
        <v>40771</v>
      </c>
      <c r="B11">
        <v>2011</v>
      </c>
      <c r="C11" t="s">
        <v>159</v>
      </c>
      <c r="D11" t="s">
        <v>181</v>
      </c>
      <c r="E11" t="s">
        <v>448</v>
      </c>
      <c r="F11" t="s">
        <v>417</v>
      </c>
      <c r="G11" t="s">
        <v>6</v>
      </c>
      <c r="H11" s="7">
        <f>I11/3</f>
        <v>213333.33333333334</v>
      </c>
      <c r="I11" s="7">
        <v>640000</v>
      </c>
      <c r="J11" s="10">
        <f>H11/I11</f>
        <v>0.33333333333333337</v>
      </c>
      <c r="K11" s="9" t="s">
        <v>183</v>
      </c>
      <c r="L11" s="7">
        <v>374400</v>
      </c>
      <c r="M11" s="42">
        <f>L11*J11</f>
        <v>124800.00000000001</v>
      </c>
    </row>
    <row r="12" spans="1:13" ht="18.75" customHeight="1" x14ac:dyDescent="0.25">
      <c r="A12" s="1">
        <v>40771</v>
      </c>
      <c r="B12">
        <v>2011</v>
      </c>
      <c r="C12" t="s">
        <v>159</v>
      </c>
      <c r="D12" t="s">
        <v>181</v>
      </c>
      <c r="E12" t="s">
        <v>130</v>
      </c>
      <c r="F12" t="s">
        <v>417</v>
      </c>
      <c r="G12" t="s">
        <v>8</v>
      </c>
      <c r="H12" s="7">
        <f>I12/3</f>
        <v>213333.33333333334</v>
      </c>
      <c r="I12" s="7">
        <v>640000</v>
      </c>
      <c r="J12" s="10">
        <f>H12/I12</f>
        <v>0.33333333333333337</v>
      </c>
      <c r="K12" s="9" t="s">
        <v>183</v>
      </c>
      <c r="L12" s="7">
        <v>374400</v>
      </c>
      <c r="M12" s="42">
        <f>L12*J12</f>
        <v>124800.00000000001</v>
      </c>
    </row>
    <row r="13" spans="1:13" ht="18.75" customHeight="1" x14ac:dyDescent="0.25">
      <c r="A13" s="1">
        <v>40771</v>
      </c>
      <c r="B13">
        <v>2011</v>
      </c>
      <c r="C13" t="s">
        <v>159</v>
      </c>
      <c r="D13" t="s">
        <v>181</v>
      </c>
      <c r="E13" t="s">
        <v>449</v>
      </c>
      <c r="F13" t="s">
        <v>417</v>
      </c>
      <c r="G13" t="s">
        <v>415</v>
      </c>
      <c r="H13" s="7">
        <f>I13/3</f>
        <v>213333.33333333334</v>
      </c>
      <c r="I13" s="7">
        <v>640000</v>
      </c>
      <c r="J13" s="10">
        <f>H13/I13</f>
        <v>0.33333333333333337</v>
      </c>
      <c r="K13" s="9" t="s">
        <v>183</v>
      </c>
      <c r="L13" s="7">
        <v>374400</v>
      </c>
      <c r="M13" s="42">
        <f>L13*J13</f>
        <v>124800.00000000001</v>
      </c>
    </row>
    <row r="14" spans="1:13" ht="18.75" customHeight="1" x14ac:dyDescent="0.25">
      <c r="A14" s="1">
        <v>40771</v>
      </c>
      <c r="B14">
        <v>2011</v>
      </c>
      <c r="C14" t="s">
        <v>158</v>
      </c>
      <c r="D14" t="s">
        <v>181</v>
      </c>
      <c r="E14">
        <v>2006</v>
      </c>
      <c r="F14" t="s">
        <v>8</v>
      </c>
      <c r="G14" t="s">
        <v>8</v>
      </c>
      <c r="H14" s="7">
        <v>25000</v>
      </c>
      <c r="I14" s="7">
        <v>25000</v>
      </c>
      <c r="J14" s="9">
        <v>1</v>
      </c>
      <c r="K14" s="9"/>
      <c r="L14" s="7"/>
      <c r="M14" s="42"/>
    </row>
    <row r="15" spans="1:13" x14ac:dyDescent="0.25">
      <c r="A15" s="1">
        <v>40771</v>
      </c>
      <c r="B15">
        <v>2011</v>
      </c>
      <c r="C15" t="s">
        <v>160</v>
      </c>
      <c r="D15" t="s">
        <v>181</v>
      </c>
      <c r="E15" t="s">
        <v>25</v>
      </c>
      <c r="F15" t="s">
        <v>8</v>
      </c>
      <c r="G15" t="s">
        <v>8</v>
      </c>
      <c r="H15" s="7">
        <v>164977</v>
      </c>
      <c r="I15" s="7">
        <v>164977</v>
      </c>
      <c r="J15" s="9">
        <v>1</v>
      </c>
      <c r="K15" s="9"/>
      <c r="L15" s="7">
        <v>111359</v>
      </c>
      <c r="M15" s="42">
        <v>111359</v>
      </c>
    </row>
    <row r="16" spans="1:13" x14ac:dyDescent="0.25">
      <c r="A16" s="1">
        <v>40771</v>
      </c>
      <c r="B16">
        <v>2011</v>
      </c>
      <c r="C16" t="s">
        <v>161</v>
      </c>
      <c r="D16" t="s">
        <v>181</v>
      </c>
      <c r="E16">
        <v>2007</v>
      </c>
      <c r="F16" t="s">
        <v>415</v>
      </c>
      <c r="G16" t="s">
        <v>415</v>
      </c>
      <c r="H16" s="7">
        <v>10000</v>
      </c>
      <c r="I16" s="7">
        <v>10000</v>
      </c>
      <c r="J16" s="9">
        <v>1</v>
      </c>
      <c r="K16" s="9"/>
      <c r="L16" s="7">
        <v>4500</v>
      </c>
      <c r="M16" s="42">
        <v>4500</v>
      </c>
    </row>
    <row r="17" spans="1:13" x14ac:dyDescent="0.25">
      <c r="A17" s="1">
        <v>40780</v>
      </c>
      <c r="B17">
        <v>2011</v>
      </c>
      <c r="C17" t="s">
        <v>44</v>
      </c>
      <c r="D17" t="s">
        <v>182</v>
      </c>
      <c r="E17" t="s">
        <v>45</v>
      </c>
      <c r="F17" t="s">
        <v>6</v>
      </c>
      <c r="G17" t="s">
        <v>6</v>
      </c>
      <c r="H17" s="7">
        <v>111215000</v>
      </c>
      <c r="I17" s="7">
        <v>114406838</v>
      </c>
      <c r="J17" s="43">
        <f>1-J18</f>
        <v>0.97428616985288941</v>
      </c>
      <c r="K17" s="43" t="s">
        <v>184</v>
      </c>
      <c r="L17" s="7">
        <v>88300000</v>
      </c>
      <c r="M17" s="42">
        <f>L17*J17</f>
        <v>86029468.798010141</v>
      </c>
    </row>
    <row r="18" spans="1:13" x14ac:dyDescent="0.25">
      <c r="A18" s="1">
        <v>40780</v>
      </c>
      <c r="B18">
        <v>2011</v>
      </c>
      <c r="C18" t="s">
        <v>44</v>
      </c>
      <c r="D18" t="s">
        <v>182</v>
      </c>
      <c r="E18" t="s">
        <v>450</v>
      </c>
      <c r="F18" t="s">
        <v>31</v>
      </c>
      <c r="G18" t="s">
        <v>31</v>
      </c>
      <c r="H18" s="7">
        <v>2941838</v>
      </c>
      <c r="I18" s="7">
        <v>114406838</v>
      </c>
      <c r="J18" s="43">
        <f>H18/I18</f>
        <v>2.5713830147110612E-2</v>
      </c>
      <c r="K18" s="43" t="s">
        <v>184</v>
      </c>
      <c r="L18" s="7">
        <v>88300000</v>
      </c>
      <c r="M18" s="42">
        <f>L18*J18</f>
        <v>2270531.2019898673</v>
      </c>
    </row>
    <row r="19" spans="1:13" x14ac:dyDescent="0.25">
      <c r="A19" s="1">
        <v>40816</v>
      </c>
      <c r="B19">
        <v>2011</v>
      </c>
      <c r="C19" t="s">
        <v>157</v>
      </c>
      <c r="D19" t="s">
        <v>181</v>
      </c>
      <c r="E19" t="s">
        <v>104</v>
      </c>
      <c r="F19" t="s">
        <v>418</v>
      </c>
      <c r="G19" t="s">
        <v>8</v>
      </c>
      <c r="H19" s="7">
        <f>I19/3</f>
        <v>220351</v>
      </c>
      <c r="I19" s="7">
        <v>661053</v>
      </c>
      <c r="J19" s="43">
        <f>H19/I19</f>
        <v>0.33333333333333331</v>
      </c>
      <c r="K19" s="43" t="s">
        <v>183</v>
      </c>
      <c r="L19" s="7">
        <v>502408</v>
      </c>
      <c r="M19" s="42">
        <f>L19*J19</f>
        <v>167469.33333333331</v>
      </c>
    </row>
    <row r="20" spans="1:13" x14ac:dyDescent="0.25">
      <c r="A20" s="1">
        <v>40816</v>
      </c>
      <c r="B20">
        <v>2011</v>
      </c>
      <c r="C20" t="s">
        <v>157</v>
      </c>
      <c r="D20" t="s">
        <v>181</v>
      </c>
      <c r="E20" t="s">
        <v>104</v>
      </c>
      <c r="F20" t="s">
        <v>418</v>
      </c>
      <c r="G20" t="s">
        <v>415</v>
      </c>
      <c r="H20" s="7">
        <f>I20/3</f>
        <v>220351</v>
      </c>
      <c r="I20" s="7">
        <v>661053</v>
      </c>
      <c r="J20" s="43">
        <f>H20/I20</f>
        <v>0.33333333333333331</v>
      </c>
      <c r="K20" s="43" t="s">
        <v>183</v>
      </c>
      <c r="L20" s="7">
        <v>502408</v>
      </c>
      <c r="M20" s="42">
        <f>L20*J20</f>
        <v>167469.33333333331</v>
      </c>
    </row>
    <row r="21" spans="1:13" x14ac:dyDescent="0.25">
      <c r="A21" s="1">
        <v>40816</v>
      </c>
      <c r="B21">
        <v>2011</v>
      </c>
      <c r="C21" t="s">
        <v>157</v>
      </c>
      <c r="D21" t="s">
        <v>181</v>
      </c>
      <c r="E21" t="s">
        <v>104</v>
      </c>
      <c r="F21" t="s">
        <v>418</v>
      </c>
      <c r="G21" t="s">
        <v>6</v>
      </c>
      <c r="H21" s="7">
        <f>I21/3</f>
        <v>220351</v>
      </c>
      <c r="I21" s="7">
        <v>661053</v>
      </c>
      <c r="J21" s="43">
        <f>H21/I21</f>
        <v>0.33333333333333331</v>
      </c>
      <c r="K21" s="43" t="s">
        <v>183</v>
      </c>
      <c r="L21" s="7">
        <v>502408</v>
      </c>
      <c r="M21" s="42">
        <f>L21*J21</f>
        <v>167469.33333333331</v>
      </c>
    </row>
    <row r="22" spans="1:13" x14ac:dyDescent="0.25">
      <c r="A22" s="1">
        <v>40830</v>
      </c>
      <c r="B22">
        <v>2012</v>
      </c>
      <c r="C22" t="s">
        <v>156</v>
      </c>
      <c r="D22" t="s">
        <v>181</v>
      </c>
      <c r="E22" t="s">
        <v>64</v>
      </c>
      <c r="F22" t="s">
        <v>8</v>
      </c>
      <c r="G22" t="s">
        <v>8</v>
      </c>
      <c r="H22" s="7"/>
      <c r="I22" s="7"/>
      <c r="J22" s="43">
        <v>1</v>
      </c>
      <c r="K22" s="43"/>
      <c r="L22" s="7">
        <v>1661672</v>
      </c>
      <c r="M22" s="42">
        <v>1661672</v>
      </c>
    </row>
    <row r="23" spans="1:13" x14ac:dyDescent="0.25">
      <c r="A23" s="1">
        <v>40843</v>
      </c>
      <c r="B23">
        <v>2012</v>
      </c>
      <c r="C23" t="s">
        <v>155</v>
      </c>
      <c r="D23" t="s">
        <v>181</v>
      </c>
      <c r="E23">
        <v>2006</v>
      </c>
      <c r="F23" t="s">
        <v>8</v>
      </c>
      <c r="G23" t="s">
        <v>8</v>
      </c>
      <c r="H23" s="7">
        <v>10000</v>
      </c>
      <c r="I23" s="7">
        <v>10000</v>
      </c>
      <c r="J23" s="43">
        <v>1</v>
      </c>
      <c r="K23" s="43"/>
      <c r="L23" s="7"/>
      <c r="M23" s="7"/>
    </row>
    <row r="24" spans="1:13" x14ac:dyDescent="0.25">
      <c r="A24" s="1">
        <v>40855</v>
      </c>
      <c r="B24">
        <v>2012</v>
      </c>
      <c r="C24" t="s">
        <v>153</v>
      </c>
      <c r="D24" t="s">
        <v>181</v>
      </c>
      <c r="E24">
        <v>2005</v>
      </c>
      <c r="F24" t="s">
        <v>8</v>
      </c>
      <c r="G24" t="s">
        <v>8</v>
      </c>
      <c r="H24" s="7">
        <v>25000</v>
      </c>
      <c r="I24" s="7">
        <v>25000</v>
      </c>
      <c r="J24" s="43">
        <v>1</v>
      </c>
      <c r="K24" s="43"/>
      <c r="L24" s="7">
        <v>15000</v>
      </c>
      <c r="M24" s="7">
        <v>15000</v>
      </c>
    </row>
    <row r="25" spans="1:13" x14ac:dyDescent="0.25">
      <c r="A25" s="1">
        <v>40855</v>
      </c>
      <c r="B25">
        <v>2012</v>
      </c>
      <c r="C25" t="s">
        <v>154</v>
      </c>
      <c r="D25" t="s">
        <v>181</v>
      </c>
      <c r="E25">
        <v>2006</v>
      </c>
      <c r="F25" t="s">
        <v>8</v>
      </c>
      <c r="G25" t="s">
        <v>8</v>
      </c>
      <c r="H25" s="7">
        <v>10000</v>
      </c>
      <c r="I25" s="7">
        <v>10000</v>
      </c>
      <c r="J25" s="43">
        <v>1</v>
      </c>
      <c r="K25" s="43"/>
      <c r="L25" s="7">
        <v>5400</v>
      </c>
      <c r="M25" s="7">
        <v>5400</v>
      </c>
    </row>
    <row r="26" spans="1:13" x14ac:dyDescent="0.25">
      <c r="A26" s="1">
        <v>40876</v>
      </c>
      <c r="B26">
        <v>2012</v>
      </c>
      <c r="C26" t="s">
        <v>152</v>
      </c>
      <c r="D26" t="s">
        <v>182</v>
      </c>
      <c r="E26">
        <v>2005</v>
      </c>
      <c r="F26" t="s">
        <v>6</v>
      </c>
      <c r="G26" t="s">
        <v>6</v>
      </c>
      <c r="H26" s="7">
        <v>260000</v>
      </c>
      <c r="I26" s="7">
        <v>260000</v>
      </c>
      <c r="J26" s="43">
        <v>1</v>
      </c>
      <c r="K26" s="43"/>
      <c r="L26" s="7">
        <v>175500</v>
      </c>
      <c r="M26" s="7">
        <v>175500</v>
      </c>
    </row>
    <row r="27" spans="1:13" x14ac:dyDescent="0.25">
      <c r="A27" s="1">
        <v>40897</v>
      </c>
      <c r="B27">
        <v>2012</v>
      </c>
      <c r="C27" t="s">
        <v>151</v>
      </c>
      <c r="D27" t="s">
        <v>181</v>
      </c>
      <c r="E27" t="s">
        <v>104</v>
      </c>
      <c r="F27" t="s">
        <v>415</v>
      </c>
      <c r="G27" t="s">
        <v>415</v>
      </c>
      <c r="H27" s="7">
        <v>50000</v>
      </c>
      <c r="I27" s="7">
        <v>50000</v>
      </c>
      <c r="J27" s="43">
        <v>1</v>
      </c>
      <c r="K27" s="43"/>
      <c r="L27" s="7">
        <v>13500</v>
      </c>
      <c r="M27" s="7">
        <v>13500</v>
      </c>
    </row>
    <row r="28" spans="1:13" x14ac:dyDescent="0.25">
      <c r="A28" s="1">
        <v>40946</v>
      </c>
      <c r="B28">
        <v>2012</v>
      </c>
      <c r="C28" t="s">
        <v>150</v>
      </c>
      <c r="D28" t="s">
        <v>181</v>
      </c>
      <c r="E28">
        <v>2007</v>
      </c>
      <c r="F28" t="s">
        <v>415</v>
      </c>
      <c r="G28" t="s">
        <v>415</v>
      </c>
      <c r="H28" s="7">
        <v>61383</v>
      </c>
      <c r="I28" s="7">
        <v>61383</v>
      </c>
      <c r="J28" s="43">
        <v>1</v>
      </c>
      <c r="K28" s="43"/>
      <c r="L28" s="7">
        <v>30385</v>
      </c>
      <c r="M28" s="7">
        <v>30385</v>
      </c>
    </row>
    <row r="29" spans="1:13" x14ac:dyDescent="0.25">
      <c r="A29" s="1">
        <v>40960</v>
      </c>
      <c r="B29">
        <v>2012</v>
      </c>
      <c r="C29" t="s">
        <v>148</v>
      </c>
      <c r="D29" t="s">
        <v>181</v>
      </c>
      <c r="E29" t="s">
        <v>73</v>
      </c>
      <c r="F29" t="s">
        <v>149</v>
      </c>
      <c r="G29" t="s">
        <v>149</v>
      </c>
      <c r="H29" s="7">
        <v>10000</v>
      </c>
      <c r="I29" s="7">
        <v>10000</v>
      </c>
      <c r="J29" s="43">
        <v>1</v>
      </c>
      <c r="K29" s="43"/>
      <c r="L29" s="7"/>
      <c r="M29" s="7"/>
    </row>
    <row r="30" spans="1:13" x14ac:dyDescent="0.25">
      <c r="A30" s="1">
        <v>40963</v>
      </c>
      <c r="B30">
        <v>2012</v>
      </c>
      <c r="C30" t="s">
        <v>147</v>
      </c>
      <c r="D30" t="s">
        <v>181</v>
      </c>
      <c r="E30" t="s">
        <v>48</v>
      </c>
      <c r="F30" t="s">
        <v>8</v>
      </c>
      <c r="G30" t="s">
        <v>8</v>
      </c>
      <c r="H30" s="7"/>
      <c r="I30" s="7"/>
      <c r="J30" s="43">
        <v>1</v>
      </c>
      <c r="K30" s="43"/>
      <c r="L30" s="7">
        <v>1054388</v>
      </c>
      <c r="M30" s="7">
        <v>1054388</v>
      </c>
    </row>
    <row r="31" spans="1:13" x14ac:dyDescent="0.25">
      <c r="A31" s="1">
        <v>41009</v>
      </c>
      <c r="B31">
        <v>2012</v>
      </c>
      <c r="C31" t="s">
        <v>146</v>
      </c>
      <c r="D31" t="s">
        <v>181</v>
      </c>
      <c r="E31" t="s">
        <v>48</v>
      </c>
      <c r="F31" t="s">
        <v>8</v>
      </c>
      <c r="G31" t="s">
        <v>8</v>
      </c>
      <c r="H31" s="7">
        <v>750000</v>
      </c>
      <c r="I31" s="7">
        <v>750000</v>
      </c>
      <c r="J31" s="43">
        <v>1</v>
      </c>
      <c r="K31" s="43"/>
      <c r="L31" s="7">
        <v>450000</v>
      </c>
      <c r="M31" s="7">
        <v>450000</v>
      </c>
    </row>
    <row r="32" spans="1:13" x14ac:dyDescent="0.25">
      <c r="A32" s="1">
        <v>41024</v>
      </c>
      <c r="B32">
        <v>2012</v>
      </c>
      <c r="C32" t="s">
        <v>145</v>
      </c>
      <c r="D32" t="s">
        <v>181</v>
      </c>
      <c r="E32" t="s">
        <v>42</v>
      </c>
      <c r="F32" t="s">
        <v>8</v>
      </c>
      <c r="G32" t="s">
        <v>8</v>
      </c>
      <c r="H32" s="7"/>
      <c r="I32" s="7">
        <v>290000</v>
      </c>
      <c r="J32" s="43">
        <v>1</v>
      </c>
      <c r="K32" s="43"/>
      <c r="L32" s="7">
        <v>126000</v>
      </c>
      <c r="M32" s="7">
        <v>126000</v>
      </c>
    </row>
    <row r="33" spans="1:13" x14ac:dyDescent="0.25">
      <c r="A33" s="1">
        <v>41050</v>
      </c>
      <c r="B33">
        <v>2012</v>
      </c>
      <c r="C33" t="s">
        <v>144</v>
      </c>
      <c r="D33" t="s">
        <v>182</v>
      </c>
      <c r="E33">
        <v>2007</v>
      </c>
      <c r="F33" t="s">
        <v>8</v>
      </c>
      <c r="G33" t="s">
        <v>8</v>
      </c>
      <c r="H33" s="7"/>
      <c r="I33" s="7"/>
      <c r="J33" s="43">
        <v>1</v>
      </c>
      <c r="K33" s="43"/>
      <c r="L33" s="7">
        <v>112500</v>
      </c>
      <c r="M33" s="7">
        <v>112500</v>
      </c>
    </row>
    <row r="34" spans="1:13" x14ac:dyDescent="0.25">
      <c r="A34" s="1">
        <v>41072</v>
      </c>
      <c r="B34">
        <v>2012</v>
      </c>
      <c r="C34" t="s">
        <v>142</v>
      </c>
      <c r="D34" t="s">
        <v>182</v>
      </c>
      <c r="E34" t="s">
        <v>143</v>
      </c>
      <c r="F34" t="s">
        <v>457</v>
      </c>
      <c r="G34" t="s">
        <v>6</v>
      </c>
      <c r="H34" s="7">
        <v>636450000</v>
      </c>
      <c r="I34" s="7">
        <v>665992444</v>
      </c>
      <c r="J34" s="43">
        <f>H34/I34</f>
        <v>0.95564147271316491</v>
      </c>
      <c r="K34" s="43" t="s">
        <v>184</v>
      </c>
      <c r="L34" s="7">
        <v>619000000</v>
      </c>
      <c r="M34" s="7">
        <f>J34*L34</f>
        <v>591542071.60944903</v>
      </c>
    </row>
    <row r="35" spans="1:13" x14ac:dyDescent="0.25">
      <c r="A35" s="1">
        <v>41072</v>
      </c>
      <c r="B35">
        <v>2012</v>
      </c>
      <c r="C35" t="s">
        <v>142</v>
      </c>
      <c r="D35" t="s">
        <v>182</v>
      </c>
      <c r="E35" t="s">
        <v>143</v>
      </c>
      <c r="F35" t="s">
        <v>457</v>
      </c>
      <c r="G35" t="s">
        <v>7</v>
      </c>
      <c r="H35" s="7">
        <v>19919545</v>
      </c>
      <c r="I35" s="7">
        <v>665992444</v>
      </c>
      <c r="J35" s="43">
        <f>H35/I35</f>
        <v>2.9909566061082818E-2</v>
      </c>
      <c r="K35" s="43" t="s">
        <v>184</v>
      </c>
      <c r="L35" s="7">
        <v>619000000</v>
      </c>
      <c r="M35" s="7">
        <f>J35*L35</f>
        <v>18514021.391810264</v>
      </c>
    </row>
    <row r="36" spans="1:13" x14ac:dyDescent="0.25">
      <c r="A36" s="1">
        <v>41072</v>
      </c>
      <c r="B36">
        <v>2012</v>
      </c>
      <c r="C36" t="s">
        <v>142</v>
      </c>
      <c r="D36" t="s">
        <v>182</v>
      </c>
      <c r="E36" t="s">
        <v>143</v>
      </c>
      <c r="F36" t="s">
        <v>457</v>
      </c>
      <c r="G36" t="s">
        <v>415</v>
      </c>
      <c r="H36" s="7">
        <v>6531899</v>
      </c>
      <c r="I36" s="7">
        <v>665992444</v>
      </c>
      <c r="J36" s="43">
        <f>H36/I36</f>
        <v>9.8077674286647012E-3</v>
      </c>
      <c r="K36" s="43" t="s">
        <v>184</v>
      </c>
      <c r="L36" s="7">
        <v>619000000</v>
      </c>
      <c r="M36" s="7">
        <f>J36*L36</f>
        <v>6071008.0383434501</v>
      </c>
    </row>
    <row r="37" spans="1:13" x14ac:dyDescent="0.25">
      <c r="A37" s="1">
        <v>41072</v>
      </c>
      <c r="B37">
        <v>2012</v>
      </c>
      <c r="C37" t="s">
        <v>142</v>
      </c>
      <c r="D37" t="s">
        <v>182</v>
      </c>
      <c r="E37" t="s">
        <v>143</v>
      </c>
      <c r="F37" t="s">
        <v>457</v>
      </c>
      <c r="G37" t="s">
        <v>131</v>
      </c>
      <c r="H37" s="7">
        <v>375000</v>
      </c>
      <c r="I37" s="7">
        <v>665992444</v>
      </c>
      <c r="J37" s="43">
        <f>H37/I37</f>
        <v>5.6306945128044121E-4</v>
      </c>
      <c r="K37" s="43" t="s">
        <v>184</v>
      </c>
      <c r="L37" s="7">
        <v>619000000</v>
      </c>
      <c r="M37" s="7">
        <f>J37*L37</f>
        <v>348539.99034259311</v>
      </c>
    </row>
    <row r="38" spans="1:13" x14ac:dyDescent="0.25">
      <c r="A38" s="1">
        <v>41072</v>
      </c>
      <c r="B38">
        <v>2012</v>
      </c>
      <c r="C38" t="s">
        <v>142</v>
      </c>
      <c r="D38" t="s">
        <v>182</v>
      </c>
      <c r="E38" t="s">
        <v>143</v>
      </c>
      <c r="F38" t="s">
        <v>457</v>
      </c>
      <c r="G38" t="s">
        <v>8</v>
      </c>
      <c r="H38" s="7">
        <v>2716000</v>
      </c>
      <c r="I38" s="7">
        <v>665992444</v>
      </c>
      <c r="J38" s="43">
        <f>H38/I38</f>
        <v>4.0781243458071423E-3</v>
      </c>
      <c r="K38" s="43" t="s">
        <v>184</v>
      </c>
      <c r="L38" s="7">
        <v>619000000</v>
      </c>
      <c r="M38" s="7">
        <f>J38*L38</f>
        <v>2524358.9700546209</v>
      </c>
    </row>
    <row r="39" spans="1:13" x14ac:dyDescent="0.25">
      <c r="A39" s="1">
        <v>41074</v>
      </c>
      <c r="B39">
        <v>2012</v>
      </c>
      <c r="C39" t="s">
        <v>140</v>
      </c>
      <c r="D39" t="s">
        <v>182</v>
      </c>
      <c r="E39" t="s">
        <v>141</v>
      </c>
      <c r="F39" t="s">
        <v>415</v>
      </c>
      <c r="G39" t="s">
        <v>415</v>
      </c>
      <c r="H39" s="7">
        <v>4276000</v>
      </c>
      <c r="I39" s="7">
        <v>4276000</v>
      </c>
      <c r="J39" s="43">
        <v>1</v>
      </c>
      <c r="K39" s="43"/>
      <c r="L39" s="7">
        <v>855000</v>
      </c>
      <c r="M39" s="7">
        <v>855000</v>
      </c>
    </row>
    <row r="40" spans="1:13" x14ac:dyDescent="0.25">
      <c r="A40" s="1">
        <v>41100</v>
      </c>
      <c r="B40">
        <v>2012</v>
      </c>
      <c r="C40" t="s">
        <v>139</v>
      </c>
      <c r="D40" t="s">
        <v>181</v>
      </c>
      <c r="E40" t="s">
        <v>85</v>
      </c>
      <c r="F40" t="s">
        <v>6</v>
      </c>
      <c r="G40" t="s">
        <v>6</v>
      </c>
      <c r="H40" s="7">
        <v>5990000</v>
      </c>
      <c r="I40" s="7">
        <v>5990000</v>
      </c>
      <c r="J40" s="43">
        <v>1</v>
      </c>
      <c r="K40" s="43"/>
      <c r="L40" s="7">
        <v>1347750</v>
      </c>
      <c r="M40" s="7">
        <v>1347750</v>
      </c>
    </row>
    <row r="41" spans="1:13" x14ac:dyDescent="0.25">
      <c r="A41" s="1">
        <v>41143</v>
      </c>
      <c r="B41">
        <v>2012</v>
      </c>
      <c r="C41" t="s">
        <v>137</v>
      </c>
      <c r="D41" t="s">
        <v>181</v>
      </c>
      <c r="E41" t="s">
        <v>73</v>
      </c>
      <c r="F41" t="s">
        <v>138</v>
      </c>
      <c r="G41" t="s">
        <v>8</v>
      </c>
      <c r="H41" s="7">
        <f>I41/2</f>
        <v>335000</v>
      </c>
      <c r="I41" s="7">
        <v>670000</v>
      </c>
      <c r="J41" s="43">
        <f>H41/I41</f>
        <v>0.5</v>
      </c>
      <c r="K41" s="43" t="s">
        <v>183</v>
      </c>
      <c r="L41" s="7">
        <v>402000</v>
      </c>
      <c r="M41" s="7">
        <f>L42*J41</f>
        <v>201000</v>
      </c>
    </row>
    <row r="42" spans="1:13" x14ac:dyDescent="0.25">
      <c r="A42" s="1">
        <v>41143</v>
      </c>
      <c r="B42">
        <v>2012</v>
      </c>
      <c r="C42" t="s">
        <v>137</v>
      </c>
      <c r="D42" t="s">
        <v>181</v>
      </c>
      <c r="E42" t="s">
        <v>73</v>
      </c>
      <c r="F42" t="s">
        <v>138</v>
      </c>
      <c r="G42" t="s">
        <v>31</v>
      </c>
      <c r="H42" s="7">
        <f>I42/2</f>
        <v>335000</v>
      </c>
      <c r="I42" s="7">
        <v>670000</v>
      </c>
      <c r="J42" s="43">
        <f>H42/I42</f>
        <v>0.5</v>
      </c>
      <c r="K42" s="43" t="s">
        <v>183</v>
      </c>
      <c r="L42" s="7">
        <v>402000</v>
      </c>
      <c r="M42" s="7">
        <f>L42*J42</f>
        <v>201000</v>
      </c>
    </row>
    <row r="43" spans="1:13" x14ac:dyDescent="0.25">
      <c r="A43" s="1">
        <v>41201</v>
      </c>
      <c r="B43">
        <v>2013</v>
      </c>
      <c r="C43" t="s">
        <v>136</v>
      </c>
      <c r="D43" t="s">
        <v>181</v>
      </c>
      <c r="E43" t="s">
        <v>85</v>
      </c>
      <c r="F43" t="s">
        <v>8</v>
      </c>
      <c r="G43" t="s">
        <v>8</v>
      </c>
      <c r="H43" s="7">
        <v>21000</v>
      </c>
      <c r="I43" s="7">
        <v>21000</v>
      </c>
      <c r="J43" s="43">
        <v>1</v>
      </c>
      <c r="K43" s="43"/>
      <c r="L43" s="7">
        <v>18900</v>
      </c>
      <c r="M43" s="7">
        <v>18900</v>
      </c>
    </row>
    <row r="44" spans="1:13" x14ac:dyDescent="0.25">
      <c r="A44" s="1">
        <v>41228</v>
      </c>
      <c r="B44">
        <v>2013</v>
      </c>
      <c r="C44" t="s">
        <v>135</v>
      </c>
      <c r="D44" t="s">
        <v>181</v>
      </c>
      <c r="E44" t="s">
        <v>121</v>
      </c>
      <c r="F44" t="s">
        <v>35</v>
      </c>
      <c r="G44" t="s">
        <v>74</v>
      </c>
      <c r="H44" s="7">
        <v>98000</v>
      </c>
      <c r="I44" s="7">
        <v>98000</v>
      </c>
      <c r="J44" s="43">
        <v>1</v>
      </c>
      <c r="K44" s="43"/>
      <c r="L44" s="7">
        <v>52920</v>
      </c>
      <c r="M44" s="7">
        <v>52920</v>
      </c>
    </row>
    <row r="45" spans="1:13" x14ac:dyDescent="0.25">
      <c r="A45" s="1">
        <v>41228</v>
      </c>
      <c r="B45">
        <v>2013</v>
      </c>
      <c r="C45" t="s">
        <v>134</v>
      </c>
      <c r="D45" t="s">
        <v>181</v>
      </c>
      <c r="E45" t="s">
        <v>48</v>
      </c>
      <c r="F45" t="s">
        <v>8</v>
      </c>
      <c r="G45" t="s">
        <v>8</v>
      </c>
      <c r="H45" s="7">
        <v>570000</v>
      </c>
      <c r="I45" s="7">
        <v>570000</v>
      </c>
      <c r="J45" s="43">
        <v>1</v>
      </c>
      <c r="K45" s="43"/>
      <c r="L45" s="7">
        <v>128250</v>
      </c>
      <c r="M45" s="7">
        <v>128250</v>
      </c>
    </row>
    <row r="46" spans="1:13" x14ac:dyDescent="0.25">
      <c r="A46" s="1">
        <v>41253</v>
      </c>
      <c r="B46">
        <v>2013</v>
      </c>
      <c r="C46" t="s">
        <v>132</v>
      </c>
      <c r="D46" t="s">
        <v>182</v>
      </c>
      <c r="E46" t="s">
        <v>133</v>
      </c>
      <c r="F46" t="s">
        <v>458</v>
      </c>
      <c r="G46" t="s">
        <v>7</v>
      </c>
      <c r="H46" s="7">
        <v>625000</v>
      </c>
      <c r="I46" s="7">
        <v>209747769</v>
      </c>
      <c r="J46" s="43">
        <f t="shared" ref="J46:J55" si="0">H46/I46</f>
        <v>2.9797694773096729E-3</v>
      </c>
      <c r="K46" s="44" t="s">
        <v>184</v>
      </c>
      <c r="L46" s="7">
        <v>132000000</v>
      </c>
      <c r="M46" s="7">
        <f t="shared" ref="M46:M60" si="1">J46*L46</f>
        <v>393329.57100487681</v>
      </c>
    </row>
    <row r="47" spans="1:13" x14ac:dyDescent="0.25">
      <c r="A47" s="1">
        <v>41253</v>
      </c>
      <c r="B47">
        <v>2013</v>
      </c>
      <c r="C47" t="s">
        <v>132</v>
      </c>
      <c r="D47" t="s">
        <v>182</v>
      </c>
      <c r="E47" t="s">
        <v>133</v>
      </c>
      <c r="F47" t="s">
        <v>458</v>
      </c>
      <c r="G47" t="s">
        <v>8</v>
      </c>
      <c r="H47" s="7">
        <v>74553945</v>
      </c>
      <c r="I47" s="7">
        <v>209747769</v>
      </c>
      <c r="J47" s="44">
        <f t="shared" si="0"/>
        <v>0.35544571155843857</v>
      </c>
      <c r="K47" s="44" t="s">
        <v>184</v>
      </c>
      <c r="L47" s="7">
        <v>132000000</v>
      </c>
      <c r="M47" s="7">
        <f t="shared" si="1"/>
        <v>46918833.925713889</v>
      </c>
    </row>
    <row r="48" spans="1:13" x14ac:dyDescent="0.25">
      <c r="A48" s="1">
        <v>41253</v>
      </c>
      <c r="B48">
        <v>2013</v>
      </c>
      <c r="C48" t="s">
        <v>132</v>
      </c>
      <c r="D48" t="s">
        <v>182</v>
      </c>
      <c r="E48" t="s">
        <v>133</v>
      </c>
      <c r="F48" t="s">
        <v>458</v>
      </c>
      <c r="G48" t="s">
        <v>131</v>
      </c>
      <c r="H48" s="7">
        <v>25127006</v>
      </c>
      <c r="I48" s="7">
        <v>209747769</v>
      </c>
      <c r="J48" s="44">
        <f t="shared" si="0"/>
        <v>0.11979629685596323</v>
      </c>
      <c r="K48" s="44" t="s">
        <v>184</v>
      </c>
      <c r="L48" s="7">
        <v>132000000</v>
      </c>
      <c r="M48" s="7">
        <f t="shared" si="1"/>
        <v>15813111.184987146</v>
      </c>
    </row>
    <row r="49" spans="1:13" x14ac:dyDescent="0.25">
      <c r="A49" s="1">
        <v>41253</v>
      </c>
      <c r="B49">
        <v>2013</v>
      </c>
      <c r="C49" t="s">
        <v>132</v>
      </c>
      <c r="D49" t="s">
        <v>182</v>
      </c>
      <c r="E49" t="s">
        <v>133</v>
      </c>
      <c r="F49" t="s">
        <v>458</v>
      </c>
      <c r="G49" t="s">
        <v>415</v>
      </c>
      <c r="H49" s="7">
        <v>109320066</v>
      </c>
      <c r="I49" s="7">
        <v>209747769</v>
      </c>
      <c r="J49" s="44">
        <f t="shared" si="0"/>
        <v>0.52119775347884634</v>
      </c>
      <c r="K49" s="44" t="s">
        <v>184</v>
      </c>
      <c r="L49" s="7">
        <v>132000000</v>
      </c>
      <c r="M49" s="7">
        <f t="shared" si="1"/>
        <v>68798103.459207714</v>
      </c>
    </row>
    <row r="50" spans="1:13" x14ac:dyDescent="0.25">
      <c r="A50" s="1">
        <v>41253</v>
      </c>
      <c r="B50">
        <v>2013</v>
      </c>
      <c r="C50" t="s">
        <v>132</v>
      </c>
      <c r="D50" t="s">
        <v>182</v>
      </c>
      <c r="E50" t="s">
        <v>133</v>
      </c>
      <c r="F50" t="s">
        <v>458</v>
      </c>
      <c r="G50" t="s">
        <v>74</v>
      </c>
      <c r="H50" s="7">
        <v>121753</v>
      </c>
      <c r="I50" s="7">
        <v>209747769</v>
      </c>
      <c r="J50" s="43">
        <f t="shared" si="0"/>
        <v>5.8047339707341535E-4</v>
      </c>
      <c r="K50" s="44" t="s">
        <v>184</v>
      </c>
      <c r="L50" s="7">
        <v>132000000</v>
      </c>
      <c r="M50" s="7">
        <f t="shared" si="1"/>
        <v>76622.488413690822</v>
      </c>
    </row>
    <row r="51" spans="1:13" x14ac:dyDescent="0.25">
      <c r="A51" s="1">
        <v>41254</v>
      </c>
      <c r="B51">
        <v>2013</v>
      </c>
      <c r="C51" t="s">
        <v>129</v>
      </c>
      <c r="D51" t="s">
        <v>182</v>
      </c>
      <c r="E51" t="s">
        <v>130</v>
      </c>
      <c r="F51" t="s">
        <v>457</v>
      </c>
      <c r="G51" t="s">
        <v>6</v>
      </c>
      <c r="H51" s="7">
        <v>2600000</v>
      </c>
      <c r="I51" s="7">
        <v>1159872734</v>
      </c>
      <c r="J51" s="43">
        <f t="shared" si="0"/>
        <v>2.2416252436881579E-3</v>
      </c>
      <c r="K51" s="44" t="s">
        <v>184</v>
      </c>
      <c r="L51" s="7">
        <v>375000000</v>
      </c>
      <c r="M51" s="7">
        <f t="shared" si="1"/>
        <v>840609.46638305916</v>
      </c>
    </row>
    <row r="52" spans="1:13" x14ac:dyDescent="0.25">
      <c r="A52" s="1">
        <v>41254</v>
      </c>
      <c r="B52">
        <v>2013</v>
      </c>
      <c r="C52" t="s">
        <v>129</v>
      </c>
      <c r="D52" t="s">
        <v>182</v>
      </c>
      <c r="E52" t="s">
        <v>130</v>
      </c>
      <c r="F52" t="s">
        <v>457</v>
      </c>
      <c r="G52" t="s">
        <v>7</v>
      </c>
      <c r="H52" s="7">
        <v>416346763</v>
      </c>
      <c r="I52" s="7">
        <v>1159872734</v>
      </c>
      <c r="J52" s="44">
        <f t="shared" si="0"/>
        <v>0.35895900541101949</v>
      </c>
      <c r="K52" s="44" t="s">
        <v>184</v>
      </c>
      <c r="L52" s="7">
        <v>375000000</v>
      </c>
      <c r="M52" s="7">
        <f t="shared" si="1"/>
        <v>134609627.02913231</v>
      </c>
    </row>
    <row r="53" spans="1:13" x14ac:dyDescent="0.25">
      <c r="A53" s="1">
        <v>41254</v>
      </c>
      <c r="B53">
        <v>2013</v>
      </c>
      <c r="C53" t="s">
        <v>129</v>
      </c>
      <c r="D53" t="s">
        <v>182</v>
      </c>
      <c r="E53" t="s">
        <v>130</v>
      </c>
      <c r="F53" t="s">
        <v>457</v>
      </c>
      <c r="G53" t="s">
        <v>415</v>
      </c>
      <c r="H53" s="7">
        <v>378554375</v>
      </c>
      <c r="I53" s="7">
        <v>1159872734</v>
      </c>
      <c r="J53" s="44">
        <f t="shared" si="0"/>
        <v>0.32637578581099741</v>
      </c>
      <c r="K53" s="44" t="s">
        <v>184</v>
      </c>
      <c r="L53" s="7">
        <v>375000000</v>
      </c>
      <c r="M53" s="7">
        <f t="shared" si="1"/>
        <v>122390919.67912403</v>
      </c>
    </row>
    <row r="54" spans="1:13" x14ac:dyDescent="0.25">
      <c r="A54" s="1">
        <v>41254</v>
      </c>
      <c r="B54">
        <v>2013</v>
      </c>
      <c r="C54" t="s">
        <v>129</v>
      </c>
      <c r="D54" t="s">
        <v>182</v>
      </c>
      <c r="E54" t="s">
        <v>130</v>
      </c>
      <c r="F54" t="s">
        <v>457</v>
      </c>
      <c r="G54" t="s">
        <v>131</v>
      </c>
      <c r="H54" s="7">
        <v>6997304</v>
      </c>
      <c r="I54" s="7">
        <v>1159872734</v>
      </c>
      <c r="J54" s="44">
        <f t="shared" si="0"/>
        <v>6.0328204939077397E-3</v>
      </c>
      <c r="K54" s="44" t="s">
        <v>184</v>
      </c>
      <c r="L54" s="7">
        <v>375000000</v>
      </c>
      <c r="M54" s="7">
        <f t="shared" si="1"/>
        <v>2262307.6852154024</v>
      </c>
    </row>
    <row r="55" spans="1:13" x14ac:dyDescent="0.25">
      <c r="A55" s="1">
        <v>41254</v>
      </c>
      <c r="B55">
        <v>2013</v>
      </c>
      <c r="C55" t="s">
        <v>129</v>
      </c>
      <c r="D55" t="s">
        <v>182</v>
      </c>
      <c r="E55" t="s">
        <v>130</v>
      </c>
      <c r="F55" t="s">
        <v>457</v>
      </c>
      <c r="G55" t="s">
        <v>8</v>
      </c>
      <c r="H55" s="7">
        <v>355374292</v>
      </c>
      <c r="I55" s="7">
        <v>1159872734</v>
      </c>
      <c r="J55" s="44">
        <f t="shared" si="0"/>
        <v>0.30639076304038715</v>
      </c>
      <c r="K55" s="44" t="s">
        <v>184</v>
      </c>
      <c r="L55" s="7">
        <v>375000000</v>
      </c>
      <c r="M55" s="7">
        <f t="shared" si="1"/>
        <v>114896536.14014518</v>
      </c>
    </row>
    <row r="56" spans="1:13" x14ac:dyDescent="0.25">
      <c r="A56" s="1">
        <v>41255</v>
      </c>
      <c r="B56">
        <v>2013</v>
      </c>
      <c r="C56" t="s">
        <v>26</v>
      </c>
      <c r="D56" t="s">
        <v>182</v>
      </c>
      <c r="E56" t="s">
        <v>25</v>
      </c>
      <c r="F56" t="s">
        <v>419</v>
      </c>
      <c r="G56" t="s">
        <v>190</v>
      </c>
      <c r="H56" s="7" t="s">
        <v>27</v>
      </c>
      <c r="I56" s="7" t="s">
        <v>27</v>
      </c>
      <c r="J56" s="44">
        <v>0.2</v>
      </c>
      <c r="K56" s="44" t="s">
        <v>183</v>
      </c>
      <c r="L56" s="7">
        <v>8571634</v>
      </c>
      <c r="M56" s="7">
        <f t="shared" si="1"/>
        <v>1714326.8</v>
      </c>
    </row>
    <row r="57" spans="1:13" ht="14.25" customHeight="1" x14ac:dyDescent="0.25">
      <c r="A57" s="1">
        <v>41255</v>
      </c>
      <c r="B57">
        <v>2013</v>
      </c>
      <c r="C57" t="s">
        <v>26</v>
      </c>
      <c r="D57" t="s">
        <v>182</v>
      </c>
      <c r="E57" t="s">
        <v>25</v>
      </c>
      <c r="F57" t="s">
        <v>419</v>
      </c>
      <c r="G57" t="s">
        <v>7</v>
      </c>
      <c r="H57" s="7" t="s">
        <v>27</v>
      </c>
      <c r="I57" s="7" t="s">
        <v>27</v>
      </c>
      <c r="J57" s="44">
        <v>0.2</v>
      </c>
      <c r="K57" s="44" t="s">
        <v>183</v>
      </c>
      <c r="L57" s="7">
        <v>8571634</v>
      </c>
      <c r="M57" s="7">
        <f t="shared" si="1"/>
        <v>1714326.8</v>
      </c>
    </row>
    <row r="58" spans="1:13" x14ac:dyDescent="0.25">
      <c r="A58" s="1">
        <v>41255</v>
      </c>
      <c r="B58">
        <v>2013</v>
      </c>
      <c r="C58" t="s">
        <v>26</v>
      </c>
      <c r="D58" t="s">
        <v>182</v>
      </c>
      <c r="E58" t="s">
        <v>25</v>
      </c>
      <c r="F58" t="s">
        <v>419</v>
      </c>
      <c r="G58" t="s">
        <v>8</v>
      </c>
      <c r="H58" s="7" t="s">
        <v>27</v>
      </c>
      <c r="I58" s="7" t="s">
        <v>27</v>
      </c>
      <c r="J58" s="44">
        <v>0.2</v>
      </c>
      <c r="K58" s="44" t="s">
        <v>183</v>
      </c>
      <c r="L58" s="7">
        <v>8571634</v>
      </c>
      <c r="M58" s="7">
        <f t="shared" si="1"/>
        <v>1714326.8</v>
      </c>
    </row>
    <row r="59" spans="1:13" x14ac:dyDescent="0.25">
      <c r="A59" s="1">
        <v>41255</v>
      </c>
      <c r="B59">
        <v>2013</v>
      </c>
      <c r="C59" t="s">
        <v>26</v>
      </c>
      <c r="D59" t="s">
        <v>182</v>
      </c>
      <c r="E59" t="s">
        <v>25</v>
      </c>
      <c r="F59" t="s">
        <v>419</v>
      </c>
      <c r="G59" t="s">
        <v>6</v>
      </c>
      <c r="H59" s="7" t="s">
        <v>27</v>
      </c>
      <c r="I59" s="7" t="s">
        <v>27</v>
      </c>
      <c r="J59" s="44">
        <v>0.2</v>
      </c>
      <c r="K59" s="44" t="s">
        <v>183</v>
      </c>
      <c r="L59" s="7">
        <v>8571634</v>
      </c>
      <c r="M59" s="7">
        <f t="shared" si="1"/>
        <v>1714326.8</v>
      </c>
    </row>
    <row r="60" spans="1:13" x14ac:dyDescent="0.25">
      <c r="A60" s="1">
        <v>41255</v>
      </c>
      <c r="B60">
        <v>2013</v>
      </c>
      <c r="C60" t="s">
        <v>26</v>
      </c>
      <c r="D60" t="s">
        <v>182</v>
      </c>
      <c r="E60" t="s">
        <v>25</v>
      </c>
      <c r="F60" t="s">
        <v>419</v>
      </c>
      <c r="G60" t="s">
        <v>415</v>
      </c>
      <c r="H60" s="7" t="s">
        <v>27</v>
      </c>
      <c r="I60" s="7" t="s">
        <v>27</v>
      </c>
      <c r="J60" s="44">
        <v>0.2</v>
      </c>
      <c r="K60" s="44" t="s">
        <v>183</v>
      </c>
      <c r="L60" s="7">
        <v>8571634</v>
      </c>
      <c r="M60" s="7">
        <f t="shared" si="1"/>
        <v>1714326.8</v>
      </c>
    </row>
    <row r="61" spans="1:13" x14ac:dyDescent="0.25">
      <c r="A61" s="1">
        <v>41276</v>
      </c>
      <c r="B61">
        <v>2013</v>
      </c>
      <c r="C61" t="s">
        <v>180</v>
      </c>
      <c r="D61" t="s">
        <v>181</v>
      </c>
      <c r="E61" t="s">
        <v>124</v>
      </c>
      <c r="F61" t="s">
        <v>8</v>
      </c>
      <c r="G61" t="s">
        <v>8</v>
      </c>
      <c r="H61" s="7">
        <v>426000</v>
      </c>
      <c r="I61" s="7">
        <v>426000</v>
      </c>
      <c r="J61" s="44">
        <v>1</v>
      </c>
      <c r="K61" s="44"/>
      <c r="L61" s="7">
        <v>191700</v>
      </c>
      <c r="M61" s="7">
        <v>191700</v>
      </c>
    </row>
    <row r="62" spans="1:13" x14ac:dyDescent="0.25">
      <c r="A62" s="1">
        <v>41292</v>
      </c>
      <c r="B62">
        <v>2013</v>
      </c>
      <c r="C62" t="s">
        <v>128</v>
      </c>
      <c r="D62" t="s">
        <v>181</v>
      </c>
      <c r="E62" t="s">
        <v>91</v>
      </c>
      <c r="F62" t="s">
        <v>8</v>
      </c>
      <c r="G62" t="s">
        <v>8</v>
      </c>
      <c r="H62" s="7">
        <v>500000</v>
      </c>
      <c r="I62" s="7">
        <v>500000</v>
      </c>
      <c r="J62" s="44">
        <v>1</v>
      </c>
      <c r="K62" s="44"/>
      <c r="L62" s="7">
        <v>10000</v>
      </c>
      <c r="M62" s="7">
        <v>10000</v>
      </c>
    </row>
    <row r="63" spans="1:13" x14ac:dyDescent="0.25">
      <c r="A63" s="1">
        <v>41306</v>
      </c>
      <c r="B63">
        <v>2013</v>
      </c>
      <c r="C63" t="s">
        <v>41</v>
      </c>
      <c r="D63" t="s">
        <v>181</v>
      </c>
      <c r="E63" t="s">
        <v>42</v>
      </c>
      <c r="F63" t="s">
        <v>8</v>
      </c>
      <c r="G63" t="s">
        <v>8</v>
      </c>
      <c r="H63" s="7">
        <f>I63*J63</f>
        <v>83500</v>
      </c>
      <c r="I63" s="7">
        <v>167000</v>
      </c>
      <c r="J63" s="44">
        <v>0.5</v>
      </c>
      <c r="K63" s="44" t="s">
        <v>183</v>
      </c>
      <c r="L63" s="7">
        <v>97695</v>
      </c>
      <c r="M63" s="8">
        <f>J63*L63</f>
        <v>48847.5</v>
      </c>
    </row>
    <row r="64" spans="1:13" x14ac:dyDescent="0.25">
      <c r="A64" s="1">
        <v>41306</v>
      </c>
      <c r="B64">
        <v>2013</v>
      </c>
      <c r="C64" t="s">
        <v>41</v>
      </c>
      <c r="D64" t="s">
        <v>181</v>
      </c>
      <c r="E64" t="s">
        <v>42</v>
      </c>
      <c r="F64" t="s">
        <v>43</v>
      </c>
      <c r="G64" t="s">
        <v>190</v>
      </c>
      <c r="H64" s="7">
        <f>I64*J64</f>
        <v>83500</v>
      </c>
      <c r="I64" s="7">
        <v>167000</v>
      </c>
      <c r="J64" s="44">
        <v>0.5</v>
      </c>
      <c r="K64" s="44" t="s">
        <v>183</v>
      </c>
      <c r="L64" s="7">
        <v>97695</v>
      </c>
      <c r="M64" s="8">
        <f>J64*L64</f>
        <v>48847.5</v>
      </c>
    </row>
    <row r="65" spans="1:13" x14ac:dyDescent="0.25">
      <c r="A65" s="1">
        <v>41326</v>
      </c>
      <c r="B65">
        <v>2013</v>
      </c>
      <c r="C65" t="s">
        <v>127</v>
      </c>
      <c r="D65" t="s">
        <v>181</v>
      </c>
      <c r="E65" t="s">
        <v>42</v>
      </c>
      <c r="F65" t="s">
        <v>8</v>
      </c>
      <c r="G65" t="s">
        <v>8</v>
      </c>
      <c r="H65" s="7">
        <f>I65*J65</f>
        <v>449000</v>
      </c>
      <c r="I65" s="7">
        <v>449000</v>
      </c>
      <c r="J65" s="44">
        <v>1</v>
      </c>
      <c r="K65" s="44"/>
      <c r="L65" s="7">
        <v>404100</v>
      </c>
      <c r="M65" s="7">
        <f>L65*J65</f>
        <v>404100</v>
      </c>
    </row>
    <row r="66" spans="1:13" x14ac:dyDescent="0.25">
      <c r="A66" s="1">
        <v>41327</v>
      </c>
      <c r="B66">
        <v>2013</v>
      </c>
      <c r="C66" t="s">
        <v>186</v>
      </c>
      <c r="D66" t="s">
        <v>181</v>
      </c>
      <c r="E66">
        <v>2010</v>
      </c>
      <c r="F66" t="s">
        <v>6</v>
      </c>
      <c r="G66" t="s">
        <v>6</v>
      </c>
      <c r="H66" s="7">
        <v>65000</v>
      </c>
      <c r="I66" s="7">
        <v>65000</v>
      </c>
      <c r="J66" s="44">
        <v>1</v>
      </c>
      <c r="K66" s="44"/>
      <c r="L66" s="7">
        <v>43875</v>
      </c>
      <c r="M66" s="7">
        <v>43875</v>
      </c>
    </row>
    <row r="67" spans="1:13" x14ac:dyDescent="0.25">
      <c r="A67" s="1">
        <v>41327</v>
      </c>
      <c r="B67">
        <v>2013</v>
      </c>
      <c r="C67" t="s">
        <v>126</v>
      </c>
      <c r="D67" t="s">
        <v>182</v>
      </c>
      <c r="E67">
        <v>2010</v>
      </c>
      <c r="F67" t="s">
        <v>8</v>
      </c>
      <c r="G67" t="s">
        <v>8</v>
      </c>
      <c r="H67" s="7">
        <v>20000</v>
      </c>
      <c r="I67" s="7">
        <v>20000</v>
      </c>
      <c r="J67" s="44">
        <v>1</v>
      </c>
      <c r="K67" s="44"/>
      <c r="L67" s="7">
        <v>27000</v>
      </c>
      <c r="M67" s="7">
        <v>27000</v>
      </c>
    </row>
    <row r="68" spans="1:13" x14ac:dyDescent="0.25">
      <c r="A68" s="1">
        <v>41338</v>
      </c>
      <c r="B68">
        <v>2013</v>
      </c>
      <c r="C68" t="s">
        <v>123</v>
      </c>
      <c r="D68" t="s">
        <v>181</v>
      </c>
      <c r="E68" t="s">
        <v>124</v>
      </c>
      <c r="F68" t="s">
        <v>125</v>
      </c>
      <c r="G68" t="s">
        <v>6</v>
      </c>
      <c r="H68" s="7">
        <f>I68*J68</f>
        <v>103444.5</v>
      </c>
      <c r="I68" s="7">
        <v>206889</v>
      </c>
      <c r="J68" s="44">
        <v>0.5</v>
      </c>
      <c r="K68" s="44" t="s">
        <v>183</v>
      </c>
      <c r="L68" s="7">
        <v>139650</v>
      </c>
      <c r="M68" s="7">
        <f>L68*J68</f>
        <v>69825</v>
      </c>
    </row>
    <row r="69" spans="1:13" x14ac:dyDescent="0.25">
      <c r="A69" s="1">
        <v>41338</v>
      </c>
      <c r="B69">
        <v>2013</v>
      </c>
      <c r="C69" t="s">
        <v>123</v>
      </c>
      <c r="D69" t="s">
        <v>181</v>
      </c>
      <c r="E69" t="s">
        <v>124</v>
      </c>
      <c r="F69" t="s">
        <v>125</v>
      </c>
      <c r="G69" t="s">
        <v>8</v>
      </c>
      <c r="H69" s="7">
        <f>I69*J69</f>
        <v>103444.5</v>
      </c>
      <c r="I69" s="7">
        <v>206889</v>
      </c>
      <c r="J69" s="44">
        <v>0.5</v>
      </c>
      <c r="K69" s="44" t="s">
        <v>183</v>
      </c>
      <c r="L69" s="7">
        <v>139650</v>
      </c>
      <c r="M69" s="7">
        <f>L69*J69</f>
        <v>69825</v>
      </c>
    </row>
    <row r="70" spans="1:13" x14ac:dyDescent="0.25">
      <c r="A70" s="1">
        <v>41354</v>
      </c>
      <c r="B70">
        <v>2013</v>
      </c>
      <c r="C70" t="s">
        <v>24</v>
      </c>
      <c r="D70" t="s">
        <v>181</v>
      </c>
      <c r="E70" t="s">
        <v>22</v>
      </c>
      <c r="F70" t="s">
        <v>36</v>
      </c>
      <c r="G70" t="s">
        <v>31</v>
      </c>
      <c r="H70" s="7">
        <v>32000</v>
      </c>
      <c r="I70" s="7">
        <v>32000</v>
      </c>
      <c r="J70" s="44">
        <v>1</v>
      </c>
      <c r="K70" s="44"/>
      <c r="L70" s="7">
        <v>20800</v>
      </c>
      <c r="M70" s="7">
        <f>J70*L70</f>
        <v>20800</v>
      </c>
    </row>
    <row r="71" spans="1:13" x14ac:dyDescent="0.25">
      <c r="A71" s="1">
        <v>41376</v>
      </c>
      <c r="B71">
        <v>2013</v>
      </c>
      <c r="C71" t="s">
        <v>122</v>
      </c>
      <c r="D71" t="s">
        <v>181</v>
      </c>
      <c r="E71">
        <v>2007</v>
      </c>
      <c r="F71" t="s">
        <v>8</v>
      </c>
      <c r="G71" t="s">
        <v>8</v>
      </c>
      <c r="H71" s="7">
        <v>25000</v>
      </c>
      <c r="I71" s="7">
        <v>25000</v>
      </c>
      <c r="J71" s="44">
        <v>1</v>
      </c>
      <c r="K71" s="44"/>
      <c r="L71" s="7">
        <v>22500</v>
      </c>
      <c r="M71" s="7">
        <v>22500</v>
      </c>
    </row>
    <row r="72" spans="1:13" x14ac:dyDescent="0.25">
      <c r="A72" s="1">
        <v>41389</v>
      </c>
      <c r="B72">
        <v>2013</v>
      </c>
      <c r="C72" t="s">
        <v>120</v>
      </c>
      <c r="D72" t="s">
        <v>182</v>
      </c>
      <c r="E72" t="s">
        <v>121</v>
      </c>
      <c r="F72" t="s">
        <v>35</v>
      </c>
      <c r="G72" t="s">
        <v>74</v>
      </c>
      <c r="H72" s="7">
        <v>26000</v>
      </c>
      <c r="I72" s="7">
        <v>26000</v>
      </c>
      <c r="J72" s="44">
        <v>1</v>
      </c>
      <c r="K72" s="44"/>
      <c r="L72" s="7">
        <v>23400</v>
      </c>
      <c r="M72" s="7">
        <v>23400</v>
      </c>
    </row>
    <row r="73" spans="1:13" x14ac:dyDescent="0.25">
      <c r="A73" s="1">
        <v>41403</v>
      </c>
      <c r="B73">
        <v>2013</v>
      </c>
      <c r="C73" t="s">
        <v>118</v>
      </c>
      <c r="D73" t="s">
        <v>182</v>
      </c>
      <c r="E73" t="s">
        <v>119</v>
      </c>
      <c r="F73" t="s">
        <v>420</v>
      </c>
      <c r="G73" t="s">
        <v>6</v>
      </c>
      <c r="H73" s="7">
        <v>61000</v>
      </c>
      <c r="I73" s="7">
        <v>1729000</v>
      </c>
      <c r="J73" s="44">
        <f>H73/I73</f>
        <v>3.5280508964719494E-2</v>
      </c>
      <c r="K73" s="44" t="s">
        <v>184</v>
      </c>
      <c r="L73" s="7">
        <v>348000</v>
      </c>
      <c r="M73" s="7">
        <f>J73*L73</f>
        <v>12277.617119722383</v>
      </c>
    </row>
    <row r="74" spans="1:13" x14ac:dyDescent="0.25">
      <c r="A74" s="1">
        <v>41403</v>
      </c>
      <c r="B74">
        <v>2013</v>
      </c>
      <c r="C74" t="s">
        <v>118</v>
      </c>
      <c r="D74" t="s">
        <v>182</v>
      </c>
      <c r="E74" t="s">
        <v>119</v>
      </c>
      <c r="F74" t="s">
        <v>420</v>
      </c>
      <c r="G74" t="s">
        <v>415</v>
      </c>
      <c r="H74" s="7">
        <v>844000</v>
      </c>
      <c r="I74" s="7">
        <v>1729000</v>
      </c>
      <c r="J74" s="44">
        <f>H74/I74</f>
        <v>0.48814343551185657</v>
      </c>
      <c r="K74" s="44" t="s">
        <v>184</v>
      </c>
      <c r="L74" s="7">
        <v>348000</v>
      </c>
      <c r="M74" s="7">
        <f>J74*L74</f>
        <v>169873.91555812609</v>
      </c>
    </row>
    <row r="75" spans="1:13" x14ac:dyDescent="0.25">
      <c r="A75" s="1">
        <v>41403</v>
      </c>
      <c r="B75">
        <v>2013</v>
      </c>
      <c r="C75" t="s">
        <v>118</v>
      </c>
      <c r="D75" t="s">
        <v>182</v>
      </c>
      <c r="E75" t="s">
        <v>119</v>
      </c>
      <c r="F75" t="s">
        <v>420</v>
      </c>
      <c r="G75" t="s">
        <v>8</v>
      </c>
      <c r="H75" s="7">
        <v>824000</v>
      </c>
      <c r="I75" s="7">
        <v>1729000</v>
      </c>
      <c r="J75" s="44">
        <f>H75/I75</f>
        <v>0.47657605552342397</v>
      </c>
      <c r="K75" s="44" t="s">
        <v>184</v>
      </c>
      <c r="L75" s="7">
        <v>348000</v>
      </c>
      <c r="M75" s="7">
        <f>J75*L75</f>
        <v>165848.46732215155</v>
      </c>
    </row>
    <row r="76" spans="1:13" x14ac:dyDescent="0.25">
      <c r="A76" s="1">
        <v>41437</v>
      </c>
      <c r="B76">
        <v>2013</v>
      </c>
      <c r="C76" t="s">
        <v>117</v>
      </c>
      <c r="D76" t="s">
        <v>181</v>
      </c>
      <c r="E76" t="s">
        <v>116</v>
      </c>
      <c r="F76" t="s">
        <v>8</v>
      </c>
      <c r="G76" t="s">
        <v>8</v>
      </c>
      <c r="H76" s="7">
        <v>135000</v>
      </c>
      <c r="I76" s="7">
        <v>135000</v>
      </c>
      <c r="J76" s="44">
        <v>1</v>
      </c>
      <c r="K76" s="44"/>
      <c r="L76" s="7">
        <v>48600</v>
      </c>
      <c r="M76" s="7">
        <v>48600</v>
      </c>
    </row>
    <row r="77" spans="1:13" x14ac:dyDescent="0.25">
      <c r="A77" s="1">
        <v>41452</v>
      </c>
      <c r="B77">
        <v>2013</v>
      </c>
      <c r="C77" t="s">
        <v>115</v>
      </c>
      <c r="D77" t="s">
        <v>182</v>
      </c>
      <c r="E77" t="s">
        <v>116</v>
      </c>
      <c r="F77" t="s">
        <v>35</v>
      </c>
      <c r="G77" t="s">
        <v>74</v>
      </c>
      <c r="H77" s="7">
        <v>37996</v>
      </c>
      <c r="I77" s="7">
        <v>37996</v>
      </c>
      <c r="J77" s="44">
        <v>1</v>
      </c>
      <c r="K77" s="44"/>
      <c r="L77" s="7">
        <v>23937</v>
      </c>
      <c r="M77" s="7">
        <v>23937</v>
      </c>
    </row>
    <row r="78" spans="1:13" x14ac:dyDescent="0.25">
      <c r="A78" s="1">
        <v>41453</v>
      </c>
      <c r="B78">
        <v>2013</v>
      </c>
      <c r="C78" t="s">
        <v>113</v>
      </c>
      <c r="D78" t="s">
        <v>182</v>
      </c>
      <c r="E78" t="s">
        <v>114</v>
      </c>
      <c r="F78" t="s">
        <v>420</v>
      </c>
      <c r="G78" t="s">
        <v>6</v>
      </c>
      <c r="H78" s="7">
        <v>1867000</v>
      </c>
      <c r="I78" s="7">
        <v>9362000</v>
      </c>
      <c r="J78" s="44">
        <f>H78/I78</f>
        <v>0.19942320017090365</v>
      </c>
      <c r="K78" s="44" t="s">
        <v>184</v>
      </c>
      <c r="L78" s="7">
        <v>2949030</v>
      </c>
      <c r="M78" s="7">
        <f>J78*L78</f>
        <v>588105</v>
      </c>
    </row>
    <row r="79" spans="1:13" x14ac:dyDescent="0.25">
      <c r="A79" s="1">
        <v>41453</v>
      </c>
      <c r="B79">
        <v>2013</v>
      </c>
      <c r="C79" t="s">
        <v>113</v>
      </c>
      <c r="D79" t="s">
        <v>182</v>
      </c>
      <c r="E79" t="s">
        <v>114</v>
      </c>
      <c r="F79" t="s">
        <v>420</v>
      </c>
      <c r="G79" t="s">
        <v>415</v>
      </c>
      <c r="H79" s="7">
        <v>3371000</v>
      </c>
      <c r="I79" s="7">
        <v>9362000</v>
      </c>
      <c r="J79" s="44">
        <f>H79/I79</f>
        <v>0.36007263405255285</v>
      </c>
      <c r="K79" s="44" t="s">
        <v>184</v>
      </c>
      <c r="L79" s="7">
        <v>2949030</v>
      </c>
      <c r="M79" s="7">
        <f>J79*L79</f>
        <v>1061865</v>
      </c>
    </row>
    <row r="80" spans="1:13" x14ac:dyDescent="0.25">
      <c r="A80" s="1">
        <v>41453</v>
      </c>
      <c r="B80">
        <v>2013</v>
      </c>
      <c r="C80" t="s">
        <v>113</v>
      </c>
      <c r="D80" t="s">
        <v>182</v>
      </c>
      <c r="E80" t="s">
        <v>114</v>
      </c>
      <c r="F80" t="s">
        <v>420</v>
      </c>
      <c r="G80" t="s">
        <v>8</v>
      </c>
      <c r="H80" s="7">
        <v>4124000</v>
      </c>
      <c r="I80" s="7">
        <v>9362000</v>
      </c>
      <c r="J80" s="44">
        <f>H80/I80</f>
        <v>0.4405041657765435</v>
      </c>
      <c r="K80" s="44" t="s">
        <v>184</v>
      </c>
      <c r="L80" s="7">
        <v>2949030</v>
      </c>
      <c r="M80" s="7">
        <f>J80*L80</f>
        <v>1299060</v>
      </c>
    </row>
    <row r="81" spans="1:13" x14ac:dyDescent="0.25">
      <c r="A81" s="1">
        <v>41474</v>
      </c>
      <c r="B81">
        <v>2013</v>
      </c>
      <c r="C81" t="s">
        <v>112</v>
      </c>
      <c r="D81" t="s">
        <v>181</v>
      </c>
      <c r="E81">
        <v>2008</v>
      </c>
      <c r="F81" t="s">
        <v>8</v>
      </c>
      <c r="G81" t="s">
        <v>8</v>
      </c>
      <c r="H81" s="7">
        <v>156000</v>
      </c>
      <c r="I81" s="7">
        <v>156000</v>
      </c>
      <c r="J81" s="44">
        <v>1</v>
      </c>
      <c r="K81" s="44"/>
      <c r="L81" s="7">
        <v>84240</v>
      </c>
      <c r="M81" s="7">
        <v>84240</v>
      </c>
    </row>
    <row r="82" spans="1:13" x14ac:dyDescent="0.25">
      <c r="A82" s="1">
        <v>41477</v>
      </c>
      <c r="B82">
        <v>2013</v>
      </c>
      <c r="C82" t="s">
        <v>111</v>
      </c>
      <c r="D82" t="s">
        <v>181</v>
      </c>
      <c r="E82" t="s">
        <v>45</v>
      </c>
      <c r="F82" t="s">
        <v>6</v>
      </c>
      <c r="G82" t="s">
        <v>6</v>
      </c>
      <c r="H82" s="7">
        <v>3629250</v>
      </c>
      <c r="I82" s="7">
        <v>3629250</v>
      </c>
      <c r="J82" s="44">
        <v>1</v>
      </c>
      <c r="K82" s="44"/>
      <c r="L82" s="7">
        <v>5226120</v>
      </c>
      <c r="M82" s="7">
        <v>5226120</v>
      </c>
    </row>
    <row r="83" spans="1:13" x14ac:dyDescent="0.25">
      <c r="A83" s="1">
        <v>41522</v>
      </c>
      <c r="B83">
        <v>2013</v>
      </c>
      <c r="C83" t="s">
        <v>23</v>
      </c>
      <c r="D83" t="s">
        <v>182</v>
      </c>
      <c r="E83" t="s">
        <v>40</v>
      </c>
      <c r="F83" t="s">
        <v>39</v>
      </c>
      <c r="G83" t="s">
        <v>190</v>
      </c>
      <c r="H83" s="7">
        <v>35000</v>
      </c>
      <c r="I83" s="7">
        <v>35000</v>
      </c>
      <c r="J83" s="44">
        <v>1</v>
      </c>
      <c r="K83" s="44"/>
      <c r="L83" s="7">
        <v>18900</v>
      </c>
      <c r="M83" s="7">
        <f>J83*L83</f>
        <v>18900</v>
      </c>
    </row>
    <row r="84" spans="1:13" x14ac:dyDescent="0.25">
      <c r="A84" s="1">
        <v>41523</v>
      </c>
      <c r="B84">
        <v>2013</v>
      </c>
      <c r="C84" t="s">
        <v>109</v>
      </c>
      <c r="D84" t="s">
        <v>181</v>
      </c>
      <c r="E84" t="s">
        <v>110</v>
      </c>
      <c r="F84" t="s">
        <v>8</v>
      </c>
      <c r="G84" t="s">
        <v>8</v>
      </c>
      <c r="H84" s="7">
        <v>1100096</v>
      </c>
      <c r="I84" s="7">
        <v>1100096</v>
      </c>
      <c r="J84" s="44">
        <v>1</v>
      </c>
      <c r="K84" s="44"/>
      <c r="L84" s="7">
        <v>346530</v>
      </c>
      <c r="M84" s="7">
        <v>346530</v>
      </c>
    </row>
    <row r="85" spans="1:13" x14ac:dyDescent="0.25">
      <c r="A85" s="1">
        <v>41526</v>
      </c>
      <c r="B85">
        <v>2013</v>
      </c>
      <c r="C85" t="s">
        <v>108</v>
      </c>
      <c r="D85" t="s">
        <v>181</v>
      </c>
      <c r="E85" t="s">
        <v>88</v>
      </c>
      <c r="F85" t="s">
        <v>418</v>
      </c>
      <c r="G85" t="s">
        <v>8</v>
      </c>
      <c r="H85" s="7">
        <f>I85/3</f>
        <v>24383.666666666668</v>
      </c>
      <c r="I85" s="7">
        <v>73151</v>
      </c>
      <c r="J85" s="44">
        <f>H85/I85</f>
        <v>0.33333333333333337</v>
      </c>
      <c r="K85" s="44" t="s">
        <v>183</v>
      </c>
      <c r="L85" s="7">
        <v>39501</v>
      </c>
      <c r="M85" s="7">
        <f>L85*J85</f>
        <v>13167.000000000002</v>
      </c>
    </row>
    <row r="86" spans="1:13" x14ac:dyDescent="0.25">
      <c r="A86" s="1">
        <v>41526</v>
      </c>
      <c r="B86">
        <v>2013</v>
      </c>
      <c r="C86" t="s">
        <v>108</v>
      </c>
      <c r="D86" t="s">
        <v>181</v>
      </c>
      <c r="E86" t="s">
        <v>88</v>
      </c>
      <c r="F86" t="s">
        <v>418</v>
      </c>
      <c r="G86" t="s">
        <v>415</v>
      </c>
      <c r="H86" s="7">
        <f>I86/3</f>
        <v>24383.666666666668</v>
      </c>
      <c r="I86" s="7">
        <v>73151</v>
      </c>
      <c r="J86" s="44">
        <f>H86/I86</f>
        <v>0.33333333333333337</v>
      </c>
      <c r="K86" s="44" t="s">
        <v>183</v>
      </c>
      <c r="L86" s="7">
        <v>39501</v>
      </c>
      <c r="M86" s="7">
        <f>L86*J86</f>
        <v>13167.000000000002</v>
      </c>
    </row>
    <row r="87" spans="1:13" x14ac:dyDescent="0.25">
      <c r="A87" s="1">
        <v>41526</v>
      </c>
      <c r="B87">
        <v>2013</v>
      </c>
      <c r="C87" t="s">
        <v>108</v>
      </c>
      <c r="D87" t="s">
        <v>181</v>
      </c>
      <c r="E87" t="s">
        <v>88</v>
      </c>
      <c r="F87" t="s">
        <v>418</v>
      </c>
      <c r="G87" t="s">
        <v>6</v>
      </c>
      <c r="H87" s="7">
        <f>I87/3</f>
        <v>24383.666666666668</v>
      </c>
      <c r="I87" s="7">
        <v>73151</v>
      </c>
      <c r="J87" s="44">
        <f>H87/I87</f>
        <v>0.33333333333333337</v>
      </c>
      <c r="K87" s="44" t="s">
        <v>183</v>
      </c>
      <c r="L87" s="7">
        <v>39501</v>
      </c>
      <c r="M87" s="7">
        <f>L87*J87</f>
        <v>13167.000000000002</v>
      </c>
    </row>
    <row r="88" spans="1:13" x14ac:dyDescent="0.25">
      <c r="A88" s="1">
        <v>41543</v>
      </c>
      <c r="B88">
        <v>2013</v>
      </c>
      <c r="C88" t="s">
        <v>107</v>
      </c>
      <c r="D88" t="s">
        <v>182</v>
      </c>
      <c r="E88">
        <v>2012</v>
      </c>
      <c r="F88" t="s">
        <v>8</v>
      </c>
      <c r="G88" t="s">
        <v>8</v>
      </c>
      <c r="H88" s="7">
        <v>750000</v>
      </c>
      <c r="I88" s="7">
        <v>750000</v>
      </c>
      <c r="J88" s="44">
        <v>1</v>
      </c>
      <c r="K88" s="44"/>
      <c r="L88" s="7"/>
      <c r="M88" s="7"/>
    </row>
    <row r="89" spans="1:13" x14ac:dyDescent="0.25">
      <c r="A89" s="1">
        <v>41568</v>
      </c>
      <c r="B89">
        <v>2014</v>
      </c>
      <c r="C89" t="s">
        <v>106</v>
      </c>
      <c r="D89" t="s">
        <v>182</v>
      </c>
      <c r="E89" t="s">
        <v>48</v>
      </c>
      <c r="F89" t="s">
        <v>8</v>
      </c>
      <c r="G89" t="s">
        <v>8</v>
      </c>
      <c r="H89" s="7">
        <v>1500000</v>
      </c>
      <c r="I89" s="7">
        <v>1500000</v>
      </c>
      <c r="J89" s="44">
        <v>1</v>
      </c>
      <c r="K89" s="44"/>
      <c r="L89" s="7"/>
      <c r="M89" s="7"/>
    </row>
    <row r="90" spans="1:13" x14ac:dyDescent="0.25">
      <c r="A90" s="1">
        <v>41571</v>
      </c>
      <c r="B90">
        <v>2014</v>
      </c>
      <c r="C90" t="s">
        <v>103</v>
      </c>
      <c r="D90" t="s">
        <v>181</v>
      </c>
      <c r="E90" t="s">
        <v>104</v>
      </c>
      <c r="F90" t="s">
        <v>105</v>
      </c>
      <c r="G90" t="s">
        <v>8</v>
      </c>
      <c r="H90" s="7">
        <f>I90*J90</f>
        <v>345000</v>
      </c>
      <c r="I90" s="7">
        <v>690000</v>
      </c>
      <c r="J90" s="44">
        <v>0.5</v>
      </c>
      <c r="K90" s="44" t="s">
        <v>183</v>
      </c>
      <c r="L90" s="7">
        <v>434700</v>
      </c>
      <c r="M90" s="7">
        <f>L90*J90</f>
        <v>217350</v>
      </c>
    </row>
    <row r="91" spans="1:13" x14ac:dyDescent="0.25">
      <c r="A91" s="1">
        <v>41571</v>
      </c>
      <c r="B91">
        <v>2014</v>
      </c>
      <c r="C91" t="s">
        <v>103</v>
      </c>
      <c r="D91" t="s">
        <v>181</v>
      </c>
      <c r="E91" t="s">
        <v>104</v>
      </c>
      <c r="F91" t="s">
        <v>105</v>
      </c>
      <c r="G91" t="s">
        <v>6</v>
      </c>
      <c r="H91" s="7">
        <f>I91*J91</f>
        <v>345000</v>
      </c>
      <c r="I91" s="7">
        <v>690000</v>
      </c>
      <c r="J91" s="44">
        <v>0.5</v>
      </c>
      <c r="K91" s="44" t="s">
        <v>183</v>
      </c>
      <c r="L91" s="7">
        <v>434700</v>
      </c>
      <c r="M91" s="7">
        <f>L91*J91</f>
        <v>217350</v>
      </c>
    </row>
    <row r="92" spans="1:13" x14ac:dyDescent="0.25">
      <c r="A92" s="1">
        <v>41572</v>
      </c>
      <c r="B92">
        <v>2014</v>
      </c>
      <c r="C92" t="s">
        <v>102</v>
      </c>
      <c r="D92" t="s">
        <v>181</v>
      </c>
      <c r="E92">
        <v>2009</v>
      </c>
      <c r="F92" t="s">
        <v>8</v>
      </c>
      <c r="G92" t="s">
        <v>8</v>
      </c>
      <c r="H92" s="7">
        <v>500000</v>
      </c>
      <c r="I92" s="7">
        <v>500000</v>
      </c>
      <c r="J92" s="44">
        <v>1</v>
      </c>
      <c r="K92" s="44"/>
      <c r="L92" s="7">
        <v>125000</v>
      </c>
      <c r="M92" s="7">
        <v>125000</v>
      </c>
    </row>
    <row r="93" spans="1:13" x14ac:dyDescent="0.25">
      <c r="A93" s="1">
        <v>41604</v>
      </c>
      <c r="B93">
        <v>2014</v>
      </c>
      <c r="C93" t="s">
        <v>100</v>
      </c>
      <c r="D93" t="s">
        <v>181</v>
      </c>
      <c r="E93" t="s">
        <v>101</v>
      </c>
      <c r="F93" t="s">
        <v>417</v>
      </c>
      <c r="G93" t="s">
        <v>6</v>
      </c>
      <c r="H93" s="7">
        <f>I93*J93</f>
        <v>80135402.850299999</v>
      </c>
      <c r="I93" s="7">
        <v>107089941</v>
      </c>
      <c r="J93" s="44">
        <v>0.74829999999999997</v>
      </c>
      <c r="K93" s="44" t="s">
        <v>185</v>
      </c>
      <c r="L93" s="7">
        <v>91026450</v>
      </c>
      <c r="M93" s="7">
        <f>L93*J93</f>
        <v>68115092.534999996</v>
      </c>
    </row>
    <row r="94" spans="1:13" x14ac:dyDescent="0.25">
      <c r="A94" s="1">
        <v>41604</v>
      </c>
      <c r="B94">
        <v>2014</v>
      </c>
      <c r="C94" t="s">
        <v>100</v>
      </c>
      <c r="D94" t="s">
        <v>181</v>
      </c>
      <c r="E94" t="s">
        <v>101</v>
      </c>
      <c r="F94" t="s">
        <v>417</v>
      </c>
      <c r="G94" t="s">
        <v>8</v>
      </c>
      <c r="H94" s="7">
        <f>I94*J94</f>
        <v>26611850.338500001</v>
      </c>
      <c r="I94" s="7">
        <v>107089941</v>
      </c>
      <c r="J94" s="44">
        <v>0.2485</v>
      </c>
      <c r="K94" s="44" t="s">
        <v>185</v>
      </c>
      <c r="L94" s="7">
        <v>91026450</v>
      </c>
      <c r="M94" s="7">
        <f>L94*J94</f>
        <v>22620072.824999999</v>
      </c>
    </row>
    <row r="95" spans="1:13" x14ac:dyDescent="0.25">
      <c r="A95" s="1">
        <v>41604</v>
      </c>
      <c r="B95">
        <v>2014</v>
      </c>
      <c r="C95" t="s">
        <v>100</v>
      </c>
      <c r="D95" t="s">
        <v>181</v>
      </c>
      <c r="E95" t="s">
        <v>101</v>
      </c>
      <c r="F95" t="s">
        <v>417</v>
      </c>
      <c r="G95" t="s">
        <v>415</v>
      </c>
      <c r="H95" s="7">
        <f>I95*J95</f>
        <v>342687.8112</v>
      </c>
      <c r="I95" s="7">
        <v>107089941</v>
      </c>
      <c r="J95" s="44">
        <v>3.2000000000000002E-3</v>
      </c>
      <c r="K95" s="44" t="s">
        <v>185</v>
      </c>
      <c r="L95" s="7">
        <v>91026450</v>
      </c>
      <c r="M95" s="7">
        <f>L95*J95</f>
        <v>291284.64</v>
      </c>
    </row>
    <row r="96" spans="1:13" x14ac:dyDescent="0.25">
      <c r="A96" s="1">
        <v>41611</v>
      </c>
      <c r="B96">
        <v>2014</v>
      </c>
      <c r="C96" t="s">
        <v>99</v>
      </c>
      <c r="D96" t="s">
        <v>182</v>
      </c>
      <c r="E96">
        <v>2011</v>
      </c>
      <c r="F96" t="s">
        <v>415</v>
      </c>
      <c r="G96" t="s">
        <v>415</v>
      </c>
      <c r="H96" s="7">
        <v>25000</v>
      </c>
      <c r="I96" s="7">
        <v>25000</v>
      </c>
      <c r="J96" s="44">
        <f>H96/I96</f>
        <v>1</v>
      </c>
      <c r="K96" s="44"/>
      <c r="L96" s="7">
        <v>19125</v>
      </c>
      <c r="M96" s="7">
        <v>19125</v>
      </c>
    </row>
    <row r="97" spans="1:13" x14ac:dyDescent="0.25">
      <c r="A97" s="1">
        <v>41619</v>
      </c>
      <c r="B97">
        <v>2014</v>
      </c>
      <c r="C97" t="s">
        <v>98</v>
      </c>
      <c r="D97" t="s">
        <v>182</v>
      </c>
      <c r="E97" t="s">
        <v>73</v>
      </c>
      <c r="F97" t="s">
        <v>421</v>
      </c>
      <c r="G97" t="s">
        <v>6</v>
      </c>
      <c r="H97" s="7">
        <v>780000</v>
      </c>
      <c r="I97" s="7">
        <v>66244614</v>
      </c>
      <c r="J97" s="44">
        <f>H97/I97</f>
        <v>1.1774542153721358E-2</v>
      </c>
      <c r="K97" s="44" t="s">
        <v>184</v>
      </c>
      <c r="L97" s="7">
        <v>33122307</v>
      </c>
      <c r="M97" s="7">
        <f>J97*L97</f>
        <v>390000</v>
      </c>
    </row>
    <row r="98" spans="1:13" x14ac:dyDescent="0.25">
      <c r="A98" s="1">
        <v>41619</v>
      </c>
      <c r="B98">
        <v>2014</v>
      </c>
      <c r="C98" t="s">
        <v>98</v>
      </c>
      <c r="D98" t="s">
        <v>182</v>
      </c>
      <c r="E98" t="s">
        <v>73</v>
      </c>
      <c r="F98" t="s">
        <v>421</v>
      </c>
      <c r="G98" t="s">
        <v>7</v>
      </c>
      <c r="H98" s="7">
        <v>5769308</v>
      </c>
      <c r="I98" s="7">
        <v>66244614</v>
      </c>
      <c r="J98" s="44">
        <f>H98/I98</f>
        <v>8.7090974671540838E-2</v>
      </c>
      <c r="K98" s="44" t="s">
        <v>184</v>
      </c>
      <c r="L98" s="7">
        <v>33122307</v>
      </c>
      <c r="M98" s="7">
        <f>J98*L98</f>
        <v>2884654</v>
      </c>
    </row>
    <row r="99" spans="1:13" x14ac:dyDescent="0.25">
      <c r="A99" s="1">
        <v>41619</v>
      </c>
      <c r="B99">
        <v>2014</v>
      </c>
      <c r="C99" t="s">
        <v>98</v>
      </c>
      <c r="D99" t="s">
        <v>182</v>
      </c>
      <c r="E99" t="s">
        <v>73</v>
      </c>
      <c r="F99" t="s">
        <v>421</v>
      </c>
      <c r="G99" t="s">
        <v>415</v>
      </c>
      <c r="H99" s="7">
        <v>54860306</v>
      </c>
      <c r="I99" s="7">
        <v>66244614</v>
      </c>
      <c r="J99" s="44">
        <f>H99/I99</f>
        <v>0.82814741738852915</v>
      </c>
      <c r="K99" s="44" t="s">
        <v>184</v>
      </c>
      <c r="L99" s="7">
        <v>33122307</v>
      </c>
      <c r="M99" s="7">
        <f>J99*L99</f>
        <v>27430153</v>
      </c>
    </row>
    <row r="100" spans="1:13" x14ac:dyDescent="0.25">
      <c r="A100" s="1">
        <v>41619</v>
      </c>
      <c r="B100">
        <v>2014</v>
      </c>
      <c r="C100" t="s">
        <v>98</v>
      </c>
      <c r="D100" t="s">
        <v>182</v>
      </c>
      <c r="E100" t="s">
        <v>73</v>
      </c>
      <c r="F100" t="s">
        <v>421</v>
      </c>
      <c r="G100" t="s">
        <v>8</v>
      </c>
      <c r="H100" s="7">
        <v>4835000</v>
      </c>
      <c r="I100" s="7">
        <v>66244614</v>
      </c>
      <c r="J100" s="44">
        <f>H100/I100</f>
        <v>7.2987065786208671E-2</v>
      </c>
      <c r="K100" s="44" t="s">
        <v>184</v>
      </c>
      <c r="L100" s="7">
        <v>33122307</v>
      </c>
      <c r="M100" s="7">
        <f>J100*L100</f>
        <v>2417500</v>
      </c>
    </row>
    <row r="101" spans="1:13" x14ac:dyDescent="0.25">
      <c r="A101" s="1">
        <v>41625</v>
      </c>
      <c r="B101">
        <v>2014</v>
      </c>
      <c r="C101" t="s">
        <v>96</v>
      </c>
      <c r="D101" t="s">
        <v>182</v>
      </c>
      <c r="E101" t="s">
        <v>97</v>
      </c>
      <c r="F101" t="s">
        <v>58</v>
      </c>
      <c r="G101" t="s">
        <v>189</v>
      </c>
      <c r="H101" s="7">
        <v>20083</v>
      </c>
      <c r="I101" s="7">
        <v>20083</v>
      </c>
      <c r="J101" s="44">
        <v>1</v>
      </c>
      <c r="K101" s="44"/>
      <c r="L101" s="7">
        <v>32400</v>
      </c>
      <c r="M101" s="7">
        <v>32400</v>
      </c>
    </row>
    <row r="102" spans="1:13" x14ac:dyDescent="0.25">
      <c r="A102" s="1">
        <v>41662</v>
      </c>
      <c r="B102">
        <v>2014</v>
      </c>
      <c r="C102" t="s">
        <v>95</v>
      </c>
      <c r="D102" t="s">
        <v>182</v>
      </c>
      <c r="E102" t="s">
        <v>42</v>
      </c>
      <c r="F102" t="s">
        <v>8</v>
      </c>
      <c r="G102" t="s">
        <v>8</v>
      </c>
      <c r="H102" s="7">
        <v>5626000000</v>
      </c>
      <c r="I102" s="7">
        <v>5626000000</v>
      </c>
      <c r="J102" s="44">
        <v>1</v>
      </c>
      <c r="K102" s="44"/>
      <c r="L102" s="7">
        <v>151902000</v>
      </c>
      <c r="M102" s="7">
        <v>151902000</v>
      </c>
    </row>
    <row r="103" spans="1:13" x14ac:dyDescent="0.25">
      <c r="A103" s="1">
        <v>41666</v>
      </c>
      <c r="B103">
        <v>2014</v>
      </c>
      <c r="C103" t="s">
        <v>38</v>
      </c>
      <c r="D103" t="s">
        <v>182</v>
      </c>
      <c r="E103">
        <v>2007</v>
      </c>
      <c r="F103" t="s">
        <v>39</v>
      </c>
      <c r="G103" t="s">
        <v>190</v>
      </c>
      <c r="H103" s="7">
        <v>14063000</v>
      </c>
      <c r="I103" s="7">
        <v>14063000</v>
      </c>
      <c r="J103" s="44">
        <v>1</v>
      </c>
      <c r="K103" s="44"/>
      <c r="L103" s="7">
        <v>9492525</v>
      </c>
      <c r="M103" s="7">
        <f>J103*L103</f>
        <v>9492525</v>
      </c>
    </row>
    <row r="104" spans="1:13" x14ac:dyDescent="0.25">
      <c r="A104" s="1">
        <v>41704</v>
      </c>
      <c r="B104">
        <v>2014</v>
      </c>
      <c r="C104" t="s">
        <v>94</v>
      </c>
      <c r="D104" t="s">
        <v>181</v>
      </c>
      <c r="E104" t="s">
        <v>14</v>
      </c>
      <c r="F104" t="s">
        <v>8</v>
      </c>
      <c r="G104" t="s">
        <v>8</v>
      </c>
      <c r="H104" s="7">
        <v>560250</v>
      </c>
      <c r="I104" s="7">
        <v>560250</v>
      </c>
      <c r="J104" s="45">
        <v>1</v>
      </c>
      <c r="K104" s="45"/>
      <c r="L104" s="7">
        <v>504225</v>
      </c>
      <c r="M104" s="7">
        <v>504225</v>
      </c>
    </row>
    <row r="105" spans="1:13" x14ac:dyDescent="0.25">
      <c r="A105" s="1">
        <v>41729</v>
      </c>
      <c r="B105">
        <v>2014</v>
      </c>
      <c r="C105" t="s">
        <v>93</v>
      </c>
      <c r="D105" t="s">
        <v>181</v>
      </c>
      <c r="E105">
        <v>2008</v>
      </c>
      <c r="F105" t="s">
        <v>8</v>
      </c>
      <c r="G105" t="s">
        <v>8</v>
      </c>
      <c r="H105" s="7">
        <v>250000</v>
      </c>
      <c r="I105" s="7">
        <v>250000</v>
      </c>
      <c r="J105" s="45">
        <v>1</v>
      </c>
      <c r="K105" s="45"/>
      <c r="L105" s="7">
        <v>157500</v>
      </c>
      <c r="M105" s="7">
        <v>157500</v>
      </c>
    </row>
    <row r="106" spans="1:13" x14ac:dyDescent="0.25">
      <c r="A106" s="1">
        <v>41731</v>
      </c>
      <c r="B106">
        <v>2014</v>
      </c>
      <c r="C106" t="s">
        <v>92</v>
      </c>
      <c r="D106" t="s">
        <v>181</v>
      </c>
      <c r="E106" t="s">
        <v>88</v>
      </c>
      <c r="F106" t="s">
        <v>8</v>
      </c>
      <c r="G106" t="s">
        <v>8</v>
      </c>
      <c r="H106" s="7">
        <v>189141</v>
      </c>
      <c r="I106" s="7">
        <v>189141</v>
      </c>
      <c r="J106" s="45">
        <v>1</v>
      </c>
      <c r="K106" s="45"/>
      <c r="L106" s="7">
        <v>85113</v>
      </c>
      <c r="M106" s="7">
        <v>85113</v>
      </c>
    </row>
    <row r="107" spans="1:13" x14ac:dyDescent="0.25">
      <c r="A107" s="1">
        <v>41747</v>
      </c>
      <c r="B107">
        <v>2014</v>
      </c>
      <c r="C107" t="s">
        <v>89</v>
      </c>
      <c r="D107" t="s">
        <v>181</v>
      </c>
      <c r="E107" t="s">
        <v>90</v>
      </c>
      <c r="F107" t="s">
        <v>6</v>
      </c>
      <c r="G107" t="s">
        <v>6</v>
      </c>
      <c r="H107" s="7">
        <v>11093500</v>
      </c>
      <c r="I107" s="7">
        <v>11093500</v>
      </c>
      <c r="J107" s="45">
        <v>1</v>
      </c>
      <c r="K107" s="45"/>
      <c r="L107" s="7">
        <v>5990490</v>
      </c>
      <c r="M107" s="7">
        <v>5990490</v>
      </c>
    </row>
    <row r="108" spans="1:13" x14ac:dyDescent="0.25">
      <c r="A108" s="1">
        <v>41765</v>
      </c>
      <c r="B108">
        <v>2014</v>
      </c>
      <c r="C108" t="s">
        <v>86</v>
      </c>
      <c r="D108" t="s">
        <v>181</v>
      </c>
      <c r="E108" t="s">
        <v>50</v>
      </c>
      <c r="F108" t="s">
        <v>6</v>
      </c>
      <c r="G108" t="s">
        <v>6</v>
      </c>
      <c r="H108" s="7">
        <v>4460000</v>
      </c>
      <c r="I108" s="7">
        <v>4460000</v>
      </c>
      <c r="J108" s="45">
        <v>1</v>
      </c>
      <c r="K108" s="45"/>
      <c r="L108" s="7">
        <v>2809800</v>
      </c>
      <c r="M108" s="7">
        <v>2809800</v>
      </c>
    </row>
    <row r="109" spans="1:13" x14ac:dyDescent="0.25">
      <c r="A109" s="1">
        <v>41765</v>
      </c>
      <c r="B109">
        <v>2014</v>
      </c>
      <c r="C109" t="s">
        <v>87</v>
      </c>
      <c r="D109" t="s">
        <v>182</v>
      </c>
      <c r="E109" t="s">
        <v>88</v>
      </c>
      <c r="F109" t="s">
        <v>8</v>
      </c>
      <c r="G109" t="s">
        <v>8</v>
      </c>
      <c r="H109" s="7">
        <v>163000</v>
      </c>
      <c r="I109" s="7">
        <v>163000</v>
      </c>
      <c r="J109" s="45">
        <v>1</v>
      </c>
      <c r="K109" s="45"/>
      <c r="L109" s="7">
        <v>29340</v>
      </c>
      <c r="M109" s="7">
        <v>29340</v>
      </c>
    </row>
    <row r="110" spans="1:13" x14ac:dyDescent="0.25">
      <c r="A110" s="1">
        <v>41767</v>
      </c>
      <c r="B110">
        <v>2014</v>
      </c>
      <c r="C110" t="s">
        <v>84</v>
      </c>
      <c r="D110" t="s">
        <v>182</v>
      </c>
      <c r="E110" t="s">
        <v>85</v>
      </c>
      <c r="F110" t="s">
        <v>6</v>
      </c>
      <c r="G110" t="s">
        <v>6</v>
      </c>
      <c r="H110" s="7">
        <v>413390</v>
      </c>
      <c r="I110" s="7">
        <v>413390</v>
      </c>
      <c r="J110" s="45">
        <v>1</v>
      </c>
      <c r="K110" s="45"/>
      <c r="L110" s="7">
        <v>279038</v>
      </c>
      <c r="M110" s="7">
        <v>279038</v>
      </c>
    </row>
    <row r="111" spans="1:13" x14ac:dyDescent="0.25">
      <c r="A111" s="1">
        <v>41795</v>
      </c>
      <c r="B111">
        <v>2014</v>
      </c>
      <c r="C111" t="s">
        <v>82</v>
      </c>
      <c r="D111" t="s">
        <v>181</v>
      </c>
      <c r="E111" t="s">
        <v>83</v>
      </c>
      <c r="F111" t="s">
        <v>422</v>
      </c>
      <c r="G111" t="s">
        <v>8</v>
      </c>
      <c r="H111" s="7">
        <f>I111*J111</f>
        <v>72746011.5</v>
      </c>
      <c r="I111" s="7">
        <v>145492023</v>
      </c>
      <c r="J111" s="45">
        <v>0.5</v>
      </c>
      <c r="K111" s="45" t="s">
        <v>183</v>
      </c>
      <c r="L111" s="7">
        <v>50922208</v>
      </c>
      <c r="M111" s="7">
        <f>L111*J111</f>
        <v>25461104</v>
      </c>
    </row>
    <row r="112" spans="1:13" x14ac:dyDescent="0.25">
      <c r="A112" s="1">
        <v>41795</v>
      </c>
      <c r="B112">
        <v>2014</v>
      </c>
      <c r="C112" t="s">
        <v>82</v>
      </c>
      <c r="D112" t="s">
        <v>181</v>
      </c>
      <c r="E112" t="s">
        <v>83</v>
      </c>
      <c r="F112" t="s">
        <v>422</v>
      </c>
      <c r="G112" t="s">
        <v>415</v>
      </c>
      <c r="H112" s="7">
        <f>I112*J112</f>
        <v>72746011.5</v>
      </c>
      <c r="I112" s="7">
        <v>145492023</v>
      </c>
      <c r="J112" s="45">
        <v>0.5</v>
      </c>
      <c r="K112" s="45" t="s">
        <v>183</v>
      </c>
      <c r="L112" s="7">
        <v>50922208</v>
      </c>
      <c r="M112" s="7">
        <f>L112*J112</f>
        <v>25461104</v>
      </c>
    </row>
    <row r="113" spans="1:13" x14ac:dyDescent="0.25">
      <c r="A113" s="1">
        <v>41815</v>
      </c>
      <c r="B113">
        <v>2014</v>
      </c>
      <c r="C113" t="s">
        <v>80</v>
      </c>
      <c r="D113" t="s">
        <v>182</v>
      </c>
      <c r="E113" t="s">
        <v>14</v>
      </c>
      <c r="F113" t="s">
        <v>423</v>
      </c>
      <c r="G113" t="s">
        <v>415</v>
      </c>
      <c r="H113" s="7">
        <f>I113*J113</f>
        <v>71953</v>
      </c>
      <c r="I113" s="7">
        <v>143906</v>
      </c>
      <c r="J113" s="45">
        <v>0.5</v>
      </c>
      <c r="K113" s="45" t="s">
        <v>183</v>
      </c>
      <c r="L113" s="7">
        <v>64758</v>
      </c>
      <c r="M113" s="7">
        <f>L113*J113</f>
        <v>32379</v>
      </c>
    </row>
    <row r="114" spans="1:13" x14ac:dyDescent="0.25">
      <c r="A114" s="1">
        <v>41815</v>
      </c>
      <c r="B114">
        <v>2014</v>
      </c>
      <c r="C114" t="s">
        <v>80</v>
      </c>
      <c r="D114" t="s">
        <v>182</v>
      </c>
      <c r="E114" t="s">
        <v>14</v>
      </c>
      <c r="F114" t="s">
        <v>423</v>
      </c>
      <c r="G114" t="s">
        <v>8</v>
      </c>
      <c r="H114" s="7">
        <f>I114*J114</f>
        <v>71953</v>
      </c>
      <c r="I114" s="7">
        <v>143906</v>
      </c>
      <c r="J114" s="45">
        <v>0.5</v>
      </c>
      <c r="K114" s="45" t="s">
        <v>183</v>
      </c>
      <c r="L114" s="7">
        <v>64758</v>
      </c>
      <c r="M114" s="7">
        <f>L114*J114</f>
        <v>32379</v>
      </c>
    </row>
    <row r="115" spans="1:13" x14ac:dyDescent="0.25">
      <c r="A115" s="1">
        <v>41817</v>
      </c>
      <c r="B115">
        <v>2014</v>
      </c>
      <c r="C115" t="s">
        <v>79</v>
      </c>
      <c r="D115" t="s">
        <v>181</v>
      </c>
      <c r="E115">
        <v>2009</v>
      </c>
      <c r="F115" t="s">
        <v>6</v>
      </c>
      <c r="G115" t="s">
        <v>6</v>
      </c>
      <c r="H115" s="7">
        <v>105000</v>
      </c>
      <c r="I115" s="7">
        <v>105000</v>
      </c>
      <c r="J115" s="45">
        <f>H115/I115</f>
        <v>1</v>
      </c>
      <c r="K115" s="45"/>
      <c r="L115" s="7">
        <v>89775</v>
      </c>
      <c r="M115" s="7">
        <f t="shared" ref="M115:M122" si="2">J115*L115</f>
        <v>89775</v>
      </c>
    </row>
    <row r="116" spans="1:13" x14ac:dyDescent="0.25">
      <c r="A116" s="1">
        <v>41820</v>
      </c>
      <c r="B116">
        <v>2014</v>
      </c>
      <c r="C116" t="s">
        <v>77</v>
      </c>
      <c r="D116" t="s">
        <v>182</v>
      </c>
      <c r="E116" t="s">
        <v>78</v>
      </c>
      <c r="F116" t="s">
        <v>424</v>
      </c>
      <c r="G116" t="s">
        <v>415</v>
      </c>
      <c r="H116" s="7">
        <v>16826707625</v>
      </c>
      <c r="I116" s="7">
        <v>19272380006</v>
      </c>
      <c r="J116" s="43">
        <f>H116/I116</f>
        <v>0.87309961819772142</v>
      </c>
      <c r="K116" s="43" t="s">
        <v>184</v>
      </c>
      <c r="L116" s="7">
        <v>963619900</v>
      </c>
      <c r="M116" s="7">
        <f t="shared" si="2"/>
        <v>841336166.77772653</v>
      </c>
    </row>
    <row r="117" spans="1:13" x14ac:dyDescent="0.25">
      <c r="A117" s="1">
        <v>41820</v>
      </c>
      <c r="B117">
        <v>2014</v>
      </c>
      <c r="C117" t="s">
        <v>77</v>
      </c>
      <c r="D117" t="s">
        <v>182</v>
      </c>
      <c r="E117" t="s">
        <v>78</v>
      </c>
      <c r="F117" t="s">
        <v>424</v>
      </c>
      <c r="G117" t="s">
        <v>8</v>
      </c>
      <c r="H117" s="7">
        <v>2382634677</v>
      </c>
      <c r="I117" s="7">
        <v>19272380006</v>
      </c>
      <c r="J117" s="43">
        <f>H117/I117</f>
        <v>0.12362949860153354</v>
      </c>
      <c r="K117" s="43" t="s">
        <v>184</v>
      </c>
      <c r="L117" s="7">
        <v>963619900</v>
      </c>
      <c r="M117" s="7">
        <f t="shared" si="2"/>
        <v>119131845.07945989</v>
      </c>
    </row>
    <row r="118" spans="1:13" x14ac:dyDescent="0.25">
      <c r="A118" s="1">
        <v>41820</v>
      </c>
      <c r="B118">
        <v>2014</v>
      </c>
      <c r="C118" t="s">
        <v>77</v>
      </c>
      <c r="D118" t="s">
        <v>182</v>
      </c>
      <c r="E118" t="s">
        <v>78</v>
      </c>
      <c r="F118" t="s">
        <v>424</v>
      </c>
      <c r="G118" t="s">
        <v>6</v>
      </c>
      <c r="H118" s="7">
        <v>59085000</v>
      </c>
      <c r="I118" s="7">
        <v>19272380006</v>
      </c>
      <c r="J118" s="43">
        <f>H118/I118</f>
        <v>3.0657863731207709E-3</v>
      </c>
      <c r="K118" s="43" t="s">
        <v>184</v>
      </c>
      <c r="L118" s="7">
        <v>963619900</v>
      </c>
      <c r="M118" s="7">
        <f t="shared" si="2"/>
        <v>2954252.7582879998</v>
      </c>
    </row>
    <row r="119" spans="1:13" x14ac:dyDescent="0.25">
      <c r="A119" s="1">
        <v>41820</v>
      </c>
      <c r="B119">
        <v>2014</v>
      </c>
      <c r="C119" t="s">
        <v>77</v>
      </c>
      <c r="D119" t="s">
        <v>182</v>
      </c>
      <c r="E119" t="s">
        <v>78</v>
      </c>
      <c r="F119" t="s">
        <v>424</v>
      </c>
      <c r="G119" t="s">
        <v>7</v>
      </c>
      <c r="H119" s="7">
        <v>3952704</v>
      </c>
      <c r="I119" s="7">
        <v>19272380006</v>
      </c>
      <c r="J119" s="45">
        <f>H119/I119</f>
        <v>2.0509682762426951E-4</v>
      </c>
      <c r="K119" s="43" t="s">
        <v>184</v>
      </c>
      <c r="L119" s="7">
        <v>963619900</v>
      </c>
      <c r="M119" s="7">
        <f t="shared" si="2"/>
        <v>197635.38452561581</v>
      </c>
    </row>
    <row r="120" spans="1:13" x14ac:dyDescent="0.25">
      <c r="A120" s="1">
        <v>41837</v>
      </c>
      <c r="B120">
        <v>2014</v>
      </c>
      <c r="C120" t="s">
        <v>37</v>
      </c>
      <c r="D120" t="s">
        <v>181</v>
      </c>
      <c r="E120">
        <v>2009</v>
      </c>
      <c r="F120" t="s">
        <v>36</v>
      </c>
      <c r="G120" t="s">
        <v>31</v>
      </c>
      <c r="H120" s="7">
        <v>25000</v>
      </c>
      <c r="I120" s="7">
        <v>25000</v>
      </c>
      <c r="J120" s="44">
        <v>1</v>
      </c>
      <c r="K120" s="44"/>
      <c r="L120" s="7">
        <v>21375</v>
      </c>
      <c r="M120" s="7">
        <f t="shared" si="2"/>
        <v>21375</v>
      </c>
    </row>
    <row r="121" spans="1:13" x14ac:dyDescent="0.25">
      <c r="A121" s="1">
        <v>41844</v>
      </c>
      <c r="B121">
        <v>2014</v>
      </c>
      <c r="C121" t="s">
        <v>72</v>
      </c>
      <c r="D121" t="s">
        <v>182</v>
      </c>
      <c r="E121" t="s">
        <v>48</v>
      </c>
      <c r="F121" t="s">
        <v>439</v>
      </c>
      <c r="G121" t="s">
        <v>74</v>
      </c>
      <c r="H121" s="7">
        <v>82832000</v>
      </c>
      <c r="I121" s="7">
        <v>83650000</v>
      </c>
      <c r="J121" s="43">
        <f>H121/I121</f>
        <v>0.99022115959354451</v>
      </c>
      <c r="K121" s="43" t="s">
        <v>184</v>
      </c>
      <c r="L121" s="7">
        <v>16562700</v>
      </c>
      <c r="M121" s="7">
        <f t="shared" si="2"/>
        <v>16400736</v>
      </c>
    </row>
    <row r="122" spans="1:13" x14ac:dyDescent="0.25">
      <c r="A122" s="1">
        <v>41844</v>
      </c>
      <c r="B122">
        <v>2014</v>
      </c>
      <c r="C122" t="s">
        <v>72</v>
      </c>
      <c r="D122" t="s">
        <v>182</v>
      </c>
      <c r="E122" t="s">
        <v>48</v>
      </c>
      <c r="F122" t="s">
        <v>76</v>
      </c>
      <c r="G122" t="s">
        <v>76</v>
      </c>
      <c r="H122" s="7">
        <v>701000</v>
      </c>
      <c r="I122" s="7">
        <v>83650000</v>
      </c>
      <c r="J122" s="43">
        <f>H122/I122</f>
        <v>8.3801554094441125E-3</v>
      </c>
      <c r="K122" s="43" t="s">
        <v>184</v>
      </c>
      <c r="L122" s="7">
        <v>16562700</v>
      </c>
      <c r="M122" s="7">
        <f t="shared" si="2"/>
        <v>138798</v>
      </c>
    </row>
    <row r="123" spans="1:13" x14ac:dyDescent="0.25">
      <c r="A123" s="1">
        <v>41845</v>
      </c>
      <c r="B123">
        <v>2014</v>
      </c>
      <c r="C123" t="s">
        <v>71</v>
      </c>
      <c r="D123" t="s">
        <v>181</v>
      </c>
      <c r="E123" t="s">
        <v>15</v>
      </c>
      <c r="F123" t="s">
        <v>8</v>
      </c>
      <c r="G123" t="s">
        <v>8</v>
      </c>
      <c r="H123" s="7"/>
      <c r="I123" s="7"/>
      <c r="J123" s="43"/>
      <c r="K123" s="43"/>
      <c r="L123" s="7"/>
      <c r="M123" s="7"/>
    </row>
    <row r="124" spans="1:13" x14ac:dyDescent="0.25">
      <c r="A124" s="1">
        <v>41878</v>
      </c>
      <c r="B124">
        <v>2014</v>
      </c>
      <c r="C124" t="s">
        <v>70</v>
      </c>
      <c r="D124" t="s">
        <v>182</v>
      </c>
      <c r="E124">
        <v>2011</v>
      </c>
      <c r="F124" t="s">
        <v>415</v>
      </c>
      <c r="G124" t="s">
        <v>415</v>
      </c>
      <c r="H124" s="7">
        <v>25000</v>
      </c>
      <c r="I124" s="7">
        <v>25000</v>
      </c>
      <c r="J124" s="43">
        <f>H124/I124</f>
        <v>1</v>
      </c>
      <c r="K124" s="43"/>
      <c r="L124" s="7">
        <v>19125</v>
      </c>
      <c r="M124" s="7">
        <f t="shared" ref="M124:M131" si="3">J124*L124</f>
        <v>19125</v>
      </c>
    </row>
    <row r="125" spans="1:13" x14ac:dyDescent="0.25">
      <c r="A125" s="1">
        <v>41885</v>
      </c>
      <c r="B125">
        <v>2014</v>
      </c>
      <c r="C125" t="s">
        <v>34</v>
      </c>
      <c r="D125" t="s">
        <v>182</v>
      </c>
      <c r="E125" t="s">
        <v>50</v>
      </c>
      <c r="F125" t="s">
        <v>35</v>
      </c>
      <c r="G125" t="s">
        <v>74</v>
      </c>
      <c r="H125" s="7">
        <f>I125*J125</f>
        <v>38727.279999999999</v>
      </c>
      <c r="I125" s="46">
        <v>484091</v>
      </c>
      <c r="J125" s="44">
        <v>0.08</v>
      </c>
      <c r="K125" s="43" t="s">
        <v>185</v>
      </c>
      <c r="L125" s="7">
        <v>217841</v>
      </c>
      <c r="M125" s="7">
        <f t="shared" si="3"/>
        <v>17427.28</v>
      </c>
    </row>
    <row r="126" spans="1:13" x14ac:dyDescent="0.25">
      <c r="A126" s="1">
        <v>41885</v>
      </c>
      <c r="B126">
        <v>2014</v>
      </c>
      <c r="C126" t="s">
        <v>34</v>
      </c>
      <c r="D126" t="s">
        <v>182</v>
      </c>
      <c r="E126" t="s">
        <v>50</v>
      </c>
      <c r="F126" t="s">
        <v>11</v>
      </c>
      <c r="G126" t="s">
        <v>189</v>
      </c>
      <c r="H126" s="7">
        <f>I126*J126</f>
        <v>38727.279999999999</v>
      </c>
      <c r="I126" s="46">
        <v>484091</v>
      </c>
      <c r="J126" s="44">
        <v>0.08</v>
      </c>
      <c r="K126" s="43" t="s">
        <v>185</v>
      </c>
      <c r="L126" s="7">
        <v>217841</v>
      </c>
      <c r="M126" s="7">
        <f t="shared" si="3"/>
        <v>17427.28</v>
      </c>
    </row>
    <row r="127" spans="1:13" x14ac:dyDescent="0.25">
      <c r="A127" s="1">
        <v>41885</v>
      </c>
      <c r="B127">
        <v>2014</v>
      </c>
      <c r="C127" t="s">
        <v>34</v>
      </c>
      <c r="D127" t="s">
        <v>182</v>
      </c>
      <c r="E127" t="s">
        <v>50</v>
      </c>
      <c r="F127" t="s">
        <v>8</v>
      </c>
      <c r="G127" t="s">
        <v>8</v>
      </c>
      <c r="H127" s="7">
        <f>I127*J127</f>
        <v>38727.279999999999</v>
      </c>
      <c r="I127" s="46">
        <v>484091</v>
      </c>
      <c r="J127" s="44">
        <v>0.08</v>
      </c>
      <c r="K127" s="43" t="s">
        <v>185</v>
      </c>
      <c r="L127" s="7">
        <v>217841</v>
      </c>
      <c r="M127" s="7">
        <f t="shared" si="3"/>
        <v>17427.28</v>
      </c>
    </row>
    <row r="128" spans="1:13" x14ac:dyDescent="0.25">
      <c r="A128" s="1">
        <v>41885</v>
      </c>
      <c r="B128">
        <v>2014</v>
      </c>
      <c r="C128" t="s">
        <v>34</v>
      </c>
      <c r="D128" t="s">
        <v>182</v>
      </c>
      <c r="E128" t="s">
        <v>50</v>
      </c>
      <c r="F128" t="s">
        <v>31</v>
      </c>
      <c r="G128" t="s">
        <v>31</v>
      </c>
      <c r="H128" s="7">
        <f>I128*J128</f>
        <v>396954.62</v>
      </c>
      <c r="I128" s="46">
        <v>484091</v>
      </c>
      <c r="J128" s="44">
        <v>0.82</v>
      </c>
      <c r="K128" s="43" t="s">
        <v>185</v>
      </c>
      <c r="L128" s="7">
        <v>217841</v>
      </c>
      <c r="M128" s="7">
        <f t="shared" si="3"/>
        <v>178629.62</v>
      </c>
    </row>
    <row r="129" spans="1:13" x14ac:dyDescent="0.25">
      <c r="A129" s="1">
        <v>41891</v>
      </c>
      <c r="B129">
        <v>2014</v>
      </c>
      <c r="C129" t="s">
        <v>68</v>
      </c>
      <c r="D129" t="s">
        <v>182</v>
      </c>
      <c r="E129" t="s">
        <v>69</v>
      </c>
      <c r="F129" t="s">
        <v>425</v>
      </c>
      <c r="G129" t="s">
        <v>8</v>
      </c>
      <c r="H129" s="7">
        <f>I129/3</f>
        <v>281363333.33333331</v>
      </c>
      <c r="I129" s="7">
        <v>844090000</v>
      </c>
      <c r="J129" s="43">
        <f>H129/I129</f>
        <v>0.33333333333333331</v>
      </c>
      <c r="K129" s="43" t="s">
        <v>183</v>
      </c>
      <c r="L129" s="7">
        <v>200000</v>
      </c>
      <c r="M129" s="7">
        <f t="shared" si="3"/>
        <v>66666.666666666657</v>
      </c>
    </row>
    <row r="130" spans="1:13" x14ac:dyDescent="0.25">
      <c r="A130" s="1">
        <v>41891</v>
      </c>
      <c r="B130">
        <v>2014</v>
      </c>
      <c r="C130" t="s">
        <v>68</v>
      </c>
      <c r="D130" t="s">
        <v>182</v>
      </c>
      <c r="E130" t="s">
        <v>69</v>
      </c>
      <c r="F130" t="s">
        <v>425</v>
      </c>
      <c r="G130" t="s">
        <v>415</v>
      </c>
      <c r="H130" s="7">
        <f>I130/3</f>
        <v>281363333.33333331</v>
      </c>
      <c r="I130" s="7">
        <v>844090000</v>
      </c>
      <c r="J130" s="43">
        <f>H130/I130</f>
        <v>0.33333333333333331</v>
      </c>
      <c r="K130" s="43" t="s">
        <v>183</v>
      </c>
      <c r="L130" s="7">
        <v>200000</v>
      </c>
      <c r="M130" s="7">
        <f t="shared" si="3"/>
        <v>66666.666666666657</v>
      </c>
    </row>
    <row r="131" spans="1:13" x14ac:dyDescent="0.25">
      <c r="A131" s="1">
        <v>41891</v>
      </c>
      <c r="B131">
        <v>2014</v>
      </c>
      <c r="C131" t="s">
        <v>68</v>
      </c>
      <c r="D131" t="s">
        <v>182</v>
      </c>
      <c r="E131" t="s">
        <v>69</v>
      </c>
      <c r="F131" t="s">
        <v>425</v>
      </c>
      <c r="G131" t="s">
        <v>81</v>
      </c>
      <c r="H131" s="7">
        <f>I131/3</f>
        <v>281363333.33333331</v>
      </c>
      <c r="I131" s="7">
        <v>844090000</v>
      </c>
      <c r="J131" s="43">
        <f>H131/I131</f>
        <v>0.33333333333333331</v>
      </c>
      <c r="K131" s="43" t="s">
        <v>183</v>
      </c>
      <c r="L131" s="7">
        <v>200000</v>
      </c>
      <c r="M131" s="7">
        <f t="shared" si="3"/>
        <v>66666.666666666657</v>
      </c>
    </row>
    <row r="132" spans="1:13" x14ac:dyDescent="0.25">
      <c r="A132" s="1">
        <v>41941</v>
      </c>
      <c r="B132">
        <v>2015</v>
      </c>
      <c r="C132" t="s">
        <v>67</v>
      </c>
      <c r="D132" t="s">
        <v>182</v>
      </c>
      <c r="E132" t="s">
        <v>14</v>
      </c>
      <c r="F132" t="s">
        <v>75</v>
      </c>
      <c r="G132" t="s">
        <v>76</v>
      </c>
      <c r="H132" s="7">
        <f>I132*J132</f>
        <v>61969.05</v>
      </c>
      <c r="I132" s="7">
        <v>95337</v>
      </c>
      <c r="J132" s="43">
        <v>0.65</v>
      </c>
      <c r="K132" s="43" t="s">
        <v>185</v>
      </c>
      <c r="L132" s="7">
        <v>128704</v>
      </c>
      <c r="M132" s="7">
        <f>L132*J132</f>
        <v>83657.600000000006</v>
      </c>
    </row>
    <row r="133" spans="1:13" x14ac:dyDescent="0.25">
      <c r="A133" s="1">
        <v>41941</v>
      </c>
      <c r="B133">
        <v>2015</v>
      </c>
      <c r="C133" t="s">
        <v>67</v>
      </c>
      <c r="D133" t="s">
        <v>182</v>
      </c>
      <c r="E133" t="s">
        <v>14</v>
      </c>
      <c r="F133" t="s">
        <v>75</v>
      </c>
      <c r="G133" t="s">
        <v>74</v>
      </c>
      <c r="H133" s="7">
        <f>I133*J133</f>
        <v>25740.99</v>
      </c>
      <c r="I133" s="7">
        <v>95337</v>
      </c>
      <c r="J133" s="43">
        <v>0.27</v>
      </c>
      <c r="K133" s="43" t="s">
        <v>185</v>
      </c>
      <c r="L133" s="7">
        <v>128704</v>
      </c>
      <c r="M133" s="7">
        <f>L133*J133</f>
        <v>34750.080000000002</v>
      </c>
    </row>
    <row r="134" spans="1:13" x14ac:dyDescent="0.25">
      <c r="A134" s="1">
        <v>41941</v>
      </c>
      <c r="B134">
        <v>2015</v>
      </c>
      <c r="C134" t="s">
        <v>67</v>
      </c>
      <c r="D134" t="s">
        <v>182</v>
      </c>
      <c r="E134" t="s">
        <v>14</v>
      </c>
      <c r="F134" t="s">
        <v>75</v>
      </c>
      <c r="G134" t="s">
        <v>6</v>
      </c>
      <c r="H134" s="7">
        <f>I134*J134</f>
        <v>7626.96</v>
      </c>
      <c r="I134" s="7">
        <v>95337</v>
      </c>
      <c r="J134" s="43">
        <v>0.08</v>
      </c>
      <c r="K134" s="43" t="s">
        <v>185</v>
      </c>
      <c r="L134" s="7">
        <v>128704</v>
      </c>
      <c r="M134" s="7">
        <f>L134*J134</f>
        <v>10296.32</v>
      </c>
    </row>
    <row r="135" spans="1:13" x14ac:dyDescent="0.25">
      <c r="A135" s="1">
        <v>41943</v>
      </c>
      <c r="B135">
        <v>2015</v>
      </c>
      <c r="C135" t="s">
        <v>65</v>
      </c>
      <c r="D135" t="s">
        <v>181</v>
      </c>
      <c r="E135" t="s">
        <v>66</v>
      </c>
      <c r="F135" t="s">
        <v>8</v>
      </c>
      <c r="G135" t="s">
        <v>8</v>
      </c>
      <c r="H135" s="7">
        <v>69000</v>
      </c>
      <c r="I135" s="7">
        <v>69000</v>
      </c>
      <c r="J135" s="43">
        <f t="shared" ref="J135:J142" si="4">H135/I135</f>
        <v>1</v>
      </c>
      <c r="K135" s="43"/>
      <c r="L135" s="7">
        <v>44850</v>
      </c>
      <c r="M135" s="7">
        <f t="shared" ref="M135:M152" si="5">J135*L135</f>
        <v>44850</v>
      </c>
    </row>
    <row r="136" spans="1:13" x14ac:dyDescent="0.25">
      <c r="A136" s="1">
        <v>41956</v>
      </c>
      <c r="B136">
        <v>2015</v>
      </c>
      <c r="C136" t="s">
        <v>63</v>
      </c>
      <c r="D136" t="s">
        <v>181</v>
      </c>
      <c r="E136" t="s">
        <v>64</v>
      </c>
      <c r="F136" t="s">
        <v>6</v>
      </c>
      <c r="G136" t="s">
        <v>6</v>
      </c>
      <c r="H136" s="7">
        <v>3048208</v>
      </c>
      <c r="I136" s="7">
        <v>3048208</v>
      </c>
      <c r="J136" s="43">
        <f t="shared" si="4"/>
        <v>1</v>
      </c>
      <c r="K136" s="43"/>
      <c r="L136" s="7">
        <v>2057540</v>
      </c>
      <c r="M136" s="7">
        <f t="shared" si="5"/>
        <v>2057540</v>
      </c>
    </row>
    <row r="137" spans="1:13" x14ac:dyDescent="0.25">
      <c r="A137" s="1">
        <v>42075</v>
      </c>
      <c r="B137">
        <v>2015</v>
      </c>
      <c r="C137" t="s">
        <v>30</v>
      </c>
      <c r="D137" t="s">
        <v>182</v>
      </c>
      <c r="E137" t="s">
        <v>32</v>
      </c>
      <c r="F137" t="s">
        <v>7</v>
      </c>
      <c r="G137" t="s">
        <v>7</v>
      </c>
      <c r="H137" s="7">
        <v>19835191</v>
      </c>
      <c r="I137" s="46">
        <v>574801770</v>
      </c>
      <c r="J137" s="43">
        <f t="shared" si="4"/>
        <v>3.4507880864737071E-2</v>
      </c>
      <c r="K137" s="43" t="s">
        <v>184</v>
      </c>
      <c r="L137" s="7">
        <v>258660796</v>
      </c>
      <c r="M137" s="7">
        <f t="shared" si="5"/>
        <v>8925835.9327460583</v>
      </c>
    </row>
    <row r="138" spans="1:13" x14ac:dyDescent="0.25">
      <c r="A138" s="1">
        <v>42075</v>
      </c>
      <c r="B138">
        <v>2015</v>
      </c>
      <c r="C138" t="s">
        <v>30</v>
      </c>
      <c r="D138" t="s">
        <v>182</v>
      </c>
      <c r="E138" t="s">
        <v>32</v>
      </c>
      <c r="F138" t="s">
        <v>6</v>
      </c>
      <c r="G138" t="s">
        <v>6</v>
      </c>
      <c r="H138" s="7">
        <v>3640000</v>
      </c>
      <c r="I138" s="46">
        <v>574801770</v>
      </c>
      <c r="J138" s="43">
        <f t="shared" si="4"/>
        <v>6.3326179388765629E-3</v>
      </c>
      <c r="K138" s="43" t="s">
        <v>184</v>
      </c>
      <c r="L138" s="7">
        <v>258660796</v>
      </c>
      <c r="M138" s="7">
        <f t="shared" si="5"/>
        <v>1637999.9968336911</v>
      </c>
    </row>
    <row r="139" spans="1:13" x14ac:dyDescent="0.25">
      <c r="A139" s="1">
        <v>42075</v>
      </c>
      <c r="B139">
        <v>2015</v>
      </c>
      <c r="C139" t="s">
        <v>30</v>
      </c>
      <c r="D139" t="s">
        <v>182</v>
      </c>
      <c r="E139" t="s">
        <v>32</v>
      </c>
      <c r="F139" t="s">
        <v>8</v>
      </c>
      <c r="G139" t="s">
        <v>8</v>
      </c>
      <c r="H139" s="7">
        <v>242032865</v>
      </c>
      <c r="I139" s="46">
        <v>574801770</v>
      </c>
      <c r="J139" s="43">
        <f t="shared" si="4"/>
        <v>0.42107188535623336</v>
      </c>
      <c r="K139" s="43" t="s">
        <v>184</v>
      </c>
      <c r="L139" s="7">
        <v>258660796</v>
      </c>
      <c r="M139" s="7">
        <f t="shared" si="5"/>
        <v>108914789.03946406</v>
      </c>
    </row>
    <row r="140" spans="1:13" x14ac:dyDescent="0.25">
      <c r="A140" s="1">
        <v>42075</v>
      </c>
      <c r="B140">
        <v>2015</v>
      </c>
      <c r="C140" t="s">
        <v>30</v>
      </c>
      <c r="D140" t="s">
        <v>182</v>
      </c>
      <c r="E140" t="s">
        <v>32</v>
      </c>
      <c r="F140" t="s">
        <v>415</v>
      </c>
      <c r="G140" t="s">
        <v>415</v>
      </c>
      <c r="H140" s="7">
        <v>209480056</v>
      </c>
      <c r="I140" s="46">
        <v>574801770</v>
      </c>
      <c r="J140" s="43">
        <f t="shared" si="4"/>
        <v>0.36443878034683158</v>
      </c>
      <c r="K140" s="43" t="s">
        <v>184</v>
      </c>
      <c r="L140" s="7">
        <v>258660796</v>
      </c>
      <c r="M140" s="7">
        <f t="shared" si="5"/>
        <v>94266025.017780617</v>
      </c>
    </row>
    <row r="141" spans="1:13" x14ac:dyDescent="0.25">
      <c r="A141" s="1">
        <v>42075</v>
      </c>
      <c r="B141">
        <v>2015</v>
      </c>
      <c r="C141" t="s">
        <v>30</v>
      </c>
      <c r="D141" t="s">
        <v>182</v>
      </c>
      <c r="E141" t="s">
        <v>32</v>
      </c>
      <c r="F141" t="s">
        <v>33</v>
      </c>
      <c r="G141" t="s">
        <v>31</v>
      </c>
      <c r="H141" s="7">
        <v>99813658</v>
      </c>
      <c r="I141" s="46">
        <v>574801770</v>
      </c>
      <c r="J141" s="43">
        <f t="shared" si="4"/>
        <v>0.17364883549332147</v>
      </c>
      <c r="K141" s="43" t="s">
        <v>184</v>
      </c>
      <c r="L141" s="7">
        <v>258660796</v>
      </c>
      <c r="M141" s="7">
        <f t="shared" si="5"/>
        <v>44916146.013175584</v>
      </c>
    </row>
    <row r="142" spans="1:13" x14ac:dyDescent="0.25">
      <c r="A142" s="1">
        <v>42088</v>
      </c>
      <c r="B142">
        <v>2015</v>
      </c>
      <c r="C142" t="s">
        <v>60</v>
      </c>
      <c r="D142" t="s">
        <v>182</v>
      </c>
      <c r="E142" t="s">
        <v>61</v>
      </c>
      <c r="F142" t="s">
        <v>62</v>
      </c>
      <c r="G142" t="s">
        <v>62</v>
      </c>
      <c r="H142" s="7">
        <v>1300000</v>
      </c>
      <c r="I142" s="7">
        <v>1300000</v>
      </c>
      <c r="J142" s="43">
        <f t="shared" si="4"/>
        <v>1</v>
      </c>
      <c r="K142" s="43"/>
      <c r="L142" s="7">
        <v>780000</v>
      </c>
      <c r="M142" s="7">
        <f t="shared" si="5"/>
        <v>780000</v>
      </c>
    </row>
    <row r="143" spans="1:13" x14ac:dyDescent="0.25">
      <c r="A143" s="1">
        <v>42088</v>
      </c>
      <c r="B143">
        <v>2015</v>
      </c>
      <c r="C143" t="s">
        <v>18</v>
      </c>
      <c r="D143" t="s">
        <v>182</v>
      </c>
      <c r="E143" t="s">
        <v>19</v>
      </c>
      <c r="F143" t="s">
        <v>426</v>
      </c>
      <c r="G143" t="s">
        <v>31</v>
      </c>
      <c r="H143" s="7">
        <v>17000000</v>
      </c>
      <c r="I143" s="7">
        <v>17018443</v>
      </c>
      <c r="J143" s="45">
        <f t="shared" ref="J143:J154" si="6">H143/I143</f>
        <v>0.99891629334128862</v>
      </c>
      <c r="K143" t="s">
        <v>184</v>
      </c>
      <c r="L143" s="7">
        <v>7658300</v>
      </c>
      <c r="M143" s="7">
        <f t="shared" si="5"/>
        <v>7650000.6492955908</v>
      </c>
    </row>
    <row r="144" spans="1:13" x14ac:dyDescent="0.25">
      <c r="A144" s="1">
        <v>42088</v>
      </c>
      <c r="B144">
        <v>2015</v>
      </c>
      <c r="C144" t="s">
        <v>18</v>
      </c>
      <c r="D144" t="s">
        <v>182</v>
      </c>
      <c r="E144" t="s">
        <v>19</v>
      </c>
      <c r="F144" t="s">
        <v>426</v>
      </c>
      <c r="G144" t="s">
        <v>8</v>
      </c>
      <c r="H144" s="7">
        <v>4129</v>
      </c>
      <c r="I144" s="7">
        <v>17018443</v>
      </c>
      <c r="J144" s="45">
        <f t="shared" si="6"/>
        <v>2.4261913971801064E-4</v>
      </c>
      <c r="K144" t="s">
        <v>184</v>
      </c>
      <c r="L144" s="7">
        <v>7658300</v>
      </c>
      <c r="M144" s="7">
        <f t="shared" si="5"/>
        <v>1858.0501577024409</v>
      </c>
    </row>
    <row r="145" spans="1:13" x14ac:dyDescent="0.25">
      <c r="A145" s="1">
        <v>42088</v>
      </c>
      <c r="B145">
        <v>2015</v>
      </c>
      <c r="C145" t="s">
        <v>18</v>
      </c>
      <c r="D145" t="s">
        <v>182</v>
      </c>
      <c r="E145" t="s">
        <v>19</v>
      </c>
      <c r="F145" t="s">
        <v>426</v>
      </c>
      <c r="G145" t="s">
        <v>415</v>
      </c>
      <c r="H145" s="7">
        <v>1657</v>
      </c>
      <c r="I145" s="7">
        <v>17018443</v>
      </c>
      <c r="J145" s="45">
        <f t="shared" si="6"/>
        <v>9.7364958709795021E-5</v>
      </c>
      <c r="K145" t="s">
        <v>184</v>
      </c>
      <c r="L145" s="7">
        <v>7658300</v>
      </c>
      <c r="M145" s="7">
        <f t="shared" si="5"/>
        <v>745.65006328722325</v>
      </c>
    </row>
    <row r="146" spans="1:13" x14ac:dyDescent="0.25">
      <c r="A146" s="1">
        <v>42088</v>
      </c>
      <c r="B146">
        <v>2015</v>
      </c>
      <c r="C146" t="s">
        <v>18</v>
      </c>
      <c r="D146" t="s">
        <v>182</v>
      </c>
      <c r="E146" t="s">
        <v>19</v>
      </c>
      <c r="F146" t="s">
        <v>426</v>
      </c>
      <c r="G146" t="s">
        <v>6</v>
      </c>
      <c r="H146" s="7">
        <v>9672.4500000000007</v>
      </c>
      <c r="I146" s="7">
        <v>17018443</v>
      </c>
      <c r="J146" s="45">
        <f t="shared" si="6"/>
        <v>5.6835105303111458E-4</v>
      </c>
      <c r="K146" t="s">
        <v>184</v>
      </c>
      <c r="L146" s="7">
        <v>7658300</v>
      </c>
      <c r="M146" s="7">
        <f t="shared" si="5"/>
        <v>4352.6028694281849</v>
      </c>
    </row>
    <row r="147" spans="1:13" x14ac:dyDescent="0.25">
      <c r="A147" s="1">
        <v>42088</v>
      </c>
      <c r="B147">
        <v>2015</v>
      </c>
      <c r="C147" t="s">
        <v>18</v>
      </c>
      <c r="D147" t="s">
        <v>182</v>
      </c>
      <c r="E147" t="s">
        <v>19</v>
      </c>
      <c r="F147" t="s">
        <v>426</v>
      </c>
      <c r="G147" t="s">
        <v>7</v>
      </c>
      <c r="H147" s="7">
        <v>0</v>
      </c>
      <c r="I147" s="7">
        <v>17018443</v>
      </c>
      <c r="J147" s="45">
        <f t="shared" si="6"/>
        <v>0</v>
      </c>
      <c r="K147" t="s">
        <v>184</v>
      </c>
      <c r="L147" s="7">
        <v>7658300</v>
      </c>
      <c r="M147" s="7">
        <f t="shared" si="5"/>
        <v>0</v>
      </c>
    </row>
    <row r="148" spans="1:13" x14ac:dyDescent="0.25">
      <c r="A148" s="1">
        <v>42088</v>
      </c>
      <c r="B148">
        <v>2015</v>
      </c>
      <c r="C148" t="s">
        <v>18</v>
      </c>
      <c r="D148" t="s">
        <v>182</v>
      </c>
      <c r="E148" t="s">
        <v>19</v>
      </c>
      <c r="F148" t="s">
        <v>426</v>
      </c>
      <c r="G148" t="s">
        <v>189</v>
      </c>
      <c r="H148" s="7">
        <v>2984.88</v>
      </c>
      <c r="I148" s="7">
        <v>17018443</v>
      </c>
      <c r="J148" s="45">
        <f t="shared" si="6"/>
        <v>1.7539089798050269E-4</v>
      </c>
      <c r="K148" t="s">
        <v>184</v>
      </c>
      <c r="L148" s="7">
        <v>7658300</v>
      </c>
      <c r="M148" s="7">
        <f t="shared" si="5"/>
        <v>1343.1961140040837</v>
      </c>
    </row>
    <row r="149" spans="1:13" x14ac:dyDescent="0.25">
      <c r="A149" s="1">
        <v>42109</v>
      </c>
      <c r="B149">
        <v>2015</v>
      </c>
      <c r="C149" t="s">
        <v>59</v>
      </c>
      <c r="D149" t="s">
        <v>181</v>
      </c>
      <c r="E149">
        <v>2011</v>
      </c>
      <c r="F149" t="s">
        <v>35</v>
      </c>
      <c r="G149" t="s">
        <v>74</v>
      </c>
      <c r="H149" s="7">
        <v>34572</v>
      </c>
      <c r="I149" s="7">
        <v>34572</v>
      </c>
      <c r="J149" s="43">
        <f t="shared" si="6"/>
        <v>1</v>
      </c>
      <c r="K149" s="43"/>
      <c r="L149" s="7">
        <v>23336</v>
      </c>
      <c r="M149" s="7">
        <f t="shared" si="5"/>
        <v>23336</v>
      </c>
    </row>
    <row r="150" spans="1:13" x14ac:dyDescent="0.25">
      <c r="A150" s="1">
        <v>42173</v>
      </c>
      <c r="B150">
        <v>2015</v>
      </c>
      <c r="C150" t="s">
        <v>56</v>
      </c>
      <c r="D150" t="s">
        <v>182</v>
      </c>
      <c r="E150" t="s">
        <v>57</v>
      </c>
      <c r="F150" t="s">
        <v>58</v>
      </c>
      <c r="G150" t="s">
        <v>189</v>
      </c>
      <c r="H150" s="7">
        <v>64000</v>
      </c>
      <c r="I150" s="7">
        <v>64000</v>
      </c>
      <c r="J150" s="43">
        <f t="shared" si="6"/>
        <v>1</v>
      </c>
      <c r="K150" s="43"/>
      <c r="L150" s="7">
        <v>28800</v>
      </c>
      <c r="M150" s="7">
        <f t="shared" si="5"/>
        <v>28800</v>
      </c>
    </row>
    <row r="151" spans="1:13" x14ac:dyDescent="0.25">
      <c r="A151" s="1">
        <v>42174</v>
      </c>
      <c r="B151">
        <v>2015</v>
      </c>
      <c r="C151" t="s">
        <v>29</v>
      </c>
      <c r="D151" t="s">
        <v>181</v>
      </c>
      <c r="E151">
        <v>2009</v>
      </c>
      <c r="F151" t="s">
        <v>55</v>
      </c>
      <c r="G151" t="s">
        <v>190</v>
      </c>
      <c r="H151" s="7">
        <v>670000</v>
      </c>
      <c r="I151" s="7">
        <v>670000</v>
      </c>
      <c r="J151" s="43">
        <f t="shared" si="6"/>
        <v>1</v>
      </c>
      <c r="K151" s="43"/>
      <c r="L151" s="7">
        <v>391950</v>
      </c>
      <c r="M151" s="7">
        <f t="shared" si="5"/>
        <v>391950</v>
      </c>
    </row>
    <row r="152" spans="1:13" x14ac:dyDescent="0.25">
      <c r="A152" s="1">
        <v>42209</v>
      </c>
      <c r="B152">
        <v>2015</v>
      </c>
      <c r="C152" t="s">
        <v>28</v>
      </c>
      <c r="D152" t="s">
        <v>181</v>
      </c>
      <c r="E152">
        <v>2009</v>
      </c>
      <c r="F152" t="s">
        <v>55</v>
      </c>
      <c r="G152" t="s">
        <v>190</v>
      </c>
      <c r="H152" s="7">
        <v>340000</v>
      </c>
      <c r="I152" s="7">
        <v>340000</v>
      </c>
      <c r="J152" s="43">
        <f t="shared" si="6"/>
        <v>1</v>
      </c>
      <c r="K152" s="43"/>
      <c r="L152" s="7">
        <v>214000</v>
      </c>
      <c r="M152" s="7">
        <f t="shared" si="5"/>
        <v>214000</v>
      </c>
    </row>
    <row r="153" spans="1:13" x14ac:dyDescent="0.25">
      <c r="A153" s="1">
        <v>42214</v>
      </c>
      <c r="B153">
        <v>2015</v>
      </c>
      <c r="C153" t="s">
        <v>54</v>
      </c>
      <c r="D153" t="s">
        <v>181</v>
      </c>
      <c r="E153" t="s">
        <v>48</v>
      </c>
      <c r="F153" t="s">
        <v>8</v>
      </c>
      <c r="G153" t="s">
        <v>8</v>
      </c>
      <c r="H153" s="7">
        <v>102825</v>
      </c>
      <c r="I153" s="7">
        <v>102825</v>
      </c>
      <c r="J153" s="43">
        <f t="shared" si="6"/>
        <v>1</v>
      </c>
      <c r="K153" s="43"/>
      <c r="L153" s="7"/>
      <c r="M153" s="7"/>
    </row>
    <row r="154" spans="1:13" x14ac:dyDescent="0.25">
      <c r="A154" s="1">
        <v>42221</v>
      </c>
      <c r="B154">
        <v>2015</v>
      </c>
      <c r="C154" t="s">
        <v>21</v>
      </c>
      <c r="D154" t="s">
        <v>181</v>
      </c>
      <c r="E154" t="s">
        <v>48</v>
      </c>
      <c r="F154" t="s">
        <v>20</v>
      </c>
      <c r="G154" t="s">
        <v>31</v>
      </c>
      <c r="H154" s="7">
        <v>250000</v>
      </c>
      <c r="I154" s="7">
        <v>250000</v>
      </c>
      <c r="J154" s="43">
        <f t="shared" si="6"/>
        <v>1</v>
      </c>
      <c r="K154" s="43"/>
      <c r="L154" s="7">
        <v>78750</v>
      </c>
      <c r="M154" s="7">
        <f>J154*L154</f>
        <v>78750</v>
      </c>
    </row>
    <row r="155" spans="1:13" x14ac:dyDescent="0.25">
      <c r="A155" s="1">
        <v>42222</v>
      </c>
      <c r="B155">
        <v>2015</v>
      </c>
      <c r="C155" t="s">
        <v>12</v>
      </c>
      <c r="D155" t="s">
        <v>182</v>
      </c>
      <c r="E155" t="s">
        <v>15</v>
      </c>
      <c r="F155" t="s">
        <v>13</v>
      </c>
      <c r="G155" t="s">
        <v>46</v>
      </c>
      <c r="H155" s="7">
        <v>577237</v>
      </c>
      <c r="I155" s="7">
        <v>755042</v>
      </c>
      <c r="J155" s="43">
        <f>H155/I155</f>
        <v>0.76450978885942766</v>
      </c>
      <c r="K155" s="43" t="s">
        <v>184</v>
      </c>
      <c r="L155" s="7">
        <v>271815</v>
      </c>
      <c r="M155" s="7">
        <f>J155*L155</f>
        <v>207805.22825882534</v>
      </c>
    </row>
    <row r="156" spans="1:13" x14ac:dyDescent="0.25">
      <c r="A156" s="1">
        <v>42222</v>
      </c>
      <c r="B156">
        <v>2015</v>
      </c>
      <c r="C156" t="s">
        <v>12</v>
      </c>
      <c r="D156" t="s">
        <v>182</v>
      </c>
      <c r="E156" t="s">
        <v>10</v>
      </c>
      <c r="F156" t="s">
        <v>13</v>
      </c>
      <c r="G156" t="s">
        <v>8</v>
      </c>
      <c r="H156" s="7">
        <v>36481</v>
      </c>
      <c r="I156" s="7">
        <v>755042</v>
      </c>
      <c r="J156" s="43">
        <f>H156/I156</f>
        <v>4.8316517491742178E-2</v>
      </c>
      <c r="K156" s="43" t="s">
        <v>184</v>
      </c>
      <c r="L156" s="7">
        <v>271815</v>
      </c>
      <c r="M156" s="7">
        <f>J156*L156</f>
        <v>13133.1542020179</v>
      </c>
    </row>
    <row r="157" spans="1:13" x14ac:dyDescent="0.25">
      <c r="A157" s="1">
        <v>42222</v>
      </c>
      <c r="B157">
        <v>2015</v>
      </c>
      <c r="C157" t="s">
        <v>12</v>
      </c>
      <c r="D157" t="s">
        <v>182</v>
      </c>
      <c r="E157" t="s">
        <v>16</v>
      </c>
      <c r="F157" t="s">
        <v>13</v>
      </c>
      <c r="G157" t="s">
        <v>6</v>
      </c>
      <c r="H157" s="7">
        <v>10868</v>
      </c>
      <c r="I157" s="7">
        <v>755042</v>
      </c>
      <c r="J157" s="43">
        <f>H157/I157</f>
        <v>1.4393901266419616E-2</v>
      </c>
      <c r="K157" s="43" t="s">
        <v>184</v>
      </c>
      <c r="L157" s="7">
        <v>271815</v>
      </c>
      <c r="M157" s="7">
        <f>J157*L157</f>
        <v>3912.4782727318479</v>
      </c>
    </row>
    <row r="158" spans="1:13" x14ac:dyDescent="0.25">
      <c r="A158" s="1">
        <v>42222</v>
      </c>
      <c r="B158">
        <v>2015</v>
      </c>
      <c r="C158" t="s">
        <v>12</v>
      </c>
      <c r="D158" t="s">
        <v>182</v>
      </c>
      <c r="E158" t="s">
        <v>17</v>
      </c>
      <c r="F158" t="s">
        <v>13</v>
      </c>
      <c r="G158" t="s">
        <v>415</v>
      </c>
      <c r="H158" s="7">
        <v>130456</v>
      </c>
      <c r="I158" s="7">
        <v>755042</v>
      </c>
      <c r="J158" s="43">
        <f>H158/I158</f>
        <v>0.17277979238241051</v>
      </c>
      <c r="K158" s="43" t="s">
        <v>184</v>
      </c>
      <c r="L158" s="7">
        <v>271815</v>
      </c>
      <c r="M158" s="7">
        <f>J158*L158</f>
        <v>46964.139266424914</v>
      </c>
    </row>
    <row r="159" spans="1:13" x14ac:dyDescent="0.25">
      <c r="A159" s="1">
        <v>42243</v>
      </c>
      <c r="B159">
        <v>2015</v>
      </c>
      <c r="C159" t="s">
        <v>9</v>
      </c>
      <c r="D159" t="s">
        <v>182</v>
      </c>
      <c r="E159" t="s">
        <v>10</v>
      </c>
      <c r="F159" t="s">
        <v>58</v>
      </c>
      <c r="G159" t="s">
        <v>189</v>
      </c>
      <c r="H159" s="7">
        <v>3778000</v>
      </c>
      <c r="I159" s="7">
        <v>3778000</v>
      </c>
      <c r="J159" s="43">
        <f>H159/I159</f>
        <v>1</v>
      </c>
      <c r="K159" s="43"/>
      <c r="L159" s="7">
        <v>1700100</v>
      </c>
      <c r="M159" s="7">
        <f>L159</f>
        <v>1700100</v>
      </c>
    </row>
    <row r="160" spans="1:13" x14ac:dyDescent="0.25">
      <c r="A160" s="1">
        <v>42297</v>
      </c>
      <c r="B160">
        <v>2016</v>
      </c>
      <c r="C160" t="s">
        <v>4</v>
      </c>
      <c r="D160" t="s">
        <v>182</v>
      </c>
      <c r="E160" t="s">
        <v>5</v>
      </c>
      <c r="F160" t="s">
        <v>427</v>
      </c>
      <c r="G160" t="s">
        <v>415</v>
      </c>
      <c r="H160" s="7">
        <v>1426084069</v>
      </c>
      <c r="I160" s="7">
        <v>1464860377</v>
      </c>
      <c r="J160" s="43">
        <f t="shared" ref="J160:J165" si="7">H160/I160</f>
        <v>0.97352900753625882</v>
      </c>
      <c r="K160" s="43" t="s">
        <v>184</v>
      </c>
      <c r="L160" s="7">
        <v>329593585</v>
      </c>
      <c r="M160" s="46">
        <f>J160*L160</f>
        <v>320868915.69536757</v>
      </c>
    </row>
    <row r="161" spans="1:13" x14ac:dyDescent="0.25">
      <c r="A161" s="1">
        <v>42297</v>
      </c>
      <c r="B161">
        <v>2016</v>
      </c>
      <c r="C161" t="s">
        <v>4</v>
      </c>
      <c r="D161" t="s">
        <v>182</v>
      </c>
      <c r="E161" t="s">
        <v>5</v>
      </c>
      <c r="F161" t="s">
        <v>427</v>
      </c>
      <c r="G161" t="s">
        <v>6</v>
      </c>
      <c r="H161" s="7">
        <v>11245000</v>
      </c>
      <c r="I161" s="7">
        <v>1464860377</v>
      </c>
      <c r="J161" s="43">
        <f t="shared" si="7"/>
        <v>7.6764995330336526E-3</v>
      </c>
      <c r="K161" s="43" t="s">
        <v>184</v>
      </c>
      <c r="L161" s="7">
        <v>329593585</v>
      </c>
      <c r="M161" s="46">
        <f>J161*L161</f>
        <v>2530125.0013433876</v>
      </c>
    </row>
    <row r="162" spans="1:13" x14ac:dyDescent="0.25">
      <c r="A162" s="1">
        <v>42297</v>
      </c>
      <c r="B162">
        <v>2016</v>
      </c>
      <c r="C162" t="s">
        <v>4</v>
      </c>
      <c r="D162" t="s">
        <v>182</v>
      </c>
      <c r="E162" t="s">
        <v>5</v>
      </c>
      <c r="F162" t="s">
        <v>427</v>
      </c>
      <c r="G162" t="s">
        <v>7</v>
      </c>
      <c r="H162" s="7">
        <v>23253308</v>
      </c>
      <c r="I162" s="7">
        <v>1464860377</v>
      </c>
      <c r="J162" s="43">
        <f t="shared" si="7"/>
        <v>1.5874078079456441E-2</v>
      </c>
      <c r="K162" s="43" t="s">
        <v>184</v>
      </c>
      <c r="L162" s="7">
        <v>329593585</v>
      </c>
      <c r="M162" s="46">
        <f>J162*L162</f>
        <v>5231994.3027779637</v>
      </c>
    </row>
    <row r="163" spans="1:13" x14ac:dyDescent="0.25">
      <c r="A163" s="1">
        <v>42297</v>
      </c>
      <c r="B163">
        <v>2016</v>
      </c>
      <c r="C163" t="s">
        <v>4</v>
      </c>
      <c r="D163" t="s">
        <v>182</v>
      </c>
      <c r="E163" t="s">
        <v>5</v>
      </c>
      <c r="F163" t="s">
        <v>427</v>
      </c>
      <c r="G163" t="s">
        <v>8</v>
      </c>
      <c r="H163" s="7">
        <v>4278000</v>
      </c>
      <c r="I163" s="7">
        <v>1464860377</v>
      </c>
      <c r="J163" s="43">
        <f t="shared" si="7"/>
        <v>2.920414851251042E-3</v>
      </c>
      <c r="K163" s="43" t="s">
        <v>184</v>
      </c>
      <c r="L163" s="7">
        <v>329593585</v>
      </c>
      <c r="M163" s="46">
        <f>J163*L163</f>
        <v>962550.00051107269</v>
      </c>
    </row>
    <row r="164" spans="1:13" x14ac:dyDescent="0.25">
      <c r="A164" s="47">
        <v>42304</v>
      </c>
      <c r="B164">
        <v>2016</v>
      </c>
      <c r="C164" t="s">
        <v>53</v>
      </c>
      <c r="D164" t="s">
        <v>181</v>
      </c>
      <c r="E164" t="s">
        <v>48</v>
      </c>
      <c r="F164" t="s">
        <v>6</v>
      </c>
      <c r="G164" t="s">
        <v>6</v>
      </c>
      <c r="H164" s="7">
        <v>97500</v>
      </c>
      <c r="I164" s="7">
        <v>97500</v>
      </c>
      <c r="J164" s="43">
        <f t="shared" si="7"/>
        <v>1</v>
      </c>
      <c r="K164" s="43"/>
      <c r="L164" s="7">
        <v>43875</v>
      </c>
      <c r="M164" s="7">
        <f>L164</f>
        <v>43875</v>
      </c>
    </row>
    <row r="165" spans="1:13" x14ac:dyDescent="0.25">
      <c r="A165" s="47">
        <v>42312</v>
      </c>
      <c r="B165">
        <v>2016</v>
      </c>
      <c r="C165" t="s">
        <v>51</v>
      </c>
      <c r="D165" t="s">
        <v>182</v>
      </c>
      <c r="E165" t="s">
        <v>52</v>
      </c>
      <c r="F165" t="s">
        <v>8</v>
      </c>
      <c r="G165" t="s">
        <v>8</v>
      </c>
      <c r="H165" s="7">
        <v>310000</v>
      </c>
      <c r="I165" s="7">
        <v>310000</v>
      </c>
      <c r="J165" s="43">
        <f t="shared" si="7"/>
        <v>1</v>
      </c>
      <c r="K165" s="43"/>
      <c r="L165" s="7">
        <v>139500</v>
      </c>
      <c r="M165" s="7">
        <f>L165</f>
        <v>139500</v>
      </c>
    </row>
    <row r="166" spans="1:13" ht="17.25" customHeight="1" x14ac:dyDescent="0.25">
      <c r="A166" s="47">
        <v>42332</v>
      </c>
      <c r="B166">
        <v>2016</v>
      </c>
      <c r="C166" t="s">
        <v>49</v>
      </c>
      <c r="D166" t="s">
        <v>181</v>
      </c>
      <c r="E166" t="s">
        <v>50</v>
      </c>
      <c r="F166" t="s">
        <v>416</v>
      </c>
      <c r="G166" t="s">
        <v>8</v>
      </c>
      <c r="H166" s="7">
        <f>I166/3</f>
        <v>41195.333333333336</v>
      </c>
      <c r="I166" s="7">
        <v>123586</v>
      </c>
      <c r="J166" s="43">
        <f>H166/I166</f>
        <v>0.33333333333333337</v>
      </c>
      <c r="K166" s="43" t="s">
        <v>183</v>
      </c>
      <c r="L166" s="7">
        <v>38930</v>
      </c>
      <c r="M166" s="7">
        <f>L166*J166</f>
        <v>12976.666666666668</v>
      </c>
    </row>
    <row r="167" spans="1:13" x14ac:dyDescent="0.25">
      <c r="A167" s="47">
        <v>42332</v>
      </c>
      <c r="B167">
        <v>2016</v>
      </c>
      <c r="C167" t="s">
        <v>49</v>
      </c>
      <c r="D167" t="s">
        <v>181</v>
      </c>
      <c r="E167" t="s">
        <v>50</v>
      </c>
      <c r="F167" t="s">
        <v>416</v>
      </c>
      <c r="G167" t="s">
        <v>415</v>
      </c>
      <c r="H167" s="7">
        <f>I167/3</f>
        <v>41195.333333333336</v>
      </c>
      <c r="I167" s="7">
        <v>123586</v>
      </c>
      <c r="J167" s="43">
        <f>H167/I167</f>
        <v>0.33333333333333337</v>
      </c>
      <c r="K167" s="43" t="s">
        <v>183</v>
      </c>
      <c r="L167" s="7">
        <v>38930</v>
      </c>
      <c r="M167" s="7">
        <f>L167*J167</f>
        <v>12976.666666666668</v>
      </c>
    </row>
    <row r="168" spans="1:13" x14ac:dyDescent="0.25">
      <c r="A168" s="47">
        <v>42332</v>
      </c>
      <c r="B168">
        <v>2016</v>
      </c>
      <c r="C168" t="s">
        <v>49</v>
      </c>
      <c r="D168" t="s">
        <v>181</v>
      </c>
      <c r="E168" t="s">
        <v>50</v>
      </c>
      <c r="F168" t="s">
        <v>416</v>
      </c>
      <c r="G168" t="s">
        <v>81</v>
      </c>
      <c r="H168" s="7">
        <f>I168/3</f>
        <v>41195.333333333336</v>
      </c>
      <c r="I168" s="7">
        <v>123586</v>
      </c>
      <c r="J168" s="43">
        <f>H168/I168</f>
        <v>0.33333333333333337</v>
      </c>
      <c r="K168" s="43" t="s">
        <v>183</v>
      </c>
      <c r="L168" s="7">
        <v>38930</v>
      </c>
      <c r="M168" s="7">
        <f>L168*J168</f>
        <v>12976.666666666668</v>
      </c>
    </row>
    <row r="169" spans="1:13" x14ac:dyDescent="0.25">
      <c r="A169" s="47">
        <v>42389</v>
      </c>
      <c r="B169">
        <v>2016</v>
      </c>
      <c r="C169" t="s">
        <v>47</v>
      </c>
      <c r="D169" t="s">
        <v>181</v>
      </c>
      <c r="E169" t="s">
        <v>48</v>
      </c>
      <c r="F169" t="s">
        <v>6</v>
      </c>
      <c r="G169" t="s">
        <v>6</v>
      </c>
      <c r="H169" s="7">
        <v>260000</v>
      </c>
      <c r="I169" s="7">
        <v>260000</v>
      </c>
      <c r="J169" s="43">
        <f>H169/I169</f>
        <v>1</v>
      </c>
      <c r="K169" s="43"/>
      <c r="L169" s="7">
        <v>140400</v>
      </c>
      <c r="M169" s="7">
        <f>L169</f>
        <v>140400</v>
      </c>
    </row>
    <row r="170" spans="1:13" x14ac:dyDescent="0.25">
      <c r="A170" s="1">
        <v>42408</v>
      </c>
      <c r="B170">
        <v>2016</v>
      </c>
      <c r="C170" t="s">
        <v>177</v>
      </c>
      <c r="D170" t="s">
        <v>182</v>
      </c>
      <c r="E170" t="s">
        <v>10</v>
      </c>
      <c r="F170" t="s">
        <v>178</v>
      </c>
      <c r="G170" t="s">
        <v>178</v>
      </c>
      <c r="H170" s="7">
        <v>5029000</v>
      </c>
      <c r="I170" s="7">
        <v>5029000</v>
      </c>
      <c r="J170" s="44">
        <v>1</v>
      </c>
      <c r="K170" s="44"/>
      <c r="L170" s="7">
        <v>2485890</v>
      </c>
      <c r="M170" s="7">
        <v>2485890</v>
      </c>
    </row>
    <row r="171" spans="1:13" x14ac:dyDescent="0.25">
      <c r="A171" s="1">
        <v>42422</v>
      </c>
      <c r="B171">
        <v>2016</v>
      </c>
      <c r="C171" t="s">
        <v>176</v>
      </c>
      <c r="D171" t="s">
        <v>181</v>
      </c>
      <c r="E171" t="s">
        <v>97</v>
      </c>
      <c r="F171" t="s">
        <v>6</v>
      </c>
      <c r="G171" t="s">
        <v>6</v>
      </c>
      <c r="H171" s="7">
        <v>975000</v>
      </c>
      <c r="I171" s="7">
        <v>975000</v>
      </c>
      <c r="J171" s="44">
        <v>1</v>
      </c>
      <c r="K171" s="44"/>
      <c r="L171" s="7">
        <v>614250</v>
      </c>
      <c r="M171" s="7">
        <v>614250</v>
      </c>
    </row>
    <row r="172" spans="1:13" x14ac:dyDescent="0.25">
      <c r="A172" s="1">
        <v>42425</v>
      </c>
      <c r="B172">
        <v>2016</v>
      </c>
      <c r="C172" t="s">
        <v>175</v>
      </c>
      <c r="D172" t="s">
        <v>181</v>
      </c>
      <c r="E172">
        <v>2011</v>
      </c>
      <c r="F172" t="s">
        <v>6</v>
      </c>
      <c r="G172" t="s">
        <v>6</v>
      </c>
      <c r="H172" s="7">
        <v>423202</v>
      </c>
      <c r="I172" s="7">
        <v>423202</v>
      </c>
      <c r="J172" s="44">
        <v>1</v>
      </c>
      <c r="K172" s="44"/>
      <c r="L172" s="7">
        <v>304706</v>
      </c>
      <c r="M172" s="7">
        <v>304706</v>
      </c>
    </row>
    <row r="173" spans="1:13" x14ac:dyDescent="0.25">
      <c r="A173" s="1">
        <v>42544</v>
      </c>
      <c r="B173">
        <v>2016</v>
      </c>
      <c r="C173" t="s">
        <v>174</v>
      </c>
      <c r="D173" t="s">
        <v>181</v>
      </c>
      <c r="E173">
        <v>2011</v>
      </c>
      <c r="F173" t="s">
        <v>8</v>
      </c>
      <c r="G173" t="s">
        <v>8</v>
      </c>
      <c r="H173" s="7">
        <v>159542</v>
      </c>
      <c r="I173" s="7">
        <v>159542</v>
      </c>
      <c r="J173" s="44">
        <v>1</v>
      </c>
      <c r="K173" s="44"/>
      <c r="L173" s="7">
        <v>107691.3</v>
      </c>
      <c r="M173" s="7">
        <v>107691.3</v>
      </c>
    </row>
    <row r="174" spans="1:13" ht="16.5" customHeight="1" x14ac:dyDescent="0.25">
      <c r="A174" s="1">
        <v>42556</v>
      </c>
      <c r="B174">
        <v>2016</v>
      </c>
      <c r="C174" t="s">
        <v>173</v>
      </c>
      <c r="D174" t="s">
        <v>181</v>
      </c>
      <c r="E174" t="s">
        <v>14</v>
      </c>
      <c r="F174" t="s">
        <v>422</v>
      </c>
      <c r="G174" t="s">
        <v>8</v>
      </c>
      <c r="H174" s="7">
        <f>I174*J174</f>
        <v>8463500</v>
      </c>
      <c r="I174" s="7">
        <v>16927000</v>
      </c>
      <c r="J174" s="44">
        <v>0.5</v>
      </c>
      <c r="K174" s="44" t="s">
        <v>183</v>
      </c>
      <c r="L174" s="7">
        <v>7617150</v>
      </c>
      <c r="M174" s="7">
        <f>L174*J174</f>
        <v>3808575</v>
      </c>
    </row>
    <row r="175" spans="1:13" x14ac:dyDescent="0.25">
      <c r="A175" s="1">
        <v>42556</v>
      </c>
      <c r="B175">
        <v>2016</v>
      </c>
      <c r="C175" t="s">
        <v>173</v>
      </c>
      <c r="D175" t="s">
        <v>181</v>
      </c>
      <c r="E175" t="s">
        <v>14</v>
      </c>
      <c r="F175" t="s">
        <v>422</v>
      </c>
      <c r="G175" t="s">
        <v>415</v>
      </c>
      <c r="H175" s="7">
        <f>I175*J175</f>
        <v>8463500</v>
      </c>
      <c r="I175" s="7">
        <v>16927000</v>
      </c>
      <c r="J175" s="44">
        <v>0.5</v>
      </c>
      <c r="K175" s="44" t="s">
        <v>183</v>
      </c>
      <c r="L175" s="7">
        <v>7617150</v>
      </c>
      <c r="M175" s="7">
        <f>L175*J175</f>
        <v>3808575</v>
      </c>
    </row>
    <row r="176" spans="1:13" x14ac:dyDescent="0.25">
      <c r="A176" s="1">
        <v>42620</v>
      </c>
      <c r="B176">
        <v>2016</v>
      </c>
      <c r="C176" t="s">
        <v>191</v>
      </c>
      <c r="D176" t="s">
        <v>181</v>
      </c>
      <c r="E176" t="s">
        <v>121</v>
      </c>
      <c r="F176" t="s">
        <v>8</v>
      </c>
      <c r="G176" t="s">
        <v>8</v>
      </c>
      <c r="H176" s="7">
        <v>80000</v>
      </c>
      <c r="I176" s="7">
        <v>80000</v>
      </c>
      <c r="J176" s="9">
        <v>1</v>
      </c>
      <c r="K176" s="9"/>
      <c r="L176" s="7">
        <v>43200</v>
      </c>
      <c r="M176" s="7">
        <v>43200</v>
      </c>
    </row>
    <row r="177" spans="1:13" x14ac:dyDescent="0.25">
      <c r="A177" s="1">
        <v>42626</v>
      </c>
      <c r="B177">
        <v>2016</v>
      </c>
      <c r="C177" t="s">
        <v>192</v>
      </c>
      <c r="D177" t="s">
        <v>181</v>
      </c>
      <c r="E177" t="s">
        <v>50</v>
      </c>
      <c r="F177" t="s">
        <v>8</v>
      </c>
      <c r="G177" t="s">
        <v>8</v>
      </c>
      <c r="H177" s="7">
        <v>12000000</v>
      </c>
      <c r="I177" s="7">
        <v>12000000</v>
      </c>
      <c r="J177" s="9">
        <v>1</v>
      </c>
      <c r="K177" s="9"/>
      <c r="L177" s="7">
        <v>4320000</v>
      </c>
      <c r="M177" s="7">
        <v>4320000</v>
      </c>
    </row>
    <row r="178" spans="1:13" ht="17.25" customHeight="1" x14ac:dyDescent="0.25">
      <c r="A178" s="1">
        <v>42688</v>
      </c>
      <c r="B178">
        <v>2017</v>
      </c>
      <c r="C178" t="s">
        <v>193</v>
      </c>
      <c r="D178" t="s">
        <v>181</v>
      </c>
      <c r="E178" t="s">
        <v>194</v>
      </c>
      <c r="F178" t="s">
        <v>417</v>
      </c>
      <c r="G178" t="s">
        <v>6</v>
      </c>
      <c r="H178" s="7">
        <f>I178*J178</f>
        <v>828106.75100000005</v>
      </c>
      <c r="I178" s="7">
        <v>8537183</v>
      </c>
      <c r="J178" s="9">
        <v>9.7000000000000003E-2</v>
      </c>
      <c r="K178" s="9" t="s">
        <v>185</v>
      </c>
      <c r="L178" s="7">
        <v>5976028</v>
      </c>
      <c r="M178" s="8">
        <f>L178*J178</f>
        <v>579674.71600000001</v>
      </c>
    </row>
    <row r="179" spans="1:13" x14ac:dyDescent="0.25">
      <c r="A179" s="1">
        <v>42688</v>
      </c>
      <c r="B179">
        <v>2017</v>
      </c>
      <c r="C179" t="s">
        <v>193</v>
      </c>
      <c r="D179" t="s">
        <v>181</v>
      </c>
      <c r="E179" t="s">
        <v>194</v>
      </c>
      <c r="F179" t="s">
        <v>417</v>
      </c>
      <c r="G179" t="s">
        <v>8</v>
      </c>
      <c r="H179" s="8">
        <f>I179*J179</f>
        <v>7695416.7561999997</v>
      </c>
      <c r="I179" s="7">
        <v>8537183</v>
      </c>
      <c r="J179" s="9">
        <v>0.90139999999999998</v>
      </c>
      <c r="K179" s="9" t="s">
        <v>185</v>
      </c>
      <c r="L179" s="7">
        <v>5976028</v>
      </c>
      <c r="M179" s="8">
        <f>L179*J179</f>
        <v>5386791.6392000001</v>
      </c>
    </row>
    <row r="180" spans="1:13" x14ac:dyDescent="0.25">
      <c r="A180" s="1">
        <v>42688</v>
      </c>
      <c r="B180">
        <v>2017</v>
      </c>
      <c r="C180" t="s">
        <v>193</v>
      </c>
      <c r="D180" t="s">
        <v>181</v>
      </c>
      <c r="F180" t="s">
        <v>417</v>
      </c>
      <c r="G180" t="s">
        <v>415</v>
      </c>
      <c r="H180" s="7">
        <f>I180*J180</f>
        <v>9390.9013000000014</v>
      </c>
      <c r="I180" s="7">
        <v>8537183</v>
      </c>
      <c r="J180" s="9">
        <v>1.1000000000000001E-3</v>
      </c>
      <c r="K180" s="9" t="s">
        <v>185</v>
      </c>
      <c r="L180" s="7">
        <v>5976028</v>
      </c>
      <c r="M180" s="8">
        <f>L180*J180</f>
        <v>6573.6308000000008</v>
      </c>
    </row>
    <row r="181" spans="1:13" x14ac:dyDescent="0.25">
      <c r="A181" s="1">
        <v>42747</v>
      </c>
      <c r="B181">
        <v>2017</v>
      </c>
      <c r="C181" t="s">
        <v>196</v>
      </c>
      <c r="D181" t="s">
        <v>181</v>
      </c>
      <c r="E181">
        <v>2008</v>
      </c>
      <c r="F181" t="s">
        <v>8</v>
      </c>
      <c r="G181" t="s">
        <v>8</v>
      </c>
      <c r="H181" s="7">
        <v>25000</v>
      </c>
      <c r="I181" s="7">
        <v>25000</v>
      </c>
      <c r="J181" s="9">
        <v>1</v>
      </c>
      <c r="K181" s="9"/>
      <c r="L181" s="7">
        <v>17500</v>
      </c>
      <c r="M181" s="7">
        <v>17500</v>
      </c>
    </row>
    <row r="182" spans="1:13" x14ac:dyDescent="0.25">
      <c r="A182" s="1">
        <v>42747</v>
      </c>
      <c r="B182">
        <v>2017</v>
      </c>
      <c r="C182" t="s">
        <v>197</v>
      </c>
      <c r="D182" t="s">
        <v>181</v>
      </c>
      <c r="E182" t="s">
        <v>97</v>
      </c>
      <c r="F182" t="s">
        <v>6</v>
      </c>
      <c r="G182" t="s">
        <v>6</v>
      </c>
      <c r="H182" s="7">
        <v>80000</v>
      </c>
      <c r="I182" s="7">
        <v>80000</v>
      </c>
      <c r="J182" s="9">
        <v>1</v>
      </c>
      <c r="K182" s="9"/>
      <c r="L182" s="7">
        <v>10000</v>
      </c>
      <c r="M182" s="7">
        <v>10000</v>
      </c>
    </row>
    <row r="183" spans="1:13" x14ac:dyDescent="0.25">
      <c r="A183" s="1">
        <v>42748</v>
      </c>
      <c r="B183">
        <v>2017</v>
      </c>
      <c r="C183" t="s">
        <v>198</v>
      </c>
      <c r="D183" t="s">
        <v>182</v>
      </c>
      <c r="E183" t="s">
        <v>199</v>
      </c>
      <c r="F183" t="s">
        <v>125</v>
      </c>
      <c r="G183" t="s">
        <v>6</v>
      </c>
      <c r="H183" s="7">
        <f>I183*J183</f>
        <v>724649.65</v>
      </c>
      <c r="I183" s="7">
        <v>955750</v>
      </c>
      <c r="J183" s="9">
        <v>0.75819999999999999</v>
      </c>
      <c r="K183" s="9" t="s">
        <v>185</v>
      </c>
      <c r="L183" s="7">
        <v>516105</v>
      </c>
      <c r="M183" s="7">
        <f>L183*J183</f>
        <v>391310.81099999999</v>
      </c>
    </row>
    <row r="184" spans="1:13" x14ac:dyDescent="0.25">
      <c r="A184" s="1">
        <v>42748</v>
      </c>
      <c r="B184">
        <v>2017</v>
      </c>
      <c r="C184" t="s">
        <v>198</v>
      </c>
      <c r="D184" t="s">
        <v>182</v>
      </c>
      <c r="E184" t="s">
        <v>199</v>
      </c>
      <c r="F184" t="s">
        <v>125</v>
      </c>
      <c r="G184" t="s">
        <v>8</v>
      </c>
      <c r="H184" s="8">
        <f>I184*J184</f>
        <v>231100.34999999998</v>
      </c>
      <c r="I184" s="7">
        <v>955750</v>
      </c>
      <c r="J184" s="9">
        <v>0.24179999999999999</v>
      </c>
      <c r="K184" s="9" t="s">
        <v>185</v>
      </c>
      <c r="L184" s="7">
        <v>516105</v>
      </c>
      <c r="M184" s="8">
        <f>L184*J184</f>
        <v>124794.189</v>
      </c>
    </row>
    <row r="185" spans="1:13" x14ac:dyDescent="0.25">
      <c r="A185" s="1">
        <v>42794</v>
      </c>
      <c r="B185">
        <v>2017</v>
      </c>
      <c r="C185" t="s">
        <v>200</v>
      </c>
      <c r="D185" t="s">
        <v>181</v>
      </c>
      <c r="E185" t="s">
        <v>88</v>
      </c>
      <c r="F185" t="s">
        <v>8</v>
      </c>
      <c r="G185" t="s">
        <v>8</v>
      </c>
      <c r="H185" s="7"/>
      <c r="I185" s="7"/>
      <c r="J185" s="9"/>
      <c r="K185" s="9"/>
      <c r="L185" s="7">
        <v>515400</v>
      </c>
      <c r="M185" s="7">
        <v>515400</v>
      </c>
    </row>
    <row r="186" spans="1:13" x14ac:dyDescent="0.25">
      <c r="A186" s="1">
        <v>42801</v>
      </c>
      <c r="B186">
        <v>2017</v>
      </c>
      <c r="C186" t="s">
        <v>201</v>
      </c>
      <c r="D186" t="s">
        <v>181</v>
      </c>
      <c r="E186" t="s">
        <v>202</v>
      </c>
      <c r="F186" t="s">
        <v>8</v>
      </c>
      <c r="G186" t="s">
        <v>8</v>
      </c>
      <c r="H186" s="7">
        <v>106180280</v>
      </c>
      <c r="I186" s="7">
        <v>106180280</v>
      </c>
      <c r="J186" s="9">
        <v>1</v>
      </c>
      <c r="K186" s="9"/>
      <c r="L186" s="7">
        <v>100871266</v>
      </c>
      <c r="M186" s="7">
        <v>100871266</v>
      </c>
    </row>
    <row r="187" spans="1:13" x14ac:dyDescent="0.25">
      <c r="A187" s="1">
        <v>42894</v>
      </c>
      <c r="B187">
        <v>2017</v>
      </c>
      <c r="C187" t="s">
        <v>203</v>
      </c>
      <c r="D187" t="s">
        <v>182</v>
      </c>
      <c r="E187" t="s">
        <v>204</v>
      </c>
      <c r="F187" t="s">
        <v>6</v>
      </c>
      <c r="G187" t="s">
        <v>6</v>
      </c>
      <c r="H187" s="7">
        <v>138500</v>
      </c>
      <c r="I187" s="7">
        <v>138500</v>
      </c>
      <c r="J187" s="9">
        <v>1</v>
      </c>
      <c r="K187" s="9"/>
      <c r="L187" s="7">
        <v>87255</v>
      </c>
      <c r="M187" s="7">
        <v>87255</v>
      </c>
    </row>
    <row r="188" spans="1:13" x14ac:dyDescent="0.25">
      <c r="A188" s="1">
        <v>42912</v>
      </c>
      <c r="B188">
        <v>2017</v>
      </c>
      <c r="C188" t="s">
        <v>84</v>
      </c>
      <c r="D188" t="s">
        <v>182</v>
      </c>
      <c r="E188" t="s">
        <v>199</v>
      </c>
      <c r="F188" t="s">
        <v>428</v>
      </c>
      <c r="G188" t="s">
        <v>8</v>
      </c>
      <c r="H188" s="8">
        <f>I188*J188</f>
        <v>137232.51216361939</v>
      </c>
      <c r="I188" s="7">
        <v>198266</v>
      </c>
      <c r="J188" s="9">
        <v>0.69216361939828008</v>
      </c>
      <c r="K188" s="9" t="s">
        <v>185</v>
      </c>
      <c r="L188" s="7">
        <v>148698</v>
      </c>
      <c r="M188" s="8">
        <f>L188*J188</f>
        <v>102923.34587728545</v>
      </c>
    </row>
    <row r="189" spans="1:13" x14ac:dyDescent="0.25">
      <c r="A189" s="1">
        <v>42912</v>
      </c>
      <c r="B189">
        <v>2017</v>
      </c>
      <c r="C189" t="s">
        <v>84</v>
      </c>
      <c r="D189" t="s">
        <v>182</v>
      </c>
      <c r="E189" t="s">
        <v>199</v>
      </c>
      <c r="F189" t="s">
        <v>428</v>
      </c>
      <c r="G189" t="s">
        <v>31</v>
      </c>
      <c r="H189" s="7">
        <f>I189*J189</f>
        <v>52533.234963407565</v>
      </c>
      <c r="I189" s="7">
        <v>198266</v>
      </c>
      <c r="J189" s="9">
        <v>0.26496340756058812</v>
      </c>
      <c r="K189" s="9" t="s">
        <v>185</v>
      </c>
      <c r="L189" s="7">
        <v>148698</v>
      </c>
      <c r="M189" s="8">
        <f>L189*J189</f>
        <v>39399.528777444335</v>
      </c>
    </row>
    <row r="190" spans="1:13" x14ac:dyDescent="0.25">
      <c r="A190" s="1">
        <v>42912</v>
      </c>
      <c r="B190">
        <v>2017</v>
      </c>
      <c r="C190" t="s">
        <v>84</v>
      </c>
      <c r="D190" t="s">
        <v>182</v>
      </c>
      <c r="E190" t="s">
        <v>199</v>
      </c>
      <c r="F190" t="s">
        <v>428</v>
      </c>
      <c r="G190" t="s">
        <v>415</v>
      </c>
      <c r="H190" s="7">
        <f>I190*J190</f>
        <v>6660.7535950369456</v>
      </c>
      <c r="I190" s="7">
        <v>198266</v>
      </c>
      <c r="J190" s="9">
        <v>3.3595036945502234E-2</v>
      </c>
      <c r="K190" s="9" t="s">
        <v>185</v>
      </c>
      <c r="L190" s="7">
        <v>148698</v>
      </c>
      <c r="M190" s="8">
        <f>L190*J190</f>
        <v>4995.5148037222907</v>
      </c>
    </row>
    <row r="191" spans="1:13" x14ac:dyDescent="0.25">
      <c r="A191" s="1">
        <v>42912</v>
      </c>
      <c r="B191">
        <v>2017</v>
      </c>
      <c r="C191" t="s">
        <v>84</v>
      </c>
      <c r="D191" t="s">
        <v>182</v>
      </c>
      <c r="E191" t="s">
        <v>199</v>
      </c>
      <c r="F191" t="s">
        <v>428</v>
      </c>
      <c r="G191" t="s">
        <v>6</v>
      </c>
      <c r="H191" s="7">
        <f>I191*J191</f>
        <v>1839.5092779865331</v>
      </c>
      <c r="I191" s="7">
        <v>198266</v>
      </c>
      <c r="J191" s="9">
        <v>9.2779865331752958E-3</v>
      </c>
      <c r="K191" s="9" t="s">
        <v>185</v>
      </c>
      <c r="L191" s="7">
        <v>148698</v>
      </c>
      <c r="M191" s="8">
        <f>L191*J191</f>
        <v>1379.6180415101001</v>
      </c>
    </row>
    <row r="192" spans="1:13" x14ac:dyDescent="0.25">
      <c r="A192" s="1">
        <v>42936</v>
      </c>
      <c r="B192">
        <v>2017</v>
      </c>
      <c r="C192" t="s">
        <v>205</v>
      </c>
      <c r="D192" t="s">
        <v>181</v>
      </c>
      <c r="E192">
        <v>2014</v>
      </c>
      <c r="F192" t="s">
        <v>399</v>
      </c>
      <c r="G192" t="s">
        <v>399</v>
      </c>
      <c r="H192" s="7">
        <v>2000000</v>
      </c>
      <c r="I192" s="7">
        <v>2000000</v>
      </c>
      <c r="J192" s="9">
        <v>1</v>
      </c>
      <c r="K192" s="9"/>
      <c r="L192" s="7"/>
      <c r="M192" s="7"/>
    </row>
    <row r="193" spans="1:13" x14ac:dyDescent="0.25">
      <c r="A193" s="1">
        <v>42943</v>
      </c>
      <c r="B193">
        <v>2017</v>
      </c>
      <c r="C193" t="s">
        <v>206</v>
      </c>
      <c r="D193" t="s">
        <v>182</v>
      </c>
      <c r="E193" t="s">
        <v>207</v>
      </c>
      <c r="F193" t="s">
        <v>8</v>
      </c>
      <c r="G193" t="s">
        <v>8</v>
      </c>
      <c r="H193" s="7">
        <v>38181161</v>
      </c>
      <c r="I193" s="7">
        <v>38181161</v>
      </c>
      <c r="J193" s="9">
        <v>1</v>
      </c>
      <c r="K193" s="9"/>
      <c r="L193" s="7">
        <v>12027066</v>
      </c>
      <c r="M193" s="7">
        <v>12027066</v>
      </c>
    </row>
    <row r="194" spans="1:13" x14ac:dyDescent="0.25">
      <c r="A194" s="1">
        <v>42957</v>
      </c>
      <c r="B194">
        <v>2017</v>
      </c>
      <c r="C194" t="s">
        <v>208</v>
      </c>
      <c r="D194" t="s">
        <v>181</v>
      </c>
      <c r="E194">
        <v>2012</v>
      </c>
      <c r="F194" t="s">
        <v>8</v>
      </c>
      <c r="G194" t="s">
        <v>8</v>
      </c>
      <c r="H194" s="7">
        <v>720000</v>
      </c>
      <c r="I194" s="7">
        <v>720000</v>
      </c>
      <c r="J194" s="9">
        <v>1</v>
      </c>
      <c r="K194" s="9"/>
      <c r="L194" s="7">
        <v>259200</v>
      </c>
      <c r="M194" s="7">
        <v>259200</v>
      </c>
    </row>
    <row r="195" spans="1:13" x14ac:dyDescent="0.25">
      <c r="A195" s="1">
        <v>42964</v>
      </c>
      <c r="B195">
        <v>2017</v>
      </c>
      <c r="C195" t="s">
        <v>209</v>
      </c>
      <c r="D195" t="s">
        <v>181</v>
      </c>
      <c r="E195" t="s">
        <v>52</v>
      </c>
      <c r="F195" t="s">
        <v>8</v>
      </c>
      <c r="G195" t="s">
        <v>8</v>
      </c>
      <c r="H195" s="7">
        <v>1535000</v>
      </c>
      <c r="I195" s="7">
        <v>1535000</v>
      </c>
      <c r="J195" s="9">
        <v>1</v>
      </c>
      <c r="K195" s="9"/>
      <c r="L195" s="7">
        <v>518063</v>
      </c>
      <c r="M195" s="7">
        <v>518063</v>
      </c>
    </row>
    <row r="196" spans="1:13" x14ac:dyDescent="0.25">
      <c r="A196" s="1">
        <v>42971</v>
      </c>
      <c r="B196">
        <v>2017</v>
      </c>
      <c r="C196" t="s">
        <v>210</v>
      </c>
      <c r="D196" t="s">
        <v>181</v>
      </c>
      <c r="E196" t="s">
        <v>211</v>
      </c>
      <c r="F196" t="s">
        <v>8</v>
      </c>
      <c r="G196" t="s">
        <v>8</v>
      </c>
      <c r="H196" s="7">
        <v>923000</v>
      </c>
      <c r="I196" s="7">
        <v>923000</v>
      </c>
      <c r="J196" s="9">
        <v>1</v>
      </c>
      <c r="K196" s="9"/>
      <c r="L196" s="7">
        <v>415350</v>
      </c>
      <c r="M196" s="7">
        <v>415350</v>
      </c>
    </row>
    <row r="197" spans="1:13" x14ac:dyDescent="0.25">
      <c r="A197" s="1">
        <v>43004</v>
      </c>
      <c r="B197">
        <v>2017</v>
      </c>
      <c r="C197" t="s">
        <v>212</v>
      </c>
      <c r="D197" t="s">
        <v>181</v>
      </c>
      <c r="E197" t="s">
        <v>97</v>
      </c>
      <c r="F197" t="s">
        <v>35</v>
      </c>
      <c r="G197" t="s">
        <v>74</v>
      </c>
      <c r="H197" s="7">
        <v>620000</v>
      </c>
      <c r="I197" s="7">
        <v>620000</v>
      </c>
      <c r="J197" s="9">
        <v>1</v>
      </c>
      <c r="K197" s="9"/>
      <c r="L197" s="7">
        <v>334800</v>
      </c>
      <c r="M197" s="7">
        <v>334800</v>
      </c>
    </row>
    <row r="198" spans="1:13" x14ac:dyDescent="0.25">
      <c r="A198" s="1">
        <v>43013</v>
      </c>
      <c r="B198">
        <v>2018</v>
      </c>
      <c r="C198" t="s">
        <v>213</v>
      </c>
      <c r="D198" t="s">
        <v>181</v>
      </c>
      <c r="E198">
        <v>2013</v>
      </c>
      <c r="F198" t="s">
        <v>415</v>
      </c>
      <c r="G198" t="s">
        <v>415</v>
      </c>
      <c r="H198" s="7">
        <v>445000</v>
      </c>
      <c r="I198" s="7">
        <v>445000</v>
      </c>
      <c r="J198" s="9">
        <v>1</v>
      </c>
      <c r="K198" s="9"/>
      <c r="L198" s="7">
        <v>372465</v>
      </c>
      <c r="M198" s="7">
        <v>372465</v>
      </c>
    </row>
    <row r="199" spans="1:13" x14ac:dyDescent="0.25">
      <c r="A199" s="1">
        <v>43056</v>
      </c>
      <c r="B199">
        <v>2018</v>
      </c>
      <c r="C199" t="s">
        <v>214</v>
      </c>
      <c r="D199" t="s">
        <v>181</v>
      </c>
      <c r="E199" t="s">
        <v>215</v>
      </c>
      <c r="F199" t="s">
        <v>6</v>
      </c>
      <c r="G199" t="s">
        <v>6</v>
      </c>
      <c r="H199" s="7">
        <v>291825</v>
      </c>
      <c r="I199" s="7">
        <v>291825</v>
      </c>
      <c r="J199" s="9">
        <v>1</v>
      </c>
      <c r="K199" s="9"/>
      <c r="L199" s="7">
        <v>204277</v>
      </c>
      <c r="M199" s="7">
        <v>204277</v>
      </c>
    </row>
    <row r="200" spans="1:13" x14ac:dyDescent="0.25">
      <c r="A200" s="1">
        <v>43075</v>
      </c>
      <c r="B200">
        <v>2018</v>
      </c>
      <c r="C200" t="s">
        <v>216</v>
      </c>
      <c r="D200" t="s">
        <v>181</v>
      </c>
      <c r="E200" t="s">
        <v>50</v>
      </c>
      <c r="F200" t="s">
        <v>8</v>
      </c>
      <c r="G200" t="s">
        <v>8</v>
      </c>
      <c r="H200" s="7">
        <v>1695500</v>
      </c>
      <c r="I200" s="7">
        <v>1695500</v>
      </c>
      <c r="J200" s="9">
        <v>1</v>
      </c>
      <c r="K200" s="9"/>
      <c r="L200" s="7">
        <v>1220400</v>
      </c>
      <c r="M200" s="7">
        <v>1220400</v>
      </c>
    </row>
    <row r="201" spans="1:13" x14ac:dyDescent="0.25">
      <c r="A201" s="1">
        <v>43257</v>
      </c>
      <c r="B201">
        <v>2018</v>
      </c>
      <c r="C201" t="s">
        <v>218</v>
      </c>
      <c r="D201" t="s">
        <v>181</v>
      </c>
      <c r="E201" t="s">
        <v>219</v>
      </c>
      <c r="F201" t="s">
        <v>415</v>
      </c>
      <c r="G201" t="s">
        <v>415</v>
      </c>
      <c r="H201" s="7">
        <v>180115</v>
      </c>
      <c r="I201" s="7">
        <v>180115</v>
      </c>
      <c r="J201" s="9">
        <v>1</v>
      </c>
      <c r="K201" s="9"/>
      <c r="L201" s="7">
        <v>145893</v>
      </c>
      <c r="M201" s="7">
        <v>145893</v>
      </c>
    </row>
    <row r="202" spans="1:13" x14ac:dyDescent="0.25">
      <c r="A202" s="1">
        <v>43356</v>
      </c>
      <c r="B202">
        <v>2018</v>
      </c>
      <c r="C202" t="s">
        <v>71</v>
      </c>
      <c r="D202" t="s">
        <v>181</v>
      </c>
      <c r="E202" t="s">
        <v>15</v>
      </c>
      <c r="F202" t="s">
        <v>8</v>
      </c>
      <c r="G202" t="s">
        <v>8</v>
      </c>
      <c r="H202" s="7"/>
      <c r="I202" s="7"/>
      <c r="J202" s="9"/>
      <c r="K202" s="9"/>
      <c r="L202" s="7">
        <v>1500000</v>
      </c>
      <c r="M202" s="7">
        <v>1500000</v>
      </c>
    </row>
    <row r="203" spans="1:13" x14ac:dyDescent="0.25">
      <c r="A203" s="1">
        <v>43378</v>
      </c>
      <c r="B203">
        <v>2019</v>
      </c>
      <c r="C203" t="s">
        <v>221</v>
      </c>
      <c r="D203" t="s">
        <v>182</v>
      </c>
      <c r="E203" t="s">
        <v>15</v>
      </c>
      <c r="F203" t="s">
        <v>222</v>
      </c>
      <c r="H203" s="7"/>
      <c r="I203" s="7">
        <v>7797290</v>
      </c>
      <c r="J203" s="9">
        <v>1</v>
      </c>
      <c r="K203" s="9" t="s">
        <v>183</v>
      </c>
      <c r="L203" s="7">
        <v>5263171</v>
      </c>
      <c r="M203" s="7"/>
    </row>
    <row r="204" spans="1:13" x14ac:dyDescent="0.25">
      <c r="A204" s="1">
        <v>43378</v>
      </c>
      <c r="B204">
        <v>2019</v>
      </c>
      <c r="C204" t="s">
        <v>221</v>
      </c>
      <c r="D204" t="s">
        <v>182</v>
      </c>
      <c r="F204" t="s">
        <v>222</v>
      </c>
      <c r="G204" t="s">
        <v>6</v>
      </c>
      <c r="H204" s="7">
        <f>I204*J204</f>
        <v>2599096.6666666665</v>
      </c>
      <c r="I204" s="7">
        <v>7797290</v>
      </c>
      <c r="J204" s="9">
        <f>$J$203/3</f>
        <v>0.33333333333333331</v>
      </c>
      <c r="K204" s="9" t="s">
        <v>183</v>
      </c>
      <c r="L204" s="7">
        <v>5263171</v>
      </c>
      <c r="M204" s="7">
        <f>L204*J204</f>
        <v>1754390.3333333333</v>
      </c>
    </row>
    <row r="205" spans="1:13" x14ac:dyDescent="0.25">
      <c r="A205" s="1">
        <v>43378</v>
      </c>
      <c r="B205">
        <v>2019</v>
      </c>
      <c r="C205" t="s">
        <v>221</v>
      </c>
      <c r="D205" t="s">
        <v>182</v>
      </c>
      <c r="F205" t="s">
        <v>222</v>
      </c>
      <c r="G205" t="s">
        <v>8</v>
      </c>
      <c r="H205" s="7">
        <f>I205*J205</f>
        <v>2599096.6666666665</v>
      </c>
      <c r="I205" s="7">
        <v>7797290</v>
      </c>
      <c r="J205" s="9">
        <f>$J$203/3</f>
        <v>0.33333333333333331</v>
      </c>
      <c r="K205" s="9" t="s">
        <v>183</v>
      </c>
      <c r="L205" s="7">
        <v>5263171</v>
      </c>
      <c r="M205" s="7">
        <f>L205*J205</f>
        <v>1754390.3333333333</v>
      </c>
    </row>
    <row r="206" spans="1:13" x14ac:dyDescent="0.25">
      <c r="A206" s="1">
        <v>43378</v>
      </c>
      <c r="B206">
        <v>2019</v>
      </c>
      <c r="C206" t="s">
        <v>221</v>
      </c>
      <c r="D206" t="s">
        <v>182</v>
      </c>
      <c r="F206" t="s">
        <v>222</v>
      </c>
      <c r="G206" t="s">
        <v>31</v>
      </c>
      <c r="H206" s="7">
        <f>I206*J206</f>
        <v>2599096.6666666665</v>
      </c>
      <c r="I206" s="7">
        <v>7797290</v>
      </c>
      <c r="J206" s="9">
        <f>$J$203/3</f>
        <v>0.33333333333333331</v>
      </c>
      <c r="K206" s="9" t="s">
        <v>183</v>
      </c>
      <c r="L206" s="7">
        <v>5263171</v>
      </c>
      <c r="M206" s="7">
        <f>L206*J206</f>
        <v>1754390.3333333333</v>
      </c>
    </row>
    <row r="207" spans="1:13" x14ac:dyDescent="0.25">
      <c r="A207" s="1">
        <v>43423</v>
      </c>
      <c r="B207">
        <v>2019</v>
      </c>
      <c r="C207" t="s">
        <v>223</v>
      </c>
      <c r="D207" t="s">
        <v>182</v>
      </c>
      <c r="E207" t="s">
        <v>199</v>
      </c>
      <c r="F207" t="s">
        <v>417</v>
      </c>
      <c r="I207" s="7">
        <v>101630490.8</v>
      </c>
      <c r="J207" s="9">
        <v>1</v>
      </c>
      <c r="K207" s="9" t="s">
        <v>184</v>
      </c>
      <c r="L207" s="7">
        <v>53966916.049999997</v>
      </c>
    </row>
    <row r="208" spans="1:13" x14ac:dyDescent="0.25">
      <c r="A208" s="1">
        <v>43423</v>
      </c>
      <c r="B208">
        <v>2019</v>
      </c>
      <c r="C208" t="s">
        <v>223</v>
      </c>
      <c r="D208" t="s">
        <v>182</v>
      </c>
      <c r="E208" t="s">
        <v>199</v>
      </c>
      <c r="F208" t="s">
        <v>417</v>
      </c>
      <c r="G208" t="s">
        <v>6</v>
      </c>
      <c r="H208" s="7">
        <v>25870000</v>
      </c>
      <c r="I208" s="7">
        <v>101630490.8</v>
      </c>
      <c r="J208" s="9">
        <f>ROUND(H208/I208, 2)</f>
        <v>0.25</v>
      </c>
      <c r="K208" s="9" t="s">
        <v>184</v>
      </c>
      <c r="L208" s="7">
        <v>53966916.049999997</v>
      </c>
      <c r="M208" s="8">
        <f>J208*L208</f>
        <v>13491729.012499999</v>
      </c>
    </row>
    <row r="209" spans="1:13" x14ac:dyDescent="0.25">
      <c r="A209" s="1">
        <v>43423</v>
      </c>
      <c r="B209">
        <v>2019</v>
      </c>
      <c r="C209" t="s">
        <v>223</v>
      </c>
      <c r="D209" t="s">
        <v>182</v>
      </c>
      <c r="E209" t="s">
        <v>199</v>
      </c>
      <c r="F209" t="s">
        <v>417</v>
      </c>
      <c r="G209" t="s">
        <v>8</v>
      </c>
      <c r="H209" s="7">
        <v>34152962.5</v>
      </c>
      <c r="I209" s="7">
        <v>101630490.8</v>
      </c>
      <c r="J209" s="9">
        <f>ROUND(H209/I209, 2)</f>
        <v>0.34</v>
      </c>
      <c r="K209" s="9" t="s">
        <v>184</v>
      </c>
      <c r="L209" s="7">
        <v>53966916.049999997</v>
      </c>
      <c r="M209" s="8">
        <f>J209*L209</f>
        <v>18348751.456999999</v>
      </c>
    </row>
    <row r="210" spans="1:13" x14ac:dyDescent="0.25">
      <c r="A210" s="1">
        <v>43423</v>
      </c>
      <c r="B210">
        <v>2019</v>
      </c>
      <c r="C210" t="s">
        <v>223</v>
      </c>
      <c r="D210" t="s">
        <v>182</v>
      </c>
      <c r="E210" t="s">
        <v>199</v>
      </c>
      <c r="F210" t="s">
        <v>417</v>
      </c>
      <c r="G210" t="s">
        <v>415</v>
      </c>
      <c r="H210" s="7">
        <v>41656278.219999999</v>
      </c>
      <c r="I210" s="7">
        <v>101630490.8</v>
      </c>
      <c r="J210" s="9">
        <f>ROUND(H210/I210, 2)</f>
        <v>0.41</v>
      </c>
      <c r="K210" s="9" t="s">
        <v>184</v>
      </c>
      <c r="L210" s="7">
        <v>53966916.049999997</v>
      </c>
      <c r="M210" s="8">
        <f>J210*L210</f>
        <v>22126435.580499999</v>
      </c>
    </row>
    <row r="211" spans="1:13" x14ac:dyDescent="0.25">
      <c r="A211" s="1">
        <v>43431</v>
      </c>
      <c r="B211">
        <v>2019</v>
      </c>
      <c r="C211" t="s">
        <v>224</v>
      </c>
      <c r="D211" t="s">
        <v>181</v>
      </c>
      <c r="E211" t="s">
        <v>225</v>
      </c>
      <c r="F211" t="s">
        <v>399</v>
      </c>
      <c r="G211" t="s">
        <v>399</v>
      </c>
      <c r="H211" s="7">
        <v>125010</v>
      </c>
      <c r="I211" s="7">
        <v>125010</v>
      </c>
      <c r="J211" s="9">
        <v>1</v>
      </c>
      <c r="L211" s="7">
        <v>87507</v>
      </c>
      <c r="M211" s="7">
        <v>87507</v>
      </c>
    </row>
    <row r="212" spans="1:13" x14ac:dyDescent="0.25">
      <c r="A212" s="1">
        <v>43446</v>
      </c>
      <c r="B212">
        <v>2019</v>
      </c>
      <c r="C212" t="s">
        <v>226</v>
      </c>
      <c r="D212" t="s">
        <v>181</v>
      </c>
      <c r="E212" t="s">
        <v>227</v>
      </c>
      <c r="F212" t="s">
        <v>8</v>
      </c>
      <c r="G212" t="s">
        <v>8</v>
      </c>
      <c r="H212" s="7">
        <v>3083302</v>
      </c>
      <c r="I212" s="7">
        <v>3083302</v>
      </c>
      <c r="J212" s="9">
        <v>1</v>
      </c>
      <c r="L212" s="7">
        <v>2774972</v>
      </c>
      <c r="M212" s="7">
        <v>2774972</v>
      </c>
    </row>
    <row r="213" spans="1:13" x14ac:dyDescent="0.25">
      <c r="A213" s="1">
        <v>43454</v>
      </c>
      <c r="B213">
        <v>2019</v>
      </c>
      <c r="C213" t="s">
        <v>228</v>
      </c>
      <c r="D213" t="s">
        <v>181</v>
      </c>
      <c r="E213" t="s">
        <v>229</v>
      </c>
      <c r="F213" t="s">
        <v>230</v>
      </c>
      <c r="G213" t="s">
        <v>230</v>
      </c>
      <c r="H213" s="7">
        <v>11957081</v>
      </c>
      <c r="I213" s="7">
        <v>11957081</v>
      </c>
      <c r="J213" s="9">
        <v>1</v>
      </c>
      <c r="L213" s="7">
        <v>7772102</v>
      </c>
      <c r="M213" s="7">
        <v>7772102</v>
      </c>
    </row>
    <row r="214" spans="1:13" x14ac:dyDescent="0.25">
      <c r="A214" s="1">
        <v>43496</v>
      </c>
      <c r="B214">
        <v>2019</v>
      </c>
      <c r="C214" t="s">
        <v>231</v>
      </c>
      <c r="D214" t="s">
        <v>181</v>
      </c>
      <c r="E214" t="s">
        <v>232</v>
      </c>
      <c r="F214" t="s">
        <v>46</v>
      </c>
      <c r="G214" t="s">
        <v>46</v>
      </c>
      <c r="H214" s="7">
        <v>2213510</v>
      </c>
      <c r="I214" s="7">
        <v>2213510</v>
      </c>
      <c r="J214" s="9">
        <v>1</v>
      </c>
      <c r="L214" s="7">
        <v>996080</v>
      </c>
      <c r="M214" s="7">
        <v>996080</v>
      </c>
    </row>
    <row r="215" spans="1:13" x14ac:dyDescent="0.25">
      <c r="A215" s="1">
        <v>43503</v>
      </c>
      <c r="B215">
        <v>2019</v>
      </c>
      <c r="C215" t="s">
        <v>233</v>
      </c>
      <c r="D215" t="s">
        <v>181</v>
      </c>
      <c r="E215" t="s">
        <v>234</v>
      </c>
      <c r="F215" t="s">
        <v>8</v>
      </c>
      <c r="G215" t="s">
        <v>8</v>
      </c>
      <c r="H215" s="7">
        <v>7434</v>
      </c>
      <c r="I215" s="7">
        <v>7434</v>
      </c>
      <c r="J215" s="9">
        <v>1</v>
      </c>
      <c r="L215" s="7">
        <v>13381</v>
      </c>
      <c r="M215" s="7">
        <v>13381</v>
      </c>
    </row>
    <row r="216" spans="1:13" x14ac:dyDescent="0.25">
      <c r="A216" s="1">
        <v>43510</v>
      </c>
      <c r="B216">
        <v>2019</v>
      </c>
      <c r="C216" t="s">
        <v>235</v>
      </c>
      <c r="D216" t="s">
        <v>181</v>
      </c>
      <c r="E216" t="s">
        <v>236</v>
      </c>
      <c r="F216" t="s">
        <v>6</v>
      </c>
      <c r="G216" t="s">
        <v>6</v>
      </c>
      <c r="H216" s="7">
        <v>10022844</v>
      </c>
      <c r="I216" s="7">
        <v>10022844</v>
      </c>
      <c r="J216" s="9">
        <v>1</v>
      </c>
    </row>
    <row r="217" spans="1:13" x14ac:dyDescent="0.25">
      <c r="A217" s="1">
        <v>43517</v>
      </c>
      <c r="B217">
        <v>2019</v>
      </c>
      <c r="C217" t="s">
        <v>237</v>
      </c>
      <c r="D217" t="s">
        <v>181</v>
      </c>
      <c r="E217" t="s">
        <v>225</v>
      </c>
      <c r="F217" t="s">
        <v>8</v>
      </c>
      <c r="G217" t="s">
        <v>8</v>
      </c>
      <c r="H217" s="7">
        <v>625000</v>
      </c>
      <c r="I217" s="7">
        <v>625000</v>
      </c>
      <c r="J217" s="9">
        <v>1</v>
      </c>
      <c r="L217" s="7">
        <v>506250</v>
      </c>
      <c r="M217" s="7">
        <v>506250</v>
      </c>
    </row>
    <row r="218" spans="1:13" x14ac:dyDescent="0.25">
      <c r="A218" s="1">
        <v>43551</v>
      </c>
      <c r="B218">
        <v>2019</v>
      </c>
      <c r="C218" t="s">
        <v>238</v>
      </c>
      <c r="D218" t="s">
        <v>181</v>
      </c>
      <c r="E218" t="s">
        <v>57</v>
      </c>
      <c r="F218" t="s">
        <v>8</v>
      </c>
      <c r="G218" t="s">
        <v>8</v>
      </c>
      <c r="H218" s="7">
        <v>3461378</v>
      </c>
      <c r="I218" s="7">
        <v>3461378</v>
      </c>
      <c r="J218" s="9">
        <v>1</v>
      </c>
      <c r="L218" s="7">
        <v>1869144</v>
      </c>
      <c r="M218" s="7">
        <v>1869144</v>
      </c>
    </row>
    <row r="219" spans="1:13" x14ac:dyDescent="0.25">
      <c r="A219" s="1">
        <v>43564</v>
      </c>
      <c r="B219">
        <v>2019</v>
      </c>
      <c r="C219" t="s">
        <v>132</v>
      </c>
      <c r="D219" t="s">
        <v>182</v>
      </c>
      <c r="E219" t="s">
        <v>215</v>
      </c>
      <c r="F219" t="s">
        <v>429</v>
      </c>
      <c r="I219" s="7">
        <v>2715100479</v>
      </c>
      <c r="J219" s="9">
        <v>1</v>
      </c>
      <c r="K219" t="s">
        <v>185</v>
      </c>
      <c r="L219" s="7">
        <v>639023750</v>
      </c>
    </row>
    <row r="220" spans="1:13" x14ac:dyDescent="0.25">
      <c r="A220" s="1">
        <v>43564</v>
      </c>
      <c r="B220">
        <v>2019</v>
      </c>
      <c r="C220" t="s">
        <v>132</v>
      </c>
      <c r="D220" t="s">
        <v>182</v>
      </c>
      <c r="E220" t="s">
        <v>215</v>
      </c>
      <c r="F220" t="s">
        <v>429</v>
      </c>
      <c r="G220" t="s">
        <v>7</v>
      </c>
      <c r="H220" s="7">
        <f>I220*J220</f>
        <v>0</v>
      </c>
      <c r="I220" s="7">
        <v>2715100479</v>
      </c>
      <c r="J220" s="9">
        <f>J219-SUM(J221:J224)</f>
        <v>0</v>
      </c>
      <c r="K220" t="s">
        <v>185</v>
      </c>
      <c r="L220" s="7">
        <v>639023750</v>
      </c>
      <c r="M220" s="7">
        <f t="shared" ref="M220:M235" si="8">L220*J220</f>
        <v>0</v>
      </c>
    </row>
    <row r="221" spans="1:13" x14ac:dyDescent="0.25">
      <c r="A221" s="1">
        <v>43564</v>
      </c>
      <c r="B221">
        <v>2019</v>
      </c>
      <c r="C221" t="s">
        <v>132</v>
      </c>
      <c r="D221" t="s">
        <v>182</v>
      </c>
      <c r="E221" t="s">
        <v>215</v>
      </c>
      <c r="F221" t="s">
        <v>429</v>
      </c>
      <c r="G221" t="s">
        <v>6</v>
      </c>
      <c r="H221" s="7">
        <f>I221*J221</f>
        <v>21720803.832000002</v>
      </c>
      <c r="I221" s="7">
        <v>2715100479</v>
      </c>
      <c r="J221" s="9">
        <v>8.0000000000000002E-3</v>
      </c>
      <c r="K221" t="s">
        <v>185</v>
      </c>
      <c r="L221" s="7">
        <v>639023750</v>
      </c>
      <c r="M221" s="7">
        <f t="shared" si="8"/>
        <v>5112190</v>
      </c>
    </row>
    <row r="222" spans="1:13" x14ac:dyDescent="0.25">
      <c r="A222" s="1">
        <v>43564</v>
      </c>
      <c r="B222">
        <v>2019</v>
      </c>
      <c r="C222" t="s">
        <v>132</v>
      </c>
      <c r="D222" t="s">
        <v>182</v>
      </c>
      <c r="E222" t="s">
        <v>215</v>
      </c>
      <c r="F222" t="s">
        <v>429</v>
      </c>
      <c r="G222" t="s">
        <v>8</v>
      </c>
      <c r="H222" s="7">
        <f>I222*J222</f>
        <v>2579345455.0499997</v>
      </c>
      <c r="I222" s="7">
        <v>2715100479</v>
      </c>
      <c r="J222" s="9">
        <v>0.95</v>
      </c>
      <c r="K222" t="s">
        <v>185</v>
      </c>
      <c r="L222" s="7">
        <v>639023750</v>
      </c>
      <c r="M222" s="7">
        <f t="shared" si="8"/>
        <v>607072562.5</v>
      </c>
    </row>
    <row r="223" spans="1:13" x14ac:dyDescent="0.25">
      <c r="A223" s="1">
        <v>43564</v>
      </c>
      <c r="B223">
        <v>2019</v>
      </c>
      <c r="C223" t="s">
        <v>132</v>
      </c>
      <c r="D223" t="s">
        <v>182</v>
      </c>
      <c r="E223" t="s">
        <v>215</v>
      </c>
      <c r="F223" t="s">
        <v>429</v>
      </c>
      <c r="G223" t="s">
        <v>415</v>
      </c>
      <c r="H223" s="7">
        <f>I223*J223</f>
        <v>54302009.579999998</v>
      </c>
      <c r="I223" s="7">
        <v>2715100479</v>
      </c>
      <c r="J223" s="9">
        <v>0.02</v>
      </c>
      <c r="K223" t="s">
        <v>185</v>
      </c>
      <c r="L223" s="7">
        <v>639023750</v>
      </c>
      <c r="M223" s="7">
        <f t="shared" si="8"/>
        <v>12780475</v>
      </c>
    </row>
    <row r="224" spans="1:13" x14ac:dyDescent="0.25">
      <c r="A224" s="1">
        <v>43564</v>
      </c>
      <c r="B224">
        <v>2019</v>
      </c>
      <c r="C224" t="s">
        <v>132</v>
      </c>
      <c r="D224" t="s">
        <v>182</v>
      </c>
      <c r="E224" t="s">
        <v>215</v>
      </c>
      <c r="F224" t="s">
        <v>429</v>
      </c>
      <c r="G224" t="s">
        <v>81</v>
      </c>
      <c r="H224" s="7">
        <f>I224*J224</f>
        <v>59732210.537999995</v>
      </c>
      <c r="I224" s="7">
        <v>2715100479</v>
      </c>
      <c r="J224" s="9">
        <v>2.1999999999999999E-2</v>
      </c>
      <c r="K224" t="s">
        <v>185</v>
      </c>
      <c r="L224" s="7">
        <v>639023750</v>
      </c>
      <c r="M224" s="7">
        <f t="shared" si="8"/>
        <v>14058522.5</v>
      </c>
    </row>
    <row r="225" spans="1:13" x14ac:dyDescent="0.25">
      <c r="A225" s="1">
        <v>43564</v>
      </c>
      <c r="B225">
        <v>2019</v>
      </c>
      <c r="C225" t="s">
        <v>132</v>
      </c>
      <c r="D225" t="s">
        <v>182</v>
      </c>
      <c r="E225" t="s">
        <v>215</v>
      </c>
      <c r="F225" t="s">
        <v>178</v>
      </c>
      <c r="G225" t="s">
        <v>178</v>
      </c>
      <c r="H225" s="7">
        <v>26690789</v>
      </c>
      <c r="I225" s="7">
        <v>26690789</v>
      </c>
      <c r="J225" s="9">
        <v>1</v>
      </c>
      <c r="L225" s="7">
        <v>18016283</v>
      </c>
      <c r="M225" s="7">
        <f t="shared" si="8"/>
        <v>18016283</v>
      </c>
    </row>
    <row r="226" spans="1:13" x14ac:dyDescent="0.25">
      <c r="A226" s="1">
        <v>43566</v>
      </c>
      <c r="B226">
        <v>2019</v>
      </c>
      <c r="C226" t="s">
        <v>239</v>
      </c>
      <c r="D226" t="s">
        <v>181</v>
      </c>
      <c r="E226" t="s">
        <v>219</v>
      </c>
      <c r="F226" t="s">
        <v>6</v>
      </c>
      <c r="G226" t="s">
        <v>6</v>
      </c>
      <c r="H226" s="7">
        <v>227500</v>
      </c>
      <c r="I226" s="7">
        <v>227500</v>
      </c>
      <c r="J226" s="9">
        <v>1</v>
      </c>
      <c r="L226" s="7">
        <v>227500</v>
      </c>
      <c r="M226" s="7">
        <f t="shared" si="8"/>
        <v>227500</v>
      </c>
    </row>
    <row r="227" spans="1:13" x14ac:dyDescent="0.25">
      <c r="A227" s="1">
        <v>43570</v>
      </c>
      <c r="B227">
        <v>2019</v>
      </c>
      <c r="C227" t="s">
        <v>240</v>
      </c>
      <c r="D227" t="s">
        <v>182</v>
      </c>
      <c r="E227" t="s">
        <v>64</v>
      </c>
      <c r="F227" t="s">
        <v>430</v>
      </c>
      <c r="I227" s="7">
        <v>527467001</v>
      </c>
      <c r="J227" s="9">
        <v>1</v>
      </c>
      <c r="K227" t="s">
        <v>185</v>
      </c>
      <c r="L227" s="7">
        <v>553380759</v>
      </c>
      <c r="M227" s="7">
        <f t="shared" si="8"/>
        <v>553380759</v>
      </c>
    </row>
    <row r="228" spans="1:13" ht="15" customHeight="1" x14ac:dyDescent="0.25">
      <c r="A228" s="1">
        <v>43570</v>
      </c>
      <c r="B228">
        <v>2019</v>
      </c>
      <c r="C228" t="s">
        <v>240</v>
      </c>
      <c r="D228" t="s">
        <v>182</v>
      </c>
      <c r="E228" t="s">
        <v>64</v>
      </c>
      <c r="F228" t="s">
        <v>430</v>
      </c>
      <c r="G228" t="s">
        <v>31</v>
      </c>
      <c r="H228" s="7">
        <v>287807794</v>
      </c>
      <c r="I228" s="7">
        <v>527467001</v>
      </c>
      <c r="J228" s="9">
        <f>ROUND(H228/I228, 4)</f>
        <v>0.54559999999999997</v>
      </c>
      <c r="K228" t="s">
        <v>185</v>
      </c>
      <c r="L228" s="7">
        <v>553380759</v>
      </c>
      <c r="M228" s="7">
        <f t="shared" si="8"/>
        <v>301924542.11039996</v>
      </c>
    </row>
    <row r="229" spans="1:13" ht="15.75" customHeight="1" x14ac:dyDescent="0.25">
      <c r="A229" s="1">
        <v>43570</v>
      </c>
      <c r="B229">
        <v>2019</v>
      </c>
      <c r="C229" t="s">
        <v>240</v>
      </c>
      <c r="D229" t="s">
        <v>182</v>
      </c>
      <c r="E229" t="s">
        <v>64</v>
      </c>
      <c r="F229" t="s">
        <v>430</v>
      </c>
      <c r="G229" t="s">
        <v>6</v>
      </c>
      <c r="H229" s="7">
        <v>8696382</v>
      </c>
      <c r="I229" s="7">
        <v>527467001</v>
      </c>
      <c r="J229" s="9">
        <f t="shared" ref="J229:J241" si="9">ROUND(H229/I229, 4)</f>
        <v>1.6500000000000001E-2</v>
      </c>
      <c r="K229" t="s">
        <v>185</v>
      </c>
      <c r="L229" s="7">
        <v>553380759</v>
      </c>
      <c r="M229" s="7">
        <f t="shared" si="8"/>
        <v>9130782.5235000011</v>
      </c>
    </row>
    <row r="230" spans="1:13" ht="17.25" customHeight="1" x14ac:dyDescent="0.25">
      <c r="A230" s="1">
        <v>43570</v>
      </c>
      <c r="B230">
        <v>2019</v>
      </c>
      <c r="C230" t="s">
        <v>240</v>
      </c>
      <c r="D230" t="s">
        <v>182</v>
      </c>
      <c r="E230" t="s">
        <v>64</v>
      </c>
      <c r="F230" t="s">
        <v>430</v>
      </c>
      <c r="G230" t="s">
        <v>7</v>
      </c>
      <c r="H230" s="7">
        <v>208191</v>
      </c>
      <c r="I230" s="7">
        <v>527467001</v>
      </c>
      <c r="J230" s="9">
        <f t="shared" si="9"/>
        <v>4.0000000000000002E-4</v>
      </c>
      <c r="K230" t="s">
        <v>185</v>
      </c>
      <c r="L230" s="7">
        <v>553380759</v>
      </c>
      <c r="M230" s="7">
        <f t="shared" si="8"/>
        <v>221352.30360000001</v>
      </c>
    </row>
    <row r="231" spans="1:13" ht="15.75" customHeight="1" x14ac:dyDescent="0.25">
      <c r="A231" s="1">
        <v>43570</v>
      </c>
      <c r="B231">
        <v>2019</v>
      </c>
      <c r="C231" t="s">
        <v>240</v>
      </c>
      <c r="D231" t="s">
        <v>182</v>
      </c>
      <c r="E231" t="s">
        <v>64</v>
      </c>
      <c r="F231" t="s">
        <v>430</v>
      </c>
      <c r="G231" t="s">
        <v>415</v>
      </c>
      <c r="H231" s="7">
        <v>8658759</v>
      </c>
      <c r="I231" s="7">
        <v>527467001</v>
      </c>
      <c r="J231" s="9">
        <f t="shared" si="9"/>
        <v>1.6400000000000001E-2</v>
      </c>
      <c r="K231" t="s">
        <v>185</v>
      </c>
      <c r="L231" s="7">
        <v>553380759</v>
      </c>
      <c r="M231" s="7">
        <f t="shared" si="8"/>
        <v>9075444.4476000015</v>
      </c>
    </row>
    <row r="232" spans="1:13" ht="15.75" customHeight="1" x14ac:dyDescent="0.25">
      <c r="A232" s="1">
        <v>43570</v>
      </c>
      <c r="B232">
        <v>2019</v>
      </c>
      <c r="C232" t="s">
        <v>240</v>
      </c>
      <c r="D232" t="s">
        <v>182</v>
      </c>
      <c r="E232" t="s">
        <v>64</v>
      </c>
      <c r="F232" t="s">
        <v>430</v>
      </c>
      <c r="G232" t="s">
        <v>81</v>
      </c>
      <c r="H232" s="7">
        <v>50000</v>
      </c>
      <c r="I232" s="7">
        <v>527467001</v>
      </c>
      <c r="J232" s="9">
        <f t="shared" si="9"/>
        <v>1E-4</v>
      </c>
      <c r="K232" t="s">
        <v>185</v>
      </c>
      <c r="L232" s="7">
        <v>553380759</v>
      </c>
      <c r="M232" s="7">
        <f t="shared" si="8"/>
        <v>55338.075900000003</v>
      </c>
    </row>
    <row r="233" spans="1:13" ht="17.25" customHeight="1" x14ac:dyDescent="0.25">
      <c r="A233" s="1">
        <v>43570</v>
      </c>
      <c r="B233">
        <v>2019</v>
      </c>
      <c r="C233" t="s">
        <v>240</v>
      </c>
      <c r="D233" t="s">
        <v>182</v>
      </c>
      <c r="E233" t="s">
        <v>64</v>
      </c>
      <c r="F233" t="s">
        <v>430</v>
      </c>
      <c r="G233" t="s">
        <v>8</v>
      </c>
      <c r="H233" s="7">
        <v>215569168</v>
      </c>
      <c r="I233" s="7">
        <v>527467001</v>
      </c>
      <c r="J233" s="9">
        <f t="shared" si="9"/>
        <v>0.40870000000000001</v>
      </c>
      <c r="K233" t="s">
        <v>185</v>
      </c>
      <c r="L233" s="7">
        <v>553380759</v>
      </c>
      <c r="M233" s="7">
        <f t="shared" si="8"/>
        <v>226166716.2033</v>
      </c>
    </row>
    <row r="234" spans="1:13" ht="16.5" customHeight="1" x14ac:dyDescent="0.25">
      <c r="A234" s="1">
        <v>43570</v>
      </c>
      <c r="B234">
        <v>2019</v>
      </c>
      <c r="C234" t="s">
        <v>240</v>
      </c>
      <c r="D234" t="s">
        <v>182</v>
      </c>
      <c r="E234" t="s">
        <v>64</v>
      </c>
      <c r="F234" t="s">
        <v>430</v>
      </c>
      <c r="G234" t="s">
        <v>131</v>
      </c>
      <c r="H234" s="7">
        <v>5918060</v>
      </c>
      <c r="I234" s="7">
        <v>527467001</v>
      </c>
      <c r="J234" s="9">
        <f t="shared" si="9"/>
        <v>1.12E-2</v>
      </c>
      <c r="K234" t="s">
        <v>185</v>
      </c>
      <c r="L234" s="7">
        <v>553380759</v>
      </c>
      <c r="M234" s="7">
        <f t="shared" si="8"/>
        <v>6197864.5007999996</v>
      </c>
    </row>
    <row r="235" spans="1:13" ht="15" customHeight="1" x14ac:dyDescent="0.25">
      <c r="A235" s="1">
        <v>43570</v>
      </c>
      <c r="B235">
        <v>2019</v>
      </c>
      <c r="C235" t="s">
        <v>240</v>
      </c>
      <c r="D235" t="s">
        <v>182</v>
      </c>
      <c r="E235" t="s">
        <v>64</v>
      </c>
      <c r="F235" t="s">
        <v>430</v>
      </c>
      <c r="G235" t="s">
        <v>189</v>
      </c>
      <c r="H235" s="7">
        <v>558648</v>
      </c>
      <c r="I235" s="7">
        <v>527467001</v>
      </c>
      <c r="J235" s="9">
        <f t="shared" si="9"/>
        <v>1.1000000000000001E-3</v>
      </c>
      <c r="K235" t="s">
        <v>185</v>
      </c>
      <c r="L235" s="7">
        <v>553380759</v>
      </c>
      <c r="M235" s="7">
        <f t="shared" si="8"/>
        <v>608718.83490000002</v>
      </c>
    </row>
    <row r="236" spans="1:13" ht="17.25" customHeight="1" x14ac:dyDescent="0.25">
      <c r="A236" s="1">
        <v>43570</v>
      </c>
      <c r="B236">
        <v>2019</v>
      </c>
      <c r="C236" t="s">
        <v>241</v>
      </c>
      <c r="D236" t="s">
        <v>182</v>
      </c>
      <c r="E236" t="s">
        <v>199</v>
      </c>
      <c r="F236" t="s">
        <v>431</v>
      </c>
      <c r="I236" s="7">
        <f>SUM(H237:H241)</f>
        <v>75265419.000000015</v>
      </c>
      <c r="J236" s="9">
        <v>1</v>
      </c>
      <c r="K236" t="s">
        <v>185</v>
      </c>
      <c r="L236" s="7">
        <v>20326340</v>
      </c>
    </row>
    <row r="237" spans="1:13" x14ac:dyDescent="0.25">
      <c r="A237" s="1">
        <v>43570</v>
      </c>
      <c r="B237">
        <v>2019</v>
      </c>
      <c r="C237" t="s">
        <v>241</v>
      </c>
      <c r="D237" t="s">
        <v>182</v>
      </c>
      <c r="E237" t="s">
        <v>199</v>
      </c>
      <c r="F237" t="s">
        <v>431</v>
      </c>
      <c r="G237" t="s">
        <v>8</v>
      </c>
      <c r="H237" s="7">
        <v>70670224.5</v>
      </c>
      <c r="I237" s="7">
        <f>I236</f>
        <v>75265419.000000015</v>
      </c>
      <c r="J237" s="9">
        <f t="shared" si="9"/>
        <v>0.93889999999999996</v>
      </c>
      <c r="K237" t="s">
        <v>185</v>
      </c>
      <c r="L237" s="7">
        <v>20326340</v>
      </c>
      <c r="M237" s="7">
        <f>L237*J237</f>
        <v>19084400.625999998</v>
      </c>
    </row>
    <row r="238" spans="1:13" x14ac:dyDescent="0.25">
      <c r="A238" s="1">
        <v>43570</v>
      </c>
      <c r="B238">
        <v>2019</v>
      </c>
      <c r="C238" t="s">
        <v>241</v>
      </c>
      <c r="D238" t="s">
        <v>182</v>
      </c>
      <c r="E238" t="s">
        <v>199</v>
      </c>
      <c r="F238" t="s">
        <v>431</v>
      </c>
      <c r="G238" t="s">
        <v>415</v>
      </c>
      <c r="H238" s="7">
        <v>1651712.28</v>
      </c>
      <c r="I238" s="7">
        <f>I237</f>
        <v>75265419.000000015</v>
      </c>
      <c r="J238" s="9">
        <f t="shared" si="9"/>
        <v>2.1899999999999999E-2</v>
      </c>
      <c r="K238" t="s">
        <v>185</v>
      </c>
      <c r="L238" s="7">
        <v>20326340</v>
      </c>
      <c r="M238" s="7">
        <f>L238*J238</f>
        <v>445146.84599999996</v>
      </c>
    </row>
    <row r="239" spans="1:13" x14ac:dyDescent="0.25">
      <c r="A239" s="1">
        <v>43570</v>
      </c>
      <c r="B239">
        <v>2019</v>
      </c>
      <c r="C239" t="s">
        <v>241</v>
      </c>
      <c r="D239" t="s">
        <v>182</v>
      </c>
      <c r="E239" t="s">
        <v>199</v>
      </c>
      <c r="F239" t="s">
        <v>431</v>
      </c>
      <c r="G239" t="s">
        <v>7</v>
      </c>
      <c r="H239" s="7">
        <v>34215.54</v>
      </c>
      <c r="I239" s="7">
        <f>I238</f>
        <v>75265419.000000015</v>
      </c>
      <c r="J239" s="9">
        <f t="shared" si="9"/>
        <v>5.0000000000000001E-4</v>
      </c>
      <c r="K239" t="s">
        <v>185</v>
      </c>
      <c r="L239" s="7">
        <v>20326340</v>
      </c>
      <c r="M239" s="7">
        <f>L239*J239</f>
        <v>10163.17</v>
      </c>
    </row>
    <row r="240" spans="1:13" x14ac:dyDescent="0.25">
      <c r="A240" s="1">
        <v>43570</v>
      </c>
      <c r="B240">
        <v>2019</v>
      </c>
      <c r="C240" t="s">
        <v>241</v>
      </c>
      <c r="D240" t="s">
        <v>182</v>
      </c>
      <c r="E240" t="s">
        <v>199</v>
      </c>
      <c r="F240" t="s">
        <v>431</v>
      </c>
      <c r="G240" t="s">
        <v>81</v>
      </c>
      <c r="H240" s="7">
        <v>2766718.64</v>
      </c>
      <c r="I240" s="7">
        <f>I239</f>
        <v>75265419.000000015</v>
      </c>
      <c r="J240" s="9">
        <f t="shared" si="9"/>
        <v>3.6799999999999999E-2</v>
      </c>
      <c r="K240" t="s">
        <v>185</v>
      </c>
      <c r="L240" s="7">
        <v>20326340</v>
      </c>
      <c r="M240" s="7">
        <f>L240*J240</f>
        <v>748009.31200000003</v>
      </c>
    </row>
    <row r="241" spans="1:13" x14ac:dyDescent="0.25">
      <c r="A241" s="1">
        <v>43570</v>
      </c>
      <c r="B241">
        <v>2019</v>
      </c>
      <c r="C241" t="s">
        <v>241</v>
      </c>
      <c r="D241" t="s">
        <v>182</v>
      </c>
      <c r="E241" t="s">
        <v>199</v>
      </c>
      <c r="F241" t="s">
        <v>431</v>
      </c>
      <c r="G241" t="s">
        <v>6</v>
      </c>
      <c r="H241" s="7">
        <v>142548.04</v>
      </c>
      <c r="I241" s="7">
        <f>I240</f>
        <v>75265419.000000015</v>
      </c>
      <c r="J241" s="9">
        <f t="shared" si="9"/>
        <v>1.9E-3</v>
      </c>
      <c r="K241" t="s">
        <v>185</v>
      </c>
      <c r="L241" s="7">
        <v>20326340</v>
      </c>
      <c r="M241" s="7">
        <f>L241*J241</f>
        <v>38620.046000000002</v>
      </c>
    </row>
    <row r="242" spans="1:13" x14ac:dyDescent="0.25">
      <c r="A242" s="1">
        <v>43570</v>
      </c>
      <c r="B242">
        <v>2019</v>
      </c>
      <c r="C242" t="s">
        <v>242</v>
      </c>
      <c r="D242" t="s">
        <v>182</v>
      </c>
      <c r="E242" t="s">
        <v>199</v>
      </c>
      <c r="F242" t="s">
        <v>432</v>
      </c>
      <c r="I242" s="7">
        <f>SUM(H243:H247)</f>
        <v>49917587.689999998</v>
      </c>
      <c r="J242" s="9">
        <v>1</v>
      </c>
      <c r="K242" t="s">
        <v>185</v>
      </c>
      <c r="L242" s="7">
        <v>37316322</v>
      </c>
    </row>
    <row r="243" spans="1:13" x14ac:dyDescent="0.25">
      <c r="A243" s="1">
        <v>43570</v>
      </c>
      <c r="B243">
        <v>2019</v>
      </c>
      <c r="C243" t="s">
        <v>242</v>
      </c>
      <c r="D243" t="s">
        <v>182</v>
      </c>
      <c r="E243" t="s">
        <v>199</v>
      </c>
      <c r="F243" t="s">
        <v>432</v>
      </c>
      <c r="G243" t="s">
        <v>6</v>
      </c>
      <c r="H243" s="7">
        <v>42156832.990000002</v>
      </c>
      <c r="I243" s="7">
        <f>I242</f>
        <v>49917587.689999998</v>
      </c>
      <c r="J243" s="9">
        <f>ROUND(H243/I243, 5)</f>
        <v>0.84453</v>
      </c>
      <c r="K243" t="s">
        <v>185</v>
      </c>
      <c r="L243" s="7">
        <v>37316322</v>
      </c>
      <c r="M243" s="7">
        <f>L243*J243</f>
        <v>31514753.41866</v>
      </c>
    </row>
    <row r="244" spans="1:13" x14ac:dyDescent="0.25">
      <c r="A244" s="1">
        <v>43570</v>
      </c>
      <c r="B244">
        <v>2019</v>
      </c>
      <c r="C244" t="s">
        <v>242</v>
      </c>
      <c r="D244" t="s">
        <v>182</v>
      </c>
      <c r="E244" t="s">
        <v>199</v>
      </c>
      <c r="F244" t="s">
        <v>432</v>
      </c>
      <c r="G244" t="s">
        <v>8</v>
      </c>
      <c r="H244" s="7">
        <v>5828986.1799999997</v>
      </c>
      <c r="I244" s="7">
        <f>I243</f>
        <v>49917587.689999998</v>
      </c>
      <c r="J244" s="9">
        <f>ROUND(H244/I244, 5)</f>
        <v>0.11677</v>
      </c>
      <c r="K244" t="s">
        <v>185</v>
      </c>
      <c r="L244" s="7">
        <v>37316322</v>
      </c>
      <c r="M244" s="7">
        <f>L244*J244</f>
        <v>4357426.9199400004</v>
      </c>
    </row>
    <row r="245" spans="1:13" x14ac:dyDescent="0.25">
      <c r="A245" s="1">
        <v>43570</v>
      </c>
      <c r="B245">
        <v>2019</v>
      </c>
      <c r="C245" t="s">
        <v>242</v>
      </c>
      <c r="D245" t="s">
        <v>182</v>
      </c>
      <c r="E245" t="s">
        <v>199</v>
      </c>
      <c r="F245" t="s">
        <v>432</v>
      </c>
      <c r="G245" t="s">
        <v>7</v>
      </c>
      <c r="H245" s="7">
        <v>1455348.01</v>
      </c>
      <c r="I245" s="7">
        <f>I244</f>
        <v>49917587.689999998</v>
      </c>
      <c r="J245" s="9">
        <f>ROUND(H245/I245, 5)</f>
        <v>2.9159999999999998E-2</v>
      </c>
      <c r="K245" t="s">
        <v>185</v>
      </c>
      <c r="L245" s="7">
        <v>37316322</v>
      </c>
      <c r="M245" s="7">
        <f>L245*J245</f>
        <v>1088143.94952</v>
      </c>
    </row>
    <row r="246" spans="1:13" x14ac:dyDescent="0.25">
      <c r="A246" s="1">
        <v>43570</v>
      </c>
      <c r="B246">
        <v>2019</v>
      </c>
      <c r="C246" t="s">
        <v>242</v>
      </c>
      <c r="D246" t="s">
        <v>182</v>
      </c>
      <c r="E246" t="s">
        <v>199</v>
      </c>
      <c r="F246" t="s">
        <v>432</v>
      </c>
      <c r="G246" t="s">
        <v>415</v>
      </c>
      <c r="H246" s="7">
        <v>362597.51</v>
      </c>
      <c r="I246" s="7">
        <f>I245</f>
        <v>49917587.689999998</v>
      </c>
      <c r="J246" s="9">
        <f>ROUND(H246/I246, 5)</f>
        <v>7.26E-3</v>
      </c>
      <c r="K246" t="s">
        <v>185</v>
      </c>
      <c r="L246" s="7">
        <v>37316322</v>
      </c>
      <c r="M246" s="7">
        <f>L246*J246</f>
        <v>270916.49771999998</v>
      </c>
    </row>
    <row r="247" spans="1:13" x14ac:dyDescent="0.25">
      <c r="A247" s="1">
        <v>43570</v>
      </c>
      <c r="B247">
        <v>2019</v>
      </c>
      <c r="C247" t="s">
        <v>242</v>
      </c>
      <c r="D247" t="s">
        <v>182</v>
      </c>
      <c r="E247" t="s">
        <v>199</v>
      </c>
      <c r="F247" t="s">
        <v>432</v>
      </c>
      <c r="G247" t="s">
        <v>81</v>
      </c>
      <c r="H247" s="7">
        <v>113823</v>
      </c>
      <c r="I247" s="7">
        <f>I246</f>
        <v>49917587.689999998</v>
      </c>
      <c r="J247" s="9">
        <f>ROUND(H247/I247, 5)</f>
        <v>2.2799999999999999E-3</v>
      </c>
      <c r="K247" t="s">
        <v>185</v>
      </c>
      <c r="L247" s="7">
        <v>37316322</v>
      </c>
      <c r="M247" s="7">
        <f>L247*J247</f>
        <v>85081.214160000003</v>
      </c>
    </row>
    <row r="248" spans="1:13" x14ac:dyDescent="0.25">
      <c r="A248" s="1">
        <v>43580</v>
      </c>
      <c r="B248">
        <v>2019</v>
      </c>
      <c r="C248" t="s">
        <v>243</v>
      </c>
      <c r="D248" t="s">
        <v>181</v>
      </c>
      <c r="E248" t="s">
        <v>244</v>
      </c>
      <c r="F248" t="s">
        <v>399</v>
      </c>
      <c r="G248" t="s">
        <v>399</v>
      </c>
      <c r="H248" s="7">
        <v>125000</v>
      </c>
      <c r="I248" s="7">
        <v>125000</v>
      </c>
      <c r="J248" s="9">
        <v>1</v>
      </c>
      <c r="K248" t="s">
        <v>185</v>
      </c>
      <c r="L248" s="7">
        <v>75375</v>
      </c>
      <c r="M248" s="7">
        <v>75375</v>
      </c>
    </row>
    <row r="249" spans="1:13" x14ac:dyDescent="0.25">
      <c r="A249" s="1">
        <v>43587</v>
      </c>
      <c r="B249">
        <v>2019</v>
      </c>
      <c r="C249" t="s">
        <v>245</v>
      </c>
      <c r="D249" t="s">
        <v>181</v>
      </c>
      <c r="E249">
        <v>2011</v>
      </c>
      <c r="F249" t="s">
        <v>20</v>
      </c>
      <c r="G249" t="s">
        <v>31</v>
      </c>
      <c r="H249" s="7">
        <v>1490320</v>
      </c>
      <c r="I249" s="7">
        <v>1490320</v>
      </c>
      <c r="J249" s="9">
        <v>1</v>
      </c>
      <c r="K249" t="s">
        <v>185</v>
      </c>
      <c r="L249" s="7">
        <v>871837</v>
      </c>
      <c r="M249" s="7">
        <v>871837</v>
      </c>
    </row>
    <row r="250" spans="1:13" x14ac:dyDescent="0.25">
      <c r="A250" s="1">
        <v>43623</v>
      </c>
      <c r="B250">
        <v>2019</v>
      </c>
      <c r="C250" t="s">
        <v>246</v>
      </c>
      <c r="D250" t="s">
        <v>182</v>
      </c>
      <c r="E250" t="s">
        <v>247</v>
      </c>
      <c r="F250" t="s">
        <v>189</v>
      </c>
      <c r="G250" t="s">
        <v>189</v>
      </c>
      <c r="H250" s="7">
        <v>637614</v>
      </c>
      <c r="I250" s="7">
        <v>637614</v>
      </c>
      <c r="J250" s="9">
        <v>1</v>
      </c>
      <c r="K250" t="s">
        <v>185</v>
      </c>
      <c r="L250" s="7">
        <v>401697</v>
      </c>
      <c r="M250" s="7">
        <v>401697</v>
      </c>
    </row>
    <row r="251" spans="1:13" x14ac:dyDescent="0.25">
      <c r="A251" s="1">
        <v>43629</v>
      </c>
      <c r="B251">
        <v>2019</v>
      </c>
      <c r="C251" t="s">
        <v>248</v>
      </c>
      <c r="D251" t="s">
        <v>181</v>
      </c>
      <c r="E251" t="s">
        <v>204</v>
      </c>
      <c r="F251" t="s">
        <v>6</v>
      </c>
      <c r="G251" t="s">
        <v>6</v>
      </c>
      <c r="H251" s="7">
        <v>353500</v>
      </c>
      <c r="I251" s="7">
        <v>353500</v>
      </c>
      <c r="J251" s="9">
        <v>1</v>
      </c>
      <c r="K251" t="s">
        <v>185</v>
      </c>
      <c r="L251" s="7">
        <v>222705</v>
      </c>
      <c r="M251" s="7">
        <v>222705</v>
      </c>
    </row>
    <row r="252" spans="1:13" x14ac:dyDescent="0.25">
      <c r="A252" s="1">
        <v>43629</v>
      </c>
      <c r="B252">
        <v>2019</v>
      </c>
      <c r="C252" t="s">
        <v>249</v>
      </c>
      <c r="D252" t="s">
        <v>181</v>
      </c>
      <c r="E252" t="s">
        <v>204</v>
      </c>
      <c r="F252" t="s">
        <v>6</v>
      </c>
      <c r="G252" t="s">
        <v>6</v>
      </c>
      <c r="H252" s="7">
        <v>556250</v>
      </c>
      <c r="I252" s="7">
        <v>556250</v>
      </c>
      <c r="J252" s="9">
        <v>1</v>
      </c>
      <c r="K252" t="s">
        <v>185</v>
      </c>
      <c r="L252" s="7">
        <v>325406</v>
      </c>
      <c r="M252" s="7">
        <v>325406</v>
      </c>
    </row>
    <row r="253" spans="1:13" x14ac:dyDescent="0.25">
      <c r="A253" s="1">
        <v>43629</v>
      </c>
      <c r="B253">
        <v>2019</v>
      </c>
      <c r="C253" t="s">
        <v>250</v>
      </c>
      <c r="D253" t="s">
        <v>181</v>
      </c>
      <c r="E253" t="s">
        <v>204</v>
      </c>
      <c r="F253" t="s">
        <v>6</v>
      </c>
      <c r="G253" t="s">
        <v>6</v>
      </c>
      <c r="H253" s="7">
        <v>112000</v>
      </c>
      <c r="I253" s="7">
        <v>112000</v>
      </c>
      <c r="J253" s="9">
        <v>1</v>
      </c>
      <c r="K253" t="s">
        <v>185</v>
      </c>
      <c r="L253" s="7">
        <v>40320</v>
      </c>
      <c r="M253" s="7">
        <v>40320</v>
      </c>
    </row>
    <row r="254" spans="1:13" x14ac:dyDescent="0.25">
      <c r="A254" s="1">
        <v>43683</v>
      </c>
      <c r="B254">
        <v>2019</v>
      </c>
      <c r="C254" t="s">
        <v>251</v>
      </c>
      <c r="D254" t="s">
        <v>181</v>
      </c>
      <c r="E254" t="s">
        <v>234</v>
      </c>
      <c r="F254" t="s">
        <v>8</v>
      </c>
      <c r="G254" t="s">
        <v>8</v>
      </c>
      <c r="H254" s="7">
        <v>2713214</v>
      </c>
      <c r="I254" s="7">
        <v>2713214</v>
      </c>
      <c r="J254" s="9">
        <f>H254/I254</f>
        <v>1</v>
      </c>
      <c r="K254" t="s">
        <v>185</v>
      </c>
      <c r="L254" s="7">
        <v>1709325</v>
      </c>
      <c r="M254" s="8">
        <f>L254*J254</f>
        <v>1709325</v>
      </c>
    </row>
    <row r="255" spans="1:13" x14ac:dyDescent="0.25">
      <c r="A255" s="1">
        <v>43693</v>
      </c>
      <c r="B255">
        <v>2019</v>
      </c>
      <c r="C255" t="s">
        <v>252</v>
      </c>
      <c r="D255" t="s">
        <v>181</v>
      </c>
      <c r="E255">
        <v>2016</v>
      </c>
      <c r="F255" t="s">
        <v>253</v>
      </c>
      <c r="G255" t="s">
        <v>74</v>
      </c>
      <c r="H255" s="17">
        <v>590282</v>
      </c>
      <c r="I255" s="17">
        <v>590282</v>
      </c>
      <c r="J255" s="9">
        <v>1</v>
      </c>
      <c r="K255" t="s">
        <v>185</v>
      </c>
      <c r="L255" s="7">
        <v>345315</v>
      </c>
      <c r="M255" s="7">
        <v>345315</v>
      </c>
    </row>
    <row r="256" spans="1:13" x14ac:dyDescent="0.25">
      <c r="A256" s="1">
        <v>43726</v>
      </c>
      <c r="B256">
        <v>2019</v>
      </c>
      <c r="C256" t="s">
        <v>254</v>
      </c>
      <c r="D256" t="s">
        <v>182</v>
      </c>
      <c r="E256" t="s">
        <v>255</v>
      </c>
      <c r="F256" t="s">
        <v>415</v>
      </c>
      <c r="G256" t="s">
        <v>415</v>
      </c>
      <c r="H256" s="7">
        <v>381400000</v>
      </c>
      <c r="I256" s="7">
        <v>381400000</v>
      </c>
      <c r="J256" s="44">
        <f t="shared" ref="J256:J283" si="10">H256/I256</f>
        <v>1</v>
      </c>
      <c r="K256" t="s">
        <v>185</v>
      </c>
      <c r="L256" s="7">
        <v>4000000</v>
      </c>
      <c r="M256" s="7">
        <f t="shared" ref="M256:M273" si="11">L256*J256</f>
        <v>4000000</v>
      </c>
    </row>
    <row r="257" spans="1:13" x14ac:dyDescent="0.25">
      <c r="A257" s="1">
        <v>43739</v>
      </c>
      <c r="B257">
        <v>2020</v>
      </c>
      <c r="C257" t="s">
        <v>256</v>
      </c>
      <c r="D257" t="s">
        <v>257</v>
      </c>
      <c r="E257" t="s">
        <v>255</v>
      </c>
      <c r="F257" t="s">
        <v>6</v>
      </c>
      <c r="G257" t="s">
        <v>6</v>
      </c>
      <c r="H257" s="7">
        <v>3377119</v>
      </c>
      <c r="I257" s="7">
        <v>3377119</v>
      </c>
      <c r="J257" s="44">
        <f t="shared" si="10"/>
        <v>1</v>
      </c>
      <c r="K257" t="s">
        <v>185</v>
      </c>
      <c r="L257" s="7">
        <v>2718581</v>
      </c>
      <c r="M257" s="7">
        <f t="shared" si="11"/>
        <v>2718581</v>
      </c>
    </row>
    <row r="258" spans="1:13" x14ac:dyDescent="0.25">
      <c r="A258" s="1">
        <v>43776</v>
      </c>
      <c r="B258">
        <v>2020</v>
      </c>
      <c r="C258" t="s">
        <v>258</v>
      </c>
      <c r="D258" t="s">
        <v>257</v>
      </c>
      <c r="E258" t="s">
        <v>234</v>
      </c>
      <c r="F258" t="s">
        <v>415</v>
      </c>
      <c r="G258" t="s">
        <v>415</v>
      </c>
      <c r="H258" s="7">
        <v>360000</v>
      </c>
      <c r="I258" s="7">
        <v>360000</v>
      </c>
      <c r="J258" s="44">
        <f t="shared" si="10"/>
        <v>1</v>
      </c>
      <c r="K258" t="s">
        <v>185</v>
      </c>
      <c r="L258" s="7">
        <v>210600</v>
      </c>
      <c r="M258" s="7">
        <f t="shared" si="11"/>
        <v>210600</v>
      </c>
    </row>
    <row r="259" spans="1:13" x14ac:dyDescent="0.25">
      <c r="A259" s="1">
        <v>43794</v>
      </c>
      <c r="B259">
        <v>2020</v>
      </c>
      <c r="C259" t="s">
        <v>259</v>
      </c>
      <c r="D259" t="s">
        <v>257</v>
      </c>
      <c r="E259" t="s">
        <v>260</v>
      </c>
      <c r="F259" t="s">
        <v>253</v>
      </c>
      <c r="G259" t="s">
        <v>74</v>
      </c>
      <c r="H259" s="17">
        <v>576000</v>
      </c>
      <c r="I259" s="17">
        <v>576000</v>
      </c>
      <c r="J259" s="44">
        <f t="shared" si="10"/>
        <v>1</v>
      </c>
      <c r="K259" t="s">
        <v>185</v>
      </c>
      <c r="L259" s="7">
        <v>466912</v>
      </c>
      <c r="M259" s="7">
        <f t="shared" si="11"/>
        <v>466912</v>
      </c>
    </row>
    <row r="260" spans="1:13" x14ac:dyDescent="0.25">
      <c r="A260" s="1">
        <v>43808</v>
      </c>
      <c r="B260">
        <v>2020</v>
      </c>
      <c r="C260" t="s">
        <v>261</v>
      </c>
      <c r="D260" t="s">
        <v>257</v>
      </c>
      <c r="E260" t="s">
        <v>247</v>
      </c>
      <c r="F260" t="s">
        <v>6</v>
      </c>
      <c r="G260" t="s">
        <v>6</v>
      </c>
      <c r="H260" s="7">
        <v>270690.90000000002</v>
      </c>
      <c r="I260" s="7">
        <v>270690.90000000002</v>
      </c>
      <c r="J260" s="44">
        <f t="shared" si="10"/>
        <v>1</v>
      </c>
      <c r="K260" t="s">
        <v>185</v>
      </c>
      <c r="L260" s="7">
        <v>170535</v>
      </c>
      <c r="M260" s="7">
        <f t="shared" si="11"/>
        <v>170535</v>
      </c>
    </row>
    <row r="261" spans="1:13" x14ac:dyDescent="0.25">
      <c r="A261" s="1">
        <v>43808</v>
      </c>
      <c r="B261">
        <v>2020</v>
      </c>
      <c r="C261" t="s">
        <v>262</v>
      </c>
      <c r="D261" t="s">
        <v>257</v>
      </c>
      <c r="E261" t="s">
        <v>255</v>
      </c>
      <c r="F261" t="s">
        <v>6</v>
      </c>
      <c r="G261" t="s">
        <v>6</v>
      </c>
      <c r="H261" s="7">
        <v>183923</v>
      </c>
      <c r="I261" s="7">
        <v>183923</v>
      </c>
      <c r="J261" s="44">
        <f t="shared" si="10"/>
        <v>1</v>
      </c>
      <c r="K261" t="s">
        <v>185</v>
      </c>
      <c r="L261" s="7">
        <v>66212</v>
      </c>
      <c r="M261" s="7">
        <f t="shared" si="11"/>
        <v>66212</v>
      </c>
    </row>
    <row r="262" spans="1:13" x14ac:dyDescent="0.25">
      <c r="A262" s="1">
        <v>43851</v>
      </c>
      <c r="B262">
        <v>2020</v>
      </c>
      <c r="C262" t="s">
        <v>263</v>
      </c>
      <c r="D262" t="s">
        <v>257</v>
      </c>
      <c r="E262">
        <v>2017</v>
      </c>
      <c r="F262" t="s">
        <v>264</v>
      </c>
      <c r="G262" t="s">
        <v>189</v>
      </c>
      <c r="H262" s="7">
        <v>15000</v>
      </c>
      <c r="I262" s="7">
        <v>15000</v>
      </c>
      <c r="J262" s="44">
        <f t="shared" si="10"/>
        <v>1</v>
      </c>
      <c r="K262" t="s">
        <v>185</v>
      </c>
      <c r="L262" s="7">
        <v>12150</v>
      </c>
      <c r="M262" s="7">
        <f t="shared" si="11"/>
        <v>12150</v>
      </c>
    </row>
    <row r="263" spans="1:13" x14ac:dyDescent="0.25">
      <c r="A263" s="1">
        <v>43857</v>
      </c>
      <c r="B263">
        <v>2020</v>
      </c>
      <c r="C263" t="s">
        <v>266</v>
      </c>
      <c r="D263" t="s">
        <v>257</v>
      </c>
      <c r="E263" t="s">
        <v>204</v>
      </c>
      <c r="F263" t="s">
        <v>7</v>
      </c>
      <c r="G263" t="s">
        <v>7</v>
      </c>
      <c r="H263" s="7">
        <v>4500000</v>
      </c>
      <c r="I263" s="7">
        <v>4500000</v>
      </c>
      <c r="J263" s="44">
        <f t="shared" si="10"/>
        <v>1</v>
      </c>
      <c r="K263" t="s">
        <v>185</v>
      </c>
      <c r="L263" s="7">
        <v>1125000</v>
      </c>
      <c r="M263" s="7">
        <f t="shared" si="11"/>
        <v>1125000</v>
      </c>
    </row>
    <row r="264" spans="1:13" x14ac:dyDescent="0.25">
      <c r="A264" s="1">
        <v>43887</v>
      </c>
      <c r="B264">
        <v>2020</v>
      </c>
      <c r="C264" t="s">
        <v>267</v>
      </c>
      <c r="D264" t="s">
        <v>181</v>
      </c>
      <c r="E264" t="s">
        <v>268</v>
      </c>
      <c r="F264" t="s">
        <v>264</v>
      </c>
      <c r="G264" t="s">
        <v>189</v>
      </c>
      <c r="H264" s="7">
        <v>13384000</v>
      </c>
      <c r="I264" s="7">
        <v>13384000</v>
      </c>
      <c r="J264" s="44">
        <f t="shared" si="10"/>
        <v>1</v>
      </c>
      <c r="K264" t="s">
        <v>185</v>
      </c>
      <c r="L264" s="7">
        <v>7829640</v>
      </c>
      <c r="M264" s="7">
        <f t="shared" si="11"/>
        <v>7829640</v>
      </c>
    </row>
    <row r="265" spans="1:13" x14ac:dyDescent="0.25">
      <c r="A265" s="1">
        <v>43957</v>
      </c>
      <c r="B265">
        <v>2020</v>
      </c>
      <c r="C265" t="s">
        <v>269</v>
      </c>
      <c r="D265" t="s">
        <v>181</v>
      </c>
      <c r="E265" t="s">
        <v>232</v>
      </c>
      <c r="F265" t="s">
        <v>6</v>
      </c>
      <c r="G265" t="s">
        <v>6</v>
      </c>
      <c r="H265" s="7">
        <v>973691</v>
      </c>
      <c r="I265" s="7">
        <v>973691</v>
      </c>
      <c r="J265" s="44">
        <f t="shared" si="10"/>
        <v>1</v>
      </c>
      <c r="K265" t="s">
        <v>185</v>
      </c>
      <c r="L265" s="7">
        <v>257862</v>
      </c>
      <c r="M265" s="7">
        <f t="shared" si="11"/>
        <v>257862</v>
      </c>
    </row>
    <row r="266" spans="1:13" x14ac:dyDescent="0.25">
      <c r="A266" s="1">
        <v>44020</v>
      </c>
      <c r="B266">
        <v>2020</v>
      </c>
      <c r="C266" t="s">
        <v>270</v>
      </c>
      <c r="D266" t="s">
        <v>181</v>
      </c>
      <c r="E266" t="s">
        <v>271</v>
      </c>
      <c r="F266" t="s">
        <v>399</v>
      </c>
      <c r="G266" t="s">
        <v>399</v>
      </c>
      <c r="H266" s="7">
        <v>1038206212</v>
      </c>
      <c r="I266" s="7">
        <v>1038206212</v>
      </c>
      <c r="J266" s="44">
        <f t="shared" si="10"/>
        <v>1</v>
      </c>
      <c r="K266" t="s">
        <v>185</v>
      </c>
      <c r="L266" s="7">
        <v>134523</v>
      </c>
      <c r="M266" s="7">
        <f t="shared" si="11"/>
        <v>134523</v>
      </c>
    </row>
    <row r="267" spans="1:13" x14ac:dyDescent="0.25">
      <c r="A267" s="1">
        <v>44040</v>
      </c>
      <c r="B267">
        <v>2020</v>
      </c>
      <c r="C267" t="s">
        <v>272</v>
      </c>
      <c r="D267" t="s">
        <v>181</v>
      </c>
      <c r="E267" t="s">
        <v>273</v>
      </c>
      <c r="F267" t="s">
        <v>8</v>
      </c>
      <c r="G267" t="s">
        <v>8</v>
      </c>
      <c r="H267" s="7">
        <v>1526508</v>
      </c>
      <c r="I267" s="7">
        <v>1526508</v>
      </c>
      <c r="J267" s="44">
        <f t="shared" si="10"/>
        <v>1</v>
      </c>
      <c r="K267" t="s">
        <v>185</v>
      </c>
      <c r="L267" s="7">
        <v>824314</v>
      </c>
      <c r="M267" s="7">
        <f t="shared" si="11"/>
        <v>824314</v>
      </c>
    </row>
    <row r="268" spans="1:13" x14ac:dyDescent="0.25">
      <c r="A268" s="1">
        <v>44054</v>
      </c>
      <c r="B268">
        <v>2020</v>
      </c>
      <c r="C268" t="s">
        <v>274</v>
      </c>
      <c r="E268">
        <v>2015</v>
      </c>
      <c r="F268" t="s">
        <v>35</v>
      </c>
      <c r="G268" t="s">
        <v>74</v>
      </c>
      <c r="H268" s="7">
        <v>36264793</v>
      </c>
      <c r="I268" s="7">
        <v>36264793</v>
      </c>
      <c r="J268" s="44">
        <f t="shared" si="10"/>
        <v>1</v>
      </c>
      <c r="K268" t="s">
        <v>185</v>
      </c>
      <c r="L268" s="7">
        <v>5000</v>
      </c>
      <c r="M268" s="7">
        <f t="shared" si="11"/>
        <v>5000</v>
      </c>
    </row>
    <row r="269" spans="1:13" x14ac:dyDescent="0.25">
      <c r="A269" s="1">
        <v>44083</v>
      </c>
      <c r="B269">
        <v>2020</v>
      </c>
      <c r="C269" t="s">
        <v>23</v>
      </c>
      <c r="D269" t="s">
        <v>182</v>
      </c>
      <c r="E269">
        <v>2015</v>
      </c>
      <c r="F269" t="s">
        <v>399</v>
      </c>
      <c r="G269" t="s">
        <v>399</v>
      </c>
      <c r="H269" s="7">
        <v>250000</v>
      </c>
      <c r="I269" s="7">
        <v>250000</v>
      </c>
      <c r="J269" s="44">
        <f t="shared" si="10"/>
        <v>1</v>
      </c>
      <c r="K269" t="s">
        <v>185</v>
      </c>
      <c r="L269" s="7">
        <v>157000</v>
      </c>
      <c r="M269" s="7">
        <f t="shared" si="11"/>
        <v>157000</v>
      </c>
    </row>
    <row r="270" spans="1:13" x14ac:dyDescent="0.25">
      <c r="A270" s="1">
        <v>44091</v>
      </c>
      <c r="B270">
        <v>2020</v>
      </c>
      <c r="C270" t="s">
        <v>275</v>
      </c>
      <c r="D270" t="s">
        <v>181</v>
      </c>
      <c r="E270" t="s">
        <v>225</v>
      </c>
      <c r="F270" t="s">
        <v>415</v>
      </c>
      <c r="G270" t="s">
        <v>415</v>
      </c>
      <c r="H270" s="7">
        <v>584386</v>
      </c>
      <c r="I270" s="7">
        <v>584386</v>
      </c>
      <c r="J270" s="44">
        <f t="shared" si="10"/>
        <v>1</v>
      </c>
      <c r="K270" t="s">
        <v>185</v>
      </c>
      <c r="L270" s="7">
        <v>894111</v>
      </c>
      <c r="M270" s="7">
        <f t="shared" si="11"/>
        <v>894111</v>
      </c>
    </row>
    <row r="271" spans="1:13" x14ac:dyDescent="0.25">
      <c r="A271" s="1">
        <v>44098</v>
      </c>
      <c r="B271">
        <v>2020</v>
      </c>
      <c r="C271" t="s">
        <v>276</v>
      </c>
      <c r="D271" t="s">
        <v>181</v>
      </c>
      <c r="E271">
        <v>2016</v>
      </c>
      <c r="F271" t="s">
        <v>8</v>
      </c>
      <c r="G271" t="s">
        <v>8</v>
      </c>
      <c r="H271" s="7">
        <v>1051460</v>
      </c>
      <c r="I271" s="7">
        <v>1051460</v>
      </c>
      <c r="J271" s="44">
        <f t="shared" si="10"/>
        <v>1</v>
      </c>
      <c r="K271" t="s">
        <v>185</v>
      </c>
      <c r="L271" s="7">
        <v>473157</v>
      </c>
      <c r="M271" s="7">
        <f t="shared" si="11"/>
        <v>473157</v>
      </c>
    </row>
    <row r="272" spans="1:13" x14ac:dyDescent="0.25">
      <c r="A272" s="1">
        <v>44105</v>
      </c>
      <c r="B272">
        <v>2021</v>
      </c>
      <c r="C272" t="s">
        <v>277</v>
      </c>
      <c r="D272" t="s">
        <v>181</v>
      </c>
      <c r="E272" t="s">
        <v>202</v>
      </c>
      <c r="F272" t="s">
        <v>6</v>
      </c>
      <c r="G272" t="s">
        <v>6</v>
      </c>
      <c r="H272" s="2">
        <v>84272500</v>
      </c>
      <c r="I272" s="2">
        <v>84272500</v>
      </c>
      <c r="J272" s="44">
        <f t="shared" si="10"/>
        <v>1</v>
      </c>
      <c r="K272" t="s">
        <v>185</v>
      </c>
      <c r="L272" s="7">
        <v>5864860</v>
      </c>
      <c r="M272" s="7">
        <f t="shared" si="11"/>
        <v>5864860</v>
      </c>
    </row>
    <row r="273" spans="1:13" x14ac:dyDescent="0.25">
      <c r="A273" s="1">
        <v>44124</v>
      </c>
      <c r="B273">
        <v>2021</v>
      </c>
      <c r="C273" t="s">
        <v>278</v>
      </c>
      <c r="D273" t="s">
        <v>182</v>
      </c>
      <c r="E273" t="s">
        <v>236</v>
      </c>
      <c r="F273" t="s">
        <v>8</v>
      </c>
      <c r="G273" t="s">
        <v>8</v>
      </c>
      <c r="H273" s="7">
        <v>18420672</v>
      </c>
      <c r="I273" s="7">
        <v>18420672</v>
      </c>
      <c r="J273" s="44">
        <f t="shared" si="10"/>
        <v>1</v>
      </c>
      <c r="K273" t="s">
        <v>185</v>
      </c>
      <c r="L273" s="7">
        <v>4144651</v>
      </c>
      <c r="M273" s="7">
        <f t="shared" si="11"/>
        <v>4144651</v>
      </c>
    </row>
    <row r="274" spans="1:13" x14ac:dyDescent="0.25">
      <c r="A274" s="1">
        <v>44193</v>
      </c>
      <c r="B274">
        <v>2021</v>
      </c>
      <c r="C274" t="s">
        <v>279</v>
      </c>
      <c r="D274" t="s">
        <v>182</v>
      </c>
      <c r="E274" t="s">
        <v>204</v>
      </c>
      <c r="F274" t="s">
        <v>433</v>
      </c>
      <c r="H274" s="7"/>
      <c r="I274" s="7">
        <v>12111632</v>
      </c>
      <c r="J274" s="44"/>
      <c r="L274" s="7"/>
      <c r="M274" s="7"/>
    </row>
    <row r="275" spans="1:13" x14ac:dyDescent="0.25">
      <c r="A275" s="1">
        <v>44193</v>
      </c>
      <c r="B275">
        <v>2021</v>
      </c>
      <c r="C275" t="s">
        <v>279</v>
      </c>
      <c r="D275" t="s">
        <v>182</v>
      </c>
      <c r="E275" t="s">
        <v>204</v>
      </c>
      <c r="F275" t="s">
        <v>433</v>
      </c>
      <c r="G275" t="s">
        <v>81</v>
      </c>
      <c r="H275" s="7">
        <f>I275/2</f>
        <v>6055816</v>
      </c>
      <c r="I275" s="7">
        <f>I274</f>
        <v>12111632</v>
      </c>
      <c r="J275" s="44">
        <f t="shared" si="10"/>
        <v>0.5</v>
      </c>
      <c r="K275" t="s">
        <v>183</v>
      </c>
      <c r="L275" s="7">
        <v>653347</v>
      </c>
      <c r="M275" s="7">
        <f>L275*J275</f>
        <v>326673.5</v>
      </c>
    </row>
    <row r="276" spans="1:13" x14ac:dyDescent="0.25">
      <c r="A276" s="1">
        <v>44193</v>
      </c>
      <c r="B276">
        <v>2021</v>
      </c>
      <c r="C276" t="s">
        <v>279</v>
      </c>
      <c r="D276" t="s">
        <v>182</v>
      </c>
      <c r="E276" t="s">
        <v>204</v>
      </c>
      <c r="F276" t="s">
        <v>433</v>
      </c>
      <c r="G276" t="s">
        <v>415</v>
      </c>
      <c r="H276" s="7">
        <f>I276/2</f>
        <v>6055816</v>
      </c>
      <c r="I276" s="7">
        <f>I275</f>
        <v>12111632</v>
      </c>
      <c r="J276" s="44">
        <f t="shared" si="10"/>
        <v>0.5</v>
      </c>
      <c r="L276" s="7">
        <v>653347</v>
      </c>
      <c r="M276" s="7">
        <f>L276*J276</f>
        <v>326673.5</v>
      </c>
    </row>
    <row r="277" spans="1:13" x14ac:dyDescent="0.25">
      <c r="A277" s="1">
        <v>44195</v>
      </c>
      <c r="B277">
        <v>2021</v>
      </c>
      <c r="C277" t="s">
        <v>280</v>
      </c>
      <c r="D277" t="s">
        <v>181</v>
      </c>
      <c r="E277" t="s">
        <v>281</v>
      </c>
      <c r="F277" t="s">
        <v>434</v>
      </c>
      <c r="I277" s="7">
        <v>183000</v>
      </c>
      <c r="J277" s="44"/>
      <c r="M277" s="7"/>
    </row>
    <row r="278" spans="1:13" x14ac:dyDescent="0.25">
      <c r="A278" s="1">
        <v>44195</v>
      </c>
      <c r="B278">
        <f>B277</f>
        <v>2021</v>
      </c>
      <c r="C278" t="s">
        <v>280</v>
      </c>
      <c r="D278" t="s">
        <v>181</v>
      </c>
      <c r="E278" t="str">
        <f>E277</f>
        <v>2015-2019</v>
      </c>
      <c r="F278" t="s">
        <v>434</v>
      </c>
      <c r="G278" t="s">
        <v>399</v>
      </c>
      <c r="H278" s="7">
        <f>I278/5</f>
        <v>36600</v>
      </c>
      <c r="I278" s="7">
        <v>183000</v>
      </c>
      <c r="J278" s="44">
        <f t="shared" si="10"/>
        <v>0.2</v>
      </c>
      <c r="K278" t="s">
        <v>183</v>
      </c>
      <c r="L278" s="7">
        <v>93830</v>
      </c>
      <c r="M278" s="7">
        <f t="shared" ref="M278:M283" si="12">L278*J278</f>
        <v>18766</v>
      </c>
    </row>
    <row r="279" spans="1:13" x14ac:dyDescent="0.25">
      <c r="A279" s="1">
        <f>A278</f>
        <v>44195</v>
      </c>
      <c r="B279">
        <f>B278</f>
        <v>2021</v>
      </c>
      <c r="C279" t="s">
        <v>280</v>
      </c>
      <c r="D279" t="s">
        <v>181</v>
      </c>
      <c r="E279" t="str">
        <f>E278</f>
        <v>2015-2019</v>
      </c>
      <c r="F279" t="s">
        <v>434</v>
      </c>
      <c r="G279" t="s">
        <v>6</v>
      </c>
      <c r="H279" s="7">
        <f>I279/5</f>
        <v>36600</v>
      </c>
      <c r="I279" s="7">
        <f>I278</f>
        <v>183000</v>
      </c>
      <c r="J279" s="44">
        <f t="shared" si="10"/>
        <v>0.2</v>
      </c>
      <c r="K279" t="s">
        <v>183</v>
      </c>
      <c r="L279" s="7">
        <v>93830</v>
      </c>
      <c r="M279" s="7">
        <f t="shared" si="12"/>
        <v>18766</v>
      </c>
    </row>
    <row r="280" spans="1:13" x14ac:dyDescent="0.25">
      <c r="A280" s="1">
        <f>A279</f>
        <v>44195</v>
      </c>
      <c r="B280">
        <f>B279</f>
        <v>2021</v>
      </c>
      <c r="C280" t="s">
        <v>280</v>
      </c>
      <c r="D280" t="s">
        <v>181</v>
      </c>
      <c r="E280" t="str">
        <f>E279</f>
        <v>2015-2019</v>
      </c>
      <c r="F280" t="s">
        <v>434</v>
      </c>
      <c r="G280" t="s">
        <v>8</v>
      </c>
      <c r="H280" s="7">
        <f>I280/5</f>
        <v>36600</v>
      </c>
      <c r="I280" s="7">
        <f>I279</f>
        <v>183000</v>
      </c>
      <c r="J280" s="44">
        <f t="shared" si="10"/>
        <v>0.2</v>
      </c>
      <c r="K280" t="s">
        <v>183</v>
      </c>
      <c r="L280" s="7">
        <v>93830</v>
      </c>
      <c r="M280" s="7">
        <f t="shared" si="12"/>
        <v>18766</v>
      </c>
    </row>
    <row r="281" spans="1:13" x14ac:dyDescent="0.25">
      <c r="A281" s="1">
        <f>A280</f>
        <v>44195</v>
      </c>
      <c r="B281">
        <f>B280</f>
        <v>2021</v>
      </c>
      <c r="C281" t="s">
        <v>280</v>
      </c>
      <c r="D281" t="s">
        <v>181</v>
      </c>
      <c r="E281" t="str">
        <f>E280</f>
        <v>2015-2019</v>
      </c>
      <c r="F281" t="s">
        <v>434</v>
      </c>
      <c r="G281" t="s">
        <v>415</v>
      </c>
      <c r="H281" s="7">
        <f>I281/5</f>
        <v>36600</v>
      </c>
      <c r="I281" s="7">
        <f>I280</f>
        <v>183000</v>
      </c>
      <c r="J281" s="44">
        <f t="shared" si="10"/>
        <v>0.2</v>
      </c>
      <c r="K281" t="s">
        <v>183</v>
      </c>
      <c r="L281" s="7">
        <v>93830</v>
      </c>
      <c r="M281" s="7">
        <f t="shared" si="12"/>
        <v>18766</v>
      </c>
    </row>
    <row r="282" spans="1:13" x14ac:dyDescent="0.25">
      <c r="A282" s="1">
        <f>A281</f>
        <v>44195</v>
      </c>
      <c r="B282">
        <f>B281</f>
        <v>2021</v>
      </c>
      <c r="C282" t="s">
        <v>280</v>
      </c>
      <c r="D282" t="s">
        <v>181</v>
      </c>
      <c r="E282" t="str">
        <f>E281</f>
        <v>2015-2019</v>
      </c>
      <c r="F282" t="s">
        <v>434</v>
      </c>
      <c r="G282" t="s">
        <v>81</v>
      </c>
      <c r="H282" s="7">
        <f>I282/5</f>
        <v>36600</v>
      </c>
      <c r="I282" s="7">
        <f>I281</f>
        <v>183000</v>
      </c>
      <c r="J282" s="44">
        <f t="shared" si="10"/>
        <v>0.2</v>
      </c>
      <c r="K282" t="s">
        <v>183</v>
      </c>
      <c r="L282" s="7">
        <v>93830</v>
      </c>
      <c r="M282" s="7">
        <f t="shared" si="12"/>
        <v>18766</v>
      </c>
    </row>
    <row r="283" spans="1:13" x14ac:dyDescent="0.25">
      <c r="A283" s="1">
        <v>44200</v>
      </c>
      <c r="B283">
        <v>2021</v>
      </c>
      <c r="C283" t="s">
        <v>282</v>
      </c>
      <c r="D283" t="s">
        <v>182</v>
      </c>
      <c r="E283" t="s">
        <v>211</v>
      </c>
      <c r="F283" t="s">
        <v>283</v>
      </c>
      <c r="G283" t="s">
        <v>81</v>
      </c>
      <c r="H283" s="17">
        <v>4158679887</v>
      </c>
      <c r="I283" s="17">
        <v>4158679887</v>
      </c>
      <c r="J283" s="44">
        <f t="shared" si="10"/>
        <v>1</v>
      </c>
      <c r="L283" s="2">
        <v>8572500</v>
      </c>
      <c r="M283" s="7">
        <f t="shared" si="12"/>
        <v>8572500</v>
      </c>
    </row>
    <row r="284" spans="1:13" x14ac:dyDescent="0.25">
      <c r="A284" s="1">
        <v>44245</v>
      </c>
      <c r="B284">
        <v>2021</v>
      </c>
      <c r="C284" t="s">
        <v>284</v>
      </c>
      <c r="D284" t="s">
        <v>182</v>
      </c>
      <c r="E284" t="s">
        <v>268</v>
      </c>
      <c r="F284" t="s">
        <v>435</v>
      </c>
      <c r="I284" s="7">
        <v>2255000</v>
      </c>
    </row>
    <row r="285" spans="1:13" x14ac:dyDescent="0.25">
      <c r="A285" s="1">
        <v>44246</v>
      </c>
      <c r="B285">
        <v>2021</v>
      </c>
      <c r="C285" t="s">
        <v>284</v>
      </c>
      <c r="D285" t="s">
        <v>182</v>
      </c>
      <c r="E285" t="s">
        <v>268</v>
      </c>
      <c r="F285" t="s">
        <v>435</v>
      </c>
      <c r="G285" t="s">
        <v>399</v>
      </c>
      <c r="H285" s="7">
        <f>I285/5</f>
        <v>451000</v>
      </c>
      <c r="I285" s="7">
        <v>2255000</v>
      </c>
      <c r="J285" s="9">
        <v>0.2</v>
      </c>
      <c r="K285" t="s">
        <v>183</v>
      </c>
      <c r="L285" s="7">
        <v>507375</v>
      </c>
      <c r="M285" s="7">
        <f t="shared" ref="M285:M316" si="13">L285*J285</f>
        <v>101475</v>
      </c>
    </row>
    <row r="286" spans="1:13" x14ac:dyDescent="0.25">
      <c r="A286" s="1">
        <v>44247</v>
      </c>
      <c r="B286">
        <v>2021</v>
      </c>
      <c r="C286" t="s">
        <v>284</v>
      </c>
      <c r="D286" t="s">
        <v>182</v>
      </c>
      <c r="E286" t="s">
        <v>268</v>
      </c>
      <c r="F286" t="s">
        <v>435</v>
      </c>
      <c r="G286" t="s">
        <v>46</v>
      </c>
      <c r="H286" s="7">
        <f>I286/5</f>
        <v>451000</v>
      </c>
      <c r="I286" s="7">
        <v>2255000</v>
      </c>
      <c r="J286" s="9">
        <v>0.2</v>
      </c>
      <c r="K286" t="s">
        <v>183</v>
      </c>
      <c r="L286" s="7">
        <v>507375</v>
      </c>
      <c r="M286" s="7">
        <f t="shared" si="13"/>
        <v>101475</v>
      </c>
    </row>
    <row r="287" spans="1:13" x14ac:dyDescent="0.25">
      <c r="A287" s="1">
        <v>44248</v>
      </c>
      <c r="B287">
        <v>2021</v>
      </c>
      <c r="C287" t="s">
        <v>284</v>
      </c>
      <c r="D287" t="s">
        <v>182</v>
      </c>
      <c r="E287" t="s">
        <v>268</v>
      </c>
      <c r="F287" t="s">
        <v>435</v>
      </c>
      <c r="G287" t="s">
        <v>8</v>
      </c>
      <c r="H287" s="7">
        <f>I287/5</f>
        <v>451000</v>
      </c>
      <c r="I287" s="7">
        <v>2255000</v>
      </c>
      <c r="J287" s="9">
        <v>0.2</v>
      </c>
      <c r="K287" t="s">
        <v>183</v>
      </c>
      <c r="L287" s="7">
        <v>507375</v>
      </c>
      <c r="M287" s="7">
        <f t="shared" si="13"/>
        <v>101475</v>
      </c>
    </row>
    <row r="288" spans="1:13" x14ac:dyDescent="0.25">
      <c r="A288" s="1">
        <v>44249</v>
      </c>
      <c r="B288">
        <v>2021</v>
      </c>
      <c r="C288" t="s">
        <v>284</v>
      </c>
      <c r="D288" t="s">
        <v>182</v>
      </c>
      <c r="E288" t="s">
        <v>268</v>
      </c>
      <c r="F288" t="s">
        <v>435</v>
      </c>
      <c r="G288" t="s">
        <v>415</v>
      </c>
      <c r="H288" s="7">
        <f>I288/5</f>
        <v>451000</v>
      </c>
      <c r="I288" s="7">
        <v>2255000</v>
      </c>
      <c r="J288" s="9">
        <v>0.2</v>
      </c>
      <c r="K288" t="s">
        <v>183</v>
      </c>
      <c r="L288" s="7">
        <v>507375</v>
      </c>
      <c r="M288" s="7">
        <f t="shared" si="13"/>
        <v>101475</v>
      </c>
    </row>
    <row r="289" spans="1:13" x14ac:dyDescent="0.25">
      <c r="A289" s="1">
        <v>44250</v>
      </c>
      <c r="B289">
        <v>2021</v>
      </c>
      <c r="C289" t="s">
        <v>284</v>
      </c>
      <c r="D289" t="s">
        <v>182</v>
      </c>
      <c r="E289" t="s">
        <v>268</v>
      </c>
      <c r="F289" t="s">
        <v>435</v>
      </c>
      <c r="G289" t="s">
        <v>81</v>
      </c>
      <c r="H289" s="7">
        <f>I289/5</f>
        <v>451000</v>
      </c>
      <c r="I289" s="7">
        <v>2255000</v>
      </c>
      <c r="J289" s="9">
        <v>0.2</v>
      </c>
      <c r="K289" t="s">
        <v>183</v>
      </c>
      <c r="L289" s="7">
        <v>507375</v>
      </c>
      <c r="M289" s="7">
        <f t="shared" si="13"/>
        <v>101475</v>
      </c>
    </row>
    <row r="290" spans="1:13" x14ac:dyDescent="0.25">
      <c r="A290" s="1">
        <v>44270</v>
      </c>
      <c r="B290">
        <v>2021</v>
      </c>
      <c r="C290" t="s">
        <v>285</v>
      </c>
      <c r="D290" t="s">
        <v>181</v>
      </c>
      <c r="E290" t="s">
        <v>268</v>
      </c>
      <c r="F290" t="s">
        <v>8</v>
      </c>
      <c r="G290" t="s">
        <v>8</v>
      </c>
      <c r="H290" s="7">
        <v>343595</v>
      </c>
      <c r="I290" s="7">
        <v>343595</v>
      </c>
      <c r="J290" s="9">
        <v>1</v>
      </c>
      <c r="L290" s="7">
        <v>216464</v>
      </c>
      <c r="M290" s="7">
        <f t="shared" si="13"/>
        <v>216464</v>
      </c>
    </row>
    <row r="291" spans="1:13" x14ac:dyDescent="0.25">
      <c r="A291" s="1">
        <v>44281</v>
      </c>
      <c r="B291">
        <v>2021</v>
      </c>
      <c r="C291" t="s">
        <v>286</v>
      </c>
      <c r="D291" t="s">
        <v>181</v>
      </c>
      <c r="E291" t="s">
        <v>287</v>
      </c>
      <c r="F291" t="s">
        <v>8</v>
      </c>
      <c r="G291" t="s">
        <v>8</v>
      </c>
      <c r="H291" s="8">
        <v>7689336</v>
      </c>
      <c r="I291" s="8">
        <v>7689336</v>
      </c>
      <c r="J291" s="9">
        <v>1</v>
      </c>
      <c r="L291" s="7">
        <v>950000</v>
      </c>
      <c r="M291" s="7">
        <f t="shared" si="13"/>
        <v>950000</v>
      </c>
    </row>
    <row r="292" spans="1:13" x14ac:dyDescent="0.25">
      <c r="A292" s="1">
        <v>44305</v>
      </c>
      <c r="B292">
        <v>2021</v>
      </c>
      <c r="C292" t="s">
        <v>288</v>
      </c>
      <c r="D292" t="s">
        <v>181</v>
      </c>
      <c r="E292" t="s">
        <v>268</v>
      </c>
      <c r="F292" t="s">
        <v>8</v>
      </c>
      <c r="G292" t="s">
        <v>8</v>
      </c>
      <c r="H292" s="2">
        <v>725004</v>
      </c>
      <c r="I292" s="2">
        <v>725004</v>
      </c>
      <c r="J292" s="9">
        <v>1</v>
      </c>
      <c r="L292" s="7">
        <v>435003</v>
      </c>
      <c r="M292" s="7">
        <f t="shared" si="13"/>
        <v>435003</v>
      </c>
    </row>
    <row r="293" spans="1:13" x14ac:dyDescent="0.25">
      <c r="A293" s="1">
        <v>44315</v>
      </c>
      <c r="B293">
        <v>2021</v>
      </c>
      <c r="C293" t="s">
        <v>289</v>
      </c>
      <c r="D293" t="s">
        <v>182</v>
      </c>
      <c r="E293" t="s">
        <v>290</v>
      </c>
      <c r="F293" t="s">
        <v>291</v>
      </c>
      <c r="G293" t="s">
        <v>74</v>
      </c>
      <c r="H293" s="3">
        <f t="shared" ref="H293:H298" si="14">I293/6</f>
        <v>8802.25</v>
      </c>
      <c r="I293" s="3">
        <v>52813.5</v>
      </c>
      <c r="J293" s="44">
        <f t="shared" ref="J293:J298" si="15">1/6</f>
        <v>0.16666666666666666</v>
      </c>
      <c r="K293" t="s">
        <v>183</v>
      </c>
      <c r="L293" s="3">
        <v>34328.78</v>
      </c>
      <c r="M293" s="7">
        <f t="shared" si="13"/>
        <v>5721.4633333333331</v>
      </c>
    </row>
    <row r="294" spans="1:13" x14ac:dyDescent="0.25">
      <c r="A294" s="1">
        <v>44315</v>
      </c>
      <c r="B294">
        <v>2021</v>
      </c>
      <c r="C294" t="s">
        <v>289</v>
      </c>
      <c r="D294" t="s">
        <v>182</v>
      </c>
      <c r="F294" t="s">
        <v>291</v>
      </c>
      <c r="G294" t="s">
        <v>76</v>
      </c>
      <c r="H294" s="3">
        <f t="shared" si="14"/>
        <v>8802.25</v>
      </c>
      <c r="I294" s="3">
        <v>52813.5</v>
      </c>
      <c r="J294" s="44">
        <f t="shared" si="15"/>
        <v>0.16666666666666666</v>
      </c>
      <c r="K294" t="s">
        <v>183</v>
      </c>
      <c r="L294" s="3">
        <v>34328.78</v>
      </c>
      <c r="M294" s="7">
        <f t="shared" si="13"/>
        <v>5721.4633333333331</v>
      </c>
    </row>
    <row r="295" spans="1:13" x14ac:dyDescent="0.25">
      <c r="A295" s="1">
        <v>44315</v>
      </c>
      <c r="B295">
        <v>2021</v>
      </c>
      <c r="C295" t="s">
        <v>289</v>
      </c>
      <c r="D295" t="s">
        <v>182</v>
      </c>
      <c r="F295" t="s">
        <v>291</v>
      </c>
      <c r="G295" t="s">
        <v>81</v>
      </c>
      <c r="H295" s="3">
        <f t="shared" si="14"/>
        <v>8802.25</v>
      </c>
      <c r="I295" s="3">
        <v>52813.5</v>
      </c>
      <c r="J295" s="44">
        <f t="shared" si="15"/>
        <v>0.16666666666666666</v>
      </c>
      <c r="K295" t="s">
        <v>183</v>
      </c>
      <c r="L295" s="3">
        <v>34328.78</v>
      </c>
      <c r="M295" s="7">
        <f t="shared" si="13"/>
        <v>5721.4633333333331</v>
      </c>
    </row>
    <row r="296" spans="1:13" x14ac:dyDescent="0.25">
      <c r="A296" s="1">
        <v>44315</v>
      </c>
      <c r="B296">
        <v>2021</v>
      </c>
      <c r="C296" t="s">
        <v>289</v>
      </c>
      <c r="D296" t="s">
        <v>182</v>
      </c>
      <c r="F296" t="s">
        <v>291</v>
      </c>
      <c r="G296" t="s">
        <v>412</v>
      </c>
      <c r="H296" s="3">
        <f t="shared" si="14"/>
        <v>8802.25</v>
      </c>
      <c r="I296" s="3">
        <v>52813.5</v>
      </c>
      <c r="J296" s="44">
        <f t="shared" si="15"/>
        <v>0.16666666666666666</v>
      </c>
      <c r="K296" t="s">
        <v>183</v>
      </c>
      <c r="L296" s="3">
        <v>34328.78</v>
      </c>
      <c r="M296" s="7">
        <f t="shared" si="13"/>
        <v>5721.4633333333331</v>
      </c>
    </row>
    <row r="297" spans="1:13" x14ac:dyDescent="0.25">
      <c r="A297" s="1">
        <v>44315</v>
      </c>
      <c r="B297">
        <v>2021</v>
      </c>
      <c r="C297" t="s">
        <v>289</v>
      </c>
      <c r="D297" t="s">
        <v>182</v>
      </c>
      <c r="F297" t="s">
        <v>291</v>
      </c>
      <c r="G297" t="s">
        <v>292</v>
      </c>
      <c r="H297" s="3">
        <f t="shared" si="14"/>
        <v>8802.25</v>
      </c>
      <c r="I297" s="3">
        <v>52813.5</v>
      </c>
      <c r="J297" s="44">
        <f t="shared" si="15"/>
        <v>0.16666666666666666</v>
      </c>
      <c r="K297" t="s">
        <v>183</v>
      </c>
      <c r="L297" s="3">
        <v>34328.78</v>
      </c>
      <c r="M297" s="7">
        <f t="shared" si="13"/>
        <v>5721.4633333333331</v>
      </c>
    </row>
    <row r="298" spans="1:13" x14ac:dyDescent="0.25">
      <c r="A298" s="1">
        <v>44315</v>
      </c>
      <c r="B298">
        <v>2021</v>
      </c>
      <c r="C298" t="s">
        <v>289</v>
      </c>
      <c r="D298" t="s">
        <v>182</v>
      </c>
      <c r="F298" t="s">
        <v>291</v>
      </c>
      <c r="G298" t="s">
        <v>31</v>
      </c>
      <c r="H298" s="3">
        <f t="shared" si="14"/>
        <v>8802.25</v>
      </c>
      <c r="I298" s="3">
        <v>52813.5</v>
      </c>
      <c r="J298" s="44">
        <f t="shared" si="15"/>
        <v>0.16666666666666666</v>
      </c>
      <c r="K298" t="s">
        <v>183</v>
      </c>
      <c r="L298" s="3">
        <v>34328.78</v>
      </c>
      <c r="M298" s="7">
        <f t="shared" si="13"/>
        <v>5721.4633333333331</v>
      </c>
    </row>
    <row r="299" spans="1:13" x14ac:dyDescent="0.25">
      <c r="A299" s="1">
        <v>44315</v>
      </c>
      <c r="B299">
        <v>2021</v>
      </c>
      <c r="C299" t="s">
        <v>293</v>
      </c>
      <c r="D299" t="s">
        <v>181</v>
      </c>
      <c r="E299" t="s">
        <v>268</v>
      </c>
      <c r="F299" t="s">
        <v>8</v>
      </c>
      <c r="G299" t="s">
        <v>8</v>
      </c>
      <c r="H299" s="7">
        <v>1316157</v>
      </c>
      <c r="I299" s="7">
        <v>1316157</v>
      </c>
      <c r="J299" s="44">
        <v>1</v>
      </c>
      <c r="L299" s="2">
        <v>2132174</v>
      </c>
      <c r="M299" s="7">
        <f t="shared" si="13"/>
        <v>2132174</v>
      </c>
    </row>
    <row r="300" spans="1:13" x14ac:dyDescent="0.25">
      <c r="A300" s="1">
        <v>44396</v>
      </c>
      <c r="B300">
        <v>2021</v>
      </c>
      <c r="C300" t="s">
        <v>294</v>
      </c>
      <c r="D300" t="s">
        <v>181</v>
      </c>
      <c r="E300" t="s">
        <v>244</v>
      </c>
      <c r="F300" t="s">
        <v>8</v>
      </c>
      <c r="G300" t="s">
        <v>8</v>
      </c>
      <c r="H300" s="2">
        <v>615844</v>
      </c>
      <c r="I300" s="2">
        <v>615844</v>
      </c>
      <c r="J300" s="9">
        <v>1</v>
      </c>
      <c r="L300" s="2">
        <v>415695</v>
      </c>
      <c r="M300" s="7">
        <f t="shared" si="13"/>
        <v>415695</v>
      </c>
    </row>
    <row r="301" spans="1:13" x14ac:dyDescent="0.25">
      <c r="A301" s="1">
        <v>44400</v>
      </c>
      <c r="B301">
        <v>2021</v>
      </c>
      <c r="C301" t="s">
        <v>295</v>
      </c>
      <c r="D301" t="s">
        <v>182</v>
      </c>
      <c r="E301" t="s">
        <v>268</v>
      </c>
      <c r="F301" t="s">
        <v>296</v>
      </c>
      <c r="G301" t="s">
        <v>399</v>
      </c>
      <c r="H301" s="3">
        <f>I301/5</f>
        <v>777945.2</v>
      </c>
      <c r="I301" s="2">
        <v>3889726</v>
      </c>
      <c r="J301" s="9">
        <v>0.2</v>
      </c>
      <c r="K301" t="s">
        <v>183</v>
      </c>
      <c r="L301" s="3">
        <v>1400301.4</v>
      </c>
      <c r="M301" s="7">
        <f t="shared" si="13"/>
        <v>280060.27999999997</v>
      </c>
    </row>
    <row r="302" spans="1:13" x14ac:dyDescent="0.25">
      <c r="A302" s="1">
        <v>44400</v>
      </c>
      <c r="B302">
        <v>2021</v>
      </c>
      <c r="C302" t="s">
        <v>295</v>
      </c>
      <c r="D302" t="s">
        <v>182</v>
      </c>
      <c r="E302" t="s">
        <v>268</v>
      </c>
      <c r="F302" t="s">
        <v>296</v>
      </c>
      <c r="G302" t="s">
        <v>178</v>
      </c>
      <c r="H302" s="3">
        <f>I302/5</f>
        <v>777945.2</v>
      </c>
      <c r="I302" s="2">
        <v>3889726</v>
      </c>
      <c r="J302" s="9">
        <v>0.2</v>
      </c>
      <c r="K302" t="s">
        <v>183</v>
      </c>
      <c r="L302" s="3">
        <v>1400301.4</v>
      </c>
      <c r="M302" s="7">
        <f t="shared" si="13"/>
        <v>280060.27999999997</v>
      </c>
    </row>
    <row r="303" spans="1:13" x14ac:dyDescent="0.25">
      <c r="A303" s="1">
        <v>44400</v>
      </c>
      <c r="B303">
        <v>2021</v>
      </c>
      <c r="C303" t="s">
        <v>295</v>
      </c>
      <c r="D303" t="s">
        <v>182</v>
      </c>
      <c r="E303" t="s">
        <v>268</v>
      </c>
      <c r="F303" t="s">
        <v>296</v>
      </c>
      <c r="G303" t="s">
        <v>31</v>
      </c>
      <c r="H303" s="3">
        <f>I303/5</f>
        <v>777945.2</v>
      </c>
      <c r="I303" s="2">
        <v>3889726</v>
      </c>
      <c r="J303" s="9">
        <v>0.2</v>
      </c>
      <c r="K303" t="s">
        <v>183</v>
      </c>
      <c r="L303" s="3">
        <v>1400301.4</v>
      </c>
      <c r="M303" s="7">
        <f t="shared" si="13"/>
        <v>280060.27999999997</v>
      </c>
    </row>
    <row r="304" spans="1:13" x14ac:dyDescent="0.25">
      <c r="A304" s="1">
        <v>44400</v>
      </c>
      <c r="B304">
        <v>2021</v>
      </c>
      <c r="C304" t="s">
        <v>295</v>
      </c>
      <c r="D304" t="s">
        <v>182</v>
      </c>
      <c r="E304" t="s">
        <v>268</v>
      </c>
      <c r="F304" t="s">
        <v>296</v>
      </c>
      <c r="G304" t="s">
        <v>8</v>
      </c>
      <c r="H304" s="3">
        <f>I304/5</f>
        <v>777945.2</v>
      </c>
      <c r="I304" s="2">
        <v>3889726</v>
      </c>
      <c r="J304" s="9">
        <v>0.2</v>
      </c>
      <c r="K304" t="s">
        <v>183</v>
      </c>
      <c r="L304" s="3">
        <v>1400301.4</v>
      </c>
      <c r="M304" s="7">
        <f t="shared" si="13"/>
        <v>280060.27999999997</v>
      </c>
    </row>
    <row r="305" spans="1:13" x14ac:dyDescent="0.25">
      <c r="A305" s="1">
        <v>44400</v>
      </c>
      <c r="B305">
        <v>2021</v>
      </c>
      <c r="C305" t="s">
        <v>295</v>
      </c>
      <c r="D305" t="s">
        <v>182</v>
      </c>
      <c r="E305" t="s">
        <v>268</v>
      </c>
      <c r="F305" t="s">
        <v>296</v>
      </c>
      <c r="G305" t="s">
        <v>81</v>
      </c>
      <c r="H305" s="3">
        <f>I305/5</f>
        <v>777945.2</v>
      </c>
      <c r="I305" s="2">
        <v>3889726</v>
      </c>
      <c r="J305" s="9">
        <v>0.2</v>
      </c>
      <c r="K305" t="s">
        <v>183</v>
      </c>
      <c r="L305" s="3">
        <v>1400301.4</v>
      </c>
      <c r="M305" s="7">
        <f t="shared" si="13"/>
        <v>280060.27999999997</v>
      </c>
    </row>
    <row r="306" spans="1:13" x14ac:dyDescent="0.25">
      <c r="A306" s="1">
        <v>44434</v>
      </c>
      <c r="B306">
        <v>2021</v>
      </c>
      <c r="C306" t="s">
        <v>297</v>
      </c>
      <c r="D306" t="s">
        <v>182</v>
      </c>
      <c r="E306" t="s">
        <v>227</v>
      </c>
      <c r="F306" t="s">
        <v>415</v>
      </c>
      <c r="G306" t="s">
        <v>415</v>
      </c>
      <c r="H306" s="2">
        <v>4314799</v>
      </c>
      <c r="I306" s="2">
        <v>4314799</v>
      </c>
      <c r="J306" s="9">
        <v>1</v>
      </c>
      <c r="L306" s="2">
        <v>2329991</v>
      </c>
      <c r="M306" s="7">
        <f t="shared" si="13"/>
        <v>2329991</v>
      </c>
    </row>
    <row r="307" spans="1:13" x14ac:dyDescent="0.25">
      <c r="A307" s="1">
        <v>44435</v>
      </c>
      <c r="B307">
        <v>2021</v>
      </c>
      <c r="C307" t="s">
        <v>298</v>
      </c>
      <c r="D307" t="s">
        <v>182</v>
      </c>
      <c r="E307" t="s">
        <v>300</v>
      </c>
      <c r="F307" t="s">
        <v>299</v>
      </c>
      <c r="G307" t="s">
        <v>8</v>
      </c>
      <c r="H307" s="2">
        <f>I307/2</f>
        <v>871028</v>
      </c>
      <c r="I307" s="2">
        <v>1742056</v>
      </c>
      <c r="J307" s="9">
        <v>0.5</v>
      </c>
      <c r="K307" t="s">
        <v>183</v>
      </c>
      <c r="L307" s="2">
        <v>862318</v>
      </c>
      <c r="M307" s="7">
        <f t="shared" si="13"/>
        <v>431159</v>
      </c>
    </row>
    <row r="308" spans="1:13" x14ac:dyDescent="0.25">
      <c r="A308" s="1">
        <v>44435</v>
      </c>
      <c r="B308">
        <v>2021</v>
      </c>
      <c r="C308" t="s">
        <v>298</v>
      </c>
      <c r="D308" t="s">
        <v>182</v>
      </c>
      <c r="E308" t="s">
        <v>300</v>
      </c>
      <c r="F308" t="s">
        <v>299</v>
      </c>
      <c r="G308" t="s">
        <v>81</v>
      </c>
      <c r="H308" s="2">
        <f>I308/2</f>
        <v>871028</v>
      </c>
      <c r="I308" s="2">
        <v>1742056</v>
      </c>
      <c r="J308" s="9">
        <v>0.5</v>
      </c>
      <c r="K308" t="s">
        <v>183</v>
      </c>
      <c r="L308" s="2">
        <v>862318</v>
      </c>
      <c r="M308" s="7">
        <f t="shared" si="13"/>
        <v>431159</v>
      </c>
    </row>
    <row r="309" spans="1:13" x14ac:dyDescent="0.25">
      <c r="A309" s="1">
        <v>44448</v>
      </c>
      <c r="B309">
        <v>2021</v>
      </c>
      <c r="C309" t="s">
        <v>301</v>
      </c>
      <c r="D309" t="s">
        <v>181</v>
      </c>
      <c r="E309" t="s">
        <v>268</v>
      </c>
      <c r="F309" t="s">
        <v>8</v>
      </c>
      <c r="G309" t="s">
        <v>8</v>
      </c>
      <c r="H309" s="2">
        <v>291512</v>
      </c>
      <c r="I309" s="2">
        <v>291512</v>
      </c>
      <c r="J309" s="9">
        <v>1</v>
      </c>
      <c r="L309" s="2">
        <v>189483</v>
      </c>
      <c r="M309" s="7">
        <f t="shared" si="13"/>
        <v>189483</v>
      </c>
    </row>
    <row r="310" spans="1:13" x14ac:dyDescent="0.25">
      <c r="A310" s="1">
        <v>44466</v>
      </c>
      <c r="B310">
        <v>2021</v>
      </c>
      <c r="C310" t="s">
        <v>302</v>
      </c>
      <c r="D310" t="s">
        <v>181</v>
      </c>
      <c r="E310" t="s">
        <v>244</v>
      </c>
      <c r="F310" t="s">
        <v>399</v>
      </c>
      <c r="G310" t="s">
        <v>399</v>
      </c>
      <c r="H310" s="7">
        <v>1423766</v>
      </c>
      <c r="I310" s="7">
        <v>1423766</v>
      </c>
      <c r="J310" s="9">
        <v>1</v>
      </c>
      <c r="L310" s="2">
        <v>1423766</v>
      </c>
      <c r="M310" s="7">
        <f t="shared" si="13"/>
        <v>1423766</v>
      </c>
    </row>
    <row r="311" spans="1:13" x14ac:dyDescent="0.25">
      <c r="A311" s="1">
        <v>44466</v>
      </c>
      <c r="B311">
        <v>2021</v>
      </c>
      <c r="C311" t="s">
        <v>303</v>
      </c>
      <c r="D311" t="s">
        <v>181</v>
      </c>
      <c r="E311" t="s">
        <v>244</v>
      </c>
      <c r="F311" t="s">
        <v>415</v>
      </c>
      <c r="G311" t="s">
        <v>415</v>
      </c>
      <c r="H311" s="2">
        <v>200000</v>
      </c>
      <c r="I311" s="2">
        <v>200000</v>
      </c>
      <c r="J311" s="9">
        <v>1</v>
      </c>
      <c r="L311" s="2">
        <v>160000</v>
      </c>
      <c r="M311" s="7">
        <f t="shared" si="13"/>
        <v>160000</v>
      </c>
    </row>
    <row r="312" spans="1:13" x14ac:dyDescent="0.25">
      <c r="A312" s="1">
        <v>44538</v>
      </c>
      <c r="B312">
        <v>2022</v>
      </c>
      <c r="C312" t="s">
        <v>304</v>
      </c>
      <c r="D312" t="s">
        <v>181</v>
      </c>
      <c r="E312">
        <v>2016</v>
      </c>
      <c r="F312" t="s">
        <v>8</v>
      </c>
      <c r="G312" t="s">
        <v>8</v>
      </c>
      <c r="H312" s="2">
        <v>133860</v>
      </c>
      <c r="I312" s="2">
        <v>133860</v>
      </c>
      <c r="J312" s="9">
        <v>1</v>
      </c>
      <c r="L312" s="2">
        <v>133860</v>
      </c>
      <c r="M312" s="7">
        <f t="shared" si="13"/>
        <v>133860</v>
      </c>
    </row>
    <row r="313" spans="1:13" x14ac:dyDescent="0.25">
      <c r="A313" s="1">
        <v>44553</v>
      </c>
      <c r="B313">
        <v>2022</v>
      </c>
      <c r="C313" t="s">
        <v>305</v>
      </c>
      <c r="D313" t="s">
        <v>182</v>
      </c>
      <c r="E313" t="s">
        <v>306</v>
      </c>
      <c r="F313" t="s">
        <v>46</v>
      </c>
      <c r="G313" t="s">
        <v>46</v>
      </c>
      <c r="H313" s="2">
        <v>105238</v>
      </c>
      <c r="I313" s="2">
        <v>105238</v>
      </c>
      <c r="J313" s="9">
        <v>1</v>
      </c>
      <c r="L313" s="2">
        <v>105238</v>
      </c>
      <c r="M313" s="7">
        <f t="shared" si="13"/>
        <v>105238</v>
      </c>
    </row>
    <row r="314" spans="1:13" x14ac:dyDescent="0.25">
      <c r="A314" s="1">
        <v>44553</v>
      </c>
      <c r="B314">
        <v>2022</v>
      </c>
      <c r="C314" t="s">
        <v>305</v>
      </c>
      <c r="D314" t="s">
        <v>182</v>
      </c>
      <c r="E314" t="s">
        <v>306</v>
      </c>
      <c r="F314" t="s">
        <v>35</v>
      </c>
      <c r="G314" t="s">
        <v>74</v>
      </c>
      <c r="H314" s="2">
        <v>9766</v>
      </c>
      <c r="I314" s="2">
        <v>9766</v>
      </c>
      <c r="J314" s="9">
        <v>1</v>
      </c>
      <c r="L314" s="2">
        <v>9766</v>
      </c>
      <c r="M314" s="7">
        <f t="shared" si="13"/>
        <v>9766</v>
      </c>
    </row>
    <row r="315" spans="1:13" x14ac:dyDescent="0.25">
      <c r="A315" s="1">
        <v>44564</v>
      </c>
      <c r="B315">
        <v>2022</v>
      </c>
      <c r="C315" t="s">
        <v>307</v>
      </c>
      <c r="D315" t="s">
        <v>181</v>
      </c>
      <c r="E315" t="s">
        <v>308</v>
      </c>
      <c r="F315" t="s">
        <v>6</v>
      </c>
      <c r="G315" t="s">
        <v>6</v>
      </c>
      <c r="H315" s="2">
        <v>91172</v>
      </c>
      <c r="I315" s="2">
        <v>91172</v>
      </c>
      <c r="J315" s="9">
        <v>1</v>
      </c>
      <c r="L315" s="2">
        <v>91172</v>
      </c>
      <c r="M315" s="7">
        <f t="shared" si="13"/>
        <v>91172</v>
      </c>
    </row>
    <row r="316" spans="1:13" x14ac:dyDescent="0.25">
      <c r="A316" s="1">
        <v>44572</v>
      </c>
      <c r="B316">
        <v>2022</v>
      </c>
      <c r="C316" t="s">
        <v>309</v>
      </c>
      <c r="D316" t="s">
        <v>182</v>
      </c>
      <c r="E316" t="s">
        <v>306</v>
      </c>
      <c r="F316" t="s">
        <v>8</v>
      </c>
      <c r="G316" t="s">
        <v>8</v>
      </c>
      <c r="H316" s="2">
        <v>5228298</v>
      </c>
      <c r="I316" s="2">
        <v>5228298</v>
      </c>
      <c r="J316" s="9">
        <v>1</v>
      </c>
      <c r="L316" s="2">
        <v>5228298</v>
      </c>
      <c r="M316" s="7">
        <f t="shared" si="13"/>
        <v>5228298</v>
      </c>
    </row>
    <row r="317" spans="1:13" x14ac:dyDescent="0.25">
      <c r="A317" s="1">
        <v>44658</v>
      </c>
      <c r="B317">
        <v>2022</v>
      </c>
      <c r="C317" t="s">
        <v>310</v>
      </c>
      <c r="D317" t="s">
        <v>182</v>
      </c>
      <c r="E317" t="s">
        <v>311</v>
      </c>
      <c r="F317" t="s">
        <v>399</v>
      </c>
      <c r="G317" t="s">
        <v>399</v>
      </c>
      <c r="H317" s="2">
        <v>78750</v>
      </c>
      <c r="I317" s="2">
        <v>78750</v>
      </c>
      <c r="J317" s="9">
        <v>1</v>
      </c>
      <c r="L317" s="2">
        <v>78750</v>
      </c>
      <c r="M317" s="7">
        <f t="shared" ref="M317:M344" si="16">L317*J317</f>
        <v>78750</v>
      </c>
    </row>
    <row r="318" spans="1:13" x14ac:dyDescent="0.25">
      <c r="A318" s="48">
        <v>44672</v>
      </c>
      <c r="B318">
        <v>2022</v>
      </c>
      <c r="C318" t="s">
        <v>312</v>
      </c>
      <c r="D318" t="s">
        <v>181</v>
      </c>
      <c r="E318" t="s">
        <v>311</v>
      </c>
      <c r="F318" t="s">
        <v>6</v>
      </c>
      <c r="G318" t="s">
        <v>6</v>
      </c>
      <c r="H318" s="2">
        <v>141442</v>
      </c>
      <c r="I318" s="2">
        <v>141442</v>
      </c>
      <c r="J318" s="9">
        <v>1</v>
      </c>
      <c r="L318" s="2">
        <v>141442</v>
      </c>
      <c r="M318" s="7">
        <f t="shared" si="16"/>
        <v>141442</v>
      </c>
    </row>
    <row r="319" spans="1:13" x14ac:dyDescent="0.25">
      <c r="A319" s="1">
        <v>44672</v>
      </c>
      <c r="B319">
        <v>2022</v>
      </c>
      <c r="C319" t="s">
        <v>313</v>
      </c>
      <c r="D319" t="s">
        <v>181</v>
      </c>
      <c r="E319" t="s">
        <v>311</v>
      </c>
      <c r="F319" t="s">
        <v>6</v>
      </c>
      <c r="G319" t="s">
        <v>6</v>
      </c>
      <c r="H319" s="2">
        <v>45908</v>
      </c>
      <c r="I319" s="2">
        <v>45908</v>
      </c>
      <c r="J319" s="9">
        <v>1</v>
      </c>
      <c r="L319" s="2">
        <v>45908</v>
      </c>
      <c r="M319" s="7">
        <f t="shared" si="16"/>
        <v>45908</v>
      </c>
    </row>
    <row r="320" spans="1:13" x14ac:dyDescent="0.25">
      <c r="A320" s="1">
        <v>44676</v>
      </c>
      <c r="B320">
        <v>2022</v>
      </c>
      <c r="C320" t="s">
        <v>314</v>
      </c>
      <c r="D320" t="s">
        <v>181</v>
      </c>
      <c r="E320" t="s">
        <v>315</v>
      </c>
      <c r="F320" t="s">
        <v>8</v>
      </c>
      <c r="G320" t="s">
        <v>8</v>
      </c>
      <c r="H320" s="3">
        <f>I320*J320</f>
        <v>13070675.430000002</v>
      </c>
      <c r="I320" s="2">
        <v>48409909</v>
      </c>
      <c r="J320" s="9">
        <v>0.27</v>
      </c>
      <c r="K320" t="s">
        <v>185</v>
      </c>
      <c r="L320" s="2">
        <v>6131855</v>
      </c>
      <c r="M320" s="7">
        <f t="shared" si="16"/>
        <v>1655600.85</v>
      </c>
    </row>
    <row r="321" spans="1:13" x14ac:dyDescent="0.25">
      <c r="A321" s="1">
        <v>44676</v>
      </c>
      <c r="B321">
        <v>2022</v>
      </c>
      <c r="C321" t="s">
        <v>314</v>
      </c>
      <c r="D321" t="s">
        <v>181</v>
      </c>
      <c r="E321" t="s">
        <v>315</v>
      </c>
      <c r="F321" t="s">
        <v>46</v>
      </c>
      <c r="G321" t="s">
        <v>46</v>
      </c>
      <c r="H321" s="3">
        <f>I321*J321</f>
        <v>13070675.430000002</v>
      </c>
      <c r="I321" s="2">
        <v>48409909</v>
      </c>
      <c r="J321" s="9">
        <v>0.27</v>
      </c>
      <c r="L321" s="2">
        <v>6131855</v>
      </c>
      <c r="M321" s="7">
        <f t="shared" si="16"/>
        <v>1655600.85</v>
      </c>
    </row>
    <row r="322" spans="1:13" x14ac:dyDescent="0.25">
      <c r="A322" s="1">
        <v>44676</v>
      </c>
      <c r="B322">
        <v>2022</v>
      </c>
      <c r="C322" t="s">
        <v>314</v>
      </c>
      <c r="D322" t="s">
        <v>181</v>
      </c>
      <c r="E322" t="s">
        <v>315</v>
      </c>
      <c r="F322" t="s">
        <v>81</v>
      </c>
      <c r="G322" t="s">
        <v>81</v>
      </c>
      <c r="H322" s="2">
        <f>I322*J322</f>
        <v>13070675.430000002</v>
      </c>
      <c r="I322" s="2">
        <v>48409909</v>
      </c>
      <c r="J322" s="9">
        <v>0.27</v>
      </c>
      <c r="L322" s="2">
        <v>6131855</v>
      </c>
      <c r="M322" s="7">
        <f t="shared" si="16"/>
        <v>1655600.85</v>
      </c>
    </row>
    <row r="323" spans="1:13" x14ac:dyDescent="0.25">
      <c r="A323" s="1">
        <v>44676</v>
      </c>
      <c r="B323">
        <v>2022</v>
      </c>
      <c r="C323" t="s">
        <v>314</v>
      </c>
      <c r="D323" t="s">
        <v>181</v>
      </c>
      <c r="E323" t="s">
        <v>315</v>
      </c>
      <c r="F323" t="s">
        <v>316</v>
      </c>
      <c r="G323" t="s">
        <v>31</v>
      </c>
      <c r="H323" s="3">
        <f>I323*J323</f>
        <v>6293288.1699999999</v>
      </c>
      <c r="I323" s="2">
        <v>48409909</v>
      </c>
      <c r="J323" s="9">
        <v>0.13</v>
      </c>
      <c r="L323" s="2">
        <v>6131855</v>
      </c>
      <c r="M323" s="7">
        <f t="shared" si="16"/>
        <v>797141.15</v>
      </c>
    </row>
    <row r="324" spans="1:13" x14ac:dyDescent="0.25">
      <c r="A324" s="1">
        <v>44676</v>
      </c>
      <c r="B324">
        <v>2022</v>
      </c>
      <c r="C324" t="s">
        <v>314</v>
      </c>
      <c r="D324" t="s">
        <v>181</v>
      </c>
      <c r="E324" t="s">
        <v>315</v>
      </c>
      <c r="F324" t="s">
        <v>317</v>
      </c>
      <c r="G324" t="s">
        <v>189</v>
      </c>
      <c r="H324" s="3">
        <f>I324*J324</f>
        <v>2904594.54</v>
      </c>
      <c r="I324" s="2">
        <v>48409909</v>
      </c>
      <c r="J324" s="9">
        <v>0.06</v>
      </c>
      <c r="L324" s="2">
        <v>6131855</v>
      </c>
      <c r="M324" s="7">
        <f t="shared" si="16"/>
        <v>367911.3</v>
      </c>
    </row>
    <row r="325" spans="1:13" x14ac:dyDescent="0.25">
      <c r="A325" s="1">
        <v>44708</v>
      </c>
      <c r="B325">
        <v>2022</v>
      </c>
      <c r="C325" t="s">
        <v>318</v>
      </c>
      <c r="D325" t="s">
        <v>182</v>
      </c>
      <c r="E325">
        <v>2020</v>
      </c>
      <c r="F325" t="s">
        <v>319</v>
      </c>
      <c r="G325" t="s">
        <v>319</v>
      </c>
      <c r="H325" s="8">
        <v>225937</v>
      </c>
      <c r="I325" s="8">
        <v>225937</v>
      </c>
      <c r="J325" s="9">
        <v>1</v>
      </c>
      <c r="L325" s="2">
        <v>225937.86</v>
      </c>
      <c r="M325" s="7">
        <f t="shared" si="16"/>
        <v>225937.86</v>
      </c>
    </row>
    <row r="326" spans="1:13" x14ac:dyDescent="0.25">
      <c r="A326" s="1">
        <v>44757</v>
      </c>
      <c r="B326">
        <v>2022</v>
      </c>
      <c r="C326" t="s">
        <v>320</v>
      </c>
      <c r="D326" t="s">
        <v>182</v>
      </c>
      <c r="E326">
        <v>2018</v>
      </c>
      <c r="F326" t="s">
        <v>253</v>
      </c>
      <c r="G326" t="s">
        <v>74</v>
      </c>
      <c r="H326" s="8">
        <v>430500</v>
      </c>
      <c r="I326" s="8">
        <v>430500</v>
      </c>
      <c r="J326" s="9">
        <v>1</v>
      </c>
      <c r="L326" s="2">
        <v>430500</v>
      </c>
      <c r="M326" s="7">
        <f t="shared" si="16"/>
        <v>430500</v>
      </c>
    </row>
    <row r="327" spans="1:13" x14ac:dyDescent="0.25">
      <c r="A327" s="1">
        <v>44830</v>
      </c>
      <c r="B327">
        <v>2022</v>
      </c>
      <c r="C327" t="s">
        <v>321</v>
      </c>
      <c r="D327" t="s">
        <v>182</v>
      </c>
      <c r="E327" t="s">
        <v>290</v>
      </c>
      <c r="F327" t="s">
        <v>6</v>
      </c>
      <c r="G327" t="s">
        <v>6</v>
      </c>
      <c r="H327" s="7">
        <f t="shared" ref="H327:H335" si="17">I327*J327</f>
        <v>221618</v>
      </c>
      <c r="I327" s="2">
        <v>1108090</v>
      </c>
      <c r="J327" s="9">
        <v>0.2</v>
      </c>
      <c r="K327" t="s">
        <v>183</v>
      </c>
      <c r="L327" s="2">
        <v>720258</v>
      </c>
      <c r="M327" s="7">
        <f t="shared" si="16"/>
        <v>144051.6</v>
      </c>
    </row>
    <row r="328" spans="1:13" x14ac:dyDescent="0.25">
      <c r="A328" s="1">
        <v>44830</v>
      </c>
      <c r="B328">
        <v>2022</v>
      </c>
      <c r="C328" t="s">
        <v>321</v>
      </c>
      <c r="D328" t="s">
        <v>182</v>
      </c>
      <c r="E328" t="s">
        <v>290</v>
      </c>
      <c r="F328" t="s">
        <v>399</v>
      </c>
      <c r="G328" t="s">
        <v>399</v>
      </c>
      <c r="H328" s="7">
        <f t="shared" si="17"/>
        <v>221618</v>
      </c>
      <c r="I328" s="2">
        <v>1108090</v>
      </c>
      <c r="J328" s="9">
        <v>0.2</v>
      </c>
      <c r="L328" s="2">
        <v>720258</v>
      </c>
      <c r="M328" s="7">
        <f t="shared" si="16"/>
        <v>144051.6</v>
      </c>
    </row>
    <row r="329" spans="1:13" x14ac:dyDescent="0.25">
      <c r="A329" s="1">
        <v>44830</v>
      </c>
      <c r="B329">
        <v>2022</v>
      </c>
      <c r="C329" t="s">
        <v>321</v>
      </c>
      <c r="D329" t="s">
        <v>182</v>
      </c>
      <c r="E329" t="s">
        <v>290</v>
      </c>
      <c r="F329" t="s">
        <v>8</v>
      </c>
      <c r="G329" t="s">
        <v>8</v>
      </c>
      <c r="H329" s="7">
        <f t="shared" si="17"/>
        <v>221618</v>
      </c>
      <c r="I329" s="2">
        <v>1108090</v>
      </c>
      <c r="J329" s="9">
        <v>0.2</v>
      </c>
      <c r="L329" s="2">
        <v>720258</v>
      </c>
      <c r="M329" s="7">
        <f t="shared" si="16"/>
        <v>144051.6</v>
      </c>
    </row>
    <row r="330" spans="1:13" x14ac:dyDescent="0.25">
      <c r="A330" s="1">
        <v>44830</v>
      </c>
      <c r="B330">
        <v>2022</v>
      </c>
      <c r="C330" t="s">
        <v>321</v>
      </c>
      <c r="D330" t="s">
        <v>182</v>
      </c>
      <c r="E330" t="s">
        <v>290</v>
      </c>
      <c r="F330" t="s">
        <v>415</v>
      </c>
      <c r="G330" t="s">
        <v>415</v>
      </c>
      <c r="H330" s="7">
        <f t="shared" si="17"/>
        <v>221618</v>
      </c>
      <c r="I330" s="2">
        <v>1108090</v>
      </c>
      <c r="J330" s="9">
        <v>0.2</v>
      </c>
      <c r="L330" s="2">
        <v>720258</v>
      </c>
      <c r="M330" s="7">
        <f t="shared" si="16"/>
        <v>144051.6</v>
      </c>
    </row>
    <row r="331" spans="1:13" x14ac:dyDescent="0.25">
      <c r="A331" s="1">
        <v>44830</v>
      </c>
      <c r="B331">
        <v>2022</v>
      </c>
      <c r="C331" t="s">
        <v>321</v>
      </c>
      <c r="D331" t="s">
        <v>182</v>
      </c>
      <c r="E331" t="s">
        <v>290</v>
      </c>
      <c r="F331" t="s">
        <v>81</v>
      </c>
      <c r="G331" t="s">
        <v>81</v>
      </c>
      <c r="H331" s="7">
        <f t="shared" si="17"/>
        <v>221618</v>
      </c>
      <c r="I331" s="2">
        <v>1108090</v>
      </c>
      <c r="J331" s="9">
        <v>0.2</v>
      </c>
      <c r="L331" s="2">
        <v>720258</v>
      </c>
      <c r="M331" s="7">
        <f t="shared" si="16"/>
        <v>144051.6</v>
      </c>
    </row>
    <row r="332" spans="1:13" x14ac:dyDescent="0.25">
      <c r="A332" s="1">
        <v>44830</v>
      </c>
      <c r="B332">
        <v>2022</v>
      </c>
      <c r="C332" t="s">
        <v>4</v>
      </c>
      <c r="D332" t="s">
        <v>182</v>
      </c>
      <c r="E332" t="s">
        <v>322</v>
      </c>
      <c r="F332" t="s">
        <v>6</v>
      </c>
      <c r="G332" t="s">
        <v>6</v>
      </c>
      <c r="H332" s="7">
        <f t="shared" si="17"/>
        <v>203604.39</v>
      </c>
      <c r="I332" s="7">
        <v>616983</v>
      </c>
      <c r="J332" s="44">
        <v>0.33</v>
      </c>
      <c r="K332" t="s">
        <v>183</v>
      </c>
      <c r="L332" s="2">
        <v>401039</v>
      </c>
      <c r="M332" s="7">
        <f t="shared" si="16"/>
        <v>132342.87</v>
      </c>
    </row>
    <row r="333" spans="1:13" x14ac:dyDescent="0.25">
      <c r="A333" s="1">
        <v>44830</v>
      </c>
      <c r="B333">
        <v>2022</v>
      </c>
      <c r="C333" t="s">
        <v>4</v>
      </c>
      <c r="D333" t="s">
        <v>182</v>
      </c>
      <c r="E333" t="s">
        <v>322</v>
      </c>
      <c r="F333" t="s">
        <v>8</v>
      </c>
      <c r="G333" t="s">
        <v>8</v>
      </c>
      <c r="H333" s="7">
        <f t="shared" si="17"/>
        <v>205661</v>
      </c>
      <c r="I333" s="7">
        <v>616983</v>
      </c>
      <c r="J333" s="44">
        <v>0.33333333333333331</v>
      </c>
      <c r="L333" s="2">
        <v>401039</v>
      </c>
      <c r="M333" s="7">
        <f t="shared" si="16"/>
        <v>133679.66666666666</v>
      </c>
    </row>
    <row r="334" spans="1:13" x14ac:dyDescent="0.25">
      <c r="A334" s="1">
        <v>44830</v>
      </c>
      <c r="B334">
        <v>2022</v>
      </c>
      <c r="C334" t="s">
        <v>4</v>
      </c>
      <c r="D334" t="s">
        <v>182</v>
      </c>
      <c r="E334" t="s">
        <v>322</v>
      </c>
      <c r="F334" t="s">
        <v>81</v>
      </c>
      <c r="G334" t="s">
        <v>81</v>
      </c>
      <c r="H334" s="7">
        <f t="shared" si="17"/>
        <v>205661</v>
      </c>
      <c r="I334" s="7">
        <v>616983</v>
      </c>
      <c r="J334" s="44">
        <v>0.33333333333333331</v>
      </c>
      <c r="L334" s="2">
        <v>401039</v>
      </c>
      <c r="M334" s="7">
        <f t="shared" si="16"/>
        <v>133679.66666666666</v>
      </c>
    </row>
    <row r="335" spans="1:13" x14ac:dyDescent="0.25">
      <c r="A335" s="1">
        <v>44834</v>
      </c>
      <c r="B335">
        <v>2022</v>
      </c>
      <c r="C335" t="s">
        <v>323</v>
      </c>
      <c r="D335" t="s">
        <v>182</v>
      </c>
      <c r="E335" t="s">
        <v>331</v>
      </c>
      <c r="F335" t="s">
        <v>332</v>
      </c>
      <c r="G335" t="s">
        <v>6</v>
      </c>
      <c r="H335" s="49">
        <f t="shared" si="17"/>
        <v>38682.800000000003</v>
      </c>
      <c r="I335" s="49">
        <v>193414</v>
      </c>
      <c r="J335" s="9">
        <v>0.2</v>
      </c>
      <c r="K335" t="s">
        <v>183</v>
      </c>
      <c r="L335" s="2">
        <v>116048</v>
      </c>
      <c r="M335" s="2">
        <f t="shared" si="16"/>
        <v>23209.600000000002</v>
      </c>
    </row>
    <row r="336" spans="1:13" x14ac:dyDescent="0.25">
      <c r="A336" s="1">
        <v>44834</v>
      </c>
      <c r="B336">
        <v>2022</v>
      </c>
      <c r="C336" t="s">
        <v>323</v>
      </c>
      <c r="D336" t="s">
        <v>182</v>
      </c>
      <c r="E336" t="s">
        <v>331</v>
      </c>
      <c r="F336" t="s">
        <v>332</v>
      </c>
      <c r="G336" t="s">
        <v>8</v>
      </c>
      <c r="H336" s="49">
        <f t="shared" ref="H336:H344" si="18">I336*J336</f>
        <v>38682.800000000003</v>
      </c>
      <c r="I336" s="49">
        <v>193414</v>
      </c>
      <c r="J336" s="9">
        <v>0.2</v>
      </c>
      <c r="L336" s="2">
        <v>116048</v>
      </c>
      <c r="M336" s="2">
        <f t="shared" si="16"/>
        <v>23209.600000000002</v>
      </c>
    </row>
    <row r="337" spans="1:13" x14ac:dyDescent="0.25">
      <c r="A337" s="1">
        <v>44834</v>
      </c>
      <c r="B337">
        <v>2022</v>
      </c>
      <c r="C337" t="s">
        <v>323</v>
      </c>
      <c r="D337" t="s">
        <v>182</v>
      </c>
      <c r="E337" t="s">
        <v>331</v>
      </c>
      <c r="F337" t="s">
        <v>332</v>
      </c>
      <c r="G337" t="s">
        <v>81</v>
      </c>
      <c r="H337" s="49">
        <f t="shared" si="18"/>
        <v>38682.800000000003</v>
      </c>
      <c r="I337" s="49">
        <v>193414</v>
      </c>
      <c r="J337" s="9">
        <v>0.2</v>
      </c>
      <c r="L337" s="2">
        <v>116048</v>
      </c>
      <c r="M337" s="2">
        <f t="shared" si="16"/>
        <v>23209.600000000002</v>
      </c>
    </row>
    <row r="338" spans="1:13" x14ac:dyDescent="0.25">
      <c r="A338" s="1">
        <v>44834</v>
      </c>
      <c r="B338">
        <v>2022</v>
      </c>
      <c r="C338" t="s">
        <v>323</v>
      </c>
      <c r="D338" t="s">
        <v>182</v>
      </c>
      <c r="E338" t="s">
        <v>331</v>
      </c>
      <c r="F338" t="s">
        <v>332</v>
      </c>
      <c r="G338" t="s">
        <v>46</v>
      </c>
      <c r="H338" s="49">
        <f t="shared" si="18"/>
        <v>38682.800000000003</v>
      </c>
      <c r="I338" s="49">
        <v>193414</v>
      </c>
      <c r="J338" s="9">
        <v>0.2</v>
      </c>
      <c r="L338" s="2">
        <v>116048</v>
      </c>
      <c r="M338" s="2">
        <f t="shared" si="16"/>
        <v>23209.600000000002</v>
      </c>
    </row>
    <row r="339" spans="1:13" x14ac:dyDescent="0.25">
      <c r="A339" s="1">
        <v>44834</v>
      </c>
      <c r="B339">
        <v>2022</v>
      </c>
      <c r="C339" t="s">
        <v>323</v>
      </c>
      <c r="D339" t="s">
        <v>182</v>
      </c>
      <c r="E339" t="s">
        <v>331</v>
      </c>
      <c r="F339" t="s">
        <v>332</v>
      </c>
      <c r="G339" t="s">
        <v>399</v>
      </c>
      <c r="H339" s="49">
        <f t="shared" si="18"/>
        <v>38682.800000000003</v>
      </c>
      <c r="I339" s="49">
        <v>193414</v>
      </c>
      <c r="J339" s="9">
        <v>0.2</v>
      </c>
      <c r="L339" s="2">
        <v>116048</v>
      </c>
      <c r="M339" s="2">
        <f t="shared" si="16"/>
        <v>23209.600000000002</v>
      </c>
    </row>
    <row r="340" spans="1:13" x14ac:dyDescent="0.25">
      <c r="A340" s="1">
        <v>44845</v>
      </c>
      <c r="B340">
        <v>2023</v>
      </c>
      <c r="C340" t="s">
        <v>324</v>
      </c>
      <c r="D340" t="s">
        <v>182</v>
      </c>
      <c r="E340" t="s">
        <v>334</v>
      </c>
      <c r="F340" t="s">
        <v>459</v>
      </c>
      <c r="G340" t="s">
        <v>399</v>
      </c>
      <c r="H340" s="49">
        <f t="shared" si="18"/>
        <v>97123316.800000012</v>
      </c>
      <c r="I340" s="2">
        <v>485616584</v>
      </c>
      <c r="J340" s="9">
        <v>0.2</v>
      </c>
      <c r="K340" t="s">
        <v>183</v>
      </c>
      <c r="L340" s="2">
        <v>24280829</v>
      </c>
      <c r="M340" s="2">
        <f t="shared" si="16"/>
        <v>4856165.8</v>
      </c>
    </row>
    <row r="341" spans="1:13" x14ac:dyDescent="0.25">
      <c r="A341" s="1">
        <v>44845</v>
      </c>
      <c r="B341">
        <v>2023</v>
      </c>
      <c r="C341" t="s">
        <v>324</v>
      </c>
      <c r="D341" t="s">
        <v>182</v>
      </c>
      <c r="E341" t="s">
        <v>334</v>
      </c>
      <c r="F341" t="s">
        <v>459</v>
      </c>
      <c r="G341" t="s">
        <v>6</v>
      </c>
      <c r="H341" s="49">
        <f t="shared" si="18"/>
        <v>97123316.800000012</v>
      </c>
      <c r="I341" s="2">
        <v>485616584</v>
      </c>
      <c r="J341" s="9">
        <v>0.2</v>
      </c>
      <c r="L341" s="2">
        <v>24280829</v>
      </c>
      <c r="M341" s="2">
        <f t="shared" si="16"/>
        <v>4856165.8</v>
      </c>
    </row>
    <row r="342" spans="1:13" x14ac:dyDescent="0.25">
      <c r="A342" s="1">
        <v>44845</v>
      </c>
      <c r="B342">
        <v>2023</v>
      </c>
      <c r="C342" t="s">
        <v>324</v>
      </c>
      <c r="D342" t="s">
        <v>182</v>
      </c>
      <c r="E342" t="s">
        <v>334</v>
      </c>
      <c r="F342" t="s">
        <v>459</v>
      </c>
      <c r="G342" t="s">
        <v>8</v>
      </c>
      <c r="H342" s="49">
        <f t="shared" si="18"/>
        <v>97123316.800000012</v>
      </c>
      <c r="I342" s="2">
        <v>485616584</v>
      </c>
      <c r="J342" s="9">
        <v>0.2</v>
      </c>
      <c r="L342" s="2">
        <v>24280829</v>
      </c>
      <c r="M342" s="2">
        <f t="shared" si="16"/>
        <v>4856165.8</v>
      </c>
    </row>
    <row r="343" spans="1:13" x14ac:dyDescent="0.25">
      <c r="A343" s="1">
        <v>44845</v>
      </c>
      <c r="B343">
        <v>2023</v>
      </c>
      <c r="C343" t="s">
        <v>324</v>
      </c>
      <c r="D343" t="s">
        <v>182</v>
      </c>
      <c r="E343" t="s">
        <v>334</v>
      </c>
      <c r="F343" t="s">
        <v>459</v>
      </c>
      <c r="G343" t="s">
        <v>415</v>
      </c>
      <c r="H343" s="49">
        <f t="shared" si="18"/>
        <v>97123316.800000012</v>
      </c>
      <c r="I343" s="2">
        <v>485616584</v>
      </c>
      <c r="J343" s="9">
        <v>0.2</v>
      </c>
      <c r="L343" s="2">
        <v>24280829</v>
      </c>
      <c r="M343" s="2">
        <f t="shared" si="16"/>
        <v>4856165.8</v>
      </c>
    </row>
    <row r="344" spans="1:13" x14ac:dyDescent="0.25">
      <c r="A344" s="1">
        <v>44845</v>
      </c>
      <c r="B344">
        <v>2023</v>
      </c>
      <c r="C344" t="s">
        <v>324</v>
      </c>
      <c r="D344" t="s">
        <v>182</v>
      </c>
      <c r="E344" t="s">
        <v>334</v>
      </c>
      <c r="F344" t="s">
        <v>459</v>
      </c>
      <c r="G344" t="s">
        <v>81</v>
      </c>
      <c r="H344" s="49">
        <f t="shared" si="18"/>
        <v>97123316.800000012</v>
      </c>
      <c r="I344" s="2">
        <v>485616584</v>
      </c>
      <c r="J344" s="9">
        <v>0.2</v>
      </c>
      <c r="L344" s="2">
        <v>24280829</v>
      </c>
      <c r="M344" s="2">
        <f t="shared" si="16"/>
        <v>4856165.8</v>
      </c>
    </row>
    <row r="345" spans="1:13" x14ac:dyDescent="0.25">
      <c r="A345" s="1">
        <v>44893</v>
      </c>
      <c r="B345">
        <v>2023</v>
      </c>
      <c r="C345" t="s">
        <v>335</v>
      </c>
      <c r="D345" t="s">
        <v>182</v>
      </c>
      <c r="E345" t="s">
        <v>281</v>
      </c>
      <c r="F345" t="s">
        <v>8</v>
      </c>
      <c r="G345" t="s">
        <v>8</v>
      </c>
      <c r="H345" s="7">
        <v>840288</v>
      </c>
      <c r="I345" s="7">
        <v>840288</v>
      </c>
      <c r="J345" s="9">
        <v>1</v>
      </c>
      <c r="L345" s="2">
        <v>362158</v>
      </c>
      <c r="M345" s="2">
        <v>362158</v>
      </c>
    </row>
    <row r="346" spans="1:13" x14ac:dyDescent="0.25">
      <c r="A346" s="1">
        <v>44925</v>
      </c>
      <c r="B346">
        <v>2023</v>
      </c>
      <c r="C346" t="s">
        <v>325</v>
      </c>
      <c r="D346" t="s">
        <v>182</v>
      </c>
      <c r="E346" t="s">
        <v>287</v>
      </c>
      <c r="F346" t="s">
        <v>416</v>
      </c>
      <c r="G346" t="s">
        <v>8</v>
      </c>
      <c r="H346" s="3">
        <f>I346*J346</f>
        <v>7299683.333333333</v>
      </c>
      <c r="I346" s="2">
        <v>21899050</v>
      </c>
      <c r="J346" s="44">
        <v>0.33333333333333331</v>
      </c>
      <c r="K346" t="s">
        <v>183</v>
      </c>
      <c r="L346" s="2">
        <v>4379810</v>
      </c>
      <c r="M346" s="2">
        <f t="shared" ref="M346:M376" si="19">L346*J346</f>
        <v>1459936.6666666665</v>
      </c>
    </row>
    <row r="347" spans="1:13" x14ac:dyDescent="0.25">
      <c r="A347" s="1">
        <v>44925</v>
      </c>
      <c r="B347">
        <v>2023</v>
      </c>
      <c r="C347" t="s">
        <v>325</v>
      </c>
      <c r="D347" t="s">
        <v>182</v>
      </c>
      <c r="E347" t="s">
        <v>287</v>
      </c>
      <c r="F347" t="s">
        <v>416</v>
      </c>
      <c r="G347" t="s">
        <v>415</v>
      </c>
      <c r="H347" s="3">
        <f>I347*J347</f>
        <v>7299683.333333333</v>
      </c>
      <c r="I347" s="2">
        <v>21899050</v>
      </c>
      <c r="J347" s="44">
        <v>0.33333333333333331</v>
      </c>
      <c r="L347" s="2">
        <v>4379810</v>
      </c>
      <c r="M347" s="2">
        <f t="shared" si="19"/>
        <v>1459936.6666666665</v>
      </c>
    </row>
    <row r="348" spans="1:13" x14ac:dyDescent="0.25">
      <c r="A348" s="1">
        <v>44925</v>
      </c>
      <c r="B348">
        <v>2023</v>
      </c>
      <c r="C348" t="s">
        <v>325</v>
      </c>
      <c r="D348" t="s">
        <v>181</v>
      </c>
      <c r="E348" t="s">
        <v>287</v>
      </c>
      <c r="F348" t="s">
        <v>416</v>
      </c>
      <c r="G348" t="s">
        <v>81</v>
      </c>
      <c r="H348" s="3">
        <f>I348*J348</f>
        <v>7299683.333333333</v>
      </c>
      <c r="I348" s="2">
        <v>21899050</v>
      </c>
      <c r="J348" s="44">
        <v>0.33333333333333331</v>
      </c>
      <c r="L348" s="2">
        <v>4379810</v>
      </c>
      <c r="M348" s="2">
        <f t="shared" si="19"/>
        <v>1459936.6666666665</v>
      </c>
    </row>
    <row r="349" spans="1:13" x14ac:dyDescent="0.25">
      <c r="A349" s="1">
        <v>44986</v>
      </c>
      <c r="B349">
        <v>2023</v>
      </c>
      <c r="C349" t="s">
        <v>326</v>
      </c>
      <c r="D349" t="s">
        <v>181</v>
      </c>
      <c r="E349">
        <v>2017</v>
      </c>
      <c r="F349" t="s">
        <v>46</v>
      </c>
      <c r="G349" t="s">
        <v>46</v>
      </c>
      <c r="H349" s="2">
        <v>475000</v>
      </c>
      <c r="I349" s="2">
        <v>475000</v>
      </c>
      <c r="J349" s="9">
        <v>1</v>
      </c>
      <c r="L349" s="2">
        <v>332500</v>
      </c>
      <c r="M349" s="2">
        <f t="shared" si="19"/>
        <v>332500</v>
      </c>
    </row>
    <row r="350" spans="1:13" x14ac:dyDescent="0.25">
      <c r="A350" s="1">
        <v>45015</v>
      </c>
      <c r="B350">
        <v>2023</v>
      </c>
      <c r="C350" t="s">
        <v>115</v>
      </c>
      <c r="D350" t="s">
        <v>182</v>
      </c>
      <c r="E350" t="s">
        <v>247</v>
      </c>
      <c r="F350" t="s">
        <v>416</v>
      </c>
      <c r="G350" t="s">
        <v>8</v>
      </c>
      <c r="H350" s="2">
        <f t="shared" ref="H350:H359" si="20">I350*J350</f>
        <v>177789737</v>
      </c>
      <c r="I350" s="2">
        <v>533369211</v>
      </c>
      <c r="J350" s="44">
        <v>0.33333333333333331</v>
      </c>
      <c r="K350" t="s">
        <v>183</v>
      </c>
      <c r="L350" s="2">
        <v>30000000</v>
      </c>
      <c r="M350" s="2">
        <f t="shared" si="19"/>
        <v>10000000</v>
      </c>
    </row>
    <row r="351" spans="1:13" x14ac:dyDescent="0.25">
      <c r="A351" s="1">
        <v>45015</v>
      </c>
      <c r="B351">
        <v>2023</v>
      </c>
      <c r="C351" t="s">
        <v>115</v>
      </c>
      <c r="D351" t="s">
        <v>182</v>
      </c>
      <c r="E351" t="s">
        <v>247</v>
      </c>
      <c r="F351" t="s">
        <v>416</v>
      </c>
      <c r="G351" t="s">
        <v>415</v>
      </c>
      <c r="H351" s="2">
        <f t="shared" si="20"/>
        <v>177789737</v>
      </c>
      <c r="I351" s="2">
        <v>533369211</v>
      </c>
      <c r="J351" s="44">
        <v>0.33333333333333331</v>
      </c>
      <c r="L351" s="2">
        <v>30000000</v>
      </c>
      <c r="M351" s="2">
        <f t="shared" si="19"/>
        <v>10000000</v>
      </c>
    </row>
    <row r="352" spans="1:13" x14ac:dyDescent="0.25">
      <c r="A352" s="1">
        <v>45015</v>
      </c>
      <c r="B352">
        <v>2023</v>
      </c>
      <c r="C352" t="s">
        <v>115</v>
      </c>
      <c r="D352" t="s">
        <v>182</v>
      </c>
      <c r="E352" t="s">
        <v>247</v>
      </c>
      <c r="F352" t="s">
        <v>416</v>
      </c>
      <c r="G352" t="s">
        <v>81</v>
      </c>
      <c r="H352" s="2">
        <f t="shared" si="20"/>
        <v>177789737</v>
      </c>
      <c r="I352" s="2">
        <v>533369211</v>
      </c>
      <c r="J352" s="44">
        <v>0.33333333333333331</v>
      </c>
      <c r="L352" s="7">
        <v>30000000</v>
      </c>
      <c r="M352" s="7">
        <f t="shared" si="19"/>
        <v>10000000</v>
      </c>
    </row>
    <row r="353" spans="1:13" x14ac:dyDescent="0.25">
      <c r="A353" s="1">
        <v>45016</v>
      </c>
      <c r="B353">
        <v>2023</v>
      </c>
      <c r="C353" t="s">
        <v>336</v>
      </c>
      <c r="D353" t="s">
        <v>182</v>
      </c>
      <c r="E353" t="s">
        <v>338</v>
      </c>
      <c r="F353" t="s">
        <v>337</v>
      </c>
      <c r="G353" t="s">
        <v>8</v>
      </c>
      <c r="H353" s="7">
        <f t="shared" si="20"/>
        <v>18057.600000000002</v>
      </c>
      <c r="I353" s="7">
        <v>90288</v>
      </c>
      <c r="J353" s="44">
        <v>0.2</v>
      </c>
      <c r="K353" s="50" t="s">
        <v>185</v>
      </c>
      <c r="L353" s="49">
        <v>72230</v>
      </c>
      <c r="M353" s="7">
        <f t="shared" si="19"/>
        <v>14446</v>
      </c>
    </row>
    <row r="354" spans="1:13" x14ac:dyDescent="0.25">
      <c r="A354" s="1">
        <v>45016</v>
      </c>
      <c r="B354">
        <v>2023</v>
      </c>
      <c r="C354" t="s">
        <v>336</v>
      </c>
      <c r="D354" t="s">
        <v>182</v>
      </c>
      <c r="E354" t="s">
        <v>338</v>
      </c>
      <c r="F354" t="s">
        <v>337</v>
      </c>
      <c r="G354" t="s">
        <v>6</v>
      </c>
      <c r="H354" s="7">
        <f t="shared" si="20"/>
        <v>71327.520000000004</v>
      </c>
      <c r="I354" s="7">
        <v>90288</v>
      </c>
      <c r="J354" s="44">
        <v>0.79</v>
      </c>
      <c r="K354" s="50"/>
      <c r="L354" s="49">
        <v>72230</v>
      </c>
      <c r="M354" s="7">
        <f t="shared" si="19"/>
        <v>57061.700000000004</v>
      </c>
    </row>
    <row r="355" spans="1:13" x14ac:dyDescent="0.25">
      <c r="A355" s="1">
        <v>45016</v>
      </c>
      <c r="B355">
        <v>2023</v>
      </c>
      <c r="C355" t="s">
        <v>336</v>
      </c>
      <c r="D355" t="s">
        <v>182</v>
      </c>
      <c r="E355" t="s">
        <v>338</v>
      </c>
      <c r="F355" t="s">
        <v>337</v>
      </c>
      <c r="G355" t="s">
        <v>319</v>
      </c>
      <c r="H355" s="7">
        <f t="shared" si="20"/>
        <v>902.88</v>
      </c>
      <c r="I355" s="7">
        <v>90288</v>
      </c>
      <c r="J355" s="44">
        <v>0.01</v>
      </c>
      <c r="K355" s="50"/>
      <c r="L355" s="49">
        <v>72230</v>
      </c>
      <c r="M355" s="7">
        <f t="shared" si="19"/>
        <v>722.30000000000007</v>
      </c>
    </row>
    <row r="356" spans="1:13" x14ac:dyDescent="0.25">
      <c r="A356" s="1">
        <v>45022</v>
      </c>
      <c r="B356">
        <v>2023</v>
      </c>
      <c r="C356" t="s">
        <v>327</v>
      </c>
      <c r="D356" t="s">
        <v>181</v>
      </c>
      <c r="E356" t="s">
        <v>339</v>
      </c>
      <c r="F356" t="s">
        <v>340</v>
      </c>
      <c r="G356" t="s">
        <v>6</v>
      </c>
      <c r="H356" s="7">
        <f t="shared" si="20"/>
        <v>1490132.75</v>
      </c>
      <c r="I356" s="7">
        <v>5960531</v>
      </c>
      <c r="J356" s="9">
        <v>0.25</v>
      </c>
      <c r="K356" t="s">
        <v>183</v>
      </c>
      <c r="L356" s="7">
        <v>2980265</v>
      </c>
      <c r="M356" s="7">
        <f t="shared" si="19"/>
        <v>745066.25</v>
      </c>
    </row>
    <row r="357" spans="1:13" x14ac:dyDescent="0.25">
      <c r="A357" s="1">
        <v>45022</v>
      </c>
      <c r="B357">
        <v>2023</v>
      </c>
      <c r="C357" t="s">
        <v>327</v>
      </c>
      <c r="D357" t="s">
        <v>181</v>
      </c>
      <c r="E357" t="s">
        <v>339</v>
      </c>
      <c r="F357" t="s">
        <v>340</v>
      </c>
      <c r="G357" t="s">
        <v>8</v>
      </c>
      <c r="H357" s="7">
        <f t="shared" si="20"/>
        <v>1490132.75</v>
      </c>
      <c r="I357" s="7">
        <v>5960531</v>
      </c>
      <c r="J357" s="9">
        <v>0.25</v>
      </c>
      <c r="L357" s="7">
        <v>2980265</v>
      </c>
      <c r="M357" s="7">
        <f t="shared" si="19"/>
        <v>745066.25</v>
      </c>
    </row>
    <row r="358" spans="1:13" x14ac:dyDescent="0.25">
      <c r="A358" s="1">
        <v>45022</v>
      </c>
      <c r="B358">
        <v>2023</v>
      </c>
      <c r="C358" t="s">
        <v>327</v>
      </c>
      <c r="D358" t="s">
        <v>181</v>
      </c>
      <c r="E358" t="s">
        <v>339</v>
      </c>
      <c r="F358" t="s">
        <v>340</v>
      </c>
      <c r="G358" t="s">
        <v>81</v>
      </c>
      <c r="H358" s="7">
        <f t="shared" si="20"/>
        <v>1490132.75</v>
      </c>
      <c r="I358" s="7">
        <v>5960531</v>
      </c>
      <c r="J358" s="9">
        <v>0.25</v>
      </c>
      <c r="L358" s="7">
        <v>2980265</v>
      </c>
      <c r="M358" s="7">
        <f t="shared" si="19"/>
        <v>745066.25</v>
      </c>
    </row>
    <row r="359" spans="1:13" x14ac:dyDescent="0.25">
      <c r="A359" s="1">
        <v>45022</v>
      </c>
      <c r="B359">
        <v>2023</v>
      </c>
      <c r="C359" t="s">
        <v>327</v>
      </c>
      <c r="D359" t="s">
        <v>181</v>
      </c>
      <c r="E359" t="s">
        <v>339</v>
      </c>
      <c r="F359" t="s">
        <v>340</v>
      </c>
      <c r="G359" t="s">
        <v>399</v>
      </c>
      <c r="H359" s="7">
        <f t="shared" si="20"/>
        <v>1490132.75</v>
      </c>
      <c r="I359" s="7">
        <v>5960531</v>
      </c>
      <c r="J359" s="9">
        <v>0.25</v>
      </c>
      <c r="L359" s="7">
        <v>2980265</v>
      </c>
      <c r="M359" s="7">
        <f t="shared" si="19"/>
        <v>745066.25</v>
      </c>
    </row>
    <row r="360" spans="1:13" x14ac:dyDescent="0.25">
      <c r="A360" s="1">
        <v>45041</v>
      </c>
      <c r="B360">
        <v>2023</v>
      </c>
      <c r="C360" t="s">
        <v>328</v>
      </c>
      <c r="D360" t="s">
        <v>181</v>
      </c>
      <c r="E360" t="s">
        <v>341</v>
      </c>
      <c r="F360" t="s">
        <v>46</v>
      </c>
      <c r="G360" t="s">
        <v>46</v>
      </c>
      <c r="H360" s="7">
        <v>508612492</v>
      </c>
      <c r="I360" s="7">
        <f>H360*J360</f>
        <v>508612492</v>
      </c>
      <c r="J360" s="9">
        <v>1</v>
      </c>
      <c r="L360" s="7">
        <v>508612492</v>
      </c>
      <c r="M360" s="7">
        <f t="shared" si="19"/>
        <v>508612492</v>
      </c>
    </row>
    <row r="361" spans="1:13" x14ac:dyDescent="0.25">
      <c r="A361" s="1">
        <v>45047</v>
      </c>
      <c r="B361">
        <v>2023</v>
      </c>
      <c r="C361" t="s">
        <v>329</v>
      </c>
      <c r="D361" t="s">
        <v>182</v>
      </c>
      <c r="E361" t="s">
        <v>342</v>
      </c>
      <c r="F361" t="s">
        <v>459</v>
      </c>
      <c r="G361" t="s">
        <v>399</v>
      </c>
      <c r="H361" s="7">
        <f>I361*J361</f>
        <v>19847400</v>
      </c>
      <c r="I361" s="7">
        <v>99237000</v>
      </c>
      <c r="J361" s="9">
        <v>0.2</v>
      </c>
      <c r="K361" t="s">
        <v>183</v>
      </c>
      <c r="L361" s="7">
        <v>7591630</v>
      </c>
      <c r="M361" s="7">
        <f t="shared" si="19"/>
        <v>1518326</v>
      </c>
    </row>
    <row r="362" spans="1:13" x14ac:dyDescent="0.25">
      <c r="A362" s="1">
        <v>45047</v>
      </c>
      <c r="B362">
        <v>2023</v>
      </c>
      <c r="C362" t="s">
        <v>329</v>
      </c>
      <c r="D362" t="s">
        <v>182</v>
      </c>
      <c r="E362" t="s">
        <v>342</v>
      </c>
      <c r="F362" t="s">
        <v>459</v>
      </c>
      <c r="G362" t="s">
        <v>6</v>
      </c>
      <c r="H362" s="7">
        <f>I362*J362</f>
        <v>19847400</v>
      </c>
      <c r="I362" s="7">
        <v>99237000</v>
      </c>
      <c r="J362" s="9">
        <v>0.2</v>
      </c>
      <c r="L362" s="7">
        <v>7591630</v>
      </c>
      <c r="M362" s="7">
        <f t="shared" si="19"/>
        <v>1518326</v>
      </c>
    </row>
    <row r="363" spans="1:13" x14ac:dyDescent="0.25">
      <c r="A363" s="1">
        <v>45047</v>
      </c>
      <c r="B363">
        <v>2023</v>
      </c>
      <c r="C363" t="s">
        <v>329</v>
      </c>
      <c r="D363" t="s">
        <v>182</v>
      </c>
      <c r="E363" t="s">
        <v>342</v>
      </c>
      <c r="F363" t="s">
        <v>459</v>
      </c>
      <c r="G363" t="s">
        <v>8</v>
      </c>
      <c r="H363" s="7">
        <f>I363*J363</f>
        <v>19847400</v>
      </c>
      <c r="I363" s="7">
        <v>99237000</v>
      </c>
      <c r="J363" s="9">
        <v>0.2</v>
      </c>
      <c r="L363" s="7">
        <v>7591630</v>
      </c>
      <c r="M363" s="7">
        <f t="shared" si="19"/>
        <v>1518326</v>
      </c>
    </row>
    <row r="364" spans="1:13" x14ac:dyDescent="0.25">
      <c r="A364" s="1">
        <v>45047</v>
      </c>
      <c r="B364">
        <v>2023</v>
      </c>
      <c r="C364" t="s">
        <v>329</v>
      </c>
      <c r="D364" t="s">
        <v>182</v>
      </c>
      <c r="E364" t="s">
        <v>342</v>
      </c>
      <c r="F364" t="s">
        <v>459</v>
      </c>
      <c r="G364" t="s">
        <v>415</v>
      </c>
      <c r="H364" s="7">
        <f>I364*J364</f>
        <v>19847400</v>
      </c>
      <c r="I364" s="7">
        <v>99237000</v>
      </c>
      <c r="J364" s="9">
        <v>0.2</v>
      </c>
      <c r="L364" s="7">
        <v>7591630</v>
      </c>
      <c r="M364" s="7">
        <f t="shared" si="19"/>
        <v>1518326</v>
      </c>
    </row>
    <row r="365" spans="1:13" x14ac:dyDescent="0.25">
      <c r="A365" s="1">
        <v>45047</v>
      </c>
      <c r="B365">
        <v>2023</v>
      </c>
      <c r="C365" t="s">
        <v>329</v>
      </c>
      <c r="D365" t="s">
        <v>182</v>
      </c>
      <c r="E365" t="s">
        <v>342</v>
      </c>
      <c r="F365" t="s">
        <v>459</v>
      </c>
      <c r="G365" t="s">
        <v>81</v>
      </c>
      <c r="H365" s="7">
        <f>I365*J365</f>
        <v>19847400</v>
      </c>
      <c r="I365" s="7">
        <v>99237000</v>
      </c>
      <c r="J365" s="9">
        <v>0.2</v>
      </c>
      <c r="L365" s="7">
        <v>7591630</v>
      </c>
      <c r="M365" s="7">
        <f t="shared" si="19"/>
        <v>1518326</v>
      </c>
    </row>
    <row r="366" spans="1:13" x14ac:dyDescent="0.25">
      <c r="A366" s="1">
        <v>45063</v>
      </c>
      <c r="B366">
        <v>2023</v>
      </c>
      <c r="C366" t="s">
        <v>330</v>
      </c>
      <c r="D366" t="s">
        <v>181</v>
      </c>
      <c r="E366" t="s">
        <v>343</v>
      </c>
      <c r="F366" t="s">
        <v>8</v>
      </c>
      <c r="G366" t="s">
        <v>8</v>
      </c>
      <c r="H366" s="7">
        <v>11114287</v>
      </c>
      <c r="I366" s="7">
        <v>11114287</v>
      </c>
      <c r="J366" s="9">
        <v>1</v>
      </c>
      <c r="L366" s="7">
        <v>3334286</v>
      </c>
      <c r="M366" s="7">
        <f t="shared" si="19"/>
        <v>3334286</v>
      </c>
    </row>
    <row r="367" spans="1:13" x14ac:dyDescent="0.25">
      <c r="A367" s="1">
        <v>45063</v>
      </c>
      <c r="B367">
        <v>2023</v>
      </c>
      <c r="C367" t="s">
        <v>172</v>
      </c>
      <c r="D367" t="s">
        <v>181</v>
      </c>
      <c r="E367" t="s">
        <v>343</v>
      </c>
      <c r="F367" t="s">
        <v>8</v>
      </c>
      <c r="G367" t="s">
        <v>8</v>
      </c>
      <c r="H367" s="7">
        <v>2787123</v>
      </c>
      <c r="I367" s="7">
        <v>2787123</v>
      </c>
      <c r="J367" s="9">
        <v>1</v>
      </c>
      <c r="L367" s="2">
        <v>175000</v>
      </c>
      <c r="M367" s="7">
        <f t="shared" si="19"/>
        <v>175000</v>
      </c>
    </row>
    <row r="368" spans="1:13" x14ac:dyDescent="0.25">
      <c r="A368" s="1">
        <v>45097</v>
      </c>
      <c r="B368">
        <v>2023</v>
      </c>
      <c r="C368" t="s">
        <v>333</v>
      </c>
      <c r="D368" t="s">
        <v>182</v>
      </c>
      <c r="E368" t="s">
        <v>244</v>
      </c>
      <c r="F368" t="s">
        <v>399</v>
      </c>
      <c r="G368" t="s">
        <v>399</v>
      </c>
      <c r="H368" s="7">
        <f t="shared" ref="H368:H376" si="21">I368*J368</f>
        <v>6238000</v>
      </c>
      <c r="I368" s="7">
        <v>6238000</v>
      </c>
      <c r="J368" s="9">
        <v>1</v>
      </c>
      <c r="L368" s="2">
        <v>3430900</v>
      </c>
      <c r="M368" s="7">
        <f t="shared" si="19"/>
        <v>3430900</v>
      </c>
    </row>
    <row r="369" spans="1:13" x14ac:dyDescent="0.25">
      <c r="A369" s="1">
        <v>45154</v>
      </c>
      <c r="B369">
        <v>2023</v>
      </c>
      <c r="C369" t="s">
        <v>345</v>
      </c>
      <c r="D369" t="s">
        <v>181</v>
      </c>
      <c r="E369" t="s">
        <v>311</v>
      </c>
      <c r="F369" t="s">
        <v>8</v>
      </c>
      <c r="G369" t="s">
        <v>8</v>
      </c>
      <c r="H369" s="7">
        <f t="shared" si="21"/>
        <v>1100991</v>
      </c>
      <c r="I369" s="7">
        <v>1100991</v>
      </c>
      <c r="J369" s="9">
        <v>1</v>
      </c>
      <c r="L369" s="7">
        <v>660594</v>
      </c>
      <c r="M369" s="7">
        <f t="shared" si="19"/>
        <v>660594</v>
      </c>
    </row>
    <row r="370" spans="1:13" x14ac:dyDescent="0.25">
      <c r="A370" s="1">
        <v>45190</v>
      </c>
      <c r="B370">
        <v>2023</v>
      </c>
      <c r="C370" t="s">
        <v>346</v>
      </c>
      <c r="D370" t="s">
        <v>181</v>
      </c>
      <c r="E370" t="s">
        <v>347</v>
      </c>
      <c r="F370" t="s">
        <v>8</v>
      </c>
      <c r="G370" t="s">
        <v>8</v>
      </c>
      <c r="H370" s="7">
        <f t="shared" si="21"/>
        <v>13740682</v>
      </c>
      <c r="I370" s="7">
        <v>13740682</v>
      </c>
      <c r="J370" s="9">
        <v>1</v>
      </c>
      <c r="L370" s="7">
        <v>9618477</v>
      </c>
      <c r="M370" s="7">
        <f t="shared" si="19"/>
        <v>9618477</v>
      </c>
    </row>
    <row r="371" spans="1:13" x14ac:dyDescent="0.25">
      <c r="A371" s="1">
        <v>45190</v>
      </c>
      <c r="B371">
        <v>2023</v>
      </c>
      <c r="C371" t="s">
        <v>348</v>
      </c>
      <c r="D371" t="s">
        <v>182</v>
      </c>
      <c r="E371" t="s">
        <v>349</v>
      </c>
      <c r="F371" t="s">
        <v>8</v>
      </c>
      <c r="G371" t="s">
        <v>8</v>
      </c>
      <c r="H371" s="7">
        <f t="shared" si="21"/>
        <v>45526</v>
      </c>
      <c r="I371" s="7">
        <v>45526</v>
      </c>
      <c r="J371" s="9">
        <v>1</v>
      </c>
      <c r="L371" s="49">
        <v>31867.9</v>
      </c>
      <c r="M371" s="7">
        <f t="shared" si="19"/>
        <v>31867.9</v>
      </c>
    </row>
    <row r="372" spans="1:13" x14ac:dyDescent="0.25">
      <c r="A372" s="1">
        <v>45236</v>
      </c>
      <c r="B372">
        <v>2024</v>
      </c>
      <c r="C372" t="s">
        <v>360</v>
      </c>
      <c r="D372" t="s">
        <v>182</v>
      </c>
      <c r="E372" t="s">
        <v>338</v>
      </c>
      <c r="F372" t="s">
        <v>361</v>
      </c>
      <c r="G372" t="s">
        <v>399</v>
      </c>
      <c r="H372" s="7">
        <f t="shared" si="21"/>
        <v>68737.5</v>
      </c>
      <c r="I372" s="7">
        <v>274950</v>
      </c>
      <c r="J372" s="9">
        <v>0.25</v>
      </c>
      <c r="K372" t="s">
        <v>183</v>
      </c>
      <c r="L372" s="49">
        <v>206213</v>
      </c>
      <c r="M372" s="7">
        <f t="shared" si="19"/>
        <v>51553.25</v>
      </c>
    </row>
    <row r="373" spans="1:13" x14ac:dyDescent="0.25">
      <c r="A373" s="1">
        <v>45236</v>
      </c>
      <c r="B373">
        <v>2024</v>
      </c>
      <c r="C373" t="s">
        <v>360</v>
      </c>
      <c r="D373" t="s">
        <v>182</v>
      </c>
      <c r="E373" t="s">
        <v>338</v>
      </c>
      <c r="F373" t="s">
        <v>8</v>
      </c>
      <c r="G373" t="s">
        <v>8</v>
      </c>
      <c r="H373" s="7">
        <f t="shared" si="21"/>
        <v>68737.5</v>
      </c>
      <c r="I373" s="7">
        <v>274950</v>
      </c>
      <c r="J373" s="9">
        <v>0.25</v>
      </c>
      <c r="L373" s="49">
        <v>206213</v>
      </c>
      <c r="M373" s="7">
        <f t="shared" si="19"/>
        <v>51553.25</v>
      </c>
    </row>
    <row r="374" spans="1:13" x14ac:dyDescent="0.25">
      <c r="A374" s="1">
        <v>45236</v>
      </c>
      <c r="B374">
        <v>2024</v>
      </c>
      <c r="C374" t="s">
        <v>360</v>
      </c>
      <c r="D374" t="s">
        <v>182</v>
      </c>
      <c r="E374" t="s">
        <v>338</v>
      </c>
      <c r="F374" t="s">
        <v>81</v>
      </c>
      <c r="G374" t="s">
        <v>81</v>
      </c>
      <c r="H374" s="7">
        <f t="shared" si="21"/>
        <v>68737.5</v>
      </c>
      <c r="I374" s="7">
        <v>274950</v>
      </c>
      <c r="J374" s="9">
        <v>0.25</v>
      </c>
      <c r="L374" s="49">
        <v>206213</v>
      </c>
      <c r="M374" s="7">
        <f t="shared" si="19"/>
        <v>51553.25</v>
      </c>
    </row>
    <row r="375" spans="1:13" x14ac:dyDescent="0.25">
      <c r="A375" s="1">
        <v>45236</v>
      </c>
      <c r="B375">
        <v>2024</v>
      </c>
      <c r="C375" t="s">
        <v>360</v>
      </c>
      <c r="D375" t="s">
        <v>182</v>
      </c>
      <c r="E375" t="s">
        <v>338</v>
      </c>
      <c r="F375" t="s">
        <v>6</v>
      </c>
      <c r="G375" t="s">
        <v>6</v>
      </c>
      <c r="H375" s="7">
        <f t="shared" si="21"/>
        <v>68737.5</v>
      </c>
      <c r="I375" s="7">
        <v>274950</v>
      </c>
      <c r="J375" s="9">
        <v>0.25</v>
      </c>
      <c r="L375" s="49">
        <v>206213</v>
      </c>
      <c r="M375" s="7">
        <f t="shared" si="19"/>
        <v>51553.25</v>
      </c>
    </row>
    <row r="376" spans="1:13" x14ac:dyDescent="0.25">
      <c r="A376" s="1">
        <v>45268</v>
      </c>
      <c r="B376">
        <v>2024</v>
      </c>
      <c r="C376" t="s">
        <v>362</v>
      </c>
      <c r="D376" t="s">
        <v>182</v>
      </c>
      <c r="E376" t="s">
        <v>363</v>
      </c>
      <c r="F376" t="s">
        <v>8</v>
      </c>
      <c r="G376" t="s">
        <v>8</v>
      </c>
      <c r="H376" s="7">
        <f t="shared" si="21"/>
        <v>16163691</v>
      </c>
      <c r="I376" s="7">
        <v>16163691</v>
      </c>
      <c r="J376" s="9">
        <v>1</v>
      </c>
      <c r="L376" s="49">
        <v>4040923</v>
      </c>
      <c r="M376" s="7">
        <f t="shared" si="19"/>
        <v>4040923</v>
      </c>
    </row>
    <row r="377" spans="1:13" x14ac:dyDescent="0.25">
      <c r="A377" s="1">
        <v>45281</v>
      </c>
      <c r="B377">
        <v>2024</v>
      </c>
      <c r="C377" t="s">
        <v>364</v>
      </c>
      <c r="D377" t="s">
        <v>181</v>
      </c>
      <c r="E377" t="s">
        <v>365</v>
      </c>
      <c r="F377" t="s">
        <v>399</v>
      </c>
      <c r="G377" t="s">
        <v>399</v>
      </c>
      <c r="H377" s="2">
        <v>666000</v>
      </c>
      <c r="I377" s="2">
        <v>666000</v>
      </c>
      <c r="J377" s="9">
        <v>1</v>
      </c>
      <c r="L377" s="2">
        <v>466200</v>
      </c>
      <c r="M377" s="2">
        <v>466200</v>
      </c>
    </row>
    <row r="378" spans="1:13" x14ac:dyDescent="0.25">
      <c r="A378" s="1">
        <v>45365</v>
      </c>
      <c r="B378">
        <v>2024</v>
      </c>
      <c r="C378" t="s">
        <v>366</v>
      </c>
      <c r="D378" t="s">
        <v>367</v>
      </c>
      <c r="E378" t="s">
        <v>370</v>
      </c>
      <c r="F378" t="s">
        <v>368</v>
      </c>
      <c r="G378" t="s">
        <v>6</v>
      </c>
      <c r="H378" s="2">
        <f>I378*J378</f>
        <v>8870190.9100000001</v>
      </c>
      <c r="I378" s="2">
        <v>10686977</v>
      </c>
      <c r="J378" s="9">
        <v>0.83</v>
      </c>
      <c r="K378" t="s">
        <v>185</v>
      </c>
      <c r="L378" s="7">
        <v>3740442</v>
      </c>
      <c r="M378" s="7">
        <f t="shared" ref="M378:M401" si="22">L378*J378</f>
        <v>3104566.86</v>
      </c>
    </row>
    <row r="379" spans="1:13" x14ac:dyDescent="0.25">
      <c r="A379" s="1">
        <v>45365</v>
      </c>
      <c r="B379">
        <v>2024</v>
      </c>
      <c r="C379" t="s">
        <v>366</v>
      </c>
      <c r="D379" t="s">
        <v>367</v>
      </c>
      <c r="E379" t="s">
        <v>370</v>
      </c>
      <c r="F379" t="s">
        <v>369</v>
      </c>
      <c r="G379" t="s">
        <v>74</v>
      </c>
      <c r="H379" s="2">
        <f t="shared" ref="H379:H380" si="23">I379*J379</f>
        <v>1709916.32</v>
      </c>
      <c r="I379" s="2">
        <v>10686977</v>
      </c>
      <c r="J379" s="9">
        <v>0.16</v>
      </c>
      <c r="L379" s="7">
        <v>3740442</v>
      </c>
      <c r="M379" s="7">
        <f t="shared" si="22"/>
        <v>598470.72</v>
      </c>
    </row>
    <row r="380" spans="1:13" x14ac:dyDescent="0.25">
      <c r="A380" s="1">
        <v>45365</v>
      </c>
      <c r="B380">
        <v>2024</v>
      </c>
      <c r="C380" t="s">
        <v>366</v>
      </c>
      <c r="D380" t="s">
        <v>367</v>
      </c>
      <c r="E380" t="s">
        <v>370</v>
      </c>
      <c r="F380" t="s">
        <v>368</v>
      </c>
      <c r="G380" t="s">
        <v>399</v>
      </c>
      <c r="H380" s="2">
        <f t="shared" si="23"/>
        <v>106869.77</v>
      </c>
      <c r="I380" s="2">
        <v>10686977</v>
      </c>
      <c r="J380" s="9">
        <v>0.01</v>
      </c>
      <c r="L380" s="7">
        <v>3740442</v>
      </c>
      <c r="M380" s="7">
        <f t="shared" si="22"/>
        <v>37404.42</v>
      </c>
    </row>
    <row r="381" spans="1:13" x14ac:dyDescent="0.25">
      <c r="A381" s="1">
        <v>45401</v>
      </c>
      <c r="B381">
        <v>2024</v>
      </c>
      <c r="C381" t="s">
        <v>371</v>
      </c>
      <c r="D381" t="s">
        <v>181</v>
      </c>
      <c r="E381" t="s">
        <v>372</v>
      </c>
      <c r="F381" t="s">
        <v>8</v>
      </c>
      <c r="G381" t="s">
        <v>8</v>
      </c>
      <c r="H381" s="2">
        <f t="shared" ref="H381:H388" si="24">I381*J381</f>
        <v>597648703</v>
      </c>
      <c r="I381" s="2">
        <v>597648703</v>
      </c>
      <c r="J381" s="9">
        <v>1</v>
      </c>
      <c r="L381" s="2">
        <v>20000000</v>
      </c>
      <c r="M381" s="7">
        <f t="shared" si="22"/>
        <v>20000000</v>
      </c>
    </row>
    <row r="382" spans="1:13" x14ac:dyDescent="0.25">
      <c r="A382" s="1">
        <v>45469</v>
      </c>
      <c r="B382">
        <v>2024</v>
      </c>
      <c r="C382" t="s">
        <v>373</v>
      </c>
      <c r="D382" t="s">
        <v>181</v>
      </c>
      <c r="E382" t="s">
        <v>374</v>
      </c>
      <c r="F382" t="s">
        <v>46</v>
      </c>
      <c r="G382" t="s">
        <v>46</v>
      </c>
      <c r="H382" s="2">
        <f t="shared" si="24"/>
        <v>725000</v>
      </c>
      <c r="I382" s="2">
        <v>725000</v>
      </c>
      <c r="J382" s="9">
        <v>1</v>
      </c>
      <c r="L382" s="2">
        <v>538000</v>
      </c>
      <c r="M382" s="2">
        <f t="shared" si="22"/>
        <v>538000</v>
      </c>
    </row>
    <row r="383" spans="1:13" x14ac:dyDescent="0.25">
      <c r="A383" s="1">
        <v>45499</v>
      </c>
      <c r="B383">
        <v>2024</v>
      </c>
      <c r="C383" t="s">
        <v>375</v>
      </c>
      <c r="D383" t="s">
        <v>182</v>
      </c>
      <c r="E383" t="s">
        <v>376</v>
      </c>
      <c r="F383" t="s">
        <v>399</v>
      </c>
      <c r="G383" t="s">
        <v>399</v>
      </c>
      <c r="H383" s="2">
        <f t="shared" si="24"/>
        <v>13550002</v>
      </c>
      <c r="I383" s="2">
        <v>13550002</v>
      </c>
      <c r="J383" s="9">
        <v>1</v>
      </c>
      <c r="L383" s="2">
        <v>7452501</v>
      </c>
      <c r="M383" s="2">
        <f t="shared" si="22"/>
        <v>7452501</v>
      </c>
    </row>
    <row r="384" spans="1:13" x14ac:dyDescent="0.25">
      <c r="A384" s="1">
        <v>45582</v>
      </c>
      <c r="B384">
        <v>2025</v>
      </c>
      <c r="C384" t="s">
        <v>377</v>
      </c>
      <c r="D384" t="s">
        <v>181</v>
      </c>
      <c r="E384" t="s">
        <v>306</v>
      </c>
      <c r="F384" t="s">
        <v>46</v>
      </c>
      <c r="G384" t="s">
        <v>46</v>
      </c>
      <c r="H384" s="2">
        <f t="shared" si="24"/>
        <v>1720000</v>
      </c>
      <c r="I384" s="2">
        <v>1720000</v>
      </c>
      <c r="J384" s="9">
        <v>1</v>
      </c>
      <c r="L384" s="7">
        <v>860000</v>
      </c>
      <c r="M384" s="7">
        <f t="shared" si="22"/>
        <v>860000</v>
      </c>
    </row>
    <row r="385" spans="1:13" ht="8.4499999999999993" customHeight="1" x14ac:dyDescent="0.25">
      <c r="A385" s="1">
        <v>45610</v>
      </c>
      <c r="B385">
        <v>2025</v>
      </c>
      <c r="C385" t="s">
        <v>378</v>
      </c>
      <c r="D385" t="s">
        <v>181</v>
      </c>
      <c r="E385" t="s">
        <v>379</v>
      </c>
      <c r="F385" t="s">
        <v>8</v>
      </c>
      <c r="G385" t="s">
        <v>8</v>
      </c>
      <c r="H385" s="2">
        <f t="shared" si="24"/>
        <v>223038</v>
      </c>
      <c r="I385" s="2">
        <v>223038</v>
      </c>
      <c r="J385" s="9">
        <v>1</v>
      </c>
      <c r="L385" s="2">
        <v>178421</v>
      </c>
      <c r="M385" s="7">
        <f t="shared" si="22"/>
        <v>178421</v>
      </c>
    </row>
    <row r="386" spans="1:13" x14ac:dyDescent="0.25">
      <c r="A386" s="1">
        <v>45629</v>
      </c>
      <c r="B386">
        <v>2025</v>
      </c>
      <c r="C386" t="s">
        <v>380</v>
      </c>
      <c r="D386" t="s">
        <v>181</v>
      </c>
      <c r="E386" t="s">
        <v>281</v>
      </c>
      <c r="F386" t="s">
        <v>8</v>
      </c>
      <c r="G386" t="s">
        <v>8</v>
      </c>
      <c r="H386" s="2">
        <f t="shared" si="24"/>
        <v>19400000</v>
      </c>
      <c r="I386" s="7">
        <v>19400000</v>
      </c>
      <c r="J386" s="9">
        <v>1</v>
      </c>
      <c r="L386" s="7">
        <v>14550000</v>
      </c>
      <c r="M386" s="7">
        <f t="shared" si="22"/>
        <v>14550000</v>
      </c>
    </row>
    <row r="387" spans="1:13" x14ac:dyDescent="0.25">
      <c r="A387" s="1">
        <v>45639</v>
      </c>
      <c r="B387">
        <v>2025</v>
      </c>
      <c r="C387" t="s">
        <v>381</v>
      </c>
      <c r="D387" t="s">
        <v>181</v>
      </c>
      <c r="E387" t="s">
        <v>382</v>
      </c>
      <c r="F387" t="s">
        <v>125</v>
      </c>
      <c r="G387" t="s">
        <v>8</v>
      </c>
      <c r="H387" s="2">
        <f t="shared" si="24"/>
        <v>161056</v>
      </c>
      <c r="I387" s="2">
        <v>322112</v>
      </c>
      <c r="J387" s="9">
        <v>0.5</v>
      </c>
      <c r="K387" t="s">
        <v>183</v>
      </c>
      <c r="L387" s="2">
        <v>257690</v>
      </c>
      <c r="M387" s="7">
        <f t="shared" si="22"/>
        <v>128845</v>
      </c>
    </row>
    <row r="388" spans="1:13" x14ac:dyDescent="0.25">
      <c r="A388" s="1">
        <v>45639</v>
      </c>
      <c r="B388">
        <v>2025</v>
      </c>
      <c r="C388" t="s">
        <v>381</v>
      </c>
      <c r="D388" t="s">
        <v>461</v>
      </c>
      <c r="E388" t="s">
        <v>382</v>
      </c>
      <c r="F388" t="s">
        <v>125</v>
      </c>
      <c r="G388" t="s">
        <v>6</v>
      </c>
      <c r="H388" s="2">
        <f t="shared" si="24"/>
        <v>161056</v>
      </c>
      <c r="I388" s="2">
        <v>322112</v>
      </c>
      <c r="J388" s="9">
        <v>0.5</v>
      </c>
      <c r="L388" s="2">
        <v>257690</v>
      </c>
      <c r="M388" s="7">
        <f t="shared" si="22"/>
        <v>128845</v>
      </c>
    </row>
    <row r="389" spans="1:13" x14ac:dyDescent="0.25">
      <c r="A389" s="1">
        <v>45644</v>
      </c>
      <c r="B389">
        <v>2025</v>
      </c>
      <c r="C389" t="s">
        <v>304</v>
      </c>
      <c r="D389" t="s">
        <v>386</v>
      </c>
      <c r="E389">
        <v>2021</v>
      </c>
      <c r="F389" t="s">
        <v>385</v>
      </c>
      <c r="G389" t="s">
        <v>385</v>
      </c>
      <c r="H389" s="2">
        <f>I389*J389</f>
        <v>1134408</v>
      </c>
      <c r="I389" s="2">
        <v>1134408</v>
      </c>
      <c r="J389" s="9">
        <v>1</v>
      </c>
      <c r="L389" s="7">
        <v>45179</v>
      </c>
      <c r="M389" s="7">
        <f t="shared" si="22"/>
        <v>45179</v>
      </c>
    </row>
    <row r="390" spans="1:13" x14ac:dyDescent="0.25">
      <c r="A390" s="1">
        <v>45644</v>
      </c>
      <c r="B390">
        <v>2025</v>
      </c>
      <c r="C390" t="s">
        <v>384</v>
      </c>
      <c r="D390" t="s">
        <v>181</v>
      </c>
      <c r="E390" t="s">
        <v>383</v>
      </c>
      <c r="F390" t="s">
        <v>8</v>
      </c>
      <c r="G390" t="s">
        <v>8</v>
      </c>
      <c r="H390" s="2">
        <f>I390*J390</f>
        <v>59416</v>
      </c>
      <c r="I390" s="7">
        <v>59416</v>
      </c>
      <c r="J390" s="9">
        <v>1</v>
      </c>
      <c r="L390" s="2">
        <v>41591</v>
      </c>
      <c r="M390" s="7">
        <f t="shared" si="22"/>
        <v>41591</v>
      </c>
    </row>
    <row r="391" spans="1:13" x14ac:dyDescent="0.25">
      <c r="A391" s="1">
        <v>45657</v>
      </c>
      <c r="B391">
        <v>2025</v>
      </c>
      <c r="C391" t="s">
        <v>387</v>
      </c>
      <c r="D391" t="s">
        <v>386</v>
      </c>
      <c r="E391">
        <v>2024</v>
      </c>
      <c r="F391" t="s">
        <v>399</v>
      </c>
      <c r="G391" t="s">
        <v>399</v>
      </c>
      <c r="H391" s="2">
        <f>I391*J391</f>
        <v>27715</v>
      </c>
      <c r="I391" s="7">
        <v>27715</v>
      </c>
      <c r="J391" s="9">
        <v>1</v>
      </c>
      <c r="L391" s="2">
        <v>22172</v>
      </c>
      <c r="M391" s="7">
        <f t="shared" si="22"/>
        <v>22172</v>
      </c>
    </row>
    <row r="392" spans="1:13" x14ac:dyDescent="0.25">
      <c r="A392" s="1">
        <v>45824</v>
      </c>
      <c r="B392">
        <v>2025</v>
      </c>
      <c r="C392" t="s">
        <v>388</v>
      </c>
      <c r="D392" t="s">
        <v>181</v>
      </c>
      <c r="E392" t="s">
        <v>331</v>
      </c>
      <c r="F392" t="s">
        <v>389</v>
      </c>
      <c r="G392" t="s">
        <v>8</v>
      </c>
      <c r="H392" s="2">
        <f>I392*J392</f>
        <v>4017813</v>
      </c>
      <c r="I392" s="7">
        <v>8035626</v>
      </c>
      <c r="J392" s="9">
        <v>0.5</v>
      </c>
      <c r="K392" t="s">
        <v>183</v>
      </c>
      <c r="L392" s="2">
        <v>3882797</v>
      </c>
      <c r="M392" s="7">
        <f t="shared" si="22"/>
        <v>1941398.5</v>
      </c>
    </row>
    <row r="393" spans="1:13" x14ac:dyDescent="0.25">
      <c r="A393" s="1">
        <v>45824</v>
      </c>
      <c r="B393">
        <v>2025</v>
      </c>
      <c r="C393" t="s">
        <v>388</v>
      </c>
      <c r="D393" t="s">
        <v>181</v>
      </c>
      <c r="E393" t="s">
        <v>331</v>
      </c>
      <c r="F393" t="s">
        <v>389</v>
      </c>
      <c r="G393" t="s">
        <v>319</v>
      </c>
      <c r="H393" s="2">
        <f>I393*J393</f>
        <v>4017813</v>
      </c>
      <c r="I393" s="7">
        <v>8035626</v>
      </c>
      <c r="J393" s="9">
        <v>0.5</v>
      </c>
      <c r="L393" s="2">
        <v>3882797</v>
      </c>
      <c r="M393" s="7">
        <f t="shared" si="22"/>
        <v>1941398.5</v>
      </c>
    </row>
    <row r="394" spans="1:13" x14ac:dyDescent="0.25">
      <c r="A394" s="1">
        <v>45840</v>
      </c>
      <c r="B394">
        <v>2025</v>
      </c>
      <c r="C394" t="s">
        <v>390</v>
      </c>
      <c r="D394" t="s">
        <v>181</v>
      </c>
      <c r="E394" t="s">
        <v>379</v>
      </c>
      <c r="F394" t="s">
        <v>6</v>
      </c>
      <c r="G394" t="s">
        <v>6</v>
      </c>
      <c r="H394" s="2">
        <f t="shared" ref="H394" si="25">I394*J394</f>
        <v>1217651</v>
      </c>
      <c r="I394" s="2">
        <v>1217651</v>
      </c>
      <c r="J394" s="9">
        <v>1</v>
      </c>
      <c r="L394" s="2">
        <v>608825</v>
      </c>
      <c r="M394" s="7">
        <f t="shared" si="22"/>
        <v>608825</v>
      </c>
    </row>
    <row r="395" spans="1:13" x14ac:dyDescent="0.25">
      <c r="A395" s="1">
        <v>45903</v>
      </c>
      <c r="B395">
        <v>2025</v>
      </c>
      <c r="C395" t="s">
        <v>391</v>
      </c>
      <c r="D395" t="s">
        <v>181</v>
      </c>
      <c r="E395" t="s">
        <v>392</v>
      </c>
      <c r="F395" t="s">
        <v>389</v>
      </c>
      <c r="G395" t="s">
        <v>8</v>
      </c>
      <c r="H395" s="2">
        <f>I395*J395</f>
        <v>1073850</v>
      </c>
      <c r="I395" s="2">
        <v>2147700</v>
      </c>
      <c r="J395" s="9">
        <v>0.5</v>
      </c>
      <c r="K395" t="s">
        <v>183</v>
      </c>
      <c r="L395" s="2">
        <v>1610775</v>
      </c>
      <c r="M395" s="7">
        <f t="shared" si="22"/>
        <v>805387.5</v>
      </c>
    </row>
    <row r="396" spans="1:13" x14ac:dyDescent="0.25">
      <c r="A396" s="1">
        <v>45903</v>
      </c>
      <c r="B396">
        <v>2025</v>
      </c>
      <c r="C396" t="s">
        <v>391</v>
      </c>
      <c r="D396" t="s">
        <v>181</v>
      </c>
      <c r="E396" t="s">
        <v>393</v>
      </c>
      <c r="F396" t="s">
        <v>389</v>
      </c>
      <c r="G396" t="s">
        <v>319</v>
      </c>
      <c r="H396" s="2">
        <f t="shared" ref="H396:H402" si="26">I396*J396</f>
        <v>1073850</v>
      </c>
      <c r="I396" s="2">
        <v>2147700</v>
      </c>
      <c r="J396" s="9">
        <v>0.5</v>
      </c>
      <c r="L396" s="2">
        <v>1610775</v>
      </c>
      <c r="M396" s="7">
        <f t="shared" si="22"/>
        <v>805387.5</v>
      </c>
    </row>
    <row r="397" spans="1:13" x14ac:dyDescent="0.25">
      <c r="A397" s="1">
        <v>45922</v>
      </c>
      <c r="B397">
        <v>2025</v>
      </c>
      <c r="C397" t="s">
        <v>394</v>
      </c>
      <c r="D397" t="s">
        <v>367</v>
      </c>
      <c r="E397" t="s">
        <v>306</v>
      </c>
      <c r="F397" t="s">
        <v>460</v>
      </c>
      <c r="G397" t="s">
        <v>6</v>
      </c>
      <c r="H397" s="2">
        <f t="shared" si="26"/>
        <v>9878750</v>
      </c>
      <c r="I397" s="2">
        <v>39515000</v>
      </c>
      <c r="J397" s="9">
        <v>0.25</v>
      </c>
      <c r="K397" t="s">
        <v>183</v>
      </c>
      <c r="L397" s="2">
        <v>750000</v>
      </c>
      <c r="M397" s="7">
        <f t="shared" si="22"/>
        <v>187500</v>
      </c>
    </row>
    <row r="398" spans="1:13" x14ac:dyDescent="0.25">
      <c r="A398" s="1">
        <v>45922</v>
      </c>
      <c r="B398">
        <v>2025</v>
      </c>
      <c r="C398" t="s">
        <v>394</v>
      </c>
      <c r="D398" t="s">
        <v>367</v>
      </c>
      <c r="E398" t="s">
        <v>306</v>
      </c>
      <c r="F398" t="s">
        <v>460</v>
      </c>
      <c r="G398" t="s">
        <v>8</v>
      </c>
      <c r="H398" s="2">
        <f t="shared" si="26"/>
        <v>9878750</v>
      </c>
      <c r="I398" s="2">
        <v>39515000</v>
      </c>
      <c r="J398" s="9">
        <v>0.25</v>
      </c>
      <c r="L398" s="2">
        <v>750000</v>
      </c>
      <c r="M398" s="7">
        <f t="shared" si="22"/>
        <v>187500</v>
      </c>
    </row>
    <row r="399" spans="1:13" x14ac:dyDescent="0.25">
      <c r="A399" s="1">
        <v>45922</v>
      </c>
      <c r="B399">
        <v>2025</v>
      </c>
      <c r="C399" t="s">
        <v>394</v>
      </c>
      <c r="D399" t="s">
        <v>367</v>
      </c>
      <c r="E399" t="s">
        <v>306</v>
      </c>
      <c r="F399" t="s">
        <v>460</v>
      </c>
      <c r="G399" t="s">
        <v>415</v>
      </c>
      <c r="H399" s="2">
        <f t="shared" si="26"/>
        <v>9878750</v>
      </c>
      <c r="I399" s="2">
        <v>39515000</v>
      </c>
      <c r="J399" s="9">
        <v>0.25</v>
      </c>
      <c r="L399" s="2">
        <v>750000</v>
      </c>
      <c r="M399" s="7">
        <f t="shared" si="22"/>
        <v>187500</v>
      </c>
    </row>
    <row r="400" spans="1:13" x14ac:dyDescent="0.25">
      <c r="A400" s="1">
        <v>45922</v>
      </c>
      <c r="B400">
        <v>2025</v>
      </c>
      <c r="C400" t="s">
        <v>394</v>
      </c>
      <c r="D400" t="s">
        <v>367</v>
      </c>
      <c r="E400" t="s">
        <v>306</v>
      </c>
      <c r="F400" t="s">
        <v>460</v>
      </c>
      <c r="G400" t="s">
        <v>81</v>
      </c>
      <c r="H400" s="2">
        <f t="shared" si="26"/>
        <v>9878750</v>
      </c>
      <c r="I400" s="2">
        <v>39515000</v>
      </c>
      <c r="J400" s="9">
        <v>0.25</v>
      </c>
      <c r="L400" s="2">
        <v>750000</v>
      </c>
      <c r="M400" s="7">
        <f t="shared" si="22"/>
        <v>187500</v>
      </c>
    </row>
    <row r="401" spans="1:13" x14ac:dyDescent="0.25">
      <c r="A401" s="1">
        <v>45985</v>
      </c>
      <c r="B401">
        <v>2026</v>
      </c>
      <c r="C401" t="s">
        <v>395</v>
      </c>
      <c r="D401" t="s">
        <v>181</v>
      </c>
      <c r="E401" t="s">
        <v>396</v>
      </c>
      <c r="F401" t="s">
        <v>399</v>
      </c>
      <c r="G401" t="s">
        <v>399</v>
      </c>
      <c r="H401" s="2">
        <f t="shared" si="26"/>
        <v>4677552</v>
      </c>
      <c r="I401" s="2">
        <v>4677552</v>
      </c>
      <c r="J401" s="9">
        <v>1</v>
      </c>
      <c r="L401" s="2">
        <v>4677552</v>
      </c>
      <c r="M401" s="7">
        <f t="shared" si="22"/>
        <v>4677552</v>
      </c>
    </row>
    <row r="402" spans="1:13" x14ac:dyDescent="0.25">
      <c r="A402" s="1">
        <v>45993</v>
      </c>
      <c r="B402">
        <v>2026</v>
      </c>
      <c r="C402" t="s">
        <v>397</v>
      </c>
      <c r="D402" t="s">
        <v>367</v>
      </c>
      <c r="E402" t="s">
        <v>195</v>
      </c>
      <c r="F402" t="s">
        <v>399</v>
      </c>
      <c r="G402" t="s">
        <v>399</v>
      </c>
      <c r="H402" s="2">
        <f t="shared" si="26"/>
        <v>14356690</v>
      </c>
      <c r="I402" s="2">
        <v>14356690</v>
      </c>
      <c r="J402" s="9">
        <v>1</v>
      </c>
      <c r="L402" s="2">
        <v>11485352</v>
      </c>
      <c r="M402" s="2">
        <v>11485352</v>
      </c>
    </row>
  </sheetData>
  <autoFilter ref="A1:M443" xr:uid="{00000000-0001-0000-0000-000000000000}"/>
  <sortState xmlns:xlrd2="http://schemas.microsoft.com/office/spreadsheetml/2017/richdata2" ref="A2:O176">
    <sortCondition ref="B2:B176"/>
  </sortState>
  <phoneticPr fontId="9" type="noConversion"/>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F4676-127E-4477-9331-36B2989ADBCE}">
  <dimension ref="A28:F50"/>
  <sheetViews>
    <sheetView topLeftCell="A7" workbookViewId="0">
      <selection sqref="A1:XFD1048576"/>
    </sheetView>
  </sheetViews>
  <sheetFormatPr defaultColWidth="9" defaultRowHeight="15" x14ac:dyDescent="0.25"/>
  <cols>
    <col min="1" max="1" width="3" style="56" customWidth="1"/>
    <col min="2" max="4" width="9" style="56"/>
    <col min="5" max="5" width="3.7109375" style="56" customWidth="1"/>
    <col min="6" max="6" width="9" style="56"/>
    <col min="7" max="7" width="4.5703125" style="56" customWidth="1"/>
    <col min="8" max="8" width="3.7109375" style="56" customWidth="1"/>
    <col min="9" max="16384" width="9" style="56"/>
  </cols>
  <sheetData>
    <row r="28" spans="1:6" s="53" customFormat="1" ht="15.75" x14ac:dyDescent="0.25">
      <c r="A28" s="51"/>
      <c r="B28" s="52"/>
      <c r="C28" s="52"/>
      <c r="D28" s="52"/>
      <c r="E28" s="52"/>
      <c r="F28" s="52"/>
    </row>
    <row r="29" spans="1:6" s="53" customFormat="1" ht="14.25" x14ac:dyDescent="0.2">
      <c r="A29" s="54"/>
      <c r="B29" s="52"/>
      <c r="C29" s="52"/>
      <c r="D29" s="52"/>
      <c r="E29" s="52"/>
      <c r="F29" s="52"/>
    </row>
    <row r="30" spans="1:6" x14ac:dyDescent="0.25">
      <c r="A30" s="55"/>
      <c r="B30" s="55"/>
      <c r="C30" s="55"/>
      <c r="D30" s="55"/>
      <c r="E30" s="55"/>
      <c r="F30" s="55"/>
    </row>
    <row r="31" spans="1:6" x14ac:dyDescent="0.25">
      <c r="A31" s="55"/>
      <c r="B31" s="55"/>
      <c r="C31" s="55"/>
      <c r="D31" s="55"/>
      <c r="E31" s="55"/>
      <c r="F31" s="55"/>
    </row>
    <row r="32" spans="1:6" x14ac:dyDescent="0.25">
      <c r="A32" s="55"/>
      <c r="B32" s="55"/>
      <c r="C32" s="55"/>
      <c r="D32" s="55"/>
      <c r="E32" s="55"/>
      <c r="F32" s="55"/>
    </row>
    <row r="33" spans="1:6" x14ac:dyDescent="0.25">
      <c r="A33" s="55"/>
      <c r="B33" s="55"/>
      <c r="C33" s="55"/>
      <c r="D33" s="55"/>
      <c r="E33" s="55"/>
      <c r="F33" s="55"/>
    </row>
    <row r="34" spans="1:6" x14ac:dyDescent="0.25">
      <c r="A34" s="55"/>
      <c r="B34" s="55"/>
      <c r="C34" s="55"/>
      <c r="D34" s="55"/>
      <c r="E34" s="55"/>
      <c r="F34" s="55"/>
    </row>
    <row r="35" spans="1:6" x14ac:dyDescent="0.25">
      <c r="A35" s="55"/>
      <c r="B35" s="55"/>
      <c r="C35" s="55"/>
      <c r="D35" s="55"/>
      <c r="E35" s="55"/>
      <c r="F35" s="55"/>
    </row>
    <row r="36" spans="1:6" x14ac:dyDescent="0.25">
      <c r="A36" s="55"/>
      <c r="B36" s="55"/>
      <c r="C36" s="55"/>
      <c r="D36" s="55"/>
      <c r="E36" s="55"/>
      <c r="F36" s="55"/>
    </row>
    <row r="37" spans="1:6" x14ac:dyDescent="0.25">
      <c r="A37" s="55"/>
      <c r="B37" s="55"/>
      <c r="C37" s="55"/>
      <c r="D37" s="55"/>
      <c r="E37" s="55"/>
      <c r="F37" s="55"/>
    </row>
    <row r="38" spans="1:6" x14ac:dyDescent="0.25">
      <c r="A38" s="55"/>
      <c r="B38" s="55"/>
      <c r="C38" s="55"/>
      <c r="D38" s="55"/>
      <c r="E38" s="55"/>
      <c r="F38" s="55"/>
    </row>
    <row r="39" spans="1:6" x14ac:dyDescent="0.25">
      <c r="A39" s="55"/>
      <c r="B39" s="55"/>
      <c r="C39" s="55"/>
      <c r="D39" s="55"/>
      <c r="E39" s="55"/>
      <c r="F39" s="55"/>
    </row>
    <row r="40" spans="1:6" x14ac:dyDescent="0.25">
      <c r="A40" s="55"/>
      <c r="B40" s="55"/>
      <c r="C40" s="55"/>
      <c r="D40" s="55"/>
      <c r="E40" s="55"/>
      <c r="F40" s="55"/>
    </row>
    <row r="41" spans="1:6" x14ac:dyDescent="0.25">
      <c r="A41" s="55"/>
      <c r="B41" s="55"/>
      <c r="C41" s="55"/>
      <c r="D41" s="55"/>
      <c r="E41" s="55"/>
      <c r="F41" s="55"/>
    </row>
    <row r="42" spans="1:6" x14ac:dyDescent="0.25">
      <c r="A42" s="55"/>
      <c r="B42" s="55"/>
      <c r="C42" s="55"/>
      <c r="D42" s="55"/>
      <c r="E42" s="55"/>
      <c r="F42" s="55"/>
    </row>
    <row r="43" spans="1:6" x14ac:dyDescent="0.25">
      <c r="A43" s="55"/>
      <c r="B43" s="55"/>
      <c r="C43" s="55"/>
      <c r="D43" s="55"/>
      <c r="E43" s="55"/>
      <c r="F43" s="55"/>
    </row>
    <row r="44" spans="1:6" x14ac:dyDescent="0.25">
      <c r="A44" s="55"/>
      <c r="B44" s="55"/>
      <c r="C44" s="55"/>
      <c r="D44" s="55"/>
      <c r="E44" s="55"/>
      <c r="F44" s="55"/>
    </row>
    <row r="45" spans="1:6" x14ac:dyDescent="0.25">
      <c r="A45" s="55"/>
      <c r="B45" s="55"/>
      <c r="C45" s="55"/>
      <c r="D45" s="55"/>
      <c r="E45" s="55"/>
      <c r="F45" s="55"/>
    </row>
    <row r="46" spans="1:6" s="53" customFormat="1" ht="15.75" x14ac:dyDescent="0.25">
      <c r="A46" s="57"/>
      <c r="B46" s="52"/>
      <c r="C46" s="52"/>
      <c r="D46" s="52"/>
      <c r="E46" s="52"/>
      <c r="F46" s="52"/>
    </row>
    <row r="47" spans="1:6" s="53" customFormat="1" ht="15.75" x14ac:dyDescent="0.25">
      <c r="A47" s="57"/>
      <c r="B47" s="52"/>
      <c r="C47" s="52"/>
      <c r="D47" s="52"/>
      <c r="E47" s="52"/>
      <c r="F47" s="52"/>
    </row>
    <row r="48" spans="1:6" s="53" customFormat="1" ht="15.75" x14ac:dyDescent="0.25">
      <c r="A48" s="57"/>
      <c r="B48" s="52"/>
      <c r="C48" s="52"/>
      <c r="D48" s="52"/>
      <c r="E48" s="52"/>
      <c r="F48" s="52"/>
    </row>
    <row r="49" spans="1:6" s="53" customFormat="1" ht="15.75" x14ac:dyDescent="0.25">
      <c r="A49" s="57"/>
      <c r="B49" s="52"/>
      <c r="C49" s="52"/>
      <c r="D49" s="52"/>
      <c r="E49" s="52"/>
      <c r="F49" s="52"/>
    </row>
    <row r="50" spans="1:6" s="53" customFormat="1" ht="15.75" x14ac:dyDescent="0.25">
      <c r="A50" s="57"/>
      <c r="B50" s="52"/>
      <c r="C50" s="52"/>
      <c r="D50" s="52"/>
      <c r="E50" s="52"/>
      <c r="F50" s="52"/>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Summary</vt:lpstr>
      <vt:lpstr>Fiscal Year Projections</vt:lpstr>
      <vt:lpstr>Adjusted Russia Projections</vt:lpstr>
      <vt:lpstr>Country-Specific Data</vt:lpstr>
      <vt:lpstr>Action-Based Data</vt:lpstr>
      <vt:lpstr>ALLData</vt:lpstr>
      <vt:lpstr>License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2026-02-23T13:52:23Z</dcterms:created>
  <dcterms:modified xsi:type="dcterms:W3CDTF">2026-02-24T21:24:57Z</dcterms:modified>
</cp:coreProperties>
</file>
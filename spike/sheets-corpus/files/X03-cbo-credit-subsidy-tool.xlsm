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filterPrivacy="1" codeName="ThisWorkbook" hidePivotFieldList="1" defaultThemeVersion="124226"/>
  <xr:revisionPtr revIDLastSave="0" documentId="13_ncr:1_{B368FE31-1E31-45BD-9754-DCA173FA9410}" xr6:coauthVersionLast="47" xr6:coauthVersionMax="47" xr10:uidLastSave="{00000000-0000-0000-0000-000000000000}"/>
  <bookViews>
    <workbookView xWindow="-25320" yWindow="360" windowWidth="25440" windowHeight="15270" tabRatio="696" xr2:uid="{00000000-000D-0000-FFFF-FFFF00000000}"/>
  </bookViews>
  <sheets>
    <sheet name="README" sheetId="152" r:id="rId1"/>
    <sheet name="Definitions" sheetId="155" r:id="rId2"/>
    <sheet name="Cash_Flow_Signs" sheetId="156" r:id="rId3"/>
    <sheet name="Example_Valuation" sheetId="148" r:id="rId4"/>
    <sheet name="Discount_Factors" sheetId="140" r:id="rId5"/>
    <sheet name="Risk_Premium" sheetId="139" r:id="rId6"/>
    <sheet name="DL_Subsidy" sheetId="111" r:id="rId7"/>
    <sheet name="LG_Subsidy" sheetId="142" r:id="rId8"/>
    <sheet name="License" sheetId="150" r:id="rId9"/>
  </sheets>
  <functionGroups builtInGroupCount="19"/>
  <definedNames>
    <definedName name="_xleta.AND" hidden="1" xlm="1">#NAME?</definedName>
    <definedName name="Approach">Risk_Premium!$C$5:$F$5</definedName>
    <definedName name="CIQWBGuid" hidden="1">"02f15544-1821-4e2e-889f-f4c19231b2c4"</definedName>
    <definedName name="DL_cashflows">DL_Subsidy!$H$11:$Q$410</definedName>
    <definedName name="DL_signs">DL_Subsidy!$H$8:$Q$8</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46112.4252777778</definedName>
    <definedName name="IQ_QTD" hidden="1">750000</definedName>
    <definedName name="IQ_TODAY" hidden="1">0</definedName>
    <definedName name="IQ_YTDMONTH" hidden="1">130000</definedName>
    <definedName name="Lending_Category">Risk_Premium!$A$7:$A$36</definedName>
    <definedName name="LG_cashflows">LG_Subsidy!$H$11:$T$410</definedName>
    <definedName name="LG_signs">LG_Subsidy!$H$8:$O$8</definedName>
    <definedName name="Maturity">Risk_Premium!$C$6:$F$6</definedName>
    <definedName name="_xlnm.Print_Area" localSheetId="3">Example_Valuation!$A$1:$L$89</definedName>
    <definedName name="Risk_Parameters">Risk_Premium!$C$7:$F$36</definedName>
    <definedName name="Risk_Subcategory">Risk_Premium!$B$7:$B$36</definedName>
  </definedNames>
  <calcPr calcId="191029" iterate="1"/>
  <extLst>
    <ext xmlns:x14="http://schemas.microsoft.com/office/spreadsheetml/2009/9/main" uri="{8193D73E-4604-4355-AFF4-8A2333D13BE4}">
      <x14:definedNames>
        <x14:definedName name="Subsidy">
          <x14:argumentDescriptions count="9">
            <x14:argumentDescription index="0">Type of credit: =1 for direct loans, =0 for guarantees</x14:argumentDescription>
            <x14:argumentDescription index="1">Discount factors to use: CBO or user-defined</x14:argumentDescription>
            <x14:argumentDescription index="2">Periodicity of the cash flows: annual, semiannual, or quarterly</x14:argumentDescription>
            <x14:argumentDescription index="3">Timing for present value calculation: beginning, middle, or end</x14:argumentDescription>
            <x14:argumentDescription index="4">Fair-value approach: risk-adjusted discount rate or loss multiple</x14:argumentDescription>
            <x14:argumentDescription index="5">Risk parameter value: risk premium or loss multiple</x14:argumentDescription>
            <x14:argumentDescription index="6">Range containing the direct loan cash flows or, for loan guarantees, cash flows for the loan guarantees and the underlying loan</x14:argumentDescription>
            <x14:argumentDescription index="7">Range containing the signs for each type of cash flow</x14:argumentDescription>
            <x14:argumentDescription index="8">Guarantee percentage: optional argument, default = 100%</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2" i="142" l="1" a="1"/>
  <c r="B32" i="111" a="1"/>
  <c r="H9" i="142"/>
  <c r="I9" i="142"/>
  <c r="J9" i="142"/>
  <c r="K9" i="142"/>
  <c r="L9" i="142"/>
  <c r="M9" i="142"/>
  <c r="N9" i="142"/>
  <c r="O9" i="142"/>
  <c r="Q9" i="142"/>
  <c r="R9" i="142"/>
  <c r="S9" i="142"/>
  <c r="H9" i="111"/>
  <c r="I9" i="111"/>
  <c r="J9" i="111"/>
  <c r="K9" i="111"/>
  <c r="L9" i="111"/>
  <c r="M9" i="111"/>
  <c r="N9" i="111"/>
  <c r="O9" i="111"/>
  <c r="P9" i="111"/>
  <c r="Q9" i="111"/>
  <c r="C27" i="148"/>
  <c r="C30" i="148" s="1"/>
  <c r="C28" i="148"/>
  <c r="C51" i="148" s="1"/>
  <c r="D28" i="148"/>
  <c r="E28" i="148"/>
  <c r="F28" i="148"/>
  <c r="G28" i="148"/>
  <c r="H28" i="148"/>
  <c r="I28" i="148"/>
  <c r="J28" i="148"/>
  <c r="K28" i="148"/>
  <c r="L28" i="148"/>
  <c r="C29" i="148"/>
  <c r="D29" i="148"/>
  <c r="E29" i="148"/>
  <c r="F29" i="148"/>
  <c r="G29" i="148"/>
  <c r="H29" i="148"/>
  <c r="I29" i="148"/>
  <c r="J29" i="148"/>
  <c r="K29" i="148"/>
  <c r="L29" i="148"/>
  <c r="D33" i="148"/>
  <c r="E33" i="148" s="1"/>
  <c r="C42" i="148"/>
  <c r="D42" i="148" s="1"/>
  <c r="E42" i="148" s="1"/>
  <c r="C43" i="148"/>
  <c r="D43" i="148"/>
  <c r="E43" i="148"/>
  <c r="F43" i="148" s="1"/>
  <c r="G43" i="148" s="1"/>
  <c r="H43" i="148" s="1"/>
  <c r="I43" i="148" s="1"/>
  <c r="J43" i="148" s="1"/>
  <c r="K43" i="148" s="1"/>
  <c r="L43" i="148" s="1"/>
  <c r="C72" i="148"/>
  <c r="D72" i="148"/>
  <c r="E72" i="148"/>
  <c r="F72" i="148" s="1"/>
  <c r="G72" i="148" s="1"/>
  <c r="H72" i="148" s="1"/>
  <c r="I72" i="148" s="1"/>
  <c r="J72" i="148" s="1"/>
  <c r="K72" i="148" s="1"/>
  <c r="L72" i="148" s="1"/>
  <c r="C73" i="148"/>
  <c r="D73" i="148" s="1"/>
  <c r="E73" i="148" s="1"/>
  <c r="F73" i="148" s="1"/>
  <c r="G73" i="148" s="1"/>
  <c r="H73" i="148" s="1"/>
  <c r="I73" i="148" s="1"/>
  <c r="J73" i="148" s="1"/>
  <c r="K73" i="148" s="1"/>
  <c r="L73" i="148" s="1"/>
  <c r="B11" i="142" a="1"/>
  <c r="B11" i="111" a="1"/>
  <c r="B17" i="111" l="1"/>
  <c r="B17" i="142"/>
  <c r="E46" i="148"/>
  <c r="F42" i="148"/>
  <c r="E51" i="148"/>
  <c r="F51" i="148"/>
  <c r="D46" i="148"/>
  <c r="F33" i="148"/>
  <c r="C31" i="148"/>
  <c r="C47" i="148" s="1"/>
  <c r="C52" i="148"/>
  <c r="C46" i="148"/>
  <c r="D51" i="148"/>
  <c r="C80" i="148"/>
  <c r="D27" i="148"/>
  <c r="C32" i="148"/>
  <c r="G33" i="148" l="1"/>
  <c r="F46" i="148"/>
  <c r="G42" i="148"/>
  <c r="C53" i="148"/>
  <c r="C48" i="148"/>
  <c r="C77" i="148"/>
  <c r="C81" i="148"/>
  <c r="C76" i="148"/>
  <c r="D32" i="148"/>
  <c r="D30" i="148"/>
  <c r="E27" i="148"/>
  <c r="H42" i="148" l="1"/>
  <c r="G51" i="148"/>
  <c r="G46" i="148"/>
  <c r="E32" i="148"/>
  <c r="E30" i="148"/>
  <c r="D31" i="148"/>
  <c r="D76" i="148" s="1"/>
  <c r="D47" i="148"/>
  <c r="D52" i="148"/>
  <c r="D80" i="148"/>
  <c r="D81" i="148"/>
  <c r="D53" i="148"/>
  <c r="D48" i="148"/>
  <c r="D77" i="148"/>
  <c r="H33" i="148"/>
  <c r="E31" i="148" l="1"/>
  <c r="E80" i="148" s="1"/>
  <c r="E47" i="148"/>
  <c r="E76" i="148"/>
  <c r="E52" i="148"/>
  <c r="I42" i="148"/>
  <c r="H51" i="148"/>
  <c r="H46" i="148"/>
  <c r="E81" i="148"/>
  <c r="E53" i="148"/>
  <c r="E48" i="148"/>
  <c r="E77" i="148"/>
  <c r="I33" i="148"/>
  <c r="F27" i="148"/>
  <c r="F30" i="148" l="1"/>
  <c r="G27" i="148"/>
  <c r="F32" i="148"/>
  <c r="J33" i="148"/>
  <c r="J42" i="148"/>
  <c r="I46" i="148"/>
  <c r="I51" i="148"/>
  <c r="G30" i="148" l="1"/>
  <c r="G32" i="148"/>
  <c r="F31" i="148"/>
  <c r="F47" i="148" s="1"/>
  <c r="F76" i="148"/>
  <c r="F80" i="148"/>
  <c r="F52" i="148"/>
  <c r="F81" i="148"/>
  <c r="F53" i="148"/>
  <c r="F48" i="148"/>
  <c r="F77" i="148"/>
  <c r="K42" i="148"/>
  <c r="J51" i="148"/>
  <c r="J46" i="148"/>
  <c r="K33" i="148"/>
  <c r="K46" i="148" l="1"/>
  <c r="L42" i="148"/>
  <c r="K51" i="148"/>
  <c r="G31" i="148"/>
  <c r="G76" i="148" s="1"/>
  <c r="G81" i="148"/>
  <c r="G53" i="148"/>
  <c r="G48" i="148"/>
  <c r="G77" i="148"/>
  <c r="L33" i="148"/>
  <c r="H27" i="148"/>
  <c r="G80" i="148" l="1"/>
  <c r="G52" i="148"/>
  <c r="H32" i="148"/>
  <c r="H30" i="148"/>
  <c r="L46" i="148"/>
  <c r="C59" i="148" s="1"/>
  <c r="L51" i="148"/>
  <c r="D59" i="148" s="1"/>
  <c r="G47" i="148"/>
  <c r="H48" i="148" l="1"/>
  <c r="H77" i="148"/>
  <c r="H81" i="148"/>
  <c r="H53" i="148"/>
  <c r="H31" i="148"/>
  <c r="H76" i="148" s="1"/>
  <c r="H47" i="148"/>
  <c r="I27" i="148"/>
  <c r="I30" i="148" l="1"/>
  <c r="J27" i="148"/>
  <c r="I32" i="148"/>
  <c r="H80" i="148"/>
  <c r="H52" i="148"/>
  <c r="I48" i="148" l="1"/>
  <c r="I77" i="148"/>
  <c r="I81" i="148"/>
  <c r="I53" i="148"/>
  <c r="J30" i="148"/>
  <c r="K27" i="148"/>
  <c r="J32" i="148"/>
  <c r="I76" i="148"/>
  <c r="I31" i="148"/>
  <c r="I47" i="148"/>
  <c r="I52" i="148"/>
  <c r="I80" i="148"/>
  <c r="K30" i="148" l="1"/>
  <c r="K32" i="148"/>
  <c r="L27" i="148"/>
  <c r="J53" i="148"/>
  <c r="J81" i="148"/>
  <c r="J48" i="148"/>
  <c r="J77" i="148"/>
  <c r="J47" i="148"/>
  <c r="J31" i="148"/>
  <c r="J76" i="148" s="1"/>
  <c r="J80" i="148"/>
  <c r="J52" i="148"/>
  <c r="L32" i="148" l="1"/>
  <c r="L30" i="148"/>
  <c r="K53" i="148"/>
  <c r="K48" i="148"/>
  <c r="K77" i="148"/>
  <c r="K81" i="148"/>
  <c r="K47" i="148"/>
  <c r="K76" i="148"/>
  <c r="K31" i="148"/>
  <c r="K52" i="148"/>
  <c r="K80" i="148"/>
  <c r="L31" i="148" l="1"/>
  <c r="L76" i="148" s="1"/>
  <c r="C86" i="148" s="1"/>
  <c r="C88" i="148" s="1"/>
  <c r="C89" i="148" s="1"/>
  <c r="L80" i="148"/>
  <c r="D86" i="148" s="1"/>
  <c r="L52" i="148"/>
  <c r="D60" i="148" s="1"/>
  <c r="D62" i="148" s="1"/>
  <c r="D63" i="148" s="1"/>
  <c r="L53" i="148"/>
  <c r="D61" i="148" s="1"/>
  <c r="L81" i="148"/>
  <c r="D87" i="148" s="1"/>
  <c r="L48" i="148"/>
  <c r="C61" i="148" s="1"/>
  <c r="L77" i="148"/>
  <c r="C87" i="148" s="1"/>
  <c r="D88" i="148" l="1"/>
  <c r="D89" i="148" s="1"/>
  <c r="L47" i="148"/>
  <c r="C60" i="148" s="1"/>
  <c r="C62" i="148" s="1"/>
  <c r="C63" i="14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8" authorId="0" shapeId="0" xr:uid="{2C44E08A-A896-480E-9DCB-DA516B6C3112}">
      <text>
        <r>
          <rPr>
            <sz val="8"/>
            <color indexed="81"/>
            <rFont val="Arial"/>
            <family val="2"/>
          </rPr>
          <t xml:space="preserve">Enter the sign consistent with a loan disbursement.
</t>
        </r>
        <r>
          <rPr>
            <b/>
            <sz val="8"/>
            <color indexed="81"/>
            <rFont val="Arial"/>
            <family val="2"/>
          </rPr>
          <t>Standard sign is positive</t>
        </r>
        <r>
          <rPr>
            <sz val="8"/>
            <color indexed="81"/>
            <rFont val="Arial"/>
            <family val="2"/>
          </rPr>
          <t xml:space="preserve">
The loan amounts disbursed to borrowers are entered as positive values that are used to calculate the subsidy rate.
</t>
        </r>
      </text>
    </comment>
    <comment ref="I8" authorId="0" shapeId="0" xr:uid="{5529B7FB-C858-45A3-86EC-2F72F5C42D77}">
      <text>
        <r>
          <rPr>
            <sz val="8"/>
            <color indexed="81"/>
            <rFont val="Arial"/>
            <family val="2"/>
          </rPr>
          <t xml:space="preserve">Enter the sign consistent with a repayment of principal.
</t>
        </r>
        <r>
          <rPr>
            <b/>
            <sz val="8"/>
            <color indexed="81"/>
            <rFont val="Arial"/>
            <family val="2"/>
          </rPr>
          <t>Standard sign is positive</t>
        </r>
        <r>
          <rPr>
            <sz val="8"/>
            <color indexed="81"/>
            <rFont val="Arial"/>
            <family val="2"/>
          </rPr>
          <t xml:space="preserve">
Repayments of principal are entered as positive values that reduce the outstanding loan balance, and thus reduce the subsidy cost.
</t>
        </r>
      </text>
    </comment>
    <comment ref="J8" authorId="0" shapeId="0" xr:uid="{5EB9BE3F-E62D-4AA8-A387-5450393020A4}">
      <text>
        <r>
          <rPr>
            <sz val="8"/>
            <color indexed="81"/>
            <rFont val="Arial"/>
            <family val="2"/>
          </rPr>
          <t xml:space="preserve">Enter the sign consistent with an interest payment.
</t>
        </r>
        <r>
          <rPr>
            <b/>
            <sz val="8"/>
            <color indexed="81"/>
            <rFont val="Arial"/>
            <family val="2"/>
          </rPr>
          <t>Standard sign is positive</t>
        </r>
        <r>
          <rPr>
            <sz val="8"/>
            <color indexed="81"/>
            <rFont val="Arial"/>
            <family val="2"/>
          </rPr>
          <t xml:space="preserve">
Interest payments from borrowers are entered as positive values that increase cash inflows, and thus reduce the subsidy cost.
</t>
        </r>
      </text>
    </comment>
    <comment ref="K8" authorId="0" shapeId="0" xr:uid="{5005186E-BACE-4406-8E19-9FFA31EE5BA7}">
      <text>
        <r>
          <rPr>
            <sz val="8"/>
            <color indexed="81"/>
            <rFont val="Arial"/>
            <family val="2"/>
          </rPr>
          <t xml:space="preserve">Enter the sign consistent with a defaulted amount.
</t>
        </r>
        <r>
          <rPr>
            <b/>
            <sz val="8"/>
            <color indexed="81"/>
            <rFont val="Arial"/>
            <family val="2"/>
          </rPr>
          <t>Standard sign is negative</t>
        </r>
        <r>
          <rPr>
            <sz val="8"/>
            <color indexed="81"/>
            <rFont val="Arial"/>
            <family val="2"/>
          </rPr>
          <t xml:space="preserve">
Principal and interest amounts not repaid due to borrower default are entered as negative values that reduce expected cash inflows, and thus increase the subsidy cost.
</t>
        </r>
      </text>
    </comment>
    <comment ref="L8" authorId="0" shapeId="0" xr:uid="{4C58A11A-F4CB-4BFC-8C89-71C9F0CFFE1F}">
      <text>
        <r>
          <rPr>
            <sz val="8"/>
            <color indexed="81"/>
            <rFont val="Arial"/>
            <family val="2"/>
          </rPr>
          <t xml:space="preserve">Enter the sign consistent with a recovered amount.
</t>
        </r>
        <r>
          <rPr>
            <b/>
            <sz val="8"/>
            <color indexed="81"/>
            <rFont val="Arial"/>
            <family val="2"/>
          </rPr>
          <t>Standard sign is positive</t>
        </r>
        <r>
          <rPr>
            <sz val="8"/>
            <color indexed="81"/>
            <rFont val="Arial"/>
            <family val="2"/>
          </rPr>
          <t xml:space="preserve">
Amounts recovered after default (e.g., collections, asset liquidation) are entered as positive values that increase expected cash outflows, and thus increase the subsidy cost.
</t>
        </r>
      </text>
    </comment>
    <comment ref="M8" authorId="0" shapeId="0" xr:uid="{00D3A49A-7F16-4B48-BD01-30AF77DDA1B5}">
      <text>
        <r>
          <rPr>
            <sz val="8"/>
            <color indexed="81"/>
            <rFont val="Arial"/>
            <family val="2"/>
          </rPr>
          <t xml:space="preserve">Enter the sign consistent with a payment of fees.
</t>
        </r>
        <r>
          <rPr>
            <b/>
            <sz val="8"/>
            <color indexed="81"/>
            <rFont val="Arial"/>
            <family val="2"/>
          </rPr>
          <t>Standard sign is positive</t>
        </r>
        <r>
          <rPr>
            <sz val="8"/>
            <color indexed="81"/>
            <rFont val="Arial"/>
            <family val="2"/>
          </rPr>
          <t xml:space="preserve">
Origination and other fees paid by borrowers are entered as positive values that increase cash inflows, and thus reduce the subsidy cost.</t>
        </r>
        <r>
          <rPr>
            <sz val="9"/>
            <color indexed="81"/>
            <rFont val="Tahoma"/>
            <family val="2"/>
          </rPr>
          <t xml:space="preserve">
</t>
        </r>
      </text>
    </comment>
    <comment ref="N8" authorId="0" shapeId="0" xr:uid="{46CA1A19-E118-4261-A08D-D330EA8C1064}">
      <text>
        <r>
          <rPr>
            <sz val="8"/>
            <color indexed="81"/>
            <rFont val="Arial"/>
            <family val="2"/>
          </rPr>
          <t xml:space="preserve">Enter the sign consistent with a nondefault loss.
</t>
        </r>
        <r>
          <rPr>
            <b/>
            <sz val="8"/>
            <color indexed="81"/>
            <rFont val="Arial"/>
            <family val="2"/>
          </rPr>
          <t>Standard sign is negative</t>
        </r>
        <r>
          <rPr>
            <sz val="8"/>
            <color indexed="81"/>
            <rFont val="Arial"/>
            <family val="2"/>
          </rPr>
          <t xml:space="preserve">
Adjustments such as modifications, forgiveness, or reestimates not tied to default are entered as negative values that reduce expected cash inflows, and thus increase the subsidy cost.
</t>
        </r>
      </text>
    </comment>
    <comment ref="O8" authorId="0" shapeId="0" xr:uid="{B3BEC62B-5751-46B8-8317-0F4321B683BF}">
      <text>
        <r>
          <rPr>
            <sz val="8"/>
            <color indexed="81"/>
            <rFont val="Arial"/>
            <family val="2"/>
          </rPr>
          <t xml:space="preserve">Enter the sign consistent with a repayment that is more than the scheduled amount.
</t>
        </r>
        <r>
          <rPr>
            <b/>
            <sz val="8"/>
            <color indexed="81"/>
            <rFont val="Arial"/>
            <family val="2"/>
          </rPr>
          <t>Standard sign is positive</t>
        </r>
        <r>
          <rPr>
            <sz val="8"/>
            <color indexed="81"/>
            <rFont val="Arial"/>
            <family val="2"/>
          </rPr>
          <t xml:space="preserve">
Prepayments may be entered as positive or negative values. A positive (negative) prepayment means that the borrower repays more (less) principal and interest than is scheduled at the specified date.
</t>
        </r>
      </text>
    </comment>
    <comment ref="P8" authorId="0" shapeId="0" xr:uid="{64D32DC3-640C-4088-A5C0-B063DB1AA51B}">
      <text>
        <r>
          <rPr>
            <sz val="8"/>
            <color indexed="81"/>
            <rFont val="Arial"/>
            <family val="2"/>
          </rPr>
          <t xml:space="preserve">Enter the sign consistent with other outflows that increase the subsidy cost.
</t>
        </r>
        <r>
          <rPr>
            <b/>
            <sz val="8"/>
            <color indexed="81"/>
            <rFont val="Arial"/>
            <family val="2"/>
          </rPr>
          <t>Standard sign is positive</t>
        </r>
        <r>
          <rPr>
            <sz val="8"/>
            <color indexed="81"/>
            <rFont val="Arial"/>
            <family val="2"/>
          </rPr>
          <t xml:space="preserve">
Other outflows include miscellaneous financing account payments (e.g., administrative or contractual payments routed through the financing account) that are entered as positive values that decrease expected cash inflows, and thus increase the subsidy cost.</t>
        </r>
        <r>
          <rPr>
            <sz val="9"/>
            <color indexed="81"/>
            <rFont val="Tahoma"/>
            <family val="2"/>
          </rPr>
          <t xml:space="preserve">
</t>
        </r>
      </text>
    </comment>
    <comment ref="Q8" authorId="0" shapeId="0" xr:uid="{9A0686BE-5A47-4CA7-A3AE-487D28D372F2}">
      <text>
        <r>
          <rPr>
            <sz val="8"/>
            <color indexed="81"/>
            <rFont val="Arial"/>
            <family val="2"/>
          </rPr>
          <t xml:space="preserve">Enter the sign consistent with other inflows that decrease the subsidy cost.
</t>
        </r>
        <r>
          <rPr>
            <b/>
            <sz val="8"/>
            <color indexed="81"/>
            <rFont val="Arial"/>
            <family val="2"/>
          </rPr>
          <t>Standard sign is positive</t>
        </r>
        <r>
          <rPr>
            <sz val="8"/>
            <color indexed="81"/>
            <rFont val="Arial"/>
            <family val="2"/>
          </rPr>
          <t xml:space="preserve">
Other inflows include miscellaneous receipts that are entered as positive values that increase expected cash inflows, and thus decrease the subsidy cost.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8" authorId="0" shapeId="0" xr:uid="{029AAC0D-5B21-476A-AA29-F9C12404B318}">
      <text>
        <r>
          <rPr>
            <sz val="8"/>
            <color indexed="81"/>
            <rFont val="Arial"/>
            <family val="2"/>
          </rPr>
          <t xml:space="preserve">Enter the sign consistent with a loan disbursement.
</t>
        </r>
        <r>
          <rPr>
            <b/>
            <sz val="8"/>
            <color indexed="81"/>
            <rFont val="Arial"/>
            <family val="2"/>
          </rPr>
          <t>Standard sign is positive</t>
        </r>
        <r>
          <rPr>
            <sz val="8"/>
            <color indexed="81"/>
            <rFont val="Arial"/>
            <family val="2"/>
          </rPr>
          <t xml:space="preserve">
The loan amounts disbursed to borrowers are entered as positive values that are used to calculate the subsidy rate.
</t>
        </r>
      </text>
    </comment>
    <comment ref="I8" authorId="0" shapeId="0" xr:uid="{E5332B00-000C-4D4F-857B-745E395523D7}">
      <text>
        <r>
          <rPr>
            <sz val="8"/>
            <color indexed="81"/>
            <rFont val="Arial"/>
            <family val="2"/>
          </rPr>
          <t xml:space="preserve">Enter the sign consistent with a defaulted amount.
</t>
        </r>
        <r>
          <rPr>
            <b/>
            <sz val="8"/>
            <color indexed="81"/>
            <rFont val="Arial"/>
            <family val="2"/>
          </rPr>
          <t>Standard sign is positive</t>
        </r>
        <r>
          <rPr>
            <sz val="8"/>
            <color indexed="81"/>
            <rFont val="Arial"/>
            <family val="2"/>
          </rPr>
          <t xml:space="preserve">
Claim payments to lenders when borrowers default on guaranteed loans are entered as positive values that increase cash outflows, and thus increase the subsidy cost.
</t>
        </r>
      </text>
    </comment>
    <comment ref="J8" authorId="0" shapeId="0" xr:uid="{F7C74EA6-6C63-4AA4-A678-33B052FD4E08}">
      <text>
        <r>
          <rPr>
            <sz val="8"/>
            <color indexed="81"/>
            <rFont val="Arial"/>
            <family val="2"/>
          </rPr>
          <t xml:space="preserve">Enter the sign consistent with a recovered amount.
</t>
        </r>
        <r>
          <rPr>
            <b/>
            <sz val="8"/>
            <color indexed="81"/>
            <rFont val="Arial"/>
            <family val="2"/>
          </rPr>
          <t>Standard sign is negative</t>
        </r>
        <r>
          <rPr>
            <sz val="8"/>
            <color indexed="81"/>
            <rFont val="Arial"/>
            <family val="2"/>
          </rPr>
          <t xml:space="preserve">
Amounts recovered after claim payments (e.g., collections, collateral) are entered as negative values that increase cash inflows, and thus decrease the subsidy cost.
</t>
        </r>
      </text>
    </comment>
    <comment ref="K8" authorId="0" shapeId="0" xr:uid="{03852F2B-A011-4009-9DC5-7E43DA0EFFEB}">
      <text>
        <r>
          <rPr>
            <sz val="8"/>
            <color indexed="81"/>
            <rFont val="Arial"/>
            <family val="2"/>
          </rPr>
          <t xml:space="preserve">Enter the sign consistent with a payment of annual fees.
</t>
        </r>
        <r>
          <rPr>
            <b/>
            <sz val="8"/>
            <color indexed="81"/>
            <rFont val="Arial"/>
            <family val="2"/>
          </rPr>
          <t>Standard sign is positive</t>
        </r>
        <r>
          <rPr>
            <sz val="8"/>
            <color indexed="81"/>
            <rFont val="Arial"/>
            <family val="2"/>
          </rPr>
          <t xml:space="preserve">
Annual fees paid by borrowers are entered as positive values that increase cash inflows, and thus reduce the subsidy cost.
</t>
        </r>
      </text>
    </comment>
    <comment ref="L8" authorId="0" shapeId="0" xr:uid="{C983D11C-C24E-47D0-A4A9-3B66BE335795}">
      <text>
        <r>
          <rPr>
            <sz val="8"/>
            <color indexed="81"/>
            <rFont val="Arial"/>
            <family val="2"/>
          </rPr>
          <t xml:space="preserve">Enter the sign consistent with a payment of upfront fees.
</t>
        </r>
        <r>
          <rPr>
            <b/>
            <sz val="8"/>
            <color indexed="81"/>
            <rFont val="Arial"/>
            <family val="2"/>
          </rPr>
          <t>Standard sign is positive</t>
        </r>
        <r>
          <rPr>
            <sz val="8"/>
            <color indexed="81"/>
            <rFont val="Arial"/>
            <family val="2"/>
          </rPr>
          <t xml:space="preserve">
One-time fees paid by borrowers at loan origination are entered as positive values that increase cash inflows, and thus reduce the subsidy cost.
</t>
        </r>
      </text>
    </comment>
    <comment ref="M8" authorId="0" shapeId="0" xr:uid="{31B4A15A-2E69-4468-812E-84A1D6427C87}">
      <text>
        <r>
          <rPr>
            <sz val="8"/>
            <color indexed="81"/>
            <rFont val="Arial"/>
            <family val="2"/>
          </rPr>
          <t xml:space="preserve">Enter the sign consistent with a payment of premiums.
</t>
        </r>
        <r>
          <rPr>
            <b/>
            <sz val="8"/>
            <color indexed="81"/>
            <rFont val="Arial"/>
            <family val="2"/>
          </rPr>
          <t>Standard sign is positive</t>
        </r>
        <r>
          <rPr>
            <sz val="8"/>
            <color indexed="81"/>
            <rFont val="Arial"/>
            <family val="2"/>
          </rPr>
          <t xml:space="preserve">
Premiums are risk-based or insurance-like payments for coverage under the guarantee that are entered as positive values that increase cash inflows, and thus reduce the subsidy cost.
</t>
        </r>
      </text>
    </comment>
    <comment ref="N8" authorId="0" shapeId="0" xr:uid="{FD6B099D-180A-46BA-96BC-F927CEACF3C0}">
      <text>
        <r>
          <rPr>
            <sz val="8"/>
            <color indexed="81"/>
            <rFont val="Arial"/>
            <family val="2"/>
          </rPr>
          <t xml:space="preserve">Enter the sign consistent with other outflows that increase the subsidy cost.
</t>
        </r>
        <r>
          <rPr>
            <b/>
            <sz val="8"/>
            <color indexed="81"/>
            <rFont val="Arial"/>
            <family val="2"/>
          </rPr>
          <t>Standard sign is positive</t>
        </r>
        <r>
          <rPr>
            <sz val="8"/>
            <color indexed="81"/>
            <rFont val="Arial"/>
            <family val="2"/>
          </rPr>
          <t xml:space="preserve">
Other outflows include settlements and adjustments that are entered as positive values that decrease expected cash inflows, and thus increase the subsidy cost.
</t>
        </r>
      </text>
    </comment>
    <comment ref="O8" authorId="0" shapeId="0" xr:uid="{068C672F-0A2B-4EFD-ABE5-BB4417853C72}">
      <text>
        <r>
          <rPr>
            <sz val="8"/>
            <color indexed="81"/>
            <rFont val="Arial"/>
            <family val="2"/>
          </rPr>
          <t xml:space="preserve">Enter the sign consistent with other inflows that decrease the subsidy cost.
</t>
        </r>
        <r>
          <rPr>
            <b/>
            <sz val="8"/>
            <color indexed="81"/>
            <rFont val="Arial"/>
            <family val="2"/>
          </rPr>
          <t>Standard sign is positive</t>
        </r>
        <r>
          <rPr>
            <sz val="8"/>
            <color indexed="81"/>
            <rFont val="Arial"/>
            <family val="2"/>
          </rPr>
          <t xml:space="preserve">
Other inflows include miscellaneous receipts that are entered as positive values that increase expected cash inflows, and thus decrease the subsidy cost.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<sst xmlns="http://schemas.openxmlformats.org/spreadsheetml/2006/main" count="339" uniqueCount="178">
  <si>
    <t>Total Subsidy</t>
  </si>
  <si>
    <t>Financing</t>
  </si>
  <si>
    <t>Default/Recovery</t>
  </si>
  <si>
    <t>Fee</t>
  </si>
  <si>
    <t>Other</t>
  </si>
  <si>
    <t>Middle</t>
  </si>
  <si>
    <t>Period</t>
  </si>
  <si>
    <t>Disbursement</t>
  </si>
  <si>
    <t>Principal</t>
  </si>
  <si>
    <t>Interest</t>
  </si>
  <si>
    <t>Default</t>
  </si>
  <si>
    <t>Recovery</t>
  </si>
  <si>
    <t>Prepayment</t>
  </si>
  <si>
    <t>Beginning</t>
  </si>
  <si>
    <t>End</t>
  </si>
  <si>
    <t>Annual</t>
  </si>
  <si>
    <t>Fees</t>
  </si>
  <si>
    <t>Premiums</t>
  </si>
  <si>
    <t>Upfront fees</t>
  </si>
  <si>
    <t>Annual fees</t>
  </si>
  <si>
    <t>Recovery rate</t>
  </si>
  <si>
    <t>Fair Value</t>
  </si>
  <si>
    <t xml:space="preserve"> FCRA</t>
  </si>
  <si>
    <t>AA+</t>
  </si>
  <si>
    <t>AA</t>
  </si>
  <si>
    <t>AA-</t>
  </si>
  <si>
    <t>BBB+</t>
  </si>
  <si>
    <t>BBB</t>
  </si>
  <si>
    <t>BBB-</t>
  </si>
  <si>
    <t>A+</t>
  </si>
  <si>
    <t>A</t>
  </si>
  <si>
    <t>A-</t>
  </si>
  <si>
    <t>BB+</t>
  </si>
  <si>
    <t>BB</t>
  </si>
  <si>
    <t>BB-</t>
  </si>
  <si>
    <t>B+</t>
  </si>
  <si>
    <t>B</t>
  </si>
  <si>
    <t>B-</t>
  </si>
  <si>
    <t>AAA</t>
  </si>
  <si>
    <t>n.a.</t>
  </si>
  <si>
    <t>Below B-</t>
  </si>
  <si>
    <t>AAA-</t>
  </si>
  <si>
    <t>Housing and real estate loans</t>
  </si>
  <si>
    <t>Commercial loans</t>
  </si>
  <si>
    <t>Student loans</t>
  </si>
  <si>
    <t>Consumer loans</t>
  </si>
  <si>
    <t>Fair-value approach:</t>
  </si>
  <si>
    <t>Periodicity of cashflows:</t>
  </si>
  <si>
    <t>Timing of cashflows:</t>
  </si>
  <si>
    <t>Maturity:</t>
  </si>
  <si>
    <t>&gt;= 5 years</t>
  </si>
  <si>
    <t>Subsidy rate</t>
  </si>
  <si>
    <t>Subsidy amount</t>
  </si>
  <si>
    <t>Loss multiple</t>
  </si>
  <si>
    <t>Totals:</t>
  </si>
  <si>
    <t>Estimated risk parameter:</t>
  </si>
  <si>
    <t>Very low risk</t>
  </si>
  <si>
    <t>Low risk</t>
  </si>
  <si>
    <t>Moderate risk</t>
  </si>
  <si>
    <t>High risk</t>
  </si>
  <si>
    <t>Very high risk</t>
  </si>
  <si>
    <t>Semiannual</t>
  </si>
  <si>
    <t>Discount factors:</t>
  </si>
  <si>
    <t>Cash flow parameters</t>
  </si>
  <si>
    <t>Risk parameters</t>
  </si>
  <si>
    <t>Guarantee percentage:</t>
  </si>
  <si>
    <t>DIRECT LOANS</t>
  </si>
  <si>
    <t>LOAN GUARANTEES</t>
  </si>
  <si>
    <t>Underlying loan parameters</t>
  </si>
  <si>
    <t>Loan maturity (years):</t>
  </si>
  <si>
    <t>Risk-adjusted discount rate</t>
  </si>
  <si>
    <t>Direct loans</t>
  </si>
  <si>
    <t>Program Name:</t>
  </si>
  <si>
    <t>Loan interest rate:</t>
  </si>
  <si>
    <t>Annual prepayment rate:</t>
  </si>
  <si>
    <t>Grace period (years):</t>
  </si>
  <si>
    <t>UPB</t>
  </si>
  <si>
    <t>Loan amortization:</t>
  </si>
  <si>
    <t>Loan guarantees</t>
  </si>
  <si>
    <t>Fair value alert:</t>
  </si>
  <si>
    <t>Risk subcategory</t>
  </si>
  <si>
    <t>Risk subcategory:</t>
  </si>
  <si>
    <t>Description</t>
  </si>
  <si>
    <t>Loan maturity</t>
  </si>
  <si>
    <t>Annual fee</t>
  </si>
  <si>
    <t>Risk premium</t>
  </si>
  <si>
    <t>&lt; 5 years</t>
  </si>
  <si>
    <t>Lending category</t>
  </si>
  <si>
    <t>Lending category:</t>
  </si>
  <si>
    <t>Risk Parameter Estimates</t>
  </si>
  <si>
    <t>Positive</t>
  </si>
  <si>
    <t>Negative</t>
  </si>
  <si>
    <t>Discount Factors (CBO)</t>
  </si>
  <si>
    <t>Discount Factors (User-defined)</t>
  </si>
  <si>
    <t>CBO</t>
  </si>
  <si>
    <t>Notes</t>
  </si>
  <si>
    <t>Loss rate 0.1% to 5.0%</t>
  </si>
  <si>
    <t>Loss rate 5.1% to 7.0%</t>
  </si>
  <si>
    <t>Loss rate 7.1% to 10.0%</t>
  </si>
  <si>
    <t>Loss rate 10.1% to 15.0%</t>
  </si>
  <si>
    <t>Loss rate &gt; 15.0%</t>
  </si>
  <si>
    <t>Loss rate 0% to &lt; 5%</t>
  </si>
  <si>
    <t>Loss rate &gt;= 5% to &lt; 10%</t>
  </si>
  <si>
    <t>Loss rate &gt;= 10% to &lt; 20%</t>
  </si>
  <si>
    <t>Loss rate &gt;=  20%</t>
  </si>
  <si>
    <r>
      <t>The selection of credit rating depends on the estimated default rate, recovery rate, and maturity of the cash flows. To estimate credit ratings for commercial loan programs in its recurring report "</t>
    </r>
    <r>
      <rPr>
        <i/>
        <sz val="8"/>
        <color theme="1"/>
        <rFont val="Arial"/>
        <family val="2"/>
      </rPr>
      <t>Estimates of the Fair Value Cost of Federal Credit Programs</t>
    </r>
    <r>
      <rPr>
        <sz val="8"/>
        <color theme="1"/>
        <rFont val="Arial"/>
        <family val="2"/>
      </rPr>
      <t>," CBO uses data on cumulative default probabilities for corporate bonds from S&amp;P's annual corporate default and rating transition study.</t>
    </r>
  </si>
  <si>
    <t>Interest rate</t>
  </si>
  <si>
    <t>Default rate</t>
  </si>
  <si>
    <t>Fees from borrower</t>
  </si>
  <si>
    <t>Treasury rate</t>
  </si>
  <si>
    <t>Discount factor</t>
  </si>
  <si>
    <t>Discount factor (risk-adjusted)</t>
  </si>
  <si>
    <t>Principal payments</t>
  </si>
  <si>
    <t>Interest payments</t>
  </si>
  <si>
    <t>Loan disbursement</t>
  </si>
  <si>
    <t>Cash flow projections</t>
  </si>
  <si>
    <t>Principal balance (beginning of period)</t>
  </si>
  <si>
    <t>Input parameters</t>
  </si>
  <si>
    <t>Present values</t>
  </si>
  <si>
    <t>Principal and interest payments</t>
  </si>
  <si>
    <t>Default losses (net of recovery)</t>
  </si>
  <si>
    <t>Subsidy calculation</t>
  </si>
  <si>
    <t>Financing component</t>
  </si>
  <si>
    <t>Default component</t>
  </si>
  <si>
    <t>Fee component</t>
  </si>
  <si>
    <t>Subsidy cost, total</t>
  </si>
  <si>
    <t>Fair value</t>
  </si>
  <si>
    <t>FCRA</t>
  </si>
  <si>
    <t>Survival probability</t>
  </si>
  <si>
    <t>Loan characteristics</t>
  </si>
  <si>
    <t>Loan and discounting parameters</t>
  </si>
  <si>
    <t>Example for How to Estimate the FCRA and Fair-Value Subsidy Costs a Direct Loan and Loan Guarantee</t>
  </si>
  <si>
    <t>[Enter program name here]</t>
  </si>
  <si>
    <t>Other outflows</t>
  </si>
  <si>
    <t>Other inflows</t>
  </si>
  <si>
    <t>Quarterly</t>
  </si>
  <si>
    <t>Sign of cash flow (may be different from standard credit usage):</t>
  </si>
  <si>
    <t>Losses (nondefault)</t>
  </si>
  <si>
    <t>Loss rate 0 to 1%. Partial guarantee and/or low risk portfolio</t>
  </si>
  <si>
    <t>Loss rate 1.1% to 2%. Full guarantee and/or moderate risk portfolio</t>
  </si>
  <si>
    <t>Loss rate &gt; 2%. Full guarantee and/or high risk portfolio</t>
  </si>
  <si>
    <t>(required only for fair value using risk-adjusted discount rate approach)</t>
  </si>
  <si>
    <t>Tab</t>
  </si>
  <si>
    <t>Type</t>
  </si>
  <si>
    <t>README</t>
  </si>
  <si>
    <t>Reference</t>
  </si>
  <si>
    <t>Input, Output</t>
  </si>
  <si>
    <t>License</t>
  </si>
  <si>
    <t>Abbreviations Used in This Model</t>
  </si>
  <si>
    <t>Table of Contents</t>
  </si>
  <si>
    <t>DL_Subsidy</t>
  </si>
  <si>
    <t>LG_Subsidy</t>
  </si>
  <si>
    <t>DL</t>
  </si>
  <si>
    <t>LG</t>
  </si>
  <si>
    <t>direct loan</t>
  </si>
  <si>
    <t>loan guarantee</t>
  </si>
  <si>
    <t>Risk_Premium</t>
  </si>
  <si>
    <t>Input</t>
  </si>
  <si>
    <t>Discount_Factors</t>
  </si>
  <si>
    <t>Example_Valuation</t>
  </si>
  <si>
    <t>Federal Credit Reform Act of 1990</t>
  </si>
  <si>
    <t>Subsidy estimate</t>
  </si>
  <si>
    <t>Loan guarantee cash flows</t>
  </si>
  <si>
    <t>Underlying loan cash flows</t>
  </si>
  <si>
    <t>Direct loan cash flows</t>
  </si>
  <si>
    <t>Cash_Flow_Signs</t>
  </si>
  <si>
    <t xml:space="preserve">
Calculates the subsidy cost of a loan guarantee program using disbursements and cash flows to and from the government including default, recovery, annual fees, upfront fees, premiums, other outflows and other inflows. Other user input includes descriptions of the cash flows (including signs), selected discount rates, and risk parameters.</t>
  </si>
  <si>
    <t>Definitions</t>
  </si>
  <si>
    <t xml:space="preserve">
Definitions of the parameters used in the model to estimate the subsidy cost of a direct loan or loan guarantee.</t>
  </si>
  <si>
    <t xml:space="preserve">
Model's interpretation of the signs (positive, negative) for the cash flows of a direct loan or loan guarantee.</t>
  </si>
  <si>
    <t xml:space="preserve">
Example for how to estimate the FCRA and fair-value subsidy costs for a direct loan or loan guarantee.</t>
  </si>
  <si>
    <t xml:space="preserve">
License, disclaimer, disclosures.</t>
  </si>
  <si>
    <t xml:space="preserve">
Overview of model workbook.</t>
  </si>
  <si>
    <t xml:space="preserve">
Calculates the subsidy cost of a direct loan program using disbursements and cash flows to and from the government including principal, interest, default, recovery, fees, nondefault losses, prepayment, other outflows and other inflows. Other user input includes descriptions of the cash flows (including signs), selected discount rates, and risk parameters.</t>
  </si>
  <si>
    <t xml:space="preserve">
CBO's discount factors--annual, semiannual, and quarterly for cash flows received in the beginning, middle, and end of period--for the February 2026 are included with the release of the tool. The code to generate CBO's discount rates is on the agency website. The tool allows for user-defined discount factors to be entered in the light yellow cells and selected in the DL_Subsidy and LG_Subsidy worksheets.</t>
  </si>
  <si>
    <t xml:space="preserve">
The risk parameter estimates used in CBO's July 2026 report Estimates of the Cost of Federal Credit Programs in 2027 (www.cbo.gov/publication/61645) are included with the release of the tool. Risk premiums are available for commercial loans, consumer loans, student loans, and housing and real estate loans. For commercial loans, risk premiums are also available for short- and longer-term maturities. For housing and real estate loans, CBO does not estimate loss multiples.</t>
  </si>
  <si>
    <t>Last updated: February 2026 baseline (www.cbo.gov/publication/61882)</t>
  </si>
  <si>
    <r>
      <t xml:space="preserve">This worksheet presents data used in CBO's July 2026 report </t>
    </r>
    <r>
      <rPr>
        <i/>
        <sz val="10"/>
        <rFont val="Arial"/>
        <family val="2"/>
      </rPr>
      <t>Estimates of the Cost of Federal Credit Programs in 2027 (</t>
    </r>
    <r>
      <rPr>
        <sz val="10"/>
        <rFont val="Arial"/>
        <family val="2"/>
      </rPr>
      <t>www.cbo.gov/publication/61645)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</si>
</sst>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0.000000"/>
    <numFmt numFmtId="165" formatCode="#,##0.0000"/>
    <numFmt numFmtId="166" formatCode="0.0"/>
    <numFmt numFmtId="167" formatCode="#,##0.0"/>
    <numFmt numFmtId="168" formatCode="#,##0.000000"/>
    <numFmt numFmtId="169" formatCode="0.0%"/>
  </numFmts>
  <fonts count="31" x14ac:knownFonts="1">
    <font>
      <sz val="8"/>
      <color theme="1"/>
      <name val="Arial"/>
      <family val="2"/>
    </font>
    <font>
      <sz val="8"/>
      <name val="Arial"/>
      <family val="2"/>
    </font>
    <font>
      <sz val="10"/>
      <name val="Arial"/>
      <family val="2"/>
    </font>
    <font>
      <sz val="10"/>
      <name val="Arial"/>
      <family val="2"/>
    </font>
    <font>
      <sz val="8"/>
      <color theme="1"/>
      <name val="Arial"/>
      <family val="2"/>
    </font>
    <font>
      <sz val="11"/>
      <color theme="1"/>
      <name val="Calibri"/>
      <family val="2"/>
      <scheme val="minor"/>
    </font>
    <font>
      <sz val="12"/>
      <name val="Arial"/>
      <family val="2"/>
    </font>
    <font>
      <b/>
      <sz val="8"/>
      <color theme="1"/>
      <name val="Arial"/>
      <family val="2"/>
    </font>
    <font>
      <b/>
      <sz val="8"/>
      <name val="Arial"/>
      <family val="2"/>
    </font>
    <font>
      <sz val="10"/>
      <name val="Arial"/>
      <family val="2"/>
    </font>
    <font>
      <sz val="11"/>
      <name val="Calibri"/>
      <family val="2"/>
    </font>
    <font>
      <b/>
      <sz val="8"/>
      <color theme="0"/>
      <name val="Arial"/>
      <family val="2"/>
    </font>
    <font>
      <u/>
      <sz val="10"/>
      <color indexed="12"/>
      <name val="Arial"/>
      <family val="2"/>
    </font>
    <font>
      <b/>
      <sz val="10"/>
      <color theme="1"/>
      <name val="Arial"/>
      <family val="2"/>
    </font>
    <font>
      <sz val="10"/>
      <color theme="1"/>
      <name val="Arial"/>
      <family val="2"/>
    </font>
    <font>
      <b/>
      <sz val="14"/>
      <color theme="0"/>
      <name val="Arial"/>
      <family val="2"/>
    </font>
    <font>
      <b/>
      <sz val="14"/>
      <color theme="1"/>
      <name val="Arial"/>
      <family val="2"/>
    </font>
    <font>
      <i/>
      <sz val="8"/>
      <color theme="1"/>
      <name val="Arial"/>
      <family val="2"/>
    </font>
    <font>
      <b/>
      <sz val="8"/>
      <color rgb="FF000000"/>
      <name val="Arial"/>
      <family val="2"/>
    </font>
    <font>
      <sz val="10"/>
      <color rgb="FFFF0000"/>
      <name val="Arial"/>
      <family val="2"/>
    </font>
    <font>
      <sz val="8"/>
      <color theme="0"/>
      <name val="Arial"/>
      <family val="2"/>
    </font>
    <font>
      <u/>
      <sz val="8"/>
      <name val="Arial"/>
      <family val="2"/>
    </font>
    <font>
      <b/>
      <sz val="10"/>
      <color theme="0"/>
      <name val="Arial"/>
      <family val="2"/>
    </font>
    <font>
      <sz val="9"/>
      <color indexed="81"/>
      <name val="Tahoma"/>
      <family val="2"/>
    </font>
    <font>
      <sz val="8"/>
      <color indexed="81"/>
      <name val="Arial"/>
      <family val="2"/>
    </font>
    <font>
      <b/>
      <sz val="8"/>
      <color indexed="81"/>
      <name val="Arial"/>
      <family val="2"/>
    </font>
    <font>
      <i/>
      <sz val="10"/>
      <name val="Arial"/>
      <family val="2"/>
    </font>
    <font>
      <b/>
      <sz val="12"/>
      <color theme="1"/>
      <name val="Arial"/>
      <family val="2"/>
    </font>
    <font>
      <sz val="11"/>
      <color theme="1"/>
      <name val="Arial"/>
      <family val="2"/>
    </font>
    <font>
      <u/>
      <sz val="11"/>
      <color theme="10"/>
      <name val="Calibri"/>
      <family val="2"/>
      <scheme val="minor"/>
    </font>
    <font>
      <b/>
      <sz val="11"/>
      <color theme="1"/>
      <name val="Arial"/>
      <family val="2"/>
    </font>
  </fonts>
  <fills count="6">
    <fill>
      <patternFill patternType="none"/>
    </fill>
    <fill>
      <patternFill patternType="gray125"/>
    </fill>
    <fill>
      <patternFill patternType="solid">
        <fgColor theme="4" tint="0.79998168889431442"/>
        <bgColor indexed="64"/>
      </patternFill>
    </fill>
    <fill>
      <patternFill patternType="solid">
        <fgColor theme="3"/>
        <bgColor indexed="64"/>
      </patternFill>
    </fill>
    <fill>
      <patternFill patternType="solid">
        <fgColor theme="0" tint="-0.14999847407452621"/>
        <bgColor indexed="64"/>
      </patternFill>
    </fill>
    <fill>
      <patternFill patternType="solid">
        <fgColor rgb="FFFFFFCC"/>
        <bgColor indexed="64"/>
      </patternFill>
    </fill>
  </fills>
  <borders count="22">
    <border>
      <left/>
      <right/>
      <top/>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auto="1"/>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auto="1"/>
      </left>
      <right/>
      <top/>
      <bottom/>
      <diagonal/>
    </border>
    <border>
      <left/>
      <right/>
      <top/>
      <bottom style="medium">
        <color indexed="64"/>
      </bottom>
      <diagonal/>
    </border>
    <border>
      <left/>
      <right style="thin">
        <color auto="1"/>
      </right>
      <top/>
      <bottom/>
      <diagonal/>
    </border>
    <border>
      <left style="medium">
        <color auto="1"/>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s>
  <cellStyleXfs count="25">
    <xf numFmtId="0" fontId="0" fillId="0" borderId="0"/>
    <xf numFmtId="0" fontId="2" fillId="0" borderId="0"/>
    <xf numFmtId="0" fontId="3" fillId="0" borderId="0"/>
    <xf numFmtId="0" fontId="5" fillId="0" borderId="0"/>
    <xf numFmtId="0" fontId="6"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9" fontId="5"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4" fillId="0" borderId="0"/>
    <xf numFmtId="0" fontId="9" fillId="0" borderId="0"/>
    <xf numFmtId="9" fontId="2" fillId="0" borderId="0" applyFont="0" applyFill="0" applyBorder="0" applyAlignment="0" applyProtection="0"/>
    <xf numFmtId="0" fontId="9" fillId="0" borderId="0"/>
    <xf numFmtId="0" fontId="2" fillId="0" borderId="0" applyNumberFormat="0" applyFill="0" applyBorder="0" applyAlignment="0" applyProtection="0"/>
    <xf numFmtId="44" fontId="5" fillId="0" borderId="0" applyFont="0" applyFill="0" applyBorder="0" applyAlignment="0" applyProtection="0"/>
    <xf numFmtId="0" fontId="2" fillId="0" borderId="0"/>
    <xf numFmtId="0" fontId="6" fillId="0" borderId="0"/>
    <xf numFmtId="0" fontId="10" fillId="0" borderId="0"/>
    <xf numFmtId="0" fontId="12" fillId="0" borderId="0" applyNumberFormat="0" applyFill="0" applyBorder="0" applyAlignment="0" applyProtection="0">
      <alignment vertical="top"/>
      <protection locked="0"/>
    </xf>
    <xf numFmtId="9" fontId="4" fillId="0" borderId="0" applyFont="0" applyFill="0" applyBorder="0" applyAlignment="0" applyProtection="0"/>
    <xf numFmtId="0" fontId="29" fillId="0" borderId="0" applyNumberFormat="0" applyFill="0" applyBorder="0" applyAlignment="0" applyProtection="0"/>
    <xf numFmtId="0" fontId="6" fillId="0" borderId="0"/>
    <xf numFmtId="0" fontId="6" fillId="0" borderId="0"/>
  </cellStyleXfs>
  <cellXfs count="149">
    <xf numFmtId="0" fontId="0" fillId="0" borderId="0" xfId="0"/>
    <xf numFmtId="0" fontId="0" fillId="0" borderId="1" xfId="0" applyBorder="1"/>
    <xf numFmtId="1" fontId="0" fillId="0" borderId="0" xfId="0" applyNumberFormat="1" applyAlignment="1">
      <alignment horizontal="center"/>
    </xf>
    <xf numFmtId="0" fontId="1" fillId="0" borderId="0" xfId="15" applyFont="1"/>
    <xf numFmtId="0" fontId="1" fillId="0" borderId="5" xfId="15" applyFont="1" applyFill="1" applyBorder="1" applyAlignment="1" applyProtection="1">
      <alignment horizontal="center"/>
    </xf>
    <xf numFmtId="166" fontId="0" fillId="0" borderId="0" xfId="0" applyNumberFormat="1" applyAlignment="1">
      <alignment horizontal="center"/>
    </xf>
    <xf numFmtId="1" fontId="1" fillId="0" borderId="0" xfId="0" applyNumberFormat="1" applyFont="1" applyAlignment="1">
      <alignment horizontal="center"/>
    </xf>
    <xf numFmtId="166" fontId="1" fillId="0" borderId="0" xfId="0" applyNumberFormat="1" applyFont="1" applyAlignment="1">
      <alignment horizontal="center"/>
    </xf>
    <xf numFmtId="1" fontId="0" fillId="0" borderId="1" xfId="0" applyNumberFormat="1" applyBorder="1" applyAlignment="1">
      <alignment horizontal="center" wrapText="1"/>
    </xf>
    <xf numFmtId="1" fontId="1" fillId="0" borderId="1" xfId="0" applyNumberFormat="1" applyFont="1" applyBorder="1" applyAlignment="1">
      <alignment horizontal="center"/>
    </xf>
    <xf numFmtId="0" fontId="0" fillId="3" borderId="0" xfId="0" applyFill="1"/>
    <xf numFmtId="166" fontId="1" fillId="0" borderId="1" xfId="0" applyNumberFormat="1" applyFont="1" applyBorder="1" applyAlignment="1">
      <alignment horizontal="center"/>
    </xf>
    <xf numFmtId="0" fontId="1" fillId="0" borderId="0" xfId="15" applyFont="1" applyBorder="1"/>
    <xf numFmtId="0" fontId="1" fillId="0" borderId="1" xfId="15" applyFont="1" applyBorder="1"/>
    <xf numFmtId="0" fontId="1" fillId="3" borderId="0" xfId="15" applyFont="1" applyFill="1"/>
    <xf numFmtId="0" fontId="15" fillId="3" borderId="0" xfId="0" applyFont="1" applyFill="1"/>
    <xf numFmtId="166" fontId="0" fillId="0" borderId="0" xfId="0" applyNumberFormat="1" applyAlignment="1">
      <alignment horizontal="center" wrapText="1"/>
    </xf>
    <xf numFmtId="1" fontId="0" fillId="0" borderId="0" xfId="0" applyNumberFormat="1" applyAlignment="1">
      <alignment horizontal="center" wrapText="1"/>
    </xf>
    <xf numFmtId="166" fontId="0" fillId="3" borderId="0" xfId="0" applyNumberFormat="1" applyFill="1" applyAlignment="1">
      <alignment horizontal="center"/>
    </xf>
    <xf numFmtId="0" fontId="15" fillId="3" borderId="0" xfId="15" applyFont="1" applyFill="1"/>
    <xf numFmtId="0" fontId="19" fillId="0" borderId="0" xfId="15" applyFont="1"/>
    <xf numFmtId="0" fontId="1" fillId="0" borderId="17" xfId="15" applyFont="1" applyBorder="1"/>
    <xf numFmtId="0" fontId="1" fillId="0" borderId="11" xfId="15" applyFont="1" applyBorder="1"/>
    <xf numFmtId="1" fontId="0" fillId="0" borderId="1" xfId="0" applyNumberFormat="1" applyBorder="1" applyAlignment="1">
      <alignment wrapText="1"/>
    </xf>
    <xf numFmtId="164" fontId="1" fillId="0" borderId="9" xfId="15" applyNumberFormat="1" applyFont="1" applyFill="1" applyBorder="1"/>
    <xf numFmtId="164" fontId="1" fillId="0" borderId="8" xfId="15" applyNumberFormat="1" applyFont="1" applyFill="1" applyBorder="1"/>
    <xf numFmtId="164" fontId="1" fillId="0" borderId="10" xfId="15" applyNumberFormat="1" applyFont="1" applyFill="1" applyBorder="1"/>
    <xf numFmtId="164" fontId="1" fillId="0" borderId="17" xfId="15" applyNumberFormat="1" applyFont="1" applyFill="1" applyBorder="1"/>
    <xf numFmtId="164" fontId="1" fillId="0" borderId="0" xfId="15" applyNumberFormat="1" applyFont="1" applyFill="1" applyBorder="1"/>
    <xf numFmtId="164" fontId="1" fillId="0" borderId="11" xfId="15" applyNumberFormat="1" applyFont="1" applyFill="1" applyBorder="1"/>
    <xf numFmtId="164" fontId="1" fillId="0" borderId="12" xfId="15" applyNumberFormat="1" applyFont="1" applyFill="1" applyBorder="1"/>
    <xf numFmtId="164" fontId="1" fillId="0" borderId="15" xfId="15" applyNumberFormat="1" applyFont="1" applyFill="1" applyBorder="1"/>
    <xf numFmtId="164" fontId="1" fillId="0" borderId="13" xfId="15" applyNumberFormat="1" applyFont="1" applyFill="1" applyBorder="1"/>
    <xf numFmtId="0" fontId="1" fillId="0" borderId="0" xfId="1" applyFont="1"/>
    <xf numFmtId="10" fontId="1" fillId="0" borderId="0" xfId="13" applyNumberFormat="1" applyFont="1"/>
    <xf numFmtId="9" fontId="1" fillId="0" borderId="0" xfId="1" applyNumberFormat="1" applyFont="1"/>
    <xf numFmtId="3" fontId="1" fillId="0" borderId="0" xfId="1" applyNumberFormat="1" applyFont="1"/>
    <xf numFmtId="0" fontId="1" fillId="0" borderId="0" xfId="1" applyFont="1" applyAlignment="1">
      <alignment horizontal="left"/>
    </xf>
    <xf numFmtId="0" fontId="11" fillId="3" borderId="0" xfId="1" applyFont="1" applyFill="1"/>
    <xf numFmtId="0" fontId="20" fillId="3" borderId="0" xfId="1" applyFont="1" applyFill="1"/>
    <xf numFmtId="3" fontId="8" fillId="2" borderId="0" xfId="1" applyNumberFormat="1" applyFont="1" applyFill="1"/>
    <xf numFmtId="169" fontId="8" fillId="2" borderId="0" xfId="13" applyNumberFormat="1" applyFont="1" applyFill="1" applyBorder="1" applyAlignment="1"/>
    <xf numFmtId="0" fontId="8" fillId="0" borderId="0" xfId="1" applyFont="1"/>
    <xf numFmtId="168" fontId="1" fillId="0" borderId="0" xfId="1" applyNumberFormat="1" applyFont="1"/>
    <xf numFmtId="0" fontId="8" fillId="0" borderId="0" xfId="1" applyFont="1" applyAlignment="1">
      <alignment horizontal="left"/>
    </xf>
    <xf numFmtId="3" fontId="1" fillId="3" borderId="0" xfId="1" applyNumberFormat="1" applyFont="1" applyFill="1"/>
    <xf numFmtId="0" fontId="11" fillId="3" borderId="0" xfId="1" applyFont="1" applyFill="1" applyAlignment="1">
      <alignment horizontal="left"/>
    </xf>
    <xf numFmtId="3" fontId="21" fillId="0" borderId="0" xfId="1" applyNumberFormat="1" applyFont="1"/>
    <xf numFmtId="0" fontId="8" fillId="0" borderId="0" xfId="1" applyFont="1" applyAlignment="1">
      <alignment horizontal="left" indent="1"/>
    </xf>
    <xf numFmtId="0" fontId="8" fillId="0" borderId="2" xfId="1" applyFont="1" applyBorder="1"/>
    <xf numFmtId="0" fontId="1" fillId="3" borderId="0" xfId="1" applyFont="1" applyFill="1"/>
    <xf numFmtId="3" fontId="1" fillId="0" borderId="0" xfId="1" applyNumberFormat="1" applyFont="1" applyAlignment="1">
      <alignment horizontal="center"/>
    </xf>
    <xf numFmtId="3" fontId="21" fillId="0" borderId="0" xfId="1" applyNumberFormat="1" applyFont="1" applyAlignment="1">
      <alignment horizontal="center"/>
    </xf>
    <xf numFmtId="3" fontId="8" fillId="2" borderId="0" xfId="1" applyNumberFormat="1" applyFont="1" applyFill="1" applyAlignment="1">
      <alignment horizontal="center"/>
    </xf>
    <xf numFmtId="169" fontId="8" fillId="2" borderId="0" xfId="13" applyNumberFormat="1" applyFont="1" applyFill="1" applyBorder="1" applyAlignment="1">
      <alignment horizontal="center"/>
    </xf>
    <xf numFmtId="0" fontId="1" fillId="0" borderId="0" xfId="1" applyFont="1" applyAlignment="1">
      <alignment horizontal="left" indent="2"/>
    </xf>
    <xf numFmtId="3" fontId="8" fillId="0" borderId="1" xfId="1" applyNumberFormat="1" applyFont="1" applyBorder="1" applyAlignment="1">
      <alignment horizontal="center"/>
    </xf>
    <xf numFmtId="0" fontId="1" fillId="0" borderId="1" xfId="1" applyFont="1" applyBorder="1" applyAlignment="1">
      <alignment horizontal="left"/>
    </xf>
    <xf numFmtId="0" fontId="22" fillId="3" borderId="0" xfId="1" applyFont="1" applyFill="1"/>
    <xf numFmtId="0" fontId="27" fillId="0" borderId="0" xfId="0" applyFont="1"/>
    <xf numFmtId="0" fontId="30" fillId="0" borderId="0" xfId="0" applyFont="1"/>
    <xf numFmtId="0" fontId="28" fillId="0" borderId="0" xfId="0" applyFont="1"/>
    <xf numFmtId="0" fontId="28" fillId="0" borderId="0" xfId="0" applyFont="1" applyAlignment="1">
      <alignment wrapText="1"/>
    </xf>
    <xf numFmtId="0" fontId="2" fillId="0" borderId="0" xfId="15"/>
    <xf numFmtId="0" fontId="2" fillId="0" borderId="0" xfId="0" applyFont="1"/>
    <xf numFmtId="164" fontId="1" fillId="5" borderId="9" xfId="15" applyNumberFormat="1" applyFont="1" applyFill="1" applyBorder="1" applyProtection="1">
      <protection locked="0"/>
    </xf>
    <xf numFmtId="164" fontId="1" fillId="5" borderId="8" xfId="15" applyNumberFormat="1" applyFont="1" applyFill="1" applyBorder="1" applyProtection="1">
      <protection locked="0"/>
    </xf>
    <xf numFmtId="164" fontId="1" fillId="5" borderId="10" xfId="15" applyNumberFormat="1" applyFont="1" applyFill="1" applyBorder="1" applyProtection="1">
      <protection locked="0"/>
    </xf>
    <xf numFmtId="164" fontId="1" fillId="5" borderId="17" xfId="15" applyNumberFormat="1" applyFont="1" applyFill="1" applyBorder="1" applyProtection="1">
      <protection locked="0"/>
    </xf>
    <xf numFmtId="164" fontId="1" fillId="5" borderId="0" xfId="15" applyNumberFormat="1" applyFont="1" applyFill="1" applyBorder="1" applyProtection="1">
      <protection locked="0"/>
    </xf>
    <xf numFmtId="164" fontId="1" fillId="5" borderId="11" xfId="15" applyNumberFormat="1" applyFont="1" applyFill="1" applyBorder="1" applyProtection="1">
      <protection locked="0"/>
    </xf>
    <xf numFmtId="164" fontId="1" fillId="5" borderId="12" xfId="15" applyNumberFormat="1" applyFont="1" applyFill="1" applyBorder="1" applyProtection="1">
      <protection locked="0"/>
    </xf>
    <xf numFmtId="164" fontId="1" fillId="5" borderId="15" xfId="15" applyNumberFormat="1" applyFont="1" applyFill="1" applyBorder="1" applyProtection="1">
      <protection locked="0"/>
    </xf>
    <xf numFmtId="164" fontId="1" fillId="5" borderId="13" xfId="15" applyNumberFormat="1" applyFont="1" applyFill="1" applyBorder="1" applyProtection="1">
      <protection locked="0"/>
    </xf>
    <xf numFmtId="10" fontId="1" fillId="5" borderId="0" xfId="13" applyNumberFormat="1" applyFont="1" applyFill="1" applyBorder="1" applyAlignment="1" applyProtection="1">
      <protection locked="0"/>
    </xf>
    <xf numFmtId="9" fontId="1" fillId="5" borderId="0" xfId="13" applyFont="1" applyFill="1" applyBorder="1" applyAlignment="1" applyProtection="1">
      <protection locked="0"/>
    </xf>
    <xf numFmtId="3" fontId="1" fillId="5" borderId="0" xfId="1" applyNumberFormat="1" applyFont="1" applyFill="1" applyProtection="1">
      <protection locked="0"/>
    </xf>
    <xf numFmtId="0" fontId="1" fillId="5" borderId="0" xfId="1" applyFont="1" applyFill="1" applyProtection="1">
      <protection locked="0"/>
    </xf>
    <xf numFmtId="10" fontId="1" fillId="5" borderId="0" xfId="13" applyNumberFormat="1" applyFont="1" applyFill="1" applyBorder="1" applyProtection="1">
      <protection locked="0"/>
    </xf>
    <xf numFmtId="0" fontId="15" fillId="3" borderId="0" xfId="0" applyFont="1" applyFill="1" applyProtection="1">
      <protection locked="0"/>
    </xf>
    <xf numFmtId="3" fontId="0" fillId="3" borderId="0" xfId="0" applyNumberFormat="1" applyFill="1" applyProtection="1">
      <protection locked="0"/>
    </xf>
    <xf numFmtId="0" fontId="0" fillId="3" borderId="0" xfId="0" applyFill="1" applyProtection="1">
      <protection locked="0"/>
    </xf>
    <xf numFmtId="0" fontId="0" fillId="0" borderId="0" xfId="0" applyProtection="1">
      <protection locked="0"/>
    </xf>
    <xf numFmtId="0" fontId="13" fillId="0" borderId="0" xfId="0" applyFont="1" applyProtection="1">
      <protection locked="0"/>
    </xf>
    <xf numFmtId="0" fontId="14" fillId="5" borderId="0" xfId="0" applyFont="1" applyFill="1" applyProtection="1">
      <protection locked="0"/>
    </xf>
    <xf numFmtId="3" fontId="0" fillId="0" borderId="0" xfId="0" applyNumberFormat="1" applyProtection="1">
      <protection locked="0"/>
    </xf>
    <xf numFmtId="3" fontId="11" fillId="3" borderId="0" xfId="0" applyNumberFormat="1" applyFont="1" applyFill="1" applyProtection="1">
      <protection locked="0"/>
    </xf>
    <xf numFmtId="3" fontId="0" fillId="3" borderId="0" xfId="0" applyNumberFormat="1" applyFill="1" applyAlignment="1" applyProtection="1">
      <alignment horizontal="centerContinuous"/>
      <protection locked="0"/>
    </xf>
    <xf numFmtId="3" fontId="0" fillId="0" borderId="0" xfId="0" applyNumberFormat="1" applyAlignment="1" applyProtection="1">
      <alignment horizontal="centerContinuous"/>
      <protection locked="0"/>
    </xf>
    <xf numFmtId="3" fontId="1" fillId="3" borderId="0" xfId="0" applyNumberFormat="1" applyFont="1" applyFill="1" applyAlignment="1" applyProtection="1">
      <alignment horizontal="centerContinuous"/>
      <protection locked="0"/>
    </xf>
    <xf numFmtId="4" fontId="0" fillId="0" borderId="0" xfId="0" applyNumberFormat="1" applyProtection="1">
      <protection locked="0"/>
    </xf>
    <xf numFmtId="0" fontId="0" fillId="0" borderId="0" xfId="0" applyAlignment="1" applyProtection="1">
      <alignment wrapText="1"/>
      <protection locked="0"/>
    </xf>
    <xf numFmtId="3" fontId="0" fillId="5" borderId="6" xfId="0" applyNumberFormat="1" applyFill="1" applyBorder="1" applyProtection="1">
      <protection locked="0"/>
    </xf>
    <xf numFmtId="3" fontId="0" fillId="5" borderId="2" xfId="0" applyNumberFormat="1" applyFill="1" applyBorder="1" applyProtection="1">
      <protection locked="0"/>
    </xf>
    <xf numFmtId="3" fontId="0" fillId="5" borderId="2" xfId="0" applyNumberFormat="1" applyFill="1" applyBorder="1" applyAlignment="1" applyProtection="1">
      <alignment wrapText="1"/>
      <protection locked="0"/>
    </xf>
    <xf numFmtId="3" fontId="0" fillId="5" borderId="7" xfId="0" applyNumberFormat="1" applyFill="1" applyBorder="1" applyProtection="1">
      <protection locked="0"/>
    </xf>
    <xf numFmtId="3" fontId="0" fillId="0" borderId="1" xfId="0" applyNumberFormat="1" applyBorder="1" applyProtection="1">
      <protection locked="0"/>
    </xf>
    <xf numFmtId="3" fontId="0" fillId="0" borderId="4" xfId="0" applyNumberFormat="1" applyBorder="1" applyAlignment="1" applyProtection="1">
      <alignment horizontal="center" wrapText="1"/>
      <protection locked="0"/>
    </xf>
    <xf numFmtId="3" fontId="0" fillId="0" borderId="3" xfId="0" applyNumberFormat="1" applyBorder="1" applyAlignment="1" applyProtection="1">
      <alignment horizontal="center" wrapText="1"/>
      <protection locked="0"/>
    </xf>
    <xf numFmtId="3" fontId="0" fillId="0" borderId="0" xfId="0" applyNumberFormat="1" applyAlignment="1" applyProtection="1">
      <alignment wrapText="1"/>
      <protection locked="0"/>
    </xf>
    <xf numFmtId="0" fontId="0" fillId="0" borderId="1" xfId="0" applyBorder="1" applyProtection="1">
      <protection locked="0"/>
    </xf>
    <xf numFmtId="3" fontId="0" fillId="0" borderId="15" xfId="0" applyNumberFormat="1" applyBorder="1" applyAlignment="1" applyProtection="1">
      <alignment wrapText="1"/>
      <protection locked="0"/>
    </xf>
    <xf numFmtId="167" fontId="0" fillId="0" borderId="0" xfId="0" applyNumberFormat="1" applyProtection="1">
      <protection locked="0"/>
    </xf>
    <xf numFmtId="1" fontId="0" fillId="0" borderId="0" xfId="0" applyNumberFormat="1" applyProtection="1">
      <protection locked="0"/>
    </xf>
    <xf numFmtId="3" fontId="0" fillId="5" borderId="9" xfId="0" applyNumberFormat="1" applyFill="1" applyBorder="1" applyProtection="1">
      <protection locked="0"/>
    </xf>
    <xf numFmtId="3" fontId="0" fillId="5" borderId="8" xfId="0" applyNumberFormat="1" applyFill="1" applyBorder="1" applyProtection="1">
      <protection locked="0"/>
    </xf>
    <xf numFmtId="3" fontId="0" fillId="5" borderId="10" xfId="0" applyNumberFormat="1" applyFill="1" applyBorder="1" applyProtection="1">
      <protection locked="0"/>
    </xf>
    <xf numFmtId="3" fontId="0" fillId="5" borderId="17" xfId="0" applyNumberFormat="1" applyFill="1" applyBorder="1" applyProtection="1">
      <protection locked="0"/>
    </xf>
    <xf numFmtId="3" fontId="0" fillId="5" borderId="0" xfId="0" applyNumberFormat="1" applyFill="1" applyProtection="1">
      <protection locked="0"/>
    </xf>
    <xf numFmtId="3" fontId="0" fillId="5" borderId="11" xfId="0" applyNumberFormat="1" applyFill="1" applyBorder="1" applyProtection="1">
      <protection locked="0"/>
    </xf>
    <xf numFmtId="3" fontId="7" fillId="4" borderId="0" xfId="0" applyNumberFormat="1" applyFont="1" applyFill="1" applyProtection="1">
      <protection locked="0"/>
    </xf>
    <xf numFmtId="0" fontId="0" fillId="4" borderId="0" xfId="0" applyFill="1" applyProtection="1">
      <protection locked="0"/>
    </xf>
    <xf numFmtId="3" fontId="0" fillId="3" borderId="0" xfId="0" applyNumberFormat="1" applyFill="1" applyAlignment="1" applyProtection="1">
      <alignment horizontal="center"/>
      <protection locked="0"/>
    </xf>
    <xf numFmtId="3" fontId="7" fillId="0" borderId="0" xfId="0" applyNumberFormat="1" applyFont="1" applyProtection="1">
      <protection locked="0"/>
    </xf>
    <xf numFmtId="0" fontId="7" fillId="0" borderId="0" xfId="0" applyFont="1" applyProtection="1">
      <protection locked="0"/>
    </xf>
    <xf numFmtId="3" fontId="0" fillId="5" borderId="12" xfId="0" applyNumberFormat="1" applyFill="1" applyBorder="1" applyProtection="1">
      <protection locked="0"/>
    </xf>
    <xf numFmtId="3" fontId="0" fillId="5" borderId="15" xfId="0" applyNumberFormat="1" applyFill="1" applyBorder="1" applyProtection="1">
      <protection locked="0"/>
    </xf>
    <xf numFmtId="3" fontId="0" fillId="5" borderId="13" xfId="0" applyNumberFormat="1" applyFill="1" applyBorder="1" applyProtection="1">
      <protection locked="0"/>
    </xf>
    <xf numFmtId="3" fontId="8" fillId="4" borderId="0" xfId="0" applyNumberFormat="1" applyFont="1" applyFill="1" applyProtection="1">
      <protection locked="0"/>
    </xf>
    <xf numFmtId="3" fontId="1" fillId="4" borderId="0" xfId="0" applyNumberFormat="1" applyFont="1" applyFill="1" applyProtection="1">
      <protection locked="0"/>
    </xf>
    <xf numFmtId="3" fontId="0" fillId="5" borderId="6" xfId="0" applyNumberFormat="1" applyFill="1" applyBorder="1" applyAlignment="1" applyProtection="1">
      <alignment wrapText="1"/>
      <protection locked="0"/>
    </xf>
    <xf numFmtId="3" fontId="0" fillId="5" borderId="7" xfId="0" applyNumberFormat="1" applyFill="1" applyBorder="1" applyAlignment="1" applyProtection="1">
      <alignment wrapText="1"/>
      <protection locked="0"/>
    </xf>
    <xf numFmtId="10" fontId="0" fillId="5" borderId="0" xfId="21" applyNumberFormat="1" applyFont="1" applyFill="1" applyProtection="1">
      <protection locked="0"/>
    </xf>
    <xf numFmtId="3" fontId="0" fillId="0" borderId="0" xfId="0" quotePrefix="1" applyNumberFormat="1" applyProtection="1">
      <protection locked="0"/>
    </xf>
    <xf numFmtId="10" fontId="0" fillId="0" borderId="14" xfId="0" applyNumberFormat="1" applyBorder="1" applyAlignment="1" applyProtection="1">
      <alignment horizontal="center"/>
      <protection hidden="1"/>
    </xf>
    <xf numFmtId="3" fontId="0" fillId="0" borderId="16" xfId="0" applyNumberFormat="1" applyBorder="1" applyAlignment="1" applyProtection="1">
      <alignment horizontal="center"/>
      <protection hidden="1"/>
    </xf>
    <xf numFmtId="10" fontId="0" fillId="0" borderId="4" xfId="0" applyNumberFormat="1" applyBorder="1" applyAlignment="1" applyProtection="1">
      <alignment horizontal="center"/>
      <protection hidden="1"/>
    </xf>
    <xf numFmtId="3" fontId="0" fillId="0" borderId="3" xfId="0" applyNumberFormat="1" applyBorder="1" applyAlignment="1" applyProtection="1">
      <alignment horizontal="center"/>
      <protection hidden="1"/>
    </xf>
    <xf numFmtId="165" fontId="0" fillId="5" borderId="10" xfId="0" applyNumberFormat="1" applyFill="1" applyBorder="1" applyProtection="1">
      <protection locked="0"/>
    </xf>
    <xf numFmtId="165" fontId="0" fillId="5" borderId="11" xfId="0" applyNumberFormat="1" applyFill="1" applyBorder="1" applyProtection="1">
      <protection locked="0"/>
    </xf>
    <xf numFmtId="165" fontId="0" fillId="5" borderId="13" xfId="0" applyNumberFormat="1" applyFill="1" applyBorder="1" applyProtection="1">
      <protection locked="0"/>
    </xf>
    <xf numFmtId="0" fontId="16" fillId="0" borderId="0" xfId="0" applyFont="1" applyAlignment="1">
      <alignment horizontal="left"/>
    </xf>
    <xf numFmtId="0" fontId="1" fillId="0" borderId="18" xfId="15" applyFont="1" applyBorder="1" applyAlignment="1">
      <alignment horizontal="center"/>
    </xf>
    <xf numFmtId="0" fontId="1" fillId="0" borderId="19" xfId="15" applyFont="1" applyBorder="1" applyAlignment="1">
      <alignment horizontal="center"/>
    </xf>
    <xf numFmtId="0" fontId="1" fillId="0" borderId="20" xfId="15" applyFont="1" applyBorder="1" applyAlignment="1">
      <alignment horizontal="center"/>
    </xf>
    <xf numFmtId="0" fontId="0" fillId="0" borderId="21" xfId="0" applyBorder="1" applyAlignment="1">
      <alignment vertical="center" wrapText="1"/>
    </xf>
    <xf numFmtId="0" fontId="0" fillId="0" borderId="0" xfId="0" applyAlignment="1">
      <alignment vertical="center" wrapText="1"/>
    </xf>
    <xf numFmtId="0" fontId="0" fillId="0" borderId="1" xfId="0" applyBorder="1" applyAlignment="1">
      <alignment vertical="center" wrapText="1"/>
    </xf>
    <xf numFmtId="4" fontId="0" fillId="5" borderId="0" xfId="0" applyNumberFormat="1" applyFill="1" applyProtection="1">
      <protection locked="0"/>
    </xf>
    <xf numFmtId="0" fontId="0" fillId="0" borderId="0" xfId="0" applyProtection="1">
      <protection locked="0"/>
    </xf>
    <xf numFmtId="167" fontId="0" fillId="5" borderId="0" xfId="0" applyNumberFormat="1" applyFill="1" applyAlignment="1" applyProtection="1">
      <alignment horizontal="left"/>
      <protection locked="0" hidden="1"/>
    </xf>
    <xf numFmtId="0" fontId="0" fillId="0" borderId="0" xfId="0" applyAlignment="1" applyProtection="1">
      <alignment horizontal="left"/>
      <protection locked="0" hidden="1"/>
    </xf>
    <xf numFmtId="0" fontId="0" fillId="5" borderId="0" xfId="0" applyFill="1" applyProtection="1">
      <protection locked="0"/>
    </xf>
    <xf numFmtId="3" fontId="0" fillId="5" borderId="0" xfId="0" applyNumberFormat="1" applyFill="1" applyProtection="1">
      <protection locked="0"/>
    </xf>
    <xf numFmtId="0" fontId="14" fillId="5" borderId="0" xfId="0" applyFont="1" applyFill="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4" fontId="0" fillId="4" borderId="0" xfId="0" quotePrefix="1" applyNumberFormat="1" applyFill="1" applyAlignment="1" applyProtection="1">
      <alignment wrapText="1"/>
      <protection hidden="1"/>
    </xf>
    <xf numFmtId="0" fontId="0" fillId="0" borderId="0" xfId="0" applyAlignment="1" applyProtection="1">
      <alignment wrapText="1"/>
      <protection hidden="1"/>
    </xf>
  </cellXfs>
  <cellStyles count="25">
    <cellStyle name="Comma 2" xfId="9" xr:uid="{00000000-0005-0000-0000-000001000000}"/>
    <cellStyle name="Currency 2" xfId="6" xr:uid="{00000000-0005-0000-0000-000002000000}"/>
    <cellStyle name="Currency 3" xfId="16" xr:uid="{00000000-0005-0000-0000-000003000000}"/>
    <cellStyle name="Hyperlink 2" xfId="20" xr:uid="{41920896-14AE-4C8D-85DA-88AA4CE180B2}"/>
    <cellStyle name="Hyperlink 3" xfId="22" xr:uid="{8056B96A-DFF1-401B-A0E6-F034575287B8}"/>
    <cellStyle name="Normal" xfId="0" builtinId="0"/>
    <cellStyle name="Normal 13" xfId="24" xr:uid="{265D7674-0D36-4E4D-AE6E-4B446AC108EE}"/>
    <cellStyle name="Normal 2" xfId="1" xr:uid="{00000000-0005-0000-0000-000005000000}"/>
    <cellStyle name="Normal 2 2" xfId="3" xr:uid="{00000000-0005-0000-0000-000006000000}"/>
    <cellStyle name="Normal 2 3" xfId="14" xr:uid="{00000000-0005-0000-0000-000007000000}"/>
    <cellStyle name="Normal 2 4" xfId="23" xr:uid="{FB9025BA-0526-441D-B58C-AF101DA6FC08}"/>
    <cellStyle name="Normal 3" xfId="2" xr:uid="{00000000-0005-0000-0000-000008000000}"/>
    <cellStyle name="Normal 3 2" xfId="18" xr:uid="{E82CA056-EF7A-497E-9377-C8EBF47DEBDD}"/>
    <cellStyle name="Normal 4" xfId="4" xr:uid="{00000000-0005-0000-0000-000009000000}"/>
    <cellStyle name="Normal 4 2" xfId="17" xr:uid="{78649531-FA56-45E6-BB7C-12C585FC940E}"/>
    <cellStyle name="Normal 5" xfId="5" xr:uid="{00000000-0005-0000-0000-00000A000000}"/>
    <cellStyle name="Normal 5 2" xfId="19" xr:uid="{80C1D8DF-55B6-477E-A5D5-F2F1D23F754B}"/>
    <cellStyle name="Normal 6" xfId="11" xr:uid="{00000000-0005-0000-0000-00000B000000}"/>
    <cellStyle name="Normal 7" xfId="12" xr:uid="{00000000-0005-0000-0000-00000C000000}"/>
    <cellStyle name="Normal 8" xfId="15" xr:uid="{00000000-0005-0000-0000-00000D000000}"/>
    <cellStyle name="Percent" xfId="21" builtinId="5"/>
    <cellStyle name="Percent 2" xfId="7" xr:uid="{00000000-0005-0000-0000-00000E000000}"/>
    <cellStyle name="Percent 2 2" xfId="13" xr:uid="{00000000-0005-0000-0000-00000F000000}"/>
    <cellStyle name="Percent 3" xfId="8" xr:uid="{00000000-0005-0000-0000-000010000000}"/>
    <cellStyle name="Percent 4" xfId="10" xr:uid="{00000000-0005-0000-0000-000011000000}"/>
  </cellStyles>
  <dxfs count="0"/>
  <tableStyles count="0" defaultTableStyle="TableStyleMedium2" defaultPivotStyle="PivotStyleLight16"/>
  <colors>
    <mruColors>
      <color rgb="FFFFFFCC"/>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309282</xdr:colOff>
      <xdr:row>1</xdr:row>
      <xdr:rowOff>61632</xdr:rowOff>
    </xdr:from>
    <xdr:to>
      <xdr:col>4</xdr:col>
      <xdr:colOff>448608</xdr:colOff>
      <xdr:row>39</xdr:row>
      <xdr:rowOff>156883</xdr:rowOff>
    </xdr:to>
    <xdr:sp macro="" textlink="">
      <xdr:nvSpPr>
        <xdr:cNvPr id="2" name="TextBox 1">
          <a:extLst>
            <a:ext uri="{FF2B5EF4-FFF2-40B4-BE49-F238E27FC236}">
              <a16:creationId xmlns:a16="http://schemas.microsoft.com/office/drawing/2014/main" id="{8B87295C-EADD-4230-B5A1-A8E0442A2A19}"/>
            </a:ext>
          </a:extLst>
        </xdr:cNvPr>
        <xdr:cNvSpPr txBox="1"/>
      </xdr:nvSpPr>
      <xdr:spPr>
        <a:xfrm>
          <a:off x="847164" y="240926"/>
          <a:ext cx="7714503" cy="69084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Arial" panose="020B0604020202020204" pitchFamily="34" charset="0"/>
              <a:ea typeface="+mn-ea"/>
              <a:cs typeface="Arial" panose="020B0604020202020204" pitchFamily="34" charset="0"/>
            </a:rPr>
            <a:t>CBO’s Credit Subsidy Tool</a:t>
          </a:r>
        </a:p>
        <a:p>
          <a:pPr>
            <a:lnSpc>
              <a:spcPct val="108000"/>
            </a:lnSpc>
          </a:pPr>
          <a:endParaRPr lang="en-US" sz="1100" b="1">
            <a:effectLst/>
            <a:latin typeface="Arial" panose="020B0604020202020204" pitchFamily="34" charset="0"/>
            <a:cs typeface="Arial" panose="020B0604020202020204" pitchFamily="34" charset="0"/>
          </a:endParaRPr>
        </a:p>
        <a:p>
          <a:pPr>
            <a:lnSpc>
              <a:spcPct val="108000"/>
            </a:lnSpc>
            <a:spcBef>
              <a:spcPts val="400"/>
            </a:spcBef>
            <a:spcAft>
              <a:spcPts val="200"/>
            </a:spcAft>
          </a:pPr>
          <a:r>
            <a:rPr lang="en-US" sz="1200" b="1">
              <a:latin typeface="Arial" panose="020B0604020202020204" pitchFamily="34" charset="0"/>
              <a:cs typeface="Arial" panose="020B0604020202020204" pitchFamily="34" charset="0"/>
            </a:rPr>
            <a:t>What This Model Does</a:t>
          </a:r>
        </a:p>
        <a:p>
          <a:pPr>
            <a:lnSpc>
              <a:spcPct val="108000"/>
            </a:lnSpc>
          </a:pPr>
          <a:r>
            <a:rPr lang="en-US" sz="1100" baseline="0">
              <a:latin typeface="Arial" panose="020B0604020202020204" pitchFamily="34" charset="0"/>
              <a:cs typeface="Arial" panose="020B0604020202020204" pitchFamily="34" charset="0"/>
            </a:rPr>
            <a:t>The model produces credit subsidy estimates for direct loan and loan guarantee programs using two approaches: the accounting procedures used in the federal budget and prescribed by the Federal Credit Reform Act of 1990 (FCRA), and an alternative approach in which costs are estimated on the basis of the market value of the federal government's obligations--termed a fair-value approach. The user supplies the disbursements and cash flows to and from the government for the direct loan or loan guarantee, discount factors, and risk parameters. The model estimates the subsidy cost and subsidy rate under the FCRA and fair-value approaches.</a:t>
          </a:r>
        </a:p>
        <a:p>
          <a:pPr>
            <a:lnSpc>
              <a:spcPct val="108000"/>
            </a:lnSpc>
          </a:pPr>
          <a:endParaRPr lang="en-US" sz="1100" baseline="0">
            <a:latin typeface="Arial" panose="020B0604020202020204" pitchFamily="34" charset="0"/>
            <a:cs typeface="Arial" panose="020B0604020202020204" pitchFamily="34" charset="0"/>
          </a:endParaRPr>
        </a:p>
        <a:p>
          <a:pPr>
            <a:lnSpc>
              <a:spcPct val="108000"/>
            </a:lnSpc>
          </a:pPr>
          <a:r>
            <a:rPr lang="en-US" sz="1200" b="1">
              <a:solidFill>
                <a:schemeClr val="dk1"/>
              </a:solidFill>
              <a:effectLst/>
              <a:latin typeface="Arial" panose="020B0604020202020204" pitchFamily="34" charset="0"/>
              <a:ea typeface="+mn-ea"/>
              <a:cs typeface="Arial" panose="020B0604020202020204" pitchFamily="34" charset="0"/>
            </a:rPr>
            <a:t>Notation</a:t>
          </a:r>
          <a:endParaRPr lang="en-US" sz="1200" baseline="0">
            <a:latin typeface="Arial" panose="020B0604020202020204" pitchFamily="34" charset="0"/>
            <a:cs typeface="Arial" panose="020B0604020202020204" pitchFamily="34" charset="0"/>
          </a:endParaRPr>
        </a:p>
        <a:p>
          <a:pPr>
            <a:lnSpc>
              <a:spcPct val="108000"/>
            </a:lnSpc>
          </a:pPr>
          <a:r>
            <a:rPr lang="en-US" sz="1100" baseline="0">
              <a:latin typeface="Arial" panose="020B0604020202020204" pitchFamily="34" charset="0"/>
              <a:cs typeface="Arial" panose="020B0604020202020204" pitchFamily="34" charset="0"/>
            </a:rPr>
            <a:t>Light yellow cells in the worksheets (Discount_Factors, DL_Subsidy, LG_Subsidy) require user input. All other cells are pre-populated or calculated.</a:t>
          </a:r>
        </a:p>
        <a:p>
          <a:pPr>
            <a:lnSpc>
              <a:spcPct val="108000"/>
            </a:lnSpc>
          </a:pPr>
          <a:endParaRPr lang="en-US" sz="1100">
            <a:latin typeface="Arial" panose="020B0604020202020204" pitchFamily="34" charset="0"/>
            <a:cs typeface="Arial" panose="020B0604020202020204" pitchFamily="34" charset="0"/>
          </a:endParaRPr>
        </a:p>
        <a:p>
          <a:pPr>
            <a:lnSpc>
              <a:spcPct val="108000"/>
            </a:lnSpc>
            <a:spcAft>
              <a:spcPts val="200"/>
            </a:spcAft>
          </a:pPr>
          <a:r>
            <a:rPr lang="en-US" sz="1200" b="1">
              <a:latin typeface="Arial" panose="020B0604020202020204" pitchFamily="34" charset="0"/>
              <a:cs typeface="Arial" panose="020B0604020202020204" pitchFamily="34" charset="0"/>
            </a:rPr>
            <a:t>Related Files</a:t>
          </a:r>
        </a:p>
        <a:p>
          <a:r>
            <a:rPr lang="en-US" sz="1100">
              <a:solidFill>
                <a:schemeClr val="dk1"/>
              </a:solidFill>
              <a:effectLst/>
              <a:latin typeface="Arial" panose="020B0604020202020204" pitchFamily="34" charset="0"/>
              <a:ea typeface="+mn-ea"/>
              <a:cs typeface="Arial" panose="020B0604020202020204" pitchFamily="34" charset="0"/>
            </a:rPr>
            <a:t>Wendy Kiska and Michael Falkenheim, </a:t>
          </a:r>
          <a:r>
            <a:rPr lang="en-US" sz="1100" i="1">
              <a:solidFill>
                <a:schemeClr val="dk1"/>
              </a:solidFill>
              <a:effectLst/>
              <a:latin typeface="Arial" panose="020B0604020202020204" pitchFamily="34" charset="0"/>
              <a:ea typeface="+mn-ea"/>
              <a:cs typeface="Arial" panose="020B0604020202020204" pitchFamily="34" charset="0"/>
            </a:rPr>
            <a:t>How CBO Estimates the Market Risk of Federal Credit Programs</a:t>
          </a:r>
          <a:r>
            <a:rPr lang="en-US" sz="1100">
              <a:solidFill>
                <a:schemeClr val="dk1"/>
              </a:solidFill>
              <a:effectLst/>
              <a:latin typeface="Arial" panose="020B0604020202020204" pitchFamily="34" charset="0"/>
              <a:ea typeface="+mn-ea"/>
              <a:cs typeface="Arial" panose="020B0604020202020204" pitchFamily="34" charset="0"/>
            </a:rPr>
            <a:t>, Working Paper 2021-14, </a:t>
          </a:r>
          <a:r>
            <a:rPr lang="en-US" sz="1100">
              <a:solidFill>
                <a:sysClr val="windowText" lastClr="000000"/>
              </a:solidFill>
              <a:effectLst/>
              <a:latin typeface="Arial" panose="020B0604020202020204" pitchFamily="34" charset="0"/>
              <a:ea typeface="+mn-ea"/>
              <a:cs typeface="Arial" panose="020B0604020202020204" pitchFamily="34" charset="0"/>
            </a:rPr>
            <a:t>Congressional Budget Office (November 2021), https://www.cbo.gov/publication/57581.</a:t>
          </a:r>
        </a:p>
        <a:p>
          <a:endParaRPr lang="en-US">
            <a:solidFill>
              <a:sysClr val="windowText" lastClr="000000"/>
            </a:solidFill>
            <a:effectLst/>
            <a:latin typeface="Arial" panose="020B0604020202020204" pitchFamily="34" charset="0"/>
            <a:cs typeface="Arial" panose="020B0604020202020204" pitchFamily="34" charset="0"/>
          </a:endParaRPr>
        </a:p>
        <a:p>
          <a:r>
            <a:rPr lang="en-US" sz="1100">
              <a:solidFill>
                <a:sysClr val="windowText" lastClr="000000"/>
              </a:solidFill>
              <a:effectLst/>
              <a:latin typeface="Arial" panose="020B0604020202020204" pitchFamily="34" charset="0"/>
              <a:ea typeface="+mn-ea"/>
              <a:cs typeface="Arial" panose="020B0604020202020204" pitchFamily="34" charset="0"/>
            </a:rPr>
            <a:t>Congressional Budget Office, </a:t>
          </a:r>
          <a:r>
            <a:rPr lang="en-US" sz="1100" i="1">
              <a:solidFill>
                <a:sysClr val="windowText" lastClr="000000"/>
              </a:solidFill>
              <a:effectLst/>
              <a:latin typeface="Arial" panose="020B0604020202020204" pitchFamily="34" charset="0"/>
              <a:ea typeface="+mn-ea"/>
              <a:cs typeface="Arial" panose="020B0604020202020204" pitchFamily="34" charset="0"/>
            </a:rPr>
            <a:t>How CBO Produces Fair-Value Estimates of the Cost of Federal Credit Programs: A Primer</a:t>
          </a:r>
          <a:r>
            <a:rPr lang="en-US" sz="1100">
              <a:solidFill>
                <a:sysClr val="windowText" lastClr="000000"/>
              </a:solidFill>
              <a:effectLst/>
              <a:latin typeface="Arial" panose="020B0604020202020204" pitchFamily="34" charset="0"/>
              <a:ea typeface="+mn-ea"/>
              <a:cs typeface="Arial" panose="020B0604020202020204" pitchFamily="34" charset="0"/>
            </a:rPr>
            <a:t> (July 2018), https://www.cbo.gov/publication/53886.</a:t>
          </a:r>
        </a:p>
        <a:p>
          <a:endParaRPr lang="en-US">
            <a:solidFill>
              <a:sysClr val="windowText" lastClr="000000"/>
            </a:solidFill>
            <a:effectLst/>
            <a:latin typeface="Arial" panose="020B0604020202020204" pitchFamily="34" charset="0"/>
            <a:cs typeface="Arial" panose="020B0604020202020204" pitchFamily="34" charset="0"/>
          </a:endParaRPr>
        </a:p>
        <a:p>
          <a:r>
            <a:rPr lang="en-US" sz="1100" i="1">
              <a:solidFill>
                <a:sysClr val="windowText" lastClr="000000"/>
              </a:solidFill>
              <a:effectLst/>
              <a:latin typeface="Arial" panose="020B0604020202020204" pitchFamily="34" charset="0"/>
              <a:ea typeface="+mn-ea"/>
              <a:cs typeface="Arial" panose="020B0604020202020204" pitchFamily="34" charset="0"/>
            </a:rPr>
            <a:t>Estimates of the Costs of Federal Credit Programs</a:t>
          </a:r>
          <a:r>
            <a:rPr lang="en-US" sz="1100">
              <a:solidFill>
                <a:sysClr val="windowText" lastClr="000000"/>
              </a:solidFill>
              <a:effectLst/>
              <a:latin typeface="Arial" panose="020B0604020202020204" pitchFamily="34" charset="0"/>
              <a:ea typeface="+mn-ea"/>
              <a:cs typeface="Arial" panose="020B0604020202020204" pitchFamily="34" charset="0"/>
            </a:rPr>
            <a:t>, Congressional Budget Office,  https://www.cbo.gov/about/products/major-recurring-reports#21.</a:t>
          </a:r>
        </a:p>
        <a:p>
          <a:endParaRPr lang="en-US">
            <a:solidFill>
              <a:sysClr val="windowText" lastClr="000000"/>
            </a:solidFill>
            <a:effectLst/>
            <a:latin typeface="Arial" panose="020B0604020202020204" pitchFamily="34" charset="0"/>
            <a:cs typeface="Arial" panose="020B0604020202020204" pitchFamily="34" charset="0"/>
          </a:endParaRPr>
        </a:p>
        <a:p>
          <a:r>
            <a:rPr lang="en-US" sz="1100">
              <a:solidFill>
                <a:sysClr val="windowText" lastClr="000000"/>
              </a:solidFill>
              <a:effectLst/>
              <a:latin typeface="Arial" panose="020B0604020202020204" pitchFamily="34" charset="0"/>
              <a:ea typeface="+mn-ea"/>
              <a:cs typeface="Arial" panose="020B0604020202020204" pitchFamily="34" charset="0"/>
            </a:rPr>
            <a:t>Congressional Budget Office, "Calculate Discount Factors From Treasury Yield Data" (code release), https://github.com/US-CBO/discount-factors/blob/main/README.md</a:t>
          </a:r>
          <a:endParaRPr lang="en-US">
            <a:solidFill>
              <a:sysClr val="windowText" lastClr="000000"/>
            </a:solidFill>
            <a:effectLst/>
            <a:latin typeface="Arial" panose="020B0604020202020204" pitchFamily="34" charset="0"/>
            <a:cs typeface="Arial" panose="020B0604020202020204" pitchFamily="34" charset="0"/>
          </a:endParaRPr>
        </a:p>
        <a:p>
          <a:pPr>
            <a:lnSpc>
              <a:spcPct val="108000"/>
            </a:lnSpc>
          </a:pPr>
          <a:endParaRPr lang="en-US" sz="1100">
            <a:solidFill>
              <a:sysClr val="windowText" lastClr="000000"/>
            </a:solidFill>
            <a:latin typeface="Arial" panose="020B0604020202020204" pitchFamily="34" charset="0"/>
            <a:cs typeface="Arial" panose="020B0604020202020204" pitchFamily="34" charset="0"/>
          </a:endParaRPr>
        </a:p>
        <a:p>
          <a:r>
            <a:rPr lang="en-US" sz="1200" b="1">
              <a:solidFill>
                <a:sysClr val="windowText" lastClr="000000"/>
              </a:solidFill>
              <a:effectLst/>
              <a:latin typeface="Arial" panose="020B0604020202020204" pitchFamily="34" charset="0"/>
              <a:ea typeface="+mn-ea"/>
              <a:cs typeface="Arial" panose="020B0604020202020204" pitchFamily="34" charset="0"/>
            </a:rPr>
            <a:t>Acknowledgments</a:t>
          </a:r>
          <a:endParaRPr lang="en-US" sz="1200">
            <a:solidFill>
              <a:sysClr val="windowText" lastClr="000000"/>
            </a:solidFill>
            <a:effectLst/>
            <a:latin typeface="Arial" panose="020B0604020202020204" pitchFamily="34" charset="0"/>
            <a:cs typeface="Arial" panose="020B0604020202020204" pitchFamily="34" charset="0"/>
          </a:endParaRPr>
        </a:p>
        <a:p>
          <a:r>
            <a:rPr lang="en-US" sz="1100">
              <a:solidFill>
                <a:sysClr val="windowText" lastClr="000000"/>
              </a:solidFill>
              <a:effectLst/>
              <a:latin typeface="Arial" panose="020B0604020202020204" pitchFamily="34" charset="0"/>
              <a:ea typeface="+mn-ea"/>
              <a:cs typeface="Arial" panose="020B0604020202020204" pitchFamily="34" charset="0"/>
            </a:rPr>
            <a:t>The </a:t>
          </a:r>
          <a:r>
            <a:rPr lang="en-US" sz="1100" baseline="0">
              <a:solidFill>
                <a:sysClr val="windowText" lastClr="000000"/>
              </a:solidFill>
              <a:effectLst/>
              <a:latin typeface="Arial" panose="020B0604020202020204" pitchFamily="34" charset="0"/>
              <a:ea typeface="+mn-ea"/>
              <a:cs typeface="Arial" panose="020B0604020202020204" pitchFamily="34" charset="0"/>
            </a:rPr>
            <a:t>model was developed by Wendy Kiska. Michael Falkenheim and Emily Stern reviewed the model. </a:t>
          </a:r>
        </a:p>
        <a:p>
          <a:endParaRPr lang="en-US" sz="1200" b="1">
            <a:latin typeface="Arial" panose="020B0604020202020204" pitchFamily="34" charset="0"/>
            <a:cs typeface="Arial" panose="020B0604020202020204" pitchFamily="34" charset="0"/>
          </a:endParaRPr>
        </a:p>
        <a:p>
          <a:pPr>
            <a:lnSpc>
              <a:spcPct val="108000"/>
            </a:lnSpc>
            <a:spcAft>
              <a:spcPts val="200"/>
            </a:spcAft>
          </a:pPr>
          <a:r>
            <a:rPr lang="en-US" sz="1200" b="1">
              <a:latin typeface="Arial" panose="020B0604020202020204" pitchFamily="34" charset="0"/>
              <a:cs typeface="Arial" panose="020B0604020202020204" pitchFamily="34" charset="0"/>
            </a:rPr>
            <a:t>Disclaimer</a:t>
          </a:r>
        </a:p>
        <a:p>
          <a:pPr>
            <a:lnSpc>
              <a:spcPct val="108000"/>
            </a:lnSpc>
          </a:pPr>
          <a:r>
            <a:rPr lang="en-US" sz="1100" b="0" i="0" u="none" strike="noStrike">
              <a:solidFill>
                <a:schemeClr val="dk1"/>
              </a:solidFill>
              <a:effectLst/>
              <a:latin typeface="Arial" panose="020B0604020202020204" pitchFamily="34" charset="0"/>
              <a:ea typeface="+mn-ea"/>
              <a:cs typeface="Arial" panose="020B0604020202020204" pitchFamily="34" charset="0"/>
            </a:rPr>
            <a:t>This model illustrates the data and methodology that CBO used</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 in its July 2026 report </a:t>
          </a:r>
          <a:r>
            <a:rPr lang="en-US" sz="1100" b="0" i="1" u="none" strike="noStrike" baseline="0">
              <a:solidFill>
                <a:schemeClr val="dk1"/>
              </a:solidFill>
              <a:effectLst/>
              <a:latin typeface="Arial" panose="020B0604020202020204" pitchFamily="34" charset="0"/>
              <a:ea typeface="+mn-ea"/>
              <a:cs typeface="Arial" panose="020B0604020202020204" pitchFamily="34" charset="0"/>
            </a:rPr>
            <a:t>Estimates of the Cost of Federal Credit Programs in 2027</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 (www.cbo.gov/publication/61645). The data (including discount rates and estimates of the market risk premium) are routinely updated and</a:t>
          </a:r>
          <a:r>
            <a:rPr lang="en-US" sz="1100" b="0" i="0" u="none" strike="noStrike">
              <a:solidFill>
                <a:schemeClr val="dk1"/>
              </a:solidFill>
              <a:effectLst/>
              <a:latin typeface="Arial" panose="020B0604020202020204" pitchFamily="34" charset="0"/>
              <a:ea typeface="+mn-ea"/>
              <a:cs typeface="Arial" panose="020B0604020202020204" pitchFamily="34" charset="0"/>
            </a:rPr>
            <a:t> the methodology for risk</a:t>
          </a:r>
          <a:r>
            <a:rPr lang="en-US" sz="1100" b="0" i="0" u="none" strike="noStrike" baseline="0">
              <a:solidFill>
                <a:schemeClr val="dk1"/>
              </a:solidFill>
              <a:effectLst/>
              <a:latin typeface="Arial" panose="020B0604020202020204" pitchFamily="34" charset="0"/>
              <a:ea typeface="+mn-ea"/>
              <a:cs typeface="Arial" panose="020B0604020202020204" pitchFamily="34" charset="0"/>
            </a:rPr>
            <a:t> adjustment </a:t>
          </a:r>
          <a:r>
            <a:rPr lang="en-US" sz="1100" b="0" i="0" u="none" strike="noStrike">
              <a:solidFill>
                <a:schemeClr val="dk1"/>
              </a:solidFill>
              <a:effectLst/>
              <a:latin typeface="Arial" panose="020B0604020202020204" pitchFamily="34" charset="0"/>
              <a:ea typeface="+mn-ea"/>
              <a:cs typeface="Arial" panose="020B0604020202020204" pitchFamily="34" charset="0"/>
            </a:rPr>
            <a:t>could change over time. The subsidy estimates generated by the model do not constitute a CBO estimate.</a:t>
          </a:r>
          <a:endParaRPr lang="en-US" sz="1100">
            <a:effectLst/>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a:p>
          <a:endParaRPr lang="en-US" sz="1000">
            <a:latin typeface="Arial" panose="020B0604020202020204" pitchFamily="34" charset="0"/>
            <a:cs typeface="Arial" panose="020B0604020202020204" pitchFamily="34" charset="0"/>
          </a:endParaRPr>
        </a:p>
        <a:p>
          <a:endParaRPr lang="en-US" sz="10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xdr:rowOff>
    </xdr:from>
    <xdr:to>
      <xdr:col>15</xdr:col>
      <xdr:colOff>352863</xdr:colOff>
      <xdr:row>95</xdr:row>
      <xdr:rowOff>19051</xdr:rowOff>
    </xdr:to>
    <xdr:sp macro="" textlink="">
      <xdr:nvSpPr>
        <xdr:cNvPr id="2" name="TextBox 1">
          <a:extLst>
            <a:ext uri="{FF2B5EF4-FFF2-40B4-BE49-F238E27FC236}">
              <a16:creationId xmlns:a16="http://schemas.microsoft.com/office/drawing/2014/main" id="{4C19C8CB-9867-427F-895E-C9FD528AC6FC}"/>
            </a:ext>
          </a:extLst>
        </xdr:cNvPr>
        <xdr:cNvSpPr txBox="1"/>
      </xdr:nvSpPr>
      <xdr:spPr>
        <a:xfrm>
          <a:off x="533400" y="142876"/>
          <a:ext cx="7820463" cy="134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pPr>
          <a:r>
            <a:rPr lang="en-US" sz="1600" b="1" i="0" u="none" strike="noStrike">
              <a:solidFill>
                <a:schemeClr val="dk1"/>
              </a:solidFill>
              <a:effectLst/>
              <a:latin typeface="Arial" panose="020B0604020202020204" pitchFamily="34" charset="0"/>
              <a:ea typeface="+mn-ea"/>
              <a:cs typeface="Arial" panose="020B0604020202020204" pitchFamily="34" charset="0"/>
            </a:rPr>
            <a:t>Definitions of the Parameters</a:t>
          </a:r>
          <a:r>
            <a:rPr lang="en-US" sz="1600" b="1" i="0" u="none" strike="noStrike" baseline="0">
              <a:solidFill>
                <a:schemeClr val="dk1"/>
              </a:solidFill>
              <a:effectLst/>
              <a:latin typeface="Arial" panose="020B0604020202020204" pitchFamily="34" charset="0"/>
              <a:ea typeface="+mn-ea"/>
              <a:cs typeface="Arial" panose="020B0604020202020204" pitchFamily="34" charset="0"/>
            </a:rPr>
            <a:t> Used in the DL_Subsidy and LG_Subsidy Worksheets to Estimate the Subsidy Cost</a:t>
          </a:r>
          <a:endParaRPr lang="en-US" sz="1600" b="1" i="0" u="none" strike="noStrike">
            <a:solidFill>
              <a:schemeClr val="dk1"/>
            </a:solidFill>
            <a:effectLst/>
            <a:latin typeface="Arial" panose="020B0604020202020204" pitchFamily="34" charset="0"/>
            <a:ea typeface="+mn-ea"/>
            <a:cs typeface="Arial" panose="020B0604020202020204" pitchFamily="34" charset="0"/>
          </a:endParaRPr>
        </a:p>
        <a:p>
          <a:pPr>
            <a:lnSpc>
              <a:spcPct val="100000"/>
            </a:lnSpc>
          </a:pPr>
          <a:endParaRPr lang="en-US" sz="1100" b="1">
            <a:effectLst/>
            <a:latin typeface="Arial" panose="020B0604020202020204" pitchFamily="34" charset="0"/>
            <a:cs typeface="Arial" panose="020B0604020202020204" pitchFamily="34" charset="0"/>
          </a:endParaRPr>
        </a:p>
        <a:p>
          <a:pPr>
            <a:lnSpc>
              <a:spcPct val="100000"/>
            </a:lnSpc>
            <a:spcBef>
              <a:spcPts val="400"/>
            </a:spcBef>
            <a:spcAft>
              <a:spcPts val="200"/>
            </a:spcAft>
          </a:pPr>
          <a:r>
            <a:rPr lang="en-US" sz="1200" b="1">
              <a:latin typeface="Arial" panose="020B0604020202020204" pitchFamily="34" charset="0"/>
              <a:cs typeface="Arial" panose="020B0604020202020204" pitchFamily="34" charset="0"/>
            </a:rPr>
            <a:t>Subsidy</a:t>
          </a:r>
          <a:r>
            <a:rPr lang="en-US" sz="1200" b="1" baseline="0">
              <a:latin typeface="Arial" panose="020B0604020202020204" pitchFamily="34" charset="0"/>
              <a:cs typeface="Arial" panose="020B0604020202020204" pitchFamily="34" charset="0"/>
            </a:rPr>
            <a:t> components for direct loans</a:t>
          </a:r>
          <a:endParaRPr lang="en-US" sz="1200" b="1">
            <a:latin typeface="Arial" panose="020B0604020202020204" pitchFamily="34" charset="0"/>
            <a:cs typeface="Arial" panose="020B0604020202020204" pitchFamily="34" charset="0"/>
          </a:endParaRPr>
        </a:p>
        <a:p>
          <a:pPr>
            <a:lnSpc>
              <a:spcPct val="100000"/>
            </a:lnSpc>
          </a:pPr>
          <a:r>
            <a:rPr lang="en-US" sz="1100" baseline="0">
              <a:latin typeface="Arial" panose="020B0604020202020204" pitchFamily="34" charset="0"/>
              <a:cs typeface="Arial" panose="020B0604020202020204" pitchFamily="34" charset="0"/>
            </a:rPr>
            <a:t>Financing: The financing component of the subsidy cost assumes all scheduled principal and interest are received. The financing component is equal to disbursements minus the present value of principal and interest payments.</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100" baseline="0">
              <a:latin typeface="Arial" panose="020B0604020202020204" pitchFamily="34" charset="0"/>
              <a:cs typeface="Arial" panose="020B0604020202020204" pitchFamily="34" charset="0"/>
            </a:rPr>
            <a:t>Default/recovery: The default and recovery component of the subsidy cost is equal to the present value of defaults net of recoveries.</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100" baseline="0">
              <a:latin typeface="Arial" panose="020B0604020202020204" pitchFamily="34" charset="0"/>
              <a:cs typeface="Arial" panose="020B0604020202020204" pitchFamily="34" charset="0"/>
            </a:rPr>
            <a:t>Fee: The fee component of the subsidy cost is equal to </a:t>
          </a:r>
          <a:r>
            <a:rPr lang="en-US" sz="1100" i="1" baseline="0">
              <a:latin typeface="Arial" panose="020B0604020202020204" pitchFamily="34" charset="0"/>
              <a:cs typeface="Arial" panose="020B0604020202020204" pitchFamily="34" charset="0"/>
            </a:rPr>
            <a:t>minus</a:t>
          </a:r>
          <a:r>
            <a:rPr lang="en-US" sz="1100" baseline="0">
              <a:latin typeface="Arial" panose="020B0604020202020204" pitchFamily="34" charset="0"/>
              <a:cs typeface="Arial" panose="020B0604020202020204" pitchFamily="34" charset="0"/>
            </a:rPr>
            <a:t> the present value of fees.</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100" baseline="0">
              <a:latin typeface="Arial" panose="020B0604020202020204" pitchFamily="34" charset="0"/>
              <a:cs typeface="Arial" panose="020B0604020202020204" pitchFamily="34" charset="0"/>
            </a:rPr>
            <a:t>Other: The other component of the subsidy rate is equal to the present value of other outflows minus the sum of the present value of nondefault losses, prepayments, and other inflows.</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Subsidy components for loan guarantees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Default/recovery: The default and recovery component of the subsidy cost is equal to the present value of defaults net of recoveries.</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Fee: The fee component of the subsidy cost is equal to </a:t>
          </a:r>
          <a:r>
            <a:rPr lang="en-US" sz="1100" i="1" baseline="0">
              <a:solidFill>
                <a:schemeClr val="dk1"/>
              </a:solidFill>
              <a:effectLst/>
              <a:latin typeface="Arial" panose="020B0604020202020204" pitchFamily="34" charset="0"/>
              <a:ea typeface="+mn-ea"/>
              <a:cs typeface="Arial" panose="020B0604020202020204" pitchFamily="34" charset="0"/>
            </a:rPr>
            <a:t>minus</a:t>
          </a:r>
          <a:r>
            <a:rPr lang="en-US" sz="1100" baseline="0">
              <a:solidFill>
                <a:schemeClr val="dk1"/>
              </a:solidFill>
              <a:effectLst/>
              <a:latin typeface="Arial" panose="020B0604020202020204" pitchFamily="34" charset="0"/>
              <a:ea typeface="+mn-ea"/>
              <a:cs typeface="Arial" panose="020B0604020202020204" pitchFamily="34" charset="0"/>
            </a:rPr>
            <a:t> the present value of annual fees, upfront fees, and premiums.</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Other: The other component of the subsidy rate is equal to the present value of other outflows minus other inflows.</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Cash flow parameters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Discount factors: CBO or user-defined. The discount factors are entered in the Discount_Factors worksheet.</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Periodicity of cash flows: annual, semiannual, or quarterly.</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Timing of cash flows: beginning, middle, or end of period.</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Risk parameters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Lending category: Commercial loans, consumer loans, student loans, or housing and real estate loans.</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Risk subcategory: For commercial loans, the credit rating should be consistent with the loan's maturity and expected defaults net of recoveries. For consumer loans, student loans, and housing and real estate loans, options may include: very low risk, low risk, moderate risk, high risk, and very high risk. The risk subcategories are based on expected loss rates, and additional notes are included in the Risk_Premium worksheet. For housing and real estate loans, the risk categories may be influenced by the guarantee percentage; partial guarantees are generally considered lower risk.</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Maturity: Less than 5 years or greater than 5 years. For commercial loans, shorter maturities have a lower risk premium and loss multiple than longer maturities. For other lending categories, there is no distinction between shorter and longer maturities.</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Fair-value approach: risk-adjusted discount rate and loss multiple. Review the CBO working paper "</a:t>
          </a:r>
          <a:r>
            <a:rPr lang="en-US" sz="1100" i="1" baseline="0">
              <a:solidFill>
                <a:schemeClr val="dk1"/>
              </a:solidFill>
              <a:effectLst/>
              <a:latin typeface="Arial" panose="020B0604020202020204" pitchFamily="34" charset="0"/>
              <a:ea typeface="+mn-ea"/>
              <a:cs typeface="Arial" panose="020B0604020202020204" pitchFamily="34" charset="0"/>
            </a:rPr>
            <a:t>How CBO Estimates the Market Risk of Federal Credit Programs</a:t>
          </a:r>
          <a:r>
            <a:rPr lang="en-US" sz="1100" baseline="0">
              <a:solidFill>
                <a:schemeClr val="dk1"/>
              </a:solidFill>
              <a:effectLst/>
              <a:latin typeface="Arial" panose="020B0604020202020204" pitchFamily="34" charset="0"/>
              <a:ea typeface="+mn-ea"/>
              <a:cs typeface="Arial" panose="020B0604020202020204" pitchFamily="34" charset="0"/>
            </a:rPr>
            <a:t>" for additional details on the estimation methods.</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a:effectLst/>
              <a:latin typeface="Arial" panose="020B0604020202020204" pitchFamily="34" charset="0"/>
              <a:cs typeface="Arial" panose="020B0604020202020204" pitchFamily="34" charset="0"/>
            </a:rPr>
            <a:t>Estimated risk parameter: The risk premium or loss multiple is populated from CBO's estimates in the Risk_Premium worksheet using the risk parameters selected by the user. The value may be overridden but should be consistent with the fair-value approach selected.</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Underlying</a:t>
          </a:r>
          <a:r>
            <a:rPr lang="en-US" sz="1200" b="1" baseline="0">
              <a:solidFill>
                <a:schemeClr val="dk1"/>
              </a:solidFill>
              <a:effectLst/>
              <a:latin typeface="Arial" panose="020B0604020202020204" pitchFamily="34" charset="0"/>
              <a:ea typeface="+mn-ea"/>
              <a:cs typeface="Arial" panose="020B0604020202020204" pitchFamily="34" charset="0"/>
            </a:rPr>
            <a:t> loan parameters for loan guarantees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Overview: When estimating the </a:t>
          </a:r>
          <a:r>
            <a:rPr lang="en-US" sz="1100" u="sng" baseline="0">
              <a:solidFill>
                <a:schemeClr val="dk1"/>
              </a:solidFill>
              <a:effectLst/>
              <a:latin typeface="Arial" panose="020B0604020202020204" pitchFamily="34" charset="0"/>
              <a:ea typeface="+mn-ea"/>
              <a:cs typeface="Arial" panose="020B0604020202020204" pitchFamily="34" charset="0"/>
            </a:rPr>
            <a:t>fair-value</a:t>
          </a:r>
          <a:r>
            <a:rPr lang="en-US" sz="1100" baseline="0">
              <a:solidFill>
                <a:schemeClr val="dk1"/>
              </a:solidFill>
              <a:effectLst/>
              <a:latin typeface="Arial" panose="020B0604020202020204" pitchFamily="34" charset="0"/>
              <a:ea typeface="+mn-ea"/>
              <a:cs typeface="Arial" panose="020B0604020202020204" pitchFamily="34" charset="0"/>
            </a:rPr>
            <a:t> subsidy cost for loan guarantees using the </a:t>
          </a:r>
          <a:r>
            <a:rPr lang="en-US" sz="1100" u="sng" baseline="0">
              <a:solidFill>
                <a:schemeClr val="dk1"/>
              </a:solidFill>
              <a:effectLst/>
              <a:latin typeface="Arial" panose="020B0604020202020204" pitchFamily="34" charset="0"/>
              <a:ea typeface="+mn-ea"/>
              <a:cs typeface="Arial" panose="020B0604020202020204" pitchFamily="34" charset="0"/>
            </a:rPr>
            <a:t>risk-adjusted discount rate</a:t>
          </a:r>
          <a:r>
            <a:rPr lang="en-US" sz="1100" baseline="0">
              <a:solidFill>
                <a:schemeClr val="dk1"/>
              </a:solidFill>
              <a:effectLst/>
              <a:latin typeface="Arial" panose="020B0604020202020204" pitchFamily="34" charset="0"/>
              <a:ea typeface="+mn-ea"/>
              <a:cs typeface="Arial" panose="020B0604020202020204" pitchFamily="34" charset="0"/>
            </a:rPr>
            <a:t> approach, an amortization schedule for the underlying loans is required and should be consistent with the expected loan guarantee cash flows. An amortization schedule is not required under the loss multiple approach. CBO only uses the risk-adjusted discount rate method for housing and real estate loans, and the agency therefore does not estimate a risk parameter that can be used with a loss multiple approach. The user can specify one, if desired.</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Guarantee percentage: Guarantee percentage for the loan guarantee.</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Loan interest rate: Interest rate for the loan underlying the guarantee.</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Loan maturity: Expected maturity, in whole years, for the loan underlying the guarantee.</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Grace period: Grace period, in whole years, for the loan underlying the guarantee.</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Loan amortization: When using the tool to estimate underlying loan cash flows, included options for the amortization schedule include: standard loans with interest capitalizing at end of grace period; balloon loans with interest due at maturity; and balloon loans with periodic interest payments.</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Annual prepayment rate: When using the tool, survival probabilities are influenced by the conditional annual prepayment rate. Note that scheduled principal and interest are independent of expected prepayments.</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a:effectLst/>
              <a:latin typeface="Arial" panose="020B0604020202020204" pitchFamily="34" charset="0"/>
              <a:cs typeface="Arial" panose="020B0604020202020204" pitchFamily="34" charset="0"/>
            </a:rPr>
            <a:t>Run Amortization Schedule (macro button): Macro to populate cash flows and survival probabilities for the loan underlying the guarantee, using other inputs in this section. Any values in the columns for the underlying loan cash flows will be overwritten.</a:t>
          </a:r>
        </a:p>
        <a:p>
          <a:pPr>
            <a:lnSpc>
              <a:spcPct val="100000"/>
            </a:lnSpc>
          </a:pPr>
          <a:endParaRPr lang="en-US" sz="1100">
            <a:effectLst/>
            <a:latin typeface="Arial" panose="020B0604020202020204" pitchFamily="34" charset="0"/>
            <a:cs typeface="Arial" panose="020B0604020202020204" pitchFamily="34" charset="0"/>
          </a:endParaRPr>
        </a:p>
        <a:p>
          <a:pPr>
            <a:lnSpc>
              <a:spcPct val="100000"/>
            </a:lnSpc>
          </a:pPr>
          <a:r>
            <a:rPr lang="en-US" sz="1100">
              <a:effectLst/>
              <a:latin typeface="Arial" panose="020B0604020202020204" pitchFamily="34" charset="0"/>
              <a:cs typeface="Arial" panose="020B0604020202020204" pitchFamily="34" charset="0"/>
            </a:rPr>
            <a:t>Run Survival Probability (macro button): Macro to calculate just the survival probabilities when an amortization schedule for principal and interest has been independently entered (that is, when not using the tool to estimate the amortization schedule).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123825</xdr:rowOff>
    </xdr:from>
    <xdr:to>
      <xdr:col>15</xdr:col>
      <xdr:colOff>352864</xdr:colOff>
      <xdr:row>102</xdr:row>
      <xdr:rowOff>57151</xdr:rowOff>
    </xdr:to>
    <xdr:sp macro="" textlink="">
      <xdr:nvSpPr>
        <xdr:cNvPr id="2" name="TextBox 1">
          <a:extLst>
            <a:ext uri="{FF2B5EF4-FFF2-40B4-BE49-F238E27FC236}">
              <a16:creationId xmlns:a16="http://schemas.microsoft.com/office/drawing/2014/main" id="{DBDB81C6-2880-4F46-9659-8262F12BCA8D}"/>
            </a:ext>
          </a:extLst>
        </xdr:cNvPr>
        <xdr:cNvSpPr txBox="1"/>
      </xdr:nvSpPr>
      <xdr:spPr>
        <a:xfrm>
          <a:off x="533400" y="123825"/>
          <a:ext cx="7820464" cy="14506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pPr>
          <a:r>
            <a:rPr lang="en-US" sz="1600" b="1" i="0" u="none" strike="noStrike">
              <a:solidFill>
                <a:schemeClr val="dk1"/>
              </a:solidFill>
              <a:effectLst/>
              <a:latin typeface="Arial" panose="020B0604020202020204" pitchFamily="34" charset="0"/>
              <a:ea typeface="+mn-ea"/>
              <a:cs typeface="Arial" panose="020B0604020202020204" pitchFamily="34" charset="0"/>
            </a:rPr>
            <a:t>Cash Flow Signs for Direct Loans</a:t>
          </a:r>
        </a:p>
        <a:p>
          <a:pPr>
            <a:lnSpc>
              <a:spcPct val="100000"/>
            </a:lnSpc>
          </a:pPr>
          <a:endParaRPr lang="en-US" sz="1100" b="1">
            <a:effectLst/>
            <a:latin typeface="Arial" panose="020B0604020202020204" pitchFamily="34" charset="0"/>
            <a:cs typeface="Arial" panose="020B0604020202020204" pitchFamily="34" charset="0"/>
          </a:endParaRPr>
        </a:p>
        <a:p>
          <a:pPr marL="0" indent="0">
            <a:lnSpc>
              <a:spcPct val="100000"/>
            </a:lnSpc>
            <a:spcBef>
              <a:spcPts val="0"/>
            </a:spcBef>
            <a:spcAft>
              <a:spcPts val="0"/>
            </a:spcAft>
          </a:pPr>
          <a:r>
            <a:rPr lang="en-US" sz="1200" b="1">
              <a:solidFill>
                <a:schemeClr val="dk1"/>
              </a:solidFill>
              <a:effectLst/>
              <a:latin typeface="Arial" panose="020B0604020202020204" pitchFamily="34" charset="0"/>
              <a:ea typeface="+mn-ea"/>
              <a:cs typeface="Arial" panose="020B0604020202020204" pitchFamily="34" charset="0"/>
            </a:rPr>
            <a:t>Overview</a:t>
          </a:r>
        </a:p>
        <a:p>
          <a:pPr marL="0" indent="0">
            <a:lnSpc>
              <a:spcPct val="100000"/>
            </a:lnSpc>
            <a:spcBef>
              <a:spcPts val="0"/>
            </a:spcBef>
            <a:spcAft>
              <a:spcPts val="0"/>
            </a:spcAft>
          </a:pPr>
          <a:r>
            <a:rPr lang="en-US" sz="1100" baseline="0">
              <a:solidFill>
                <a:schemeClr val="dk1"/>
              </a:solidFill>
              <a:effectLst/>
              <a:latin typeface="Arial" panose="020B0604020202020204" pitchFamily="34" charset="0"/>
              <a:ea typeface="+mn-ea"/>
              <a:cs typeface="Arial" panose="020B0604020202020204" pitchFamily="34" charset="0"/>
            </a:rPr>
            <a:t>Cash flows to and from the government include principal, interest, default, recovery, fees, nondefault losses, prepayment, other outflows and other inflows. Interpretation of the signs used for each cash flow in the standard credit subsidy calculation are described below.</a:t>
          </a:r>
        </a:p>
        <a:p>
          <a:pPr marL="0" indent="0">
            <a:lnSpc>
              <a:spcPct val="100000"/>
            </a:lnSpc>
            <a:spcBef>
              <a:spcPts val="0"/>
            </a:spcBef>
            <a:spcAft>
              <a:spcPts val="0"/>
            </a:spcAft>
          </a:pPr>
          <a:endParaRPr lang="en-US" sz="1100" baseline="0">
            <a:solidFill>
              <a:schemeClr val="dk1"/>
            </a:solidFill>
            <a:effectLst/>
            <a:latin typeface="Arial" panose="020B0604020202020204" pitchFamily="34" charset="0"/>
            <a:ea typeface="+mn-ea"/>
            <a:cs typeface="Arial" panose="020B0604020202020204" pitchFamily="34" charset="0"/>
          </a:endParaRPr>
        </a:p>
        <a:p>
          <a:pPr marL="0" indent="0">
            <a:lnSpc>
              <a:spcPct val="100000"/>
            </a:lnSpc>
            <a:spcBef>
              <a:spcPts val="0"/>
            </a:spcBef>
            <a:spcAft>
              <a:spcPts val="0"/>
            </a:spcAft>
          </a:pPr>
          <a:r>
            <a:rPr lang="en-US" sz="1200" b="1">
              <a:solidFill>
                <a:schemeClr val="dk1"/>
              </a:solidFill>
              <a:effectLst/>
              <a:latin typeface="Arial" panose="020B0604020202020204" pitchFamily="34" charset="0"/>
              <a:ea typeface="+mn-ea"/>
              <a:cs typeface="Arial" panose="020B0604020202020204" pitchFamily="34" charset="0"/>
            </a:rPr>
            <a:t>Disbursement</a:t>
          </a:r>
        </a:p>
        <a:p>
          <a:pPr marL="0" indent="0">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n.a.</a:t>
          </a:r>
        </a:p>
        <a:p>
          <a:pPr marL="0" indent="0">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marL="0" indent="0">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p>
        <a:p>
          <a:pPr marL="0" indent="0">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marL="0" indent="0">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The loan amounts disbursed to borrowers are entered as positive values.</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Principal</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financing</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Repayments of principal are entered as positive values that reduce the outstanding loan balance, and thus reduce the subsidy cost.</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Interest</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financing</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Interest payments from borrowers are entered as positive values that increase cash inflows, and thus reduce the subsidy cost.</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Default</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default/recovery</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negative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Principal and interest amounts not repaid due to borrower default are entered as negative values that reduce expected cash inflows, and thus increase the subsidy cost.</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Recovery</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default/recovery</a:t>
          </a:r>
        </a:p>
        <a:p>
          <a:pPr>
            <a:lnSpc>
              <a:spcPct val="100000"/>
            </a:lnSpc>
          </a:pPr>
          <a:endParaRPr lang="en-US" sz="11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p>
        <a:p>
          <a:pPr>
            <a:lnSpc>
              <a:spcPct val="100000"/>
            </a:lnSpc>
          </a:pPr>
          <a:endParaRPr lang="en-US" sz="11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Amounts recovered after default (e.g., collections, asset liquidation) are entered as positive values that increase expected cash outflows, and thus increase the subsidy cost.</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Fees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fee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Origination and other fees paid by borrowers are entered as positive values that increase cash inflows, and thus reduce the subsidy cost.</a:t>
          </a:r>
        </a:p>
        <a:p>
          <a:pPr>
            <a:lnSpc>
              <a:spcPct val="100000"/>
            </a:lnSpc>
          </a:pPr>
          <a:endParaRPr lang="en-US" sz="1100">
            <a:effectLst/>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Losses (nondefault)</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other</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negative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Adjustments such as modifications, forgiveness, or reestimates not tied to default are entered as negative values that reduce expected cash inflows, and thus increase the subsidy cost.</a:t>
          </a:r>
        </a:p>
        <a:p>
          <a:pPr>
            <a:lnSpc>
              <a:spcPct val="100000"/>
            </a:lnSpc>
          </a:pPr>
          <a:endParaRPr lang="en-US" sz="1100">
            <a:effectLst/>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Prepayment</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other</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Prepayments may be entered as positive or negative values. A </a:t>
          </a:r>
          <a:r>
            <a:rPr lang="en-US" sz="1100" i="1" baseline="0">
              <a:solidFill>
                <a:schemeClr val="dk1"/>
              </a:solidFill>
              <a:effectLst/>
              <a:latin typeface="Arial" panose="020B0604020202020204" pitchFamily="34" charset="0"/>
              <a:ea typeface="+mn-ea"/>
              <a:cs typeface="Arial" panose="020B0604020202020204" pitchFamily="34" charset="0"/>
            </a:rPr>
            <a:t>positive</a:t>
          </a:r>
          <a:r>
            <a:rPr lang="en-US" sz="1100" baseline="0">
              <a:solidFill>
                <a:schemeClr val="dk1"/>
              </a:solidFill>
              <a:effectLst/>
              <a:latin typeface="Arial" panose="020B0604020202020204" pitchFamily="34" charset="0"/>
              <a:ea typeface="+mn-ea"/>
              <a:cs typeface="Arial" panose="020B0604020202020204" pitchFamily="34" charset="0"/>
            </a:rPr>
            <a:t> prepayment means that the borrower repays more principal and interest than is scheduled at the specified date. A </a:t>
          </a:r>
          <a:r>
            <a:rPr lang="en-US" sz="1100" i="1" baseline="0">
              <a:solidFill>
                <a:schemeClr val="dk1"/>
              </a:solidFill>
              <a:effectLst/>
              <a:latin typeface="Arial" panose="020B0604020202020204" pitchFamily="34" charset="0"/>
              <a:ea typeface="+mn-ea"/>
              <a:cs typeface="Arial" panose="020B0604020202020204" pitchFamily="34" charset="0"/>
            </a:rPr>
            <a:t>negative</a:t>
          </a:r>
          <a:r>
            <a:rPr lang="en-US" sz="1100" baseline="0">
              <a:solidFill>
                <a:schemeClr val="dk1"/>
              </a:solidFill>
              <a:effectLst/>
              <a:latin typeface="Arial" panose="020B0604020202020204" pitchFamily="34" charset="0"/>
              <a:ea typeface="+mn-ea"/>
              <a:cs typeface="Arial" panose="020B0604020202020204" pitchFamily="34" charset="0"/>
            </a:rPr>
            <a:t> prepayment means that the borrower repays less principal and interest than scheduled at the specified date, because of an earlier positive prepayment. </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Other outflows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other</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Other outflows include miscellaneous financing account payments (e.g., administrative or contractual payments routed through the financing account) that are entered as positive values that decrease expected cash inflows, and thus increase the subsidy cost.</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Other inflows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other</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Other inflows include miscellaneous receipts that are entered as positive values that increase expected cash inflows, and thus decrease the subsidy cost.</a:t>
          </a:r>
        </a:p>
      </xdr:txBody>
    </xdr:sp>
    <xdr:clientData/>
  </xdr:twoCellAnchor>
  <xdr:twoCellAnchor>
    <xdr:from>
      <xdr:col>17</xdr:col>
      <xdr:colOff>0</xdr:colOff>
      <xdr:row>1</xdr:row>
      <xdr:rowOff>0</xdr:rowOff>
    </xdr:from>
    <xdr:to>
      <xdr:col>31</xdr:col>
      <xdr:colOff>352864</xdr:colOff>
      <xdr:row>102</xdr:row>
      <xdr:rowOff>66675</xdr:rowOff>
    </xdr:to>
    <xdr:sp macro="" textlink="">
      <xdr:nvSpPr>
        <xdr:cNvPr id="3" name="TextBox 2">
          <a:extLst>
            <a:ext uri="{FF2B5EF4-FFF2-40B4-BE49-F238E27FC236}">
              <a16:creationId xmlns:a16="http://schemas.microsoft.com/office/drawing/2014/main" id="{2FA9375C-06DF-4C95-B243-2A2F8624613D}"/>
            </a:ext>
          </a:extLst>
        </xdr:cNvPr>
        <xdr:cNvSpPr txBox="1"/>
      </xdr:nvSpPr>
      <xdr:spPr>
        <a:xfrm>
          <a:off x="9067800" y="142875"/>
          <a:ext cx="7820464" cy="14497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pPr>
          <a:r>
            <a:rPr lang="en-US" sz="1600" b="1" i="0" u="none" strike="noStrike">
              <a:solidFill>
                <a:schemeClr val="dk1"/>
              </a:solidFill>
              <a:effectLst/>
              <a:latin typeface="Arial" panose="020B0604020202020204" pitchFamily="34" charset="0"/>
              <a:ea typeface="+mn-ea"/>
              <a:cs typeface="Arial" panose="020B0604020202020204" pitchFamily="34" charset="0"/>
            </a:rPr>
            <a:t>Cash Flow Signs for Loan</a:t>
          </a:r>
          <a:r>
            <a:rPr lang="en-US" sz="1600" b="1" i="0" u="none" strike="noStrike" baseline="0">
              <a:solidFill>
                <a:schemeClr val="dk1"/>
              </a:solidFill>
              <a:effectLst/>
              <a:latin typeface="Arial" panose="020B0604020202020204" pitchFamily="34" charset="0"/>
              <a:ea typeface="+mn-ea"/>
              <a:cs typeface="Arial" panose="020B0604020202020204" pitchFamily="34" charset="0"/>
            </a:rPr>
            <a:t> Guarantees</a:t>
          </a:r>
          <a:endParaRPr lang="en-US" sz="1600" b="1" i="0" u="none" strike="noStrike">
            <a:solidFill>
              <a:schemeClr val="dk1"/>
            </a:solidFill>
            <a:effectLst/>
            <a:latin typeface="Arial" panose="020B0604020202020204" pitchFamily="34" charset="0"/>
            <a:ea typeface="+mn-ea"/>
            <a:cs typeface="Arial" panose="020B0604020202020204" pitchFamily="34" charset="0"/>
          </a:endParaRPr>
        </a:p>
        <a:p>
          <a:pPr>
            <a:lnSpc>
              <a:spcPct val="100000"/>
            </a:lnSpc>
          </a:pPr>
          <a:endParaRPr lang="en-US" sz="1100" b="1">
            <a:effectLst/>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Overview</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Cash flows to and from the government include default, recovery, annual fees, upfront fees, premiums other outflows and other inflows. Interpretation of the signs used for each cash flow in the standard credit subsidy calculation are described below.</a:t>
          </a:r>
          <a:endParaRPr lang="en-US" sz="1200">
            <a:effectLst/>
            <a:latin typeface="Arial" panose="020B0604020202020204" pitchFamily="34" charset="0"/>
            <a:cs typeface="Arial" panose="020B0604020202020204" pitchFamily="34" charset="0"/>
          </a:endParaRPr>
        </a:p>
        <a:p>
          <a:pPr>
            <a:lnSpc>
              <a:spcPct val="100000"/>
            </a:lnSpc>
            <a:spcBef>
              <a:spcPts val="0"/>
            </a:spcBef>
            <a:spcAft>
              <a:spcPts val="0"/>
            </a:spcAft>
          </a:pPr>
          <a:endParaRPr lang="en-US" sz="1200" b="1">
            <a:latin typeface="Arial" panose="020B0604020202020204" pitchFamily="34" charset="0"/>
            <a:cs typeface="Arial" panose="020B0604020202020204" pitchFamily="34" charset="0"/>
          </a:endParaRPr>
        </a:p>
        <a:p>
          <a:pPr>
            <a:lnSpc>
              <a:spcPct val="100000"/>
            </a:lnSpc>
            <a:spcBef>
              <a:spcPts val="0"/>
            </a:spcBef>
            <a:spcAft>
              <a:spcPts val="0"/>
            </a:spcAft>
          </a:pPr>
          <a:r>
            <a:rPr lang="en-US" sz="1200" b="1">
              <a:latin typeface="Arial" panose="020B0604020202020204" pitchFamily="34" charset="0"/>
              <a:cs typeface="Arial" panose="020B0604020202020204" pitchFamily="34" charset="0"/>
            </a:rPr>
            <a:t>Disbursement</a:t>
          </a:r>
        </a:p>
        <a:p>
          <a:pPr>
            <a:lnSpc>
              <a:spcPct val="100000"/>
            </a:lnSpc>
          </a:pPr>
          <a:r>
            <a:rPr lang="en-US" sz="1100" baseline="0">
              <a:latin typeface="Arial" panose="020B0604020202020204" pitchFamily="34" charset="0"/>
              <a:cs typeface="Arial" panose="020B0604020202020204" pitchFamily="34" charset="0"/>
            </a:rPr>
            <a:t>Subsidy component: n.a.</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100" baseline="0">
              <a:latin typeface="Arial" panose="020B0604020202020204" pitchFamily="34" charset="0"/>
              <a:cs typeface="Arial" panose="020B0604020202020204" pitchFamily="34" charset="0"/>
            </a:rPr>
            <a:t>Standard sign: positive</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100" baseline="0">
              <a:latin typeface="Arial" panose="020B0604020202020204" pitchFamily="34" charset="0"/>
              <a:cs typeface="Arial" panose="020B0604020202020204" pitchFamily="34" charset="0"/>
            </a:rPr>
            <a:t>Interpretation: The disbursement represents the amount of guaranteed loans originated (the credit obligation), not a payment by the government. It is included in subsidy calculations to scale expected cash flows but is not a Treasury cash flow.</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Default</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default/recovery</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Claim payments to lenders when borrowers default on guaranteed loans are entered as positive values that increase cash outflows, and thus increase the subsidy cost.</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Recovery</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default/recovery</a:t>
          </a:r>
        </a:p>
        <a:p>
          <a:pPr>
            <a:lnSpc>
              <a:spcPct val="100000"/>
            </a:lnSpc>
          </a:pPr>
          <a:endParaRPr lang="en-US" sz="11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negative</a:t>
          </a:r>
        </a:p>
        <a:p>
          <a:pPr>
            <a:lnSpc>
              <a:spcPct val="100000"/>
            </a:lnSpc>
          </a:pPr>
          <a:endParaRPr lang="en-US" sz="11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Amounts recovered after claim payments (e.g., collections, collateral) are entered as negative values that increase cash inflows, and thus decrease the subsidy cost.</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Annual fees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fee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Annual fees paid by borrowers are entered as positive values that increase cash inflows, and thus reduce the subsidy cost.</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Upfront fees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fee</a:t>
          </a:r>
        </a:p>
        <a:p>
          <a:pPr>
            <a:lnSpc>
              <a:spcPct val="100000"/>
            </a:lnSpc>
          </a:pPr>
          <a:endParaRPr lang="en-US">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One-time fees paid by borrowers at loan origination are entered as positive values that increase cash inflows, and thus reduce the subsidy cost.</a:t>
          </a: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200" b="1" baseline="0">
              <a:solidFill>
                <a:schemeClr val="dk1"/>
              </a:solidFill>
              <a:effectLst/>
              <a:latin typeface="Arial" panose="020B0604020202020204" pitchFamily="34" charset="0"/>
              <a:ea typeface="+mn-ea"/>
              <a:cs typeface="Arial" panose="020B0604020202020204" pitchFamily="34" charset="0"/>
            </a:rPr>
            <a:t>Premiums</a:t>
          </a: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fee</a:t>
          </a:r>
        </a:p>
        <a:p>
          <a:pPr>
            <a:lnSpc>
              <a:spcPct val="100000"/>
            </a:lnSpc>
          </a:pPr>
          <a:endParaRPr lang="en-US">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p>
        <a:p>
          <a:pPr>
            <a:lnSpc>
              <a:spcPct val="100000"/>
            </a:lnSpc>
          </a:pPr>
          <a:endParaRPr lang="en-US">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Premiums are risk-based or insurance-like payments for coverage under the guarantee that are entered as positive values that increase cash inflows, and thus reduce the subsidy cost.</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Other outflows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other</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Other outflows include settlements and adjustments that are entered as positive values that decrease expected cash inflows, and thus increase the subsidy cost.</a:t>
          </a:r>
        </a:p>
        <a:p>
          <a:pPr>
            <a:lnSpc>
              <a:spcPct val="100000"/>
            </a:lnSpc>
          </a:pPr>
          <a:endParaRPr lang="en-US" sz="1100" baseline="0">
            <a:latin typeface="Arial" panose="020B0604020202020204" pitchFamily="34" charset="0"/>
            <a:cs typeface="Arial" panose="020B0604020202020204" pitchFamily="34" charset="0"/>
          </a:endParaRPr>
        </a:p>
        <a:p>
          <a:pPr>
            <a:lnSpc>
              <a:spcPct val="100000"/>
            </a:lnSpc>
          </a:pPr>
          <a:r>
            <a:rPr lang="en-US" sz="1200" b="1">
              <a:solidFill>
                <a:schemeClr val="dk1"/>
              </a:solidFill>
              <a:effectLst/>
              <a:latin typeface="Arial" panose="020B0604020202020204" pitchFamily="34" charset="0"/>
              <a:ea typeface="+mn-ea"/>
              <a:cs typeface="Arial" panose="020B0604020202020204" pitchFamily="34" charset="0"/>
            </a:rPr>
            <a:t>Other inflows</a:t>
          </a:r>
          <a:endParaRPr lang="en-US" sz="1200">
            <a:effectLst/>
            <a:latin typeface="Arial" panose="020B0604020202020204" pitchFamily="34" charset="0"/>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Subsidy component: other</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Standard sign: positive</a:t>
          </a:r>
          <a:endParaRPr lang="en-US" sz="1100">
            <a:effectLst/>
            <a:latin typeface="Arial" panose="020B0604020202020204" pitchFamily="34" charset="0"/>
            <a:cs typeface="Arial" panose="020B0604020202020204" pitchFamily="34" charset="0"/>
          </a:endParaRPr>
        </a:p>
        <a:p>
          <a:pPr>
            <a:lnSpc>
              <a:spcPct val="100000"/>
            </a:lnSpc>
          </a:pPr>
          <a:endParaRPr lang="en-US" sz="1100" baseline="0">
            <a:solidFill>
              <a:schemeClr val="dk1"/>
            </a:solidFill>
            <a:effectLst/>
            <a:latin typeface="Arial" panose="020B0604020202020204" pitchFamily="34" charset="0"/>
            <a:ea typeface="+mn-ea"/>
            <a:cs typeface="Arial" panose="020B0604020202020204" pitchFamily="34" charset="0"/>
          </a:endParaRPr>
        </a:p>
        <a:p>
          <a:pPr>
            <a:lnSpc>
              <a:spcPct val="100000"/>
            </a:lnSpc>
          </a:pPr>
          <a:r>
            <a:rPr lang="en-US" sz="1100" baseline="0">
              <a:solidFill>
                <a:schemeClr val="dk1"/>
              </a:solidFill>
              <a:effectLst/>
              <a:latin typeface="Arial" panose="020B0604020202020204" pitchFamily="34" charset="0"/>
              <a:ea typeface="+mn-ea"/>
              <a:cs typeface="Arial" panose="020B0604020202020204" pitchFamily="34" charset="0"/>
            </a:rPr>
            <a:t>Interpretation: Other inflows include miscellaneous receipts that are entered as positive values that increase expected cash inflows, and thus decrease the subsidy cost.</a:t>
          </a:r>
          <a:endParaRPr lang="en-US" sz="1100">
            <a:effectLst/>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12</xdr:col>
      <xdr:colOff>182217</xdr:colOff>
      <xdr:row>2</xdr:row>
      <xdr:rowOff>33131</xdr:rowOff>
    </xdr:from>
    <xdr:ext cx="3429000" cy="1861087"/>
    <xdr:sp macro="" textlink="">
      <xdr:nvSpPr>
        <xdr:cNvPr id="2" name="TextBox 1">
          <a:extLst>
            <a:ext uri="{FF2B5EF4-FFF2-40B4-BE49-F238E27FC236}">
              <a16:creationId xmlns:a16="http://schemas.microsoft.com/office/drawing/2014/main" id="{966163DF-6B61-42A8-A237-044804E28F10}"/>
            </a:ext>
          </a:extLst>
        </xdr:cNvPr>
        <xdr:cNvSpPr txBox="1"/>
      </xdr:nvSpPr>
      <xdr:spPr>
        <a:xfrm>
          <a:off x="9690652" y="405848"/>
          <a:ext cx="3429000" cy="18610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800">
              <a:latin typeface="Arial" pitchFamily="34" charset="0"/>
              <a:cs typeface="Arial" pitchFamily="34" charset="0"/>
            </a:rPr>
            <a:t>In OMB's credit subsidy calculator (CSC), the cash</a:t>
          </a:r>
          <a:r>
            <a:rPr lang="en-US" sz="800" baseline="0">
              <a:latin typeface="Arial" pitchFamily="34" charset="0"/>
              <a:cs typeface="Arial" pitchFamily="34" charset="0"/>
            </a:rPr>
            <a:t> flow inputs are as follows:</a:t>
          </a:r>
        </a:p>
        <a:p>
          <a:endParaRPr lang="en-US" sz="800" baseline="0">
            <a:latin typeface="Arial" pitchFamily="34" charset="0"/>
            <a:cs typeface="Arial" pitchFamily="34" charset="0"/>
          </a:endParaRPr>
        </a:p>
        <a:p>
          <a:r>
            <a:rPr lang="en-US" sz="800" u="sng" baseline="0">
              <a:solidFill>
                <a:schemeClr val="dk1"/>
              </a:solidFill>
              <a:effectLst/>
              <a:latin typeface="Arial" panose="020B0604020202020204" pitchFamily="34" charset="0"/>
              <a:ea typeface="+mn-ea"/>
              <a:cs typeface="Arial" panose="020B0604020202020204" pitchFamily="34" charset="0"/>
            </a:rPr>
            <a:t>Direct loans</a:t>
          </a:r>
          <a:endParaRPr lang="en-US" sz="800">
            <a:effectLst/>
            <a:latin typeface="Arial" panose="020B0604020202020204" pitchFamily="34" charset="0"/>
            <a:cs typeface="Arial" panose="020B0604020202020204" pitchFamily="34" charset="0"/>
          </a:endParaRPr>
        </a:p>
        <a:p>
          <a:r>
            <a:rPr lang="en-US" sz="800">
              <a:solidFill>
                <a:schemeClr val="dk1"/>
              </a:solidFill>
              <a:effectLst/>
              <a:latin typeface="Arial" panose="020B0604020202020204" pitchFamily="34" charset="0"/>
              <a:ea typeface="+mn-ea"/>
              <a:cs typeface="Arial" panose="020B0604020202020204" pitchFamily="34" charset="0"/>
            </a:rPr>
            <a:t>Default</a:t>
          </a:r>
          <a:r>
            <a:rPr lang="en-US" sz="800" baseline="0">
              <a:solidFill>
                <a:schemeClr val="dk1"/>
              </a:solidFill>
              <a:effectLst/>
              <a:latin typeface="Arial" panose="020B0604020202020204" pitchFamily="34" charset="0"/>
              <a:ea typeface="+mn-ea"/>
              <a:cs typeface="Arial" panose="020B0604020202020204" pitchFamily="34" charset="0"/>
            </a:rPr>
            <a:t> c</a:t>
          </a:r>
          <a:r>
            <a:rPr lang="en-US" sz="800">
              <a:solidFill>
                <a:schemeClr val="dk1"/>
              </a:solidFill>
              <a:effectLst/>
              <a:latin typeface="Arial" panose="020B0604020202020204" pitchFamily="34" charset="0"/>
              <a:ea typeface="+mn-ea"/>
              <a:cs typeface="Arial" panose="020B0604020202020204" pitchFamily="34" charset="0"/>
            </a:rPr>
            <a:t>ash flows are negative</a:t>
          </a:r>
          <a:endParaRPr lang="en-US" sz="800">
            <a:effectLst/>
            <a:latin typeface="Arial" panose="020B0604020202020204" pitchFamily="34" charset="0"/>
            <a:cs typeface="Arial" panose="020B0604020202020204" pitchFamily="34" charset="0"/>
          </a:endParaRPr>
        </a:p>
        <a:p>
          <a:r>
            <a:rPr lang="en-US" sz="800">
              <a:solidFill>
                <a:schemeClr val="dk1"/>
              </a:solidFill>
              <a:effectLst/>
              <a:latin typeface="Arial" panose="020B0604020202020204" pitchFamily="34" charset="0"/>
              <a:ea typeface="+mn-ea"/>
              <a:cs typeface="Arial" panose="020B0604020202020204" pitchFamily="34" charset="0"/>
            </a:rPr>
            <a:t>Recovery cash flows are positive</a:t>
          </a:r>
          <a:endParaRPr lang="en-US" sz="800">
            <a:effectLst/>
            <a:latin typeface="Arial" pitchFamily="34" charset="0"/>
            <a:cs typeface="Arial" pitchFamily="34" charset="0"/>
          </a:endParaRPr>
        </a:p>
        <a:p>
          <a:endParaRPr lang="en-US" sz="800">
            <a:effectLst/>
            <a:latin typeface="Arial" pitchFamily="34" charset="0"/>
            <a:cs typeface="Arial" pitchFamily="34" charset="0"/>
          </a:endParaRPr>
        </a:p>
        <a:p>
          <a:r>
            <a:rPr lang="en-US" sz="800" u="sng">
              <a:solidFill>
                <a:schemeClr val="dk1"/>
              </a:solidFill>
              <a:effectLst/>
              <a:latin typeface="Arial" pitchFamily="34" charset="0"/>
              <a:ea typeface="+mn-ea"/>
              <a:cs typeface="Arial" pitchFamily="34" charset="0"/>
            </a:rPr>
            <a:t>Loan guarantees</a:t>
          </a:r>
          <a:endParaRPr lang="en-US" sz="800">
            <a:effectLst/>
            <a:latin typeface="Arial" pitchFamily="34" charset="0"/>
            <a:cs typeface="Arial" pitchFamily="34" charset="0"/>
          </a:endParaRPr>
        </a:p>
        <a:p>
          <a:r>
            <a:rPr lang="en-US" sz="800" b="1">
              <a:solidFill>
                <a:schemeClr val="dk1"/>
              </a:solidFill>
              <a:effectLst/>
              <a:latin typeface="Arial" pitchFamily="34" charset="0"/>
              <a:ea typeface="+mn-ea"/>
              <a:cs typeface="Arial" pitchFamily="34" charset="0"/>
            </a:rPr>
            <a:t>Default</a:t>
          </a:r>
          <a:r>
            <a:rPr lang="en-US" sz="800" b="1" baseline="0">
              <a:solidFill>
                <a:schemeClr val="dk1"/>
              </a:solidFill>
              <a:effectLst/>
              <a:latin typeface="Arial" pitchFamily="34" charset="0"/>
              <a:ea typeface="+mn-ea"/>
              <a:cs typeface="Arial" pitchFamily="34" charset="0"/>
            </a:rPr>
            <a:t> c</a:t>
          </a:r>
          <a:r>
            <a:rPr lang="en-US" sz="800" b="1">
              <a:solidFill>
                <a:schemeClr val="dk1"/>
              </a:solidFill>
              <a:effectLst/>
              <a:latin typeface="Arial" pitchFamily="34" charset="0"/>
              <a:ea typeface="+mn-ea"/>
              <a:cs typeface="Arial" pitchFamily="34" charset="0"/>
            </a:rPr>
            <a:t>ash flows are positive </a:t>
          </a:r>
          <a:endParaRPr lang="en-US" sz="800" b="1">
            <a:effectLst/>
            <a:latin typeface="Arial" pitchFamily="34" charset="0"/>
            <a:cs typeface="Arial" pitchFamily="34" charset="0"/>
          </a:endParaRPr>
        </a:p>
        <a:p>
          <a:r>
            <a:rPr lang="en-US" sz="800" b="1">
              <a:solidFill>
                <a:schemeClr val="dk1"/>
              </a:solidFill>
              <a:effectLst/>
              <a:latin typeface="Arial" pitchFamily="34" charset="0"/>
              <a:ea typeface="+mn-ea"/>
              <a:cs typeface="Arial" pitchFamily="34" charset="0"/>
            </a:rPr>
            <a:t>Recovery cash flows are negative </a:t>
          </a:r>
          <a:endParaRPr lang="en-US" sz="800" b="1">
            <a:effectLst/>
            <a:latin typeface="Arial" pitchFamily="34" charset="0"/>
            <a:cs typeface="Arial" pitchFamily="34" charset="0"/>
          </a:endParaRPr>
        </a:p>
        <a:p>
          <a:endParaRPr lang="en-US" sz="800">
            <a:latin typeface="Arial" pitchFamily="34" charset="0"/>
            <a:cs typeface="Arial" pitchFamily="34" charset="0"/>
          </a:endParaRPr>
        </a:p>
        <a:p>
          <a:r>
            <a:rPr lang="en-US" sz="800">
              <a:latin typeface="Arial" pitchFamily="34" charset="0"/>
              <a:cs typeface="Arial" pitchFamily="34" charset="0"/>
            </a:rPr>
            <a:t>The</a:t>
          </a:r>
          <a:r>
            <a:rPr lang="en-US" sz="800" baseline="0">
              <a:latin typeface="Arial" pitchFamily="34" charset="0"/>
              <a:cs typeface="Arial" pitchFamily="34" charset="0"/>
            </a:rPr>
            <a:t> cash flows in this example use the loan guarantee presentation. The present value and subsidy formulas adjust the signs as needed.</a:t>
          </a:r>
        </a:p>
        <a:p>
          <a:endParaRPr lang="en-US" sz="800" baseline="0">
            <a:latin typeface="Arial" pitchFamily="34" charset="0"/>
            <a:cs typeface="Arial" pitchFamily="34" charset="0"/>
          </a:endParaRPr>
        </a:p>
        <a:p>
          <a:r>
            <a:rPr lang="en-US" sz="800" baseline="0">
              <a:latin typeface="Arial" pitchFamily="34" charset="0"/>
              <a:cs typeface="Arial" pitchFamily="34" charset="0"/>
            </a:rPr>
            <a:t>Cash flows occur at the end of the period.</a:t>
          </a:r>
          <a:endParaRPr lang="en-US" sz="800">
            <a:latin typeface="Arial" pitchFamily="34" charset="0"/>
            <a:cs typeface="Arial" pitchFamily="34" charset="0"/>
          </a:endParaRPr>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44</xdr:row>
          <xdr:rowOff>123825</xdr:rowOff>
        </xdr:from>
        <xdr:to>
          <xdr:col>1</xdr:col>
          <xdr:colOff>104775</xdr:colOff>
          <xdr:row>47</xdr:row>
          <xdr:rowOff>57150</xdr:rowOff>
        </xdr:to>
        <xdr:sp macro="" textlink="">
          <xdr:nvSpPr>
            <xdr:cNvPr id="777227" name="Button 11" hidden="1">
              <a:extLst>
                <a:ext uri="{63B3BB69-23CF-44E3-9099-C40C66FF867C}">
                  <a14:compatExt spid="_x0000_s777227"/>
                </a:ext>
                <a:ext uri="{FF2B5EF4-FFF2-40B4-BE49-F238E27FC236}">
                  <a16:creationId xmlns:a16="http://schemas.microsoft.com/office/drawing/2014/main" id="{00000000-0008-0000-0700-00000BDC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Run Amortization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542925</xdr:colOff>
          <xdr:row>44</xdr:row>
          <xdr:rowOff>123825</xdr:rowOff>
        </xdr:from>
        <xdr:to>
          <xdr:col>3</xdr:col>
          <xdr:colOff>542925</xdr:colOff>
          <xdr:row>47</xdr:row>
          <xdr:rowOff>57150</xdr:rowOff>
        </xdr:to>
        <xdr:sp macro="" textlink="">
          <xdr:nvSpPr>
            <xdr:cNvPr id="777229" name="Button 13" hidden="1">
              <a:extLst>
                <a:ext uri="{63B3BB69-23CF-44E3-9099-C40C66FF867C}">
                  <a14:compatExt spid="_x0000_s777229"/>
                </a:ext>
                <a:ext uri="{FF2B5EF4-FFF2-40B4-BE49-F238E27FC236}">
                  <a16:creationId xmlns:a16="http://schemas.microsoft.com/office/drawing/2014/main" id="{00000000-0008-0000-0700-00000DDC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Run Survival Probability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104775</xdr:colOff>
      <xdr:row>1</xdr:row>
      <xdr:rowOff>28575</xdr:rowOff>
    </xdr:from>
    <xdr:to>
      <xdr:col>18</xdr:col>
      <xdr:colOff>304800</xdr:colOff>
      <xdr:row>28</xdr:row>
      <xdr:rowOff>19051</xdr:rowOff>
    </xdr:to>
    <xdr:sp macro="" textlink="">
      <xdr:nvSpPr>
        <xdr:cNvPr id="3" name="TextBox 2">
          <a:extLst>
            <a:ext uri="{FF2B5EF4-FFF2-40B4-BE49-F238E27FC236}">
              <a16:creationId xmlns:a16="http://schemas.microsoft.com/office/drawing/2014/main" id="{9CD4C9DB-AF80-40D6-90D3-5CB0E1E6B653}"/>
            </a:ext>
          </a:extLst>
        </xdr:cNvPr>
        <xdr:cNvSpPr txBox="1"/>
      </xdr:nvSpPr>
      <xdr:spPr>
        <a:xfrm>
          <a:off x="638175" y="171450"/>
          <a:ext cx="9267825" cy="3848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solidFill>
                <a:schemeClr val="dk1"/>
              </a:solidFill>
              <a:effectLst/>
              <a:latin typeface="Arial" panose="020B0604020202020204" pitchFamily="34" charset="0"/>
              <a:ea typeface="+mn-ea"/>
              <a:cs typeface="Arial" panose="020B0604020202020204" pitchFamily="34" charset="0"/>
            </a:rPr>
            <a:t>License</a:t>
          </a:r>
        </a:p>
        <a:p>
          <a:endParaRPr lang="en-US" sz="1100" b="0" i="0">
            <a:solidFill>
              <a:schemeClr val="dk1"/>
            </a:solidFill>
            <a:effectLst/>
            <a:latin typeface="Arial" panose="020B0604020202020204" pitchFamily="34" charset="0"/>
            <a:ea typeface="+mn-ea"/>
            <a:cs typeface="Arial" panose="020B0604020202020204" pitchFamily="34" charset="0"/>
          </a:endParaRPr>
        </a:p>
        <a:p>
          <a:r>
            <a:rPr lang="en-US" sz="1100" b="1" i="0">
              <a:solidFill>
                <a:schemeClr val="dk1"/>
              </a:solidFill>
              <a:effectLst/>
              <a:latin typeface="Arial" panose="020B0604020202020204" pitchFamily="34" charset="0"/>
              <a:ea typeface="+mn-ea"/>
              <a:cs typeface="Arial" panose="020B0604020202020204" pitchFamily="34" charset="0"/>
            </a:rPr>
            <a:t>Purpose</a:t>
          </a:r>
        </a:p>
        <a:p>
          <a:endParaRPr lang="en-US" sz="1100" b="0" i="0">
            <a:solidFill>
              <a:schemeClr val="dk1"/>
            </a:solidFill>
            <a:effectLst/>
            <a:latin typeface="Arial" panose="020B0604020202020204" pitchFamily="34" charset="0"/>
            <a:ea typeface="+mn-ea"/>
            <a:cs typeface="Arial" panose="020B0604020202020204" pitchFamily="34" charset="0"/>
          </a:endParaRPr>
        </a:p>
        <a:p>
          <a:r>
            <a:rPr lang="en-US" sz="1100" b="0" i="0">
              <a:solidFill>
                <a:schemeClr val="dk1"/>
              </a:solidFill>
              <a:effectLst/>
              <a:latin typeface="Arial" panose="020B0604020202020204" pitchFamily="34" charset="0"/>
              <a:ea typeface="+mn-ea"/>
              <a:cs typeface="Arial" panose="020B0604020202020204" pitchFamily="34" charset="0"/>
            </a:rPr>
            <a:t>The Congressional Budget Office (CBO) makes the materials included in this repository publicly available to promote transparency and understanding of its work. CBO produced these materials and verified the accuracy of the results only for its own analyses and publications. CBO makes no representations regarding other uses.</a:t>
          </a:r>
        </a:p>
        <a:p>
          <a:endParaRPr lang="en-US" sz="1100" b="0" i="0">
            <a:solidFill>
              <a:schemeClr val="dk1"/>
            </a:solidFill>
            <a:effectLst/>
            <a:latin typeface="Arial" panose="020B0604020202020204" pitchFamily="34" charset="0"/>
            <a:ea typeface="+mn-ea"/>
            <a:cs typeface="Arial" panose="020B0604020202020204" pitchFamily="34" charset="0"/>
          </a:endParaRPr>
        </a:p>
        <a:p>
          <a:r>
            <a:rPr lang="en-US" sz="1100" b="1" i="0">
              <a:solidFill>
                <a:schemeClr val="dk1"/>
              </a:solidFill>
              <a:effectLst/>
              <a:latin typeface="Arial" panose="020B0604020202020204" pitchFamily="34" charset="0"/>
              <a:ea typeface="+mn-ea"/>
              <a:cs typeface="Arial" panose="020B0604020202020204" pitchFamily="34" charset="0"/>
            </a:rPr>
            <a:t>License</a:t>
          </a:r>
        </a:p>
        <a:p>
          <a:endParaRPr lang="en-US" sz="1100" b="0" i="0">
            <a:solidFill>
              <a:schemeClr val="dk1"/>
            </a:solidFill>
            <a:effectLst/>
            <a:latin typeface="Arial" panose="020B0604020202020204" pitchFamily="34" charset="0"/>
            <a:ea typeface="+mn-ea"/>
            <a:cs typeface="Arial" panose="020B0604020202020204" pitchFamily="34" charset="0"/>
          </a:endParaRPr>
        </a:p>
        <a:p>
          <a:r>
            <a:rPr lang="en-US" sz="1100" b="0" i="0">
              <a:solidFill>
                <a:schemeClr val="dk1"/>
              </a:solidFill>
              <a:effectLst/>
              <a:latin typeface="Arial" panose="020B0604020202020204" pitchFamily="34" charset="0"/>
              <a:ea typeface="+mn-ea"/>
              <a:cs typeface="Arial" panose="020B0604020202020204" pitchFamily="34" charset="0"/>
            </a:rPr>
            <a:t>As a work of the United States Government, these materials are in the public domain within the United States under </a:t>
          </a:r>
          <a:r>
            <a:rPr lang="en-US" sz="1100" b="0" i="0" u="sng">
              <a:solidFill>
                <a:schemeClr val="dk1"/>
              </a:solidFill>
              <a:effectLst/>
              <a:latin typeface="Arial" panose="020B0604020202020204" pitchFamily="34" charset="0"/>
              <a:ea typeface="+mn-ea"/>
              <a:cs typeface="Arial" panose="020B0604020202020204" pitchFamily="34" charset="0"/>
              <a:hlinkClick xmlns:r="http://schemas.openxmlformats.org/officeDocument/2006/relationships" r:id=""/>
            </a:rPr>
            <a:t>17 U.S.C. § 105</a:t>
          </a:r>
          <a:r>
            <a:rPr lang="en-US" sz="1100" b="0" i="0">
              <a:solidFill>
                <a:schemeClr val="dk1"/>
              </a:solidFill>
              <a:effectLst/>
              <a:latin typeface="Arial" panose="020B0604020202020204" pitchFamily="34" charset="0"/>
              <a:ea typeface="+mn-ea"/>
              <a:cs typeface="Arial" panose="020B0604020202020204" pitchFamily="34" charset="0"/>
            </a:rPr>
            <a:t>. The United States Government waives any other intellectual property rights in these materials worldwide. This means that these materials are available for all purposes without charge.</a:t>
          </a:r>
        </a:p>
        <a:p>
          <a:endParaRPr lang="en-US" sz="1100" b="0" i="0">
            <a:solidFill>
              <a:schemeClr val="dk1"/>
            </a:solidFill>
            <a:effectLst/>
            <a:latin typeface="Arial" panose="020B0604020202020204" pitchFamily="34" charset="0"/>
            <a:ea typeface="+mn-ea"/>
            <a:cs typeface="Arial" panose="020B0604020202020204" pitchFamily="34" charset="0"/>
          </a:endParaRPr>
        </a:p>
        <a:p>
          <a:r>
            <a:rPr lang="en-US" sz="1100" b="1" i="0">
              <a:solidFill>
                <a:schemeClr val="dk1"/>
              </a:solidFill>
              <a:effectLst/>
              <a:latin typeface="Arial" panose="020B0604020202020204" pitchFamily="34" charset="0"/>
              <a:ea typeface="+mn-ea"/>
              <a:cs typeface="Arial" panose="020B0604020202020204" pitchFamily="34" charset="0"/>
            </a:rPr>
            <a:t>Disclaimer</a:t>
          </a:r>
        </a:p>
        <a:p>
          <a:endParaRPr lang="en-US" sz="1100" b="0" i="0">
            <a:solidFill>
              <a:schemeClr val="dk1"/>
            </a:solidFill>
            <a:effectLst/>
            <a:latin typeface="Arial" panose="020B0604020202020204" pitchFamily="34" charset="0"/>
            <a:ea typeface="+mn-ea"/>
            <a:cs typeface="Arial" panose="020B0604020202020204" pitchFamily="34" charset="0"/>
          </a:endParaRPr>
        </a:p>
        <a:p>
          <a:r>
            <a:rPr lang="en-US" sz="1100" b="0" i="0">
              <a:solidFill>
                <a:schemeClr val="dk1"/>
              </a:solidFill>
              <a:effectLst/>
              <a:latin typeface="Arial" panose="020B0604020202020204" pitchFamily="34" charset="0"/>
              <a:ea typeface="+mn-ea"/>
              <a:cs typeface="Arial" panose="020B0604020202020204" pitchFamily="34" charset="0"/>
            </a:rPr>
            <a:t>Users run and modify these materials as-is and at their own risk. CBO and the United States government will not be liable for any claims or damages relating to these materials.</a:t>
          </a:r>
        </a:p>
        <a:p>
          <a:endParaRPr lang="en-US" sz="1100" b="0" i="0">
            <a:solidFill>
              <a:schemeClr val="dk1"/>
            </a:solidFill>
            <a:effectLst/>
            <a:latin typeface="Arial" panose="020B0604020202020204" pitchFamily="34" charset="0"/>
            <a:ea typeface="+mn-ea"/>
            <a:cs typeface="Arial" panose="020B0604020202020204" pitchFamily="34" charset="0"/>
          </a:endParaRPr>
        </a:p>
        <a:p>
          <a:r>
            <a:rPr lang="en-US" sz="1100" b="1" i="0">
              <a:solidFill>
                <a:schemeClr val="dk1"/>
              </a:solidFill>
              <a:effectLst/>
              <a:latin typeface="Arial" panose="020B0604020202020204" pitchFamily="34" charset="0"/>
              <a:ea typeface="+mn-ea"/>
              <a:cs typeface="Arial" panose="020B0604020202020204" pitchFamily="34" charset="0"/>
            </a:rPr>
            <a:t>Citation</a:t>
          </a:r>
        </a:p>
        <a:p>
          <a:endParaRPr lang="en-US" sz="1100" b="0" i="0">
            <a:solidFill>
              <a:schemeClr val="dk1"/>
            </a:solidFill>
            <a:effectLst/>
            <a:latin typeface="Arial" panose="020B0604020202020204" pitchFamily="34" charset="0"/>
            <a:ea typeface="+mn-ea"/>
            <a:cs typeface="Arial" panose="020B0604020202020204" pitchFamily="34" charset="0"/>
          </a:endParaRPr>
        </a:p>
        <a:p>
          <a:r>
            <a:rPr lang="en-US" sz="1100" b="0" i="0">
              <a:solidFill>
                <a:schemeClr val="dk1"/>
              </a:solidFill>
              <a:effectLst/>
              <a:latin typeface="Arial" panose="020B0604020202020204" pitchFamily="34" charset="0"/>
              <a:ea typeface="+mn-ea"/>
              <a:cs typeface="Arial" panose="020B0604020202020204" pitchFamily="34" charset="0"/>
            </a:rPr>
            <a:t>CBO requests that those modifying these materials clearly identify and accurately attribute authorship of the modifications.</a:t>
          </a:r>
        </a:p>
        <a:p>
          <a:pPr>
            <a:lnSpc>
              <a:spcPct val="108000"/>
            </a:lnSpc>
          </a:pPr>
          <a:endParaRPr lang="en-US" sz="1100">
            <a:solidFill>
              <a:sysClr val="windowText" lastClr="000000"/>
            </a:solidFill>
            <a:effectLst/>
            <a:latin typeface="Arial" panose="020B0604020202020204" pitchFamily="34" charset="0"/>
            <a:ea typeface="+mn-ea"/>
            <a:cs typeface="Arial" panose="020B0604020202020204" pitchFamily="34" charset="0"/>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C2911-97B2-4E96-87C8-299ED6B97364}">
  <sheetPr codeName="Sheet1"/>
  <dimension ref="B43:D61"/>
  <sheetViews>
    <sheetView showGridLines="0" tabSelected="1" zoomScaleNormal="100" workbookViewId="0"/>
  </sheetViews>
  <sheetFormatPr defaultColWidth="9.33203125" defaultRowHeight="14.25" x14ac:dyDescent="0.2"/>
  <cols>
    <col min="1" max="1" width="9.33203125" style="61"/>
    <col min="2" max="3" width="25.83203125" style="61" customWidth="1"/>
    <col min="4" max="4" width="80.83203125" style="61" customWidth="1"/>
    <col min="5" max="16384" width="9.33203125" style="61"/>
  </cols>
  <sheetData>
    <row r="43" spans="2:4" ht="15.75" x14ac:dyDescent="0.25">
      <c r="B43" s="59" t="s">
        <v>149</v>
      </c>
    </row>
    <row r="45" spans="2:4" ht="15" x14ac:dyDescent="0.25">
      <c r="B45" s="60" t="s">
        <v>142</v>
      </c>
      <c r="C45" s="60" t="s">
        <v>143</v>
      </c>
      <c r="D45" s="60" t="s">
        <v>82</v>
      </c>
    </row>
    <row r="46" spans="2:4" ht="28.5" x14ac:dyDescent="0.2">
      <c r="B46" s="61" t="s">
        <v>144</v>
      </c>
      <c r="C46" s="61" t="s">
        <v>145</v>
      </c>
      <c r="D46" s="62" t="s">
        <v>172</v>
      </c>
    </row>
    <row r="47" spans="2:4" ht="42.75" x14ac:dyDescent="0.2">
      <c r="B47" s="61" t="s">
        <v>167</v>
      </c>
      <c r="C47" s="61" t="s">
        <v>145</v>
      </c>
      <c r="D47" s="62" t="s">
        <v>168</v>
      </c>
    </row>
    <row r="48" spans="2:4" ht="42.75" x14ac:dyDescent="0.2">
      <c r="B48" s="61" t="s">
        <v>165</v>
      </c>
      <c r="C48" s="61" t="s">
        <v>145</v>
      </c>
      <c r="D48" s="62" t="s">
        <v>169</v>
      </c>
    </row>
    <row r="49" spans="2:4" ht="42.75" x14ac:dyDescent="0.2">
      <c r="B49" s="61" t="s">
        <v>159</v>
      </c>
      <c r="C49" s="61" t="s">
        <v>145</v>
      </c>
      <c r="D49" s="62" t="s">
        <v>170</v>
      </c>
    </row>
    <row r="50" spans="2:4" ht="99.75" x14ac:dyDescent="0.2">
      <c r="B50" s="61" t="s">
        <v>158</v>
      </c>
      <c r="C50" s="61" t="s">
        <v>157</v>
      </c>
      <c r="D50" s="62" t="s">
        <v>174</v>
      </c>
    </row>
    <row r="51" spans="2:4" ht="128.25" x14ac:dyDescent="0.2">
      <c r="B51" s="61" t="s">
        <v>156</v>
      </c>
      <c r="C51" s="61" t="s">
        <v>157</v>
      </c>
      <c r="D51" s="62" t="s">
        <v>175</v>
      </c>
    </row>
    <row r="52" spans="2:4" ht="99.75" x14ac:dyDescent="0.2">
      <c r="B52" s="61" t="s">
        <v>150</v>
      </c>
      <c r="C52" s="61" t="s">
        <v>146</v>
      </c>
      <c r="D52" s="62" t="s">
        <v>173</v>
      </c>
    </row>
    <row r="53" spans="2:4" ht="85.5" x14ac:dyDescent="0.2">
      <c r="B53" s="61" t="s">
        <v>151</v>
      </c>
      <c r="C53" s="61" t="s">
        <v>146</v>
      </c>
      <c r="D53" s="62" t="s">
        <v>166</v>
      </c>
    </row>
    <row r="54" spans="2:4" ht="28.5" x14ac:dyDescent="0.2">
      <c r="B54" s="61" t="s">
        <v>147</v>
      </c>
      <c r="C54" s="61" t="s">
        <v>147</v>
      </c>
      <c r="D54" s="62" t="s">
        <v>171</v>
      </c>
    </row>
    <row r="57" spans="2:4" ht="15.75" x14ac:dyDescent="0.25">
      <c r="B57" s="59" t="s">
        <v>148</v>
      </c>
    </row>
    <row r="59" spans="2:4" x14ac:dyDescent="0.2">
      <c r="B59" s="61" t="s">
        <v>152</v>
      </c>
      <c r="C59" s="61" t="s">
        <v>154</v>
      </c>
    </row>
    <row r="60" spans="2:4" x14ac:dyDescent="0.2">
      <c r="B60" s="61" t="s">
        <v>127</v>
      </c>
      <c r="C60" s="61" t="s">
        <v>160</v>
      </c>
    </row>
    <row r="61" spans="2:4" x14ac:dyDescent="0.2">
      <c r="B61" s="61" t="s">
        <v>153</v>
      </c>
      <c r="C61" s="61" t="s">
        <v>155</v>
      </c>
    </row>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07ADC-6534-4C7D-A69A-B188BAC9296C}">
  <sheetPr codeName="Sheet2"/>
  <dimension ref="A1"/>
  <sheetViews>
    <sheetView showGridLines="0" zoomScaleNormal="100" workbookViewId="0"/>
  </sheetViews>
  <sheetFormatPr defaultRowHeight="11.25" x14ac:dyDescent="0.2"/>
  <sheetData/>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18CE5-2B93-44E9-A9DB-50AFFFC59BD1}">
  <sheetPr codeName="Sheet3"/>
  <dimension ref="A1"/>
  <sheetViews>
    <sheetView showGridLines="0" zoomScaleNormal="100" workbookViewId="0"/>
  </sheetViews>
  <sheetFormatPr defaultRowHeight="11.25" x14ac:dyDescent="0.2"/>
  <sheetData/>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289FD-EBBD-44B2-9E82-CDC5FAE78925}">
  <sheetPr codeName="Sheet4"/>
  <dimension ref="A1:L89"/>
  <sheetViews>
    <sheetView showGridLines="0" zoomScaleNormal="100" workbookViewId="0">
      <selection sqref="A1:L1"/>
    </sheetView>
  </sheetViews>
  <sheetFormatPr defaultColWidth="9.33203125" defaultRowHeight="11.25" x14ac:dyDescent="0.2"/>
  <cols>
    <col min="1" max="1" width="4.83203125" style="33" customWidth="1"/>
    <col min="2" max="2" width="32.5" style="33" bestFit="1" customWidth="1"/>
    <col min="3" max="12" width="12.5" style="33" customWidth="1"/>
    <col min="13" max="16384" width="9.33203125" style="33"/>
  </cols>
  <sheetData>
    <row r="1" spans="1:12" ht="18" x14ac:dyDescent="0.25">
      <c r="A1" s="131" t="s">
        <v>131</v>
      </c>
      <c r="B1" s="131"/>
      <c r="C1" s="131"/>
      <c r="D1" s="131"/>
      <c r="E1" s="131"/>
      <c r="F1" s="131"/>
      <c r="G1" s="131"/>
      <c r="H1" s="131"/>
      <c r="I1" s="131"/>
      <c r="J1" s="131"/>
      <c r="K1" s="131"/>
      <c r="L1" s="131"/>
    </row>
    <row r="4" spans="1:12" ht="12.75" x14ac:dyDescent="0.2">
      <c r="A4" s="58" t="s">
        <v>117</v>
      </c>
      <c r="B4" s="39"/>
      <c r="C4" s="39"/>
      <c r="D4" s="39"/>
      <c r="E4" s="39"/>
      <c r="F4" s="39"/>
      <c r="G4" s="39"/>
      <c r="H4" s="39"/>
      <c r="I4" s="39"/>
      <c r="J4" s="39"/>
      <c r="K4" s="39"/>
      <c r="L4" s="39"/>
    </row>
    <row r="6" spans="1:12" x14ac:dyDescent="0.2">
      <c r="B6" s="38" t="s">
        <v>129</v>
      </c>
      <c r="C6" s="50"/>
    </row>
    <row r="8" spans="1:12" x14ac:dyDescent="0.2">
      <c r="B8" s="33" t="s">
        <v>114</v>
      </c>
      <c r="C8" s="76">
        <v>10000000</v>
      </c>
    </row>
    <row r="9" spans="1:12" x14ac:dyDescent="0.2">
      <c r="B9" s="33" t="s">
        <v>83</v>
      </c>
      <c r="C9" s="77">
        <v>10</v>
      </c>
    </row>
    <row r="10" spans="1:12" x14ac:dyDescent="0.2">
      <c r="B10" s="33" t="s">
        <v>106</v>
      </c>
      <c r="C10" s="78">
        <v>0.01</v>
      </c>
    </row>
    <row r="11" spans="1:12" x14ac:dyDescent="0.2">
      <c r="B11" s="33" t="s">
        <v>85</v>
      </c>
      <c r="C11" s="78">
        <v>5.0000000000000001E-3</v>
      </c>
    </row>
    <row r="12" spans="1:12" x14ac:dyDescent="0.2">
      <c r="C12" s="34"/>
    </row>
    <row r="13" spans="1:12" x14ac:dyDescent="0.2">
      <c r="B13" s="38" t="s">
        <v>130</v>
      </c>
      <c r="C13" s="39"/>
      <c r="D13" s="39"/>
      <c r="E13" s="39"/>
      <c r="F13" s="39"/>
      <c r="G13" s="39"/>
      <c r="H13" s="39"/>
      <c r="I13" s="39"/>
      <c r="J13" s="39"/>
      <c r="K13" s="39"/>
      <c r="L13" s="39"/>
    </row>
    <row r="15" spans="1:12" x14ac:dyDescent="0.2">
      <c r="C15" s="49">
        <v>1</v>
      </c>
      <c r="D15" s="49">
        <v>2</v>
      </c>
      <c r="E15" s="49">
        <v>3</v>
      </c>
      <c r="F15" s="49">
        <v>4</v>
      </c>
      <c r="G15" s="49">
        <v>5</v>
      </c>
      <c r="H15" s="49">
        <v>6</v>
      </c>
      <c r="I15" s="49">
        <v>7</v>
      </c>
      <c r="J15" s="49">
        <v>8</v>
      </c>
      <c r="K15" s="49">
        <v>9</v>
      </c>
      <c r="L15" s="49">
        <v>10</v>
      </c>
    </row>
    <row r="16" spans="1:12" x14ac:dyDescent="0.2">
      <c r="C16" s="42"/>
      <c r="D16" s="42"/>
      <c r="E16" s="42"/>
      <c r="F16" s="42"/>
      <c r="G16" s="42"/>
      <c r="H16" s="42"/>
      <c r="I16" s="42"/>
      <c r="J16" s="42"/>
      <c r="K16" s="42"/>
      <c r="L16" s="42"/>
    </row>
    <row r="17" spans="1:12" x14ac:dyDescent="0.2">
      <c r="B17" s="33" t="s">
        <v>107</v>
      </c>
      <c r="C17" s="74">
        <v>2.3999999999999998E-3</v>
      </c>
      <c r="D17" s="74">
        <v>3.4999999999999996E-3</v>
      </c>
      <c r="E17" s="74">
        <v>3.2000000000000006E-3</v>
      </c>
      <c r="F17" s="74">
        <v>5.0999999999999986E-3</v>
      </c>
      <c r="G17" s="74">
        <v>5.6000000000000008E-3</v>
      </c>
      <c r="H17" s="74">
        <v>5.4000000000000003E-3</v>
      </c>
      <c r="I17" s="74">
        <v>5.1999999999999998E-3</v>
      </c>
      <c r="J17" s="74">
        <v>5.4000000000000003E-3</v>
      </c>
      <c r="K17" s="74">
        <v>5.9999999999999967E-3</v>
      </c>
      <c r="L17" s="74">
        <v>5.8000000000000005E-3</v>
      </c>
    </row>
    <row r="18" spans="1:12" x14ac:dyDescent="0.2">
      <c r="B18" s="33" t="s">
        <v>20</v>
      </c>
      <c r="C18" s="75">
        <v>0.55000000000000004</v>
      </c>
      <c r="D18" s="75">
        <v>0.55000000000000004</v>
      </c>
      <c r="E18" s="75">
        <v>0.55000000000000004</v>
      </c>
      <c r="F18" s="75">
        <v>0.55000000000000004</v>
      </c>
      <c r="G18" s="75">
        <v>0.55000000000000004</v>
      </c>
      <c r="H18" s="75">
        <v>0.55000000000000004</v>
      </c>
      <c r="I18" s="75">
        <v>0.55000000000000004</v>
      </c>
      <c r="J18" s="75">
        <v>0.55000000000000004</v>
      </c>
      <c r="K18" s="75">
        <v>0.55000000000000004</v>
      </c>
      <c r="L18" s="75">
        <v>0.55000000000000004</v>
      </c>
    </row>
    <row r="19" spans="1:12" x14ac:dyDescent="0.2">
      <c r="B19" s="33" t="s">
        <v>84</v>
      </c>
      <c r="C19" s="74">
        <v>2E-3</v>
      </c>
      <c r="D19" s="74">
        <v>2E-3</v>
      </c>
      <c r="E19" s="74">
        <v>2E-3</v>
      </c>
      <c r="F19" s="74">
        <v>2E-3</v>
      </c>
      <c r="G19" s="74">
        <v>2E-3</v>
      </c>
      <c r="H19" s="74">
        <v>2E-3</v>
      </c>
      <c r="I19" s="74">
        <v>2E-3</v>
      </c>
      <c r="J19" s="74">
        <v>2E-3</v>
      </c>
      <c r="K19" s="74">
        <v>2E-3</v>
      </c>
      <c r="L19" s="74">
        <v>2E-3</v>
      </c>
    </row>
    <row r="20" spans="1:12" x14ac:dyDescent="0.2">
      <c r="B20" s="33" t="s">
        <v>109</v>
      </c>
      <c r="C20" s="74">
        <v>1.6999999999999999E-3</v>
      </c>
      <c r="D20" s="74">
        <v>2.5000000000000001E-3</v>
      </c>
      <c r="E20" s="74">
        <v>3.7000000000000002E-3</v>
      </c>
      <c r="F20" s="74">
        <v>3.7000000000000002E-3</v>
      </c>
      <c r="G20" s="74">
        <v>7.7999999999999996E-3</v>
      </c>
      <c r="H20" s="74">
        <v>7.7999999999999996E-3</v>
      </c>
      <c r="I20" s="74">
        <v>1.2500000000000001E-2</v>
      </c>
      <c r="J20" s="74">
        <v>1.2500000000000001E-2</v>
      </c>
      <c r="K20" s="74">
        <v>1.2500000000000001E-2</v>
      </c>
      <c r="L20" s="74">
        <v>1.8800000000000001E-2</v>
      </c>
    </row>
    <row r="23" spans="1:12" ht="12.75" x14ac:dyDescent="0.2">
      <c r="A23" s="58" t="s">
        <v>115</v>
      </c>
      <c r="B23" s="39"/>
      <c r="C23" s="39"/>
      <c r="D23" s="39"/>
      <c r="E23" s="39"/>
      <c r="F23" s="39"/>
      <c r="G23" s="39"/>
      <c r="H23" s="39"/>
      <c r="I23" s="39"/>
      <c r="J23" s="39"/>
      <c r="K23" s="39"/>
      <c r="L23" s="39"/>
    </row>
    <row r="25" spans="1:12" x14ac:dyDescent="0.2">
      <c r="C25" s="49">
        <v>1</v>
      </c>
      <c r="D25" s="49">
        <v>2</v>
      </c>
      <c r="E25" s="49">
        <v>3</v>
      </c>
      <c r="F25" s="49">
        <v>4</v>
      </c>
      <c r="G25" s="49">
        <v>5</v>
      </c>
      <c r="H25" s="49">
        <v>6</v>
      </c>
      <c r="I25" s="49">
        <v>7</v>
      </c>
      <c r="J25" s="49">
        <v>8</v>
      </c>
      <c r="K25" s="49">
        <v>9</v>
      </c>
      <c r="L25" s="49">
        <v>10</v>
      </c>
    </row>
    <row r="26" spans="1:12" x14ac:dyDescent="0.2">
      <c r="C26" s="42"/>
      <c r="D26" s="42"/>
      <c r="E26" s="42"/>
      <c r="F26" s="42"/>
      <c r="G26" s="42"/>
      <c r="H26" s="42"/>
      <c r="I26" s="42"/>
      <c r="J26" s="42"/>
      <c r="K26" s="42"/>
      <c r="L26" s="42"/>
    </row>
    <row r="27" spans="1:12" x14ac:dyDescent="0.2">
      <c r="B27" s="33" t="s">
        <v>116</v>
      </c>
      <c r="C27" s="36">
        <f>C8</f>
        <v>10000000</v>
      </c>
      <c r="D27" s="36">
        <f t="shared" ref="D27:L27" si="0">C27-C28-C30</f>
        <v>9020179.2344882861</v>
      </c>
      <c r="E27" s="36">
        <f t="shared" si="0"/>
        <v>8023229.6340007465</v>
      </c>
      <c r="F27" s="36">
        <f t="shared" si="0"/>
        <v>7022522.536273445</v>
      </c>
      <c r="G27" s="36">
        <f t="shared" si="0"/>
        <v>6001924.580810966</v>
      </c>
      <c r="H27" s="36">
        <f t="shared" si="0"/>
        <v>4973682.8817256661</v>
      </c>
      <c r="I27" s="36">
        <f t="shared" si="0"/>
        <v>3942247.7635172615</v>
      </c>
      <c r="J27" s="36">
        <f t="shared" si="0"/>
        <v>2907125.0721934144</v>
      </c>
      <c r="K27" s="36">
        <f t="shared" si="0"/>
        <v>1866657.3638204772</v>
      </c>
      <c r="L27" s="36">
        <f t="shared" si="0"/>
        <v>820440.49432463071</v>
      </c>
    </row>
    <row r="28" spans="1:12" x14ac:dyDescent="0.2">
      <c r="B28" s="33" t="s">
        <v>112</v>
      </c>
      <c r="C28" s="36">
        <f>-PPMT($C$10,C25,$C$9,$C$8,0)</f>
        <v>955820.76551171346</v>
      </c>
      <c r="D28" s="36">
        <f t="shared" ref="D28:L28" si="1">-PPMT($C$10,D25,$C$9,$C$8,0)</f>
        <v>965378.97316683072</v>
      </c>
      <c r="E28" s="36">
        <f t="shared" si="1"/>
        <v>975032.76289849891</v>
      </c>
      <c r="F28" s="36">
        <f t="shared" si="1"/>
        <v>984783.09052748384</v>
      </c>
      <c r="G28" s="36">
        <f t="shared" si="1"/>
        <v>994630.92143275868</v>
      </c>
      <c r="H28" s="36">
        <f t="shared" si="1"/>
        <v>1004577.2306470864</v>
      </c>
      <c r="I28" s="36">
        <f t="shared" si="1"/>
        <v>1014623.0029535573</v>
      </c>
      <c r="J28" s="36">
        <f t="shared" si="1"/>
        <v>1024769.2329830929</v>
      </c>
      <c r="K28" s="36">
        <f t="shared" si="1"/>
        <v>1035016.9253129236</v>
      </c>
      <c r="L28" s="36">
        <f t="shared" si="1"/>
        <v>1045367.094566053</v>
      </c>
    </row>
    <row r="29" spans="1:12" x14ac:dyDescent="0.2">
      <c r="B29" s="33" t="s">
        <v>113</v>
      </c>
      <c r="C29" s="36">
        <f>-IPMT($C$10,C25,$C$9,$C$8,0)</f>
        <v>100000</v>
      </c>
      <c r="D29" s="36">
        <f t="shared" ref="D29:L29" si="2">-IPMT($C$10,D25,$C$9,$C$8,0)</f>
        <v>90441.792344882881</v>
      </c>
      <c r="E29" s="36">
        <f t="shared" si="2"/>
        <v>80788.002613214558</v>
      </c>
      <c r="F29" s="36">
        <f t="shared" si="2"/>
        <v>71037.674984229569</v>
      </c>
      <c r="G29" s="36">
        <f t="shared" si="2"/>
        <v>61189.844078954731</v>
      </c>
      <c r="H29" s="36">
        <f t="shared" si="2"/>
        <v>51243.534864627145</v>
      </c>
      <c r="I29" s="36">
        <f t="shared" si="2"/>
        <v>41197.762558156268</v>
      </c>
      <c r="J29" s="36">
        <f t="shared" si="2"/>
        <v>31051.532528620697</v>
      </c>
      <c r="K29" s="36">
        <f t="shared" si="2"/>
        <v>20803.840198789774</v>
      </c>
      <c r="L29" s="36">
        <f t="shared" si="2"/>
        <v>10453.670945660531</v>
      </c>
    </row>
    <row r="30" spans="1:12" x14ac:dyDescent="0.2">
      <c r="B30" s="33" t="s">
        <v>10</v>
      </c>
      <c r="C30" s="36">
        <f t="shared" ref="C30:L30" si="3">C27*C17</f>
        <v>23999.999999999996</v>
      </c>
      <c r="D30" s="36">
        <f t="shared" si="3"/>
        <v>31570.627320708998</v>
      </c>
      <c r="E30" s="36">
        <f t="shared" si="3"/>
        <v>25674.334828802395</v>
      </c>
      <c r="F30" s="36">
        <f t="shared" si="3"/>
        <v>35814.864934994563</v>
      </c>
      <c r="G30" s="36">
        <f t="shared" si="3"/>
        <v>33610.777652541416</v>
      </c>
      <c r="H30" s="36">
        <f t="shared" si="3"/>
        <v>26857.887561318599</v>
      </c>
      <c r="I30" s="36">
        <f t="shared" si="3"/>
        <v>20499.688370289758</v>
      </c>
      <c r="J30" s="36">
        <f t="shared" si="3"/>
        <v>15698.47538984444</v>
      </c>
      <c r="K30" s="36">
        <f t="shared" si="3"/>
        <v>11199.944182922856</v>
      </c>
      <c r="L30" s="36">
        <f t="shared" si="3"/>
        <v>4758.5548670828584</v>
      </c>
    </row>
    <row r="31" spans="1:12" x14ac:dyDescent="0.2">
      <c r="B31" s="33" t="s">
        <v>11</v>
      </c>
      <c r="C31" s="36">
        <f t="shared" ref="C31:L31" si="4">-C30*C18</f>
        <v>-13199.999999999998</v>
      </c>
      <c r="D31" s="36">
        <f t="shared" si="4"/>
        <v>-17363.84502638995</v>
      </c>
      <c r="E31" s="36">
        <f t="shared" si="4"/>
        <v>-14120.884155841319</v>
      </c>
      <c r="F31" s="36">
        <f t="shared" si="4"/>
        <v>-19698.175714247012</v>
      </c>
      <c r="G31" s="36">
        <f t="shared" si="4"/>
        <v>-18485.92770889778</v>
      </c>
      <c r="H31" s="36">
        <f t="shared" si="4"/>
        <v>-14771.838158725232</v>
      </c>
      <c r="I31" s="36">
        <f t="shared" si="4"/>
        <v>-11274.828603659367</v>
      </c>
      <c r="J31" s="36">
        <f t="shared" si="4"/>
        <v>-8634.1614644144429</v>
      </c>
      <c r="K31" s="36">
        <f t="shared" si="4"/>
        <v>-6159.9693006075713</v>
      </c>
      <c r="L31" s="36">
        <f t="shared" si="4"/>
        <v>-2617.2051768955725</v>
      </c>
    </row>
    <row r="32" spans="1:12" x14ac:dyDescent="0.2">
      <c r="B32" s="33" t="s">
        <v>108</v>
      </c>
      <c r="C32" s="36">
        <f t="shared" ref="C32:L32" si="5">C27*C19</f>
        <v>20000</v>
      </c>
      <c r="D32" s="36">
        <f t="shared" si="5"/>
        <v>18040.358468976574</v>
      </c>
      <c r="E32" s="36">
        <f t="shared" si="5"/>
        <v>16046.459268001494</v>
      </c>
      <c r="F32" s="36">
        <f t="shared" si="5"/>
        <v>14045.045072546891</v>
      </c>
      <c r="G32" s="36">
        <f t="shared" si="5"/>
        <v>12003.849161621933</v>
      </c>
      <c r="H32" s="36">
        <f t="shared" si="5"/>
        <v>9947.3657634513329</v>
      </c>
      <c r="I32" s="36">
        <f t="shared" si="5"/>
        <v>7884.4955270345235</v>
      </c>
      <c r="J32" s="36">
        <f t="shared" si="5"/>
        <v>5814.2501443868287</v>
      </c>
      <c r="K32" s="36">
        <f t="shared" si="5"/>
        <v>3733.3147276409545</v>
      </c>
      <c r="L32" s="36">
        <f t="shared" si="5"/>
        <v>1640.8809886492616</v>
      </c>
    </row>
    <row r="33" spans="1:12" x14ac:dyDescent="0.2">
      <c r="B33" s="33" t="s">
        <v>128</v>
      </c>
      <c r="C33" s="35">
        <v>1</v>
      </c>
      <c r="D33" s="35">
        <f t="shared" ref="D33:L33" si="6">C33*(1-C17)</f>
        <v>0.99760000000000004</v>
      </c>
      <c r="E33" s="35">
        <f t="shared" si="6"/>
        <v>0.99410840000000011</v>
      </c>
      <c r="F33" s="35">
        <f t="shared" si="6"/>
        <v>0.99092725312000018</v>
      </c>
      <c r="G33" s="35">
        <f t="shared" si="6"/>
        <v>0.98587352412908824</v>
      </c>
      <c r="H33" s="35">
        <f t="shared" si="6"/>
        <v>0.98035263239396531</v>
      </c>
      <c r="I33" s="35">
        <f t="shared" si="6"/>
        <v>0.97505872817903794</v>
      </c>
      <c r="J33" s="35">
        <f t="shared" si="6"/>
        <v>0.96998842279250697</v>
      </c>
      <c r="K33" s="35">
        <f t="shared" si="6"/>
        <v>0.96475048530942742</v>
      </c>
      <c r="L33" s="35">
        <f t="shared" si="6"/>
        <v>0.9589619823975708</v>
      </c>
    </row>
    <row r="34" spans="1:12" x14ac:dyDescent="0.2">
      <c r="C34" s="35"/>
      <c r="D34" s="35"/>
      <c r="E34" s="35"/>
      <c r="F34" s="35"/>
      <c r="G34" s="35"/>
      <c r="H34" s="35"/>
      <c r="I34" s="35"/>
      <c r="J34" s="35"/>
      <c r="K34" s="35"/>
      <c r="L34" s="35"/>
    </row>
    <row r="36" spans="1:12" ht="12.75" x14ac:dyDescent="0.2">
      <c r="A36" s="58" t="s">
        <v>71</v>
      </c>
      <c r="B36" s="39"/>
      <c r="C36" s="39"/>
      <c r="D36" s="39"/>
      <c r="E36" s="39"/>
      <c r="F36" s="39"/>
      <c r="G36" s="39"/>
      <c r="H36" s="39"/>
      <c r="I36" s="39"/>
      <c r="J36" s="39"/>
      <c r="K36" s="39"/>
      <c r="L36" s="39"/>
    </row>
    <row r="37" spans="1:12" x14ac:dyDescent="0.2">
      <c r="C37" s="42"/>
      <c r="D37" s="42"/>
      <c r="E37" s="42"/>
      <c r="F37" s="42"/>
      <c r="G37" s="42"/>
      <c r="H37" s="42"/>
      <c r="I37" s="42"/>
      <c r="J37" s="42"/>
      <c r="K37" s="42"/>
      <c r="L37" s="42"/>
    </row>
    <row r="38" spans="1:12" x14ac:dyDescent="0.2">
      <c r="B38" s="38" t="s">
        <v>118</v>
      </c>
      <c r="C38" s="50"/>
      <c r="D38" s="50"/>
      <c r="E38" s="50"/>
      <c r="F38" s="50"/>
      <c r="G38" s="50"/>
      <c r="H38" s="50"/>
      <c r="I38" s="50"/>
      <c r="J38" s="50"/>
      <c r="K38" s="50"/>
      <c r="L38" s="50"/>
    </row>
    <row r="40" spans="1:12" x14ac:dyDescent="0.2">
      <c r="C40" s="49">
        <v>1</v>
      </c>
      <c r="D40" s="49">
        <v>2</v>
      </c>
      <c r="E40" s="49">
        <v>3</v>
      </c>
      <c r="F40" s="49">
        <v>4</v>
      </c>
      <c r="G40" s="49">
        <v>5</v>
      </c>
      <c r="H40" s="49">
        <v>6</v>
      </c>
      <c r="I40" s="49">
        <v>7</v>
      </c>
      <c r="J40" s="49">
        <v>8</v>
      </c>
      <c r="K40" s="49">
        <v>9</v>
      </c>
      <c r="L40" s="49">
        <v>10</v>
      </c>
    </row>
    <row r="41" spans="1:12" x14ac:dyDescent="0.2">
      <c r="C41" s="42"/>
      <c r="D41" s="42"/>
      <c r="E41" s="42"/>
      <c r="F41" s="42"/>
      <c r="G41" s="42"/>
      <c r="H41" s="42"/>
      <c r="I41" s="42"/>
      <c r="J41" s="42"/>
      <c r="K41" s="42"/>
      <c r="L41" s="42"/>
    </row>
    <row r="42" spans="1:12" x14ac:dyDescent="0.2">
      <c r="B42" s="33" t="s">
        <v>110</v>
      </c>
      <c r="C42" s="43">
        <f>1/(1+C$20)</f>
        <v>0.99830288509533793</v>
      </c>
      <c r="D42" s="43">
        <f t="shared" ref="D42:L42" si="7">C42/(1+D$20)</f>
        <v>0.9958133517160479</v>
      </c>
      <c r="E42" s="43">
        <f t="shared" si="7"/>
        <v>0.99214242474449321</v>
      </c>
      <c r="F42" s="43">
        <f t="shared" si="7"/>
        <v>0.98848503013300104</v>
      </c>
      <c r="G42" s="43">
        <f t="shared" si="7"/>
        <v>0.98083452087021339</v>
      </c>
      <c r="H42" s="43">
        <f t="shared" si="7"/>
        <v>0.97324322372515715</v>
      </c>
      <c r="I42" s="43">
        <f t="shared" si="7"/>
        <v>0.96122787528410591</v>
      </c>
      <c r="J42" s="43">
        <f t="shared" si="7"/>
        <v>0.94936086447812928</v>
      </c>
      <c r="K42" s="43">
        <f t="shared" si="7"/>
        <v>0.93764035997839934</v>
      </c>
      <c r="L42" s="43">
        <f t="shared" si="7"/>
        <v>0.92033800547546074</v>
      </c>
    </row>
    <row r="43" spans="1:12" x14ac:dyDescent="0.2">
      <c r="B43" s="33" t="s">
        <v>111</v>
      </c>
      <c r="C43" s="43">
        <f>1/(1+C$20+$C$11)</f>
        <v>0.99334459123870078</v>
      </c>
      <c r="D43" s="43">
        <f t="shared" ref="D43:L43" si="8">C43/(1+D$20+$C$11)</f>
        <v>0.98594996649002575</v>
      </c>
      <c r="E43" s="43">
        <f t="shared" si="8"/>
        <v>0.97744618468328126</v>
      </c>
      <c r="F43" s="43">
        <f t="shared" si="8"/>
        <v>0.96901574767847853</v>
      </c>
      <c r="G43" s="43">
        <f t="shared" si="8"/>
        <v>0.95676910315805552</v>
      </c>
      <c r="H43" s="43">
        <f t="shared" si="8"/>
        <v>0.94467723455574215</v>
      </c>
      <c r="I43" s="43">
        <f t="shared" si="8"/>
        <v>0.92842971455109813</v>
      </c>
      <c r="J43" s="43">
        <f t="shared" si="8"/>
        <v>0.91246163592245533</v>
      </c>
      <c r="K43" s="43">
        <f t="shared" si="8"/>
        <v>0.89676819255278173</v>
      </c>
      <c r="L43" s="43">
        <f t="shared" si="8"/>
        <v>0.87592126641217216</v>
      </c>
    </row>
    <row r="45" spans="1:12" x14ac:dyDescent="0.2">
      <c r="B45" s="44" t="s">
        <v>127</v>
      </c>
      <c r="C45" s="36"/>
      <c r="D45" s="36"/>
      <c r="E45" s="36"/>
      <c r="F45" s="36"/>
      <c r="G45" s="36"/>
      <c r="H45" s="36"/>
      <c r="I45" s="36"/>
      <c r="J45" s="36"/>
      <c r="K45" s="36"/>
      <c r="L45" s="36"/>
    </row>
    <row r="46" spans="1:12" x14ac:dyDescent="0.2">
      <c r="B46" s="55" t="s">
        <v>119</v>
      </c>
      <c r="C46" s="36">
        <f t="shared" ref="C46:L46" si="9">(C28+C29)*C42</f>
        <v>1054028.9163539119</v>
      </c>
      <c r="D46" s="36">
        <f t="shared" si="9"/>
        <v>1051400.4153156232</v>
      </c>
      <c r="E46" s="36">
        <f t="shared" si="9"/>
        <v>1047524.5743903784</v>
      </c>
      <c r="F46" s="36">
        <f t="shared" si="9"/>
        <v>1043663.0212118943</v>
      </c>
      <c r="G46" s="36">
        <f t="shared" si="9"/>
        <v>1035585.4546655033</v>
      </c>
      <c r="H46" s="36">
        <f t="shared" si="9"/>
        <v>1027570.4055025832</v>
      </c>
      <c r="I46" s="36">
        <f t="shared" si="9"/>
        <v>1014884.3511136626</v>
      </c>
      <c r="J46" s="36">
        <f t="shared" si="9"/>
        <v>1002354.9146801607</v>
      </c>
      <c r="K46" s="36">
        <f t="shared" si="9"/>
        <v>989980.16264707211</v>
      </c>
      <c r="L46" s="36">
        <f t="shared" si="9"/>
        <v>971711.97747062449</v>
      </c>
    </row>
    <row r="47" spans="1:12" x14ac:dyDescent="0.2">
      <c r="B47" s="55" t="s">
        <v>120</v>
      </c>
      <c r="C47" s="36">
        <f t="shared" ref="C47:L47" si="10">(C30+C31)*C42</f>
        <v>10781.671159029647</v>
      </c>
      <c r="D47" s="36">
        <f t="shared" si="10"/>
        <v>14147.303493606056</v>
      </c>
      <c r="E47" s="36">
        <f t="shared" si="10"/>
        <v>11462.668564837499</v>
      </c>
      <c r="F47" s="36">
        <f t="shared" si="10"/>
        <v>15931.106030014855</v>
      </c>
      <c r="G47" s="36">
        <f t="shared" si="10"/>
        <v>14834.97494770758</v>
      </c>
      <c r="H47" s="36">
        <f t="shared" si="10"/>
        <v>11762.66568268148</v>
      </c>
      <c r="I47" s="36">
        <f t="shared" si="10"/>
        <v>8867.1923532719629</v>
      </c>
      <c r="J47" s="36">
        <f t="shared" si="10"/>
        <v>6706.5831751911082</v>
      </c>
      <c r="K47" s="36">
        <f t="shared" si="10"/>
        <v>4725.6838629361946</v>
      </c>
      <c r="L47" s="36">
        <f t="shared" si="10"/>
        <v>1970.7655028924626</v>
      </c>
    </row>
    <row r="48" spans="1:12" x14ac:dyDescent="0.2">
      <c r="B48" s="55" t="s">
        <v>16</v>
      </c>
      <c r="C48" s="36">
        <f t="shared" ref="C48:L48" si="11">-C32*C42</f>
        <v>-19966.057701906757</v>
      </c>
      <c r="D48" s="36">
        <f t="shared" si="11"/>
        <v>-17964.829833150554</v>
      </c>
      <c r="E48" s="36">
        <f t="shared" si="11"/>
        <v>-15920.373006718748</v>
      </c>
      <c r="F48" s="36">
        <f t="shared" si="11"/>
        <v>-13883.316801755871</v>
      </c>
      <c r="G48" s="36">
        <f t="shared" si="11"/>
        <v>-11773.789641037762</v>
      </c>
      <c r="H48" s="36">
        <f t="shared" si="11"/>
        <v>-9681.206323194634</v>
      </c>
      <c r="I48" s="36">
        <f t="shared" si="11"/>
        <v>-7578.7968831384323</v>
      </c>
      <c r="J48" s="36">
        <f t="shared" si="11"/>
        <v>-5519.8215433671676</v>
      </c>
      <c r="K48" s="36">
        <f t="shared" si="11"/>
        <v>-3500.5065651379246</v>
      </c>
      <c r="L48" s="36">
        <f t="shared" si="11"/>
        <v>-1510.1651363160636</v>
      </c>
    </row>
    <row r="49" spans="2:12" x14ac:dyDescent="0.2">
      <c r="B49" s="37"/>
      <c r="C49" s="36"/>
      <c r="D49" s="36"/>
      <c r="E49" s="36"/>
      <c r="F49" s="36"/>
      <c r="G49" s="36"/>
      <c r="H49" s="36"/>
      <c r="I49" s="36"/>
      <c r="J49" s="36"/>
      <c r="K49" s="36"/>
      <c r="L49" s="36"/>
    </row>
    <row r="50" spans="2:12" x14ac:dyDescent="0.2">
      <c r="B50" s="44" t="s">
        <v>126</v>
      </c>
      <c r="C50" s="36"/>
      <c r="D50" s="36"/>
      <c r="E50" s="36"/>
      <c r="F50" s="36"/>
      <c r="G50" s="36"/>
      <c r="H50" s="36"/>
      <c r="I50" s="36"/>
      <c r="J50" s="36"/>
      <c r="K50" s="36"/>
      <c r="L50" s="36"/>
    </row>
    <row r="51" spans="2:12" x14ac:dyDescent="0.2">
      <c r="B51" s="55" t="s">
        <v>119</v>
      </c>
      <c r="C51" s="36">
        <f t="shared" ref="C51:L51" si="12">(C28+C29)*C42</f>
        <v>1054028.9163539119</v>
      </c>
      <c r="D51" s="36">
        <f t="shared" si="12"/>
        <v>1051400.4153156232</v>
      </c>
      <c r="E51" s="36">
        <f t="shared" si="12"/>
        <v>1047524.5743903784</v>
      </c>
      <c r="F51" s="36">
        <f t="shared" si="12"/>
        <v>1043663.0212118943</v>
      </c>
      <c r="G51" s="36">
        <f t="shared" si="12"/>
        <v>1035585.4546655033</v>
      </c>
      <c r="H51" s="36">
        <f t="shared" si="12"/>
        <v>1027570.4055025832</v>
      </c>
      <c r="I51" s="36">
        <f t="shared" si="12"/>
        <v>1014884.3511136626</v>
      </c>
      <c r="J51" s="36">
        <f t="shared" si="12"/>
        <v>1002354.9146801607</v>
      </c>
      <c r="K51" s="36">
        <f t="shared" si="12"/>
        <v>989980.16264707211</v>
      </c>
      <c r="L51" s="36">
        <f t="shared" si="12"/>
        <v>971711.97747062449</v>
      </c>
    </row>
    <row r="52" spans="2:12" x14ac:dyDescent="0.2">
      <c r="B52" s="55" t="s">
        <v>120</v>
      </c>
      <c r="C52" s="36">
        <f t="shared" ref="C52:L52" si="13">(C28+C29)*C42-(C28+C29-C30-C31)*C43</f>
        <v>15963.191200724686</v>
      </c>
      <c r="D52" s="36">
        <f t="shared" si="13"/>
        <v>24421.143466890673</v>
      </c>
      <c r="E52" s="36">
        <f t="shared" si="13"/>
        <v>26809.471711785067</v>
      </c>
      <c r="F52" s="36">
        <f t="shared" si="13"/>
        <v>36173.398360442137</v>
      </c>
      <c r="G52" s="36">
        <f t="shared" si="13"/>
        <v>39879.756867189775</v>
      </c>
      <c r="H52" s="36">
        <f t="shared" si="13"/>
        <v>41577.980278797098</v>
      </c>
      <c r="I52" s="36">
        <f t="shared" si="13"/>
        <v>43193.613092407119</v>
      </c>
      <c r="J52" s="36">
        <f t="shared" si="13"/>
        <v>45404.887181510916</v>
      </c>
      <c r="K52" s="36">
        <f t="shared" si="13"/>
        <v>47673.372265163576</v>
      </c>
      <c r="L52" s="36">
        <f t="shared" si="13"/>
        <v>48771.769171795691</v>
      </c>
    </row>
    <row r="53" spans="2:12" x14ac:dyDescent="0.2">
      <c r="B53" s="55" t="s">
        <v>16</v>
      </c>
      <c r="C53" s="36">
        <f t="shared" ref="C53:L53" si="14">-C32*C43</f>
        <v>-19866.891824774015</v>
      </c>
      <c r="D53" s="36">
        <f t="shared" si="14"/>
        <v>-17786.890827955507</v>
      </c>
      <c r="E53" s="36">
        <f t="shared" si="14"/>
        <v>-15684.550389183738</v>
      </c>
      <c r="F53" s="36">
        <f t="shared" si="14"/>
        <v>-13609.869852151956</v>
      </c>
      <c r="G53" s="36">
        <f t="shared" si="14"/>
        <v>-11484.911996809593</v>
      </c>
      <c r="H53" s="36">
        <f t="shared" si="14"/>
        <v>-9397.049980531674</v>
      </c>
      <c r="I53" s="36">
        <f t="shared" si="14"/>
        <v>-7320.1999315440726</v>
      </c>
      <c r="J53" s="36">
        <f t="shared" si="14"/>
        <v>-5305.2801984095777</v>
      </c>
      <c r="K53" s="36">
        <f t="shared" si="14"/>
        <v>-3347.9179005372594</v>
      </c>
      <c r="L53" s="36">
        <f t="shared" si="14"/>
        <v>-1437.2825536093183</v>
      </c>
    </row>
    <row r="54" spans="2:12" x14ac:dyDescent="0.2">
      <c r="B54" s="37"/>
      <c r="C54" s="36"/>
      <c r="D54" s="36"/>
      <c r="E54" s="36"/>
      <c r="F54" s="36"/>
      <c r="G54" s="36"/>
      <c r="H54" s="36"/>
      <c r="I54" s="36"/>
      <c r="J54" s="36"/>
      <c r="K54" s="36"/>
      <c r="L54" s="36"/>
    </row>
    <row r="55" spans="2:12" x14ac:dyDescent="0.2">
      <c r="B55" s="37"/>
      <c r="C55" s="36"/>
      <c r="D55" s="36"/>
      <c r="E55" s="36"/>
      <c r="F55" s="36"/>
      <c r="G55" s="36"/>
      <c r="H55" s="36"/>
      <c r="I55" s="36"/>
      <c r="J55" s="36"/>
      <c r="K55" s="36"/>
      <c r="L55" s="36"/>
    </row>
    <row r="56" spans="2:12" x14ac:dyDescent="0.2">
      <c r="B56" s="46" t="s">
        <v>121</v>
      </c>
      <c r="C56" s="45"/>
      <c r="D56" s="45"/>
      <c r="E56" s="36"/>
      <c r="F56" s="36"/>
      <c r="G56" s="36"/>
      <c r="H56" s="36"/>
      <c r="I56" s="36"/>
      <c r="J56" s="36"/>
      <c r="K56" s="36"/>
      <c r="L56" s="36"/>
    </row>
    <row r="57" spans="2:12" x14ac:dyDescent="0.2">
      <c r="B57" s="37"/>
      <c r="C57" s="36"/>
      <c r="D57" s="36"/>
      <c r="E57" s="36"/>
      <c r="F57" s="36"/>
      <c r="G57" s="36"/>
      <c r="H57" s="36"/>
      <c r="I57" s="36"/>
      <c r="J57" s="36"/>
      <c r="K57" s="36"/>
      <c r="L57" s="36"/>
    </row>
    <row r="58" spans="2:12" x14ac:dyDescent="0.2">
      <c r="B58" s="57"/>
      <c r="C58" s="56" t="s">
        <v>127</v>
      </c>
      <c r="D58" s="56" t="s">
        <v>126</v>
      </c>
      <c r="E58" s="36"/>
      <c r="F58" s="36"/>
      <c r="G58" s="36"/>
      <c r="H58" s="36"/>
      <c r="I58" s="36"/>
      <c r="J58" s="36"/>
      <c r="K58" s="36"/>
      <c r="L58" s="36"/>
    </row>
    <row r="59" spans="2:12" x14ac:dyDescent="0.2">
      <c r="B59" s="33" t="s">
        <v>122</v>
      </c>
      <c r="C59" s="36">
        <f>C8-SUM(C46:L46)</f>
        <v>-238704.19335141405</v>
      </c>
      <c r="D59" s="36">
        <f>C8-SUM(C51:L51)</f>
        <v>-238704.19335141405</v>
      </c>
      <c r="E59" s="36"/>
      <c r="F59" s="36"/>
      <c r="G59" s="36"/>
      <c r="H59" s="36"/>
      <c r="I59" s="36"/>
      <c r="J59" s="36"/>
      <c r="K59" s="36"/>
      <c r="L59" s="36"/>
    </row>
    <row r="60" spans="2:12" x14ac:dyDescent="0.2">
      <c r="B60" s="37" t="s">
        <v>123</v>
      </c>
      <c r="C60" s="36">
        <f>SUM(C47:L47)</f>
        <v>101190.61477216883</v>
      </c>
      <c r="D60" s="36">
        <f>SUM(C52:L52)</f>
        <v>369868.58359670674</v>
      </c>
      <c r="E60" s="36"/>
      <c r="F60" s="36"/>
      <c r="G60" s="36"/>
      <c r="H60" s="36"/>
      <c r="I60" s="36"/>
      <c r="J60" s="36"/>
      <c r="K60" s="36"/>
      <c r="L60" s="36"/>
    </row>
    <row r="61" spans="2:12" x14ac:dyDescent="0.2">
      <c r="B61" s="37" t="s">
        <v>124</v>
      </c>
      <c r="C61" s="47">
        <f>SUM(C48:L48)</f>
        <v>-107298.86343572392</v>
      </c>
      <c r="D61" s="47">
        <f>SUM(C53:L53)</f>
        <v>-105240.84545550671</v>
      </c>
      <c r="E61" s="36"/>
      <c r="F61" s="36"/>
      <c r="G61" s="36"/>
      <c r="H61" s="36"/>
      <c r="I61" s="36"/>
      <c r="J61" s="36"/>
      <c r="K61" s="36"/>
      <c r="L61" s="36"/>
    </row>
    <row r="62" spans="2:12" x14ac:dyDescent="0.2">
      <c r="B62" s="48" t="s">
        <v>125</v>
      </c>
      <c r="C62" s="40">
        <f>C59+C60+C61</f>
        <v>-244812.44201496913</v>
      </c>
      <c r="D62" s="40">
        <f>D59+D60+D61</f>
        <v>25923.54478978597</v>
      </c>
    </row>
    <row r="63" spans="2:12" x14ac:dyDescent="0.2">
      <c r="B63" s="48" t="s">
        <v>51</v>
      </c>
      <c r="C63" s="41">
        <f>C62/$C$8</f>
        <v>-2.4481244201496912E-2</v>
      </c>
      <c r="D63" s="41">
        <f>D62/$C$8</f>
        <v>2.5923544789785971E-3</v>
      </c>
      <c r="E63" s="36"/>
      <c r="F63" s="36"/>
      <c r="G63" s="36"/>
      <c r="H63" s="36"/>
      <c r="I63" s="36"/>
      <c r="J63" s="36"/>
      <c r="K63" s="36"/>
      <c r="L63" s="36"/>
    </row>
    <row r="64" spans="2:12" x14ac:dyDescent="0.2">
      <c r="B64" s="37"/>
      <c r="C64" s="36"/>
      <c r="D64" s="36"/>
      <c r="E64" s="36"/>
      <c r="F64" s="36"/>
      <c r="G64" s="36"/>
      <c r="H64" s="36"/>
      <c r="I64" s="36"/>
      <c r="J64" s="36"/>
      <c r="K64" s="36"/>
      <c r="L64" s="36"/>
    </row>
    <row r="66" spans="1:12" ht="12.75" x14ac:dyDescent="0.2">
      <c r="A66" s="58" t="s">
        <v>78</v>
      </c>
      <c r="B66" s="38"/>
      <c r="C66" s="38"/>
      <c r="D66" s="38"/>
      <c r="E66" s="38"/>
      <c r="F66" s="38"/>
      <c r="G66" s="38"/>
      <c r="H66" s="38"/>
      <c r="I66" s="38"/>
      <c r="J66" s="38"/>
      <c r="K66" s="38"/>
      <c r="L66" s="38"/>
    </row>
    <row r="68" spans="1:12" x14ac:dyDescent="0.2">
      <c r="B68" s="38" t="s">
        <v>118</v>
      </c>
      <c r="C68" s="50"/>
      <c r="D68" s="50"/>
      <c r="E68" s="50"/>
      <c r="F68" s="50"/>
      <c r="G68" s="50"/>
      <c r="H68" s="50"/>
      <c r="I68" s="50"/>
      <c r="J68" s="50"/>
      <c r="K68" s="50"/>
      <c r="L68" s="50"/>
    </row>
    <row r="70" spans="1:12" x14ac:dyDescent="0.2">
      <c r="C70" s="49">
        <v>1</v>
      </c>
      <c r="D70" s="49">
        <v>2</v>
      </c>
      <c r="E70" s="49">
        <v>3</v>
      </c>
      <c r="F70" s="49">
        <v>4</v>
      </c>
      <c r="G70" s="49">
        <v>5</v>
      </c>
      <c r="H70" s="49">
        <v>6</v>
      </c>
      <c r="I70" s="49">
        <v>7</v>
      </c>
      <c r="J70" s="49">
        <v>8</v>
      </c>
      <c r="K70" s="49">
        <v>9</v>
      </c>
      <c r="L70" s="49">
        <v>10</v>
      </c>
    </row>
    <row r="72" spans="1:12" x14ac:dyDescent="0.2">
      <c r="B72" s="33" t="s">
        <v>110</v>
      </c>
      <c r="C72" s="43">
        <f>1/(1+C$20)</f>
        <v>0.99830288509533793</v>
      </c>
      <c r="D72" s="43">
        <f t="shared" ref="D72:L72" si="15">C72/(1+D$20)</f>
        <v>0.9958133517160479</v>
      </c>
      <c r="E72" s="43">
        <f t="shared" si="15"/>
        <v>0.99214242474449321</v>
      </c>
      <c r="F72" s="43">
        <f t="shared" si="15"/>
        <v>0.98848503013300104</v>
      </c>
      <c r="G72" s="43">
        <f t="shared" si="15"/>
        <v>0.98083452087021339</v>
      </c>
      <c r="H72" s="43">
        <f t="shared" si="15"/>
        <v>0.97324322372515715</v>
      </c>
      <c r="I72" s="43">
        <f t="shared" si="15"/>
        <v>0.96122787528410591</v>
      </c>
      <c r="J72" s="43">
        <f t="shared" si="15"/>
        <v>0.94936086447812928</v>
      </c>
      <c r="K72" s="43">
        <f t="shared" si="15"/>
        <v>0.93764035997839934</v>
      </c>
      <c r="L72" s="43">
        <f t="shared" si="15"/>
        <v>0.92033800547546074</v>
      </c>
    </row>
    <row r="73" spans="1:12" x14ac:dyDescent="0.2">
      <c r="B73" s="33" t="s">
        <v>111</v>
      </c>
      <c r="C73" s="43">
        <f>1/(1+C$20+$C$11)</f>
        <v>0.99334459123870078</v>
      </c>
      <c r="D73" s="43">
        <f t="shared" ref="D73:L73" si="16">C73/(1+D$20+$C$11)</f>
        <v>0.98594996649002575</v>
      </c>
      <c r="E73" s="43">
        <f t="shared" si="16"/>
        <v>0.97744618468328126</v>
      </c>
      <c r="F73" s="43">
        <f t="shared" si="16"/>
        <v>0.96901574767847853</v>
      </c>
      <c r="G73" s="43">
        <f t="shared" si="16"/>
        <v>0.95676910315805552</v>
      </c>
      <c r="H73" s="43">
        <f t="shared" si="16"/>
        <v>0.94467723455574215</v>
      </c>
      <c r="I73" s="43">
        <f t="shared" si="16"/>
        <v>0.92842971455109813</v>
      </c>
      <c r="J73" s="43">
        <f t="shared" si="16"/>
        <v>0.91246163592245533</v>
      </c>
      <c r="K73" s="43">
        <f t="shared" si="16"/>
        <v>0.89676819255278173</v>
      </c>
      <c r="L73" s="43">
        <f t="shared" si="16"/>
        <v>0.87592126641217216</v>
      </c>
    </row>
    <row r="75" spans="1:12" x14ac:dyDescent="0.2">
      <c r="B75" s="44" t="s">
        <v>127</v>
      </c>
      <c r="C75" s="36"/>
      <c r="D75" s="36"/>
      <c r="E75" s="36"/>
      <c r="F75" s="36"/>
      <c r="G75" s="36"/>
      <c r="H75" s="36"/>
      <c r="I75" s="36"/>
      <c r="J75" s="36"/>
      <c r="K75" s="36"/>
      <c r="L75" s="36"/>
    </row>
    <row r="76" spans="1:12" x14ac:dyDescent="0.2">
      <c r="B76" s="55" t="s">
        <v>120</v>
      </c>
      <c r="C76" s="36">
        <f t="shared" ref="C76:L76" si="17">(C30+C31)*C72</f>
        <v>10781.671159029647</v>
      </c>
      <c r="D76" s="36">
        <f t="shared" si="17"/>
        <v>14147.303493606056</v>
      </c>
      <c r="E76" s="36">
        <f t="shared" si="17"/>
        <v>11462.668564837499</v>
      </c>
      <c r="F76" s="36">
        <f t="shared" si="17"/>
        <v>15931.106030014855</v>
      </c>
      <c r="G76" s="36">
        <f t="shared" si="17"/>
        <v>14834.97494770758</v>
      </c>
      <c r="H76" s="36">
        <f t="shared" si="17"/>
        <v>11762.66568268148</v>
      </c>
      <c r="I76" s="36">
        <f t="shared" si="17"/>
        <v>8867.1923532719629</v>
      </c>
      <c r="J76" s="36">
        <f t="shared" si="17"/>
        <v>6706.5831751911082</v>
      </c>
      <c r="K76" s="36">
        <f t="shared" si="17"/>
        <v>4725.6838629361946</v>
      </c>
      <c r="L76" s="36">
        <f t="shared" si="17"/>
        <v>1970.7655028924626</v>
      </c>
    </row>
    <row r="77" spans="1:12" x14ac:dyDescent="0.2">
      <c r="B77" s="55" t="s">
        <v>16</v>
      </c>
      <c r="C77" s="36">
        <f t="shared" ref="C77:L77" si="18">-C32*C72</f>
        <v>-19966.057701906757</v>
      </c>
      <c r="D77" s="36">
        <f t="shared" si="18"/>
        <v>-17964.829833150554</v>
      </c>
      <c r="E77" s="36">
        <f t="shared" si="18"/>
        <v>-15920.373006718748</v>
      </c>
      <c r="F77" s="36">
        <f t="shared" si="18"/>
        <v>-13883.316801755871</v>
      </c>
      <c r="G77" s="36">
        <f t="shared" si="18"/>
        <v>-11773.789641037762</v>
      </c>
      <c r="H77" s="36">
        <f t="shared" si="18"/>
        <v>-9681.206323194634</v>
      </c>
      <c r="I77" s="36">
        <f t="shared" si="18"/>
        <v>-7578.7968831384323</v>
      </c>
      <c r="J77" s="36">
        <f t="shared" si="18"/>
        <v>-5519.8215433671676</v>
      </c>
      <c r="K77" s="36">
        <f t="shared" si="18"/>
        <v>-3500.5065651379246</v>
      </c>
      <c r="L77" s="36">
        <f t="shared" si="18"/>
        <v>-1510.1651363160636</v>
      </c>
    </row>
    <row r="78" spans="1:12" x14ac:dyDescent="0.2">
      <c r="B78" s="37"/>
      <c r="C78" s="36"/>
      <c r="D78" s="36"/>
      <c r="E78" s="36"/>
      <c r="F78" s="36"/>
      <c r="G78" s="36"/>
      <c r="H78" s="36"/>
      <c r="I78" s="36"/>
      <c r="J78" s="36"/>
      <c r="K78" s="36"/>
      <c r="L78" s="36"/>
    </row>
    <row r="79" spans="1:12" x14ac:dyDescent="0.2">
      <c r="B79" s="44" t="s">
        <v>126</v>
      </c>
      <c r="C79" s="36"/>
      <c r="D79" s="36"/>
      <c r="E79" s="36"/>
      <c r="F79" s="36"/>
      <c r="G79" s="36"/>
      <c r="H79" s="36"/>
      <c r="I79" s="36"/>
      <c r="J79" s="36"/>
      <c r="K79" s="36"/>
      <c r="L79" s="36"/>
    </row>
    <row r="80" spans="1:12" x14ac:dyDescent="0.2">
      <c r="B80" s="55" t="s">
        <v>120</v>
      </c>
      <c r="C80" s="36">
        <f t="shared" ref="C80:L80" si="19">(C33*(C28+C29)+C30)*C72-(C33*(C28+C29)-C31)*C73</f>
        <v>16082.190253283828</v>
      </c>
      <c r="D80" s="36">
        <f t="shared" si="19"/>
        <v>24707.54320532619</v>
      </c>
      <c r="E80" s="36">
        <f t="shared" si="19"/>
        <v>27095.370326196309</v>
      </c>
      <c r="F80" s="36">
        <f t="shared" si="19"/>
        <v>36684.188037431915</v>
      </c>
      <c r="G80" s="36">
        <f t="shared" si="19"/>
        <v>40329.677926481585</v>
      </c>
      <c r="H80" s="36">
        <f t="shared" si="19"/>
        <v>41752.626705019502</v>
      </c>
      <c r="I80" s="36">
        <f t="shared" si="19"/>
        <v>43002.274384128512</v>
      </c>
      <c r="J80" s="36">
        <f t="shared" si="19"/>
        <v>44814.928624583641</v>
      </c>
      <c r="K80" s="36">
        <f t="shared" si="19"/>
        <v>46609.991872599814</v>
      </c>
      <c r="L80" s="36">
        <f t="shared" si="19"/>
        <v>47058.605050760088</v>
      </c>
    </row>
    <row r="81" spans="2:12" x14ac:dyDescent="0.2">
      <c r="B81" s="55" t="s">
        <v>16</v>
      </c>
      <c r="C81" s="36">
        <f t="shared" ref="C81:L81" si="20">-C32*C72</f>
        <v>-19966.057701906757</v>
      </c>
      <c r="D81" s="36">
        <f t="shared" si="20"/>
        <v>-17964.829833150554</v>
      </c>
      <c r="E81" s="36">
        <f t="shared" si="20"/>
        <v>-15920.373006718748</v>
      </c>
      <c r="F81" s="36">
        <f t="shared" si="20"/>
        <v>-13883.316801755871</v>
      </c>
      <c r="G81" s="36">
        <f t="shared" si="20"/>
        <v>-11773.789641037762</v>
      </c>
      <c r="H81" s="36">
        <f t="shared" si="20"/>
        <v>-9681.206323194634</v>
      </c>
      <c r="I81" s="36">
        <f t="shared" si="20"/>
        <v>-7578.7968831384323</v>
      </c>
      <c r="J81" s="36">
        <f t="shared" si="20"/>
        <v>-5519.8215433671676</v>
      </c>
      <c r="K81" s="36">
        <f t="shared" si="20"/>
        <v>-3500.5065651379246</v>
      </c>
      <c r="L81" s="36">
        <f t="shared" si="20"/>
        <v>-1510.1651363160636</v>
      </c>
    </row>
    <row r="82" spans="2:12" x14ac:dyDescent="0.2">
      <c r="B82" s="55"/>
      <c r="C82" s="36"/>
      <c r="D82" s="36"/>
      <c r="E82" s="36"/>
      <c r="F82" s="36"/>
      <c r="G82" s="36"/>
      <c r="H82" s="36"/>
      <c r="I82" s="36"/>
      <c r="J82" s="36"/>
      <c r="K82" s="36"/>
      <c r="L82" s="36"/>
    </row>
    <row r="83" spans="2:12" x14ac:dyDescent="0.2">
      <c r="B83" s="46" t="s">
        <v>121</v>
      </c>
      <c r="C83" s="45"/>
      <c r="D83" s="45"/>
      <c r="E83" s="36"/>
      <c r="F83" s="36"/>
      <c r="G83" s="36"/>
      <c r="H83" s="36"/>
      <c r="I83" s="36"/>
      <c r="J83" s="36"/>
      <c r="K83" s="36"/>
      <c r="L83" s="36"/>
    </row>
    <row r="84" spans="2:12" x14ac:dyDescent="0.2">
      <c r="B84" s="37"/>
      <c r="C84" s="36"/>
      <c r="D84" s="36"/>
      <c r="E84" s="36"/>
      <c r="F84" s="36"/>
      <c r="G84" s="36"/>
      <c r="H84" s="36"/>
      <c r="I84" s="36"/>
      <c r="J84" s="36"/>
      <c r="K84" s="36"/>
      <c r="L84" s="36"/>
    </row>
    <row r="85" spans="2:12" x14ac:dyDescent="0.2">
      <c r="B85" s="57"/>
      <c r="C85" s="56" t="s">
        <v>127</v>
      </c>
      <c r="D85" s="56" t="s">
        <v>126</v>
      </c>
      <c r="E85" s="36"/>
      <c r="F85" s="36"/>
      <c r="G85" s="36"/>
      <c r="H85" s="36"/>
      <c r="I85" s="36"/>
      <c r="J85" s="36"/>
      <c r="K85" s="36"/>
      <c r="L85" s="36"/>
    </row>
    <row r="86" spans="2:12" x14ac:dyDescent="0.2">
      <c r="B86" s="33" t="s">
        <v>123</v>
      </c>
      <c r="C86" s="51">
        <f>SUM(C76:L76)</f>
        <v>101190.61477216883</v>
      </c>
      <c r="D86" s="51">
        <f>SUM(C80:L80)</f>
        <v>368137.39638581139</v>
      </c>
      <c r="E86" s="36"/>
      <c r="F86" s="36"/>
      <c r="G86" s="36"/>
      <c r="H86" s="36"/>
      <c r="I86" s="36"/>
      <c r="J86" s="36"/>
      <c r="K86" s="36"/>
      <c r="L86" s="36"/>
    </row>
    <row r="87" spans="2:12" x14ac:dyDescent="0.2">
      <c r="B87" s="37" t="s">
        <v>124</v>
      </c>
      <c r="C87" s="52">
        <f>SUM(C77:L77)</f>
        <v>-107298.86343572392</v>
      </c>
      <c r="D87" s="52">
        <f>SUM(C81:L81)</f>
        <v>-107298.86343572392</v>
      </c>
      <c r="E87" s="36"/>
      <c r="F87" s="36"/>
      <c r="G87" s="36"/>
      <c r="H87" s="36"/>
      <c r="I87" s="36"/>
      <c r="J87" s="36"/>
      <c r="K87" s="36"/>
      <c r="L87" s="36"/>
    </row>
    <row r="88" spans="2:12" x14ac:dyDescent="0.2">
      <c r="B88" s="48" t="s">
        <v>125</v>
      </c>
      <c r="C88" s="53">
        <f>C86+C87</f>
        <v>-6108.2486635550886</v>
      </c>
      <c r="D88" s="53">
        <f>D86+D87</f>
        <v>260838.53295008745</v>
      </c>
    </row>
    <row r="89" spans="2:12" x14ac:dyDescent="0.2">
      <c r="B89" s="48" t="s">
        <v>51</v>
      </c>
      <c r="C89" s="54">
        <f>C88/$C$8</f>
        <v>-6.1082486635550886E-4</v>
      </c>
      <c r="D89" s="54">
        <f>D88/$C$8</f>
        <v>2.6083853295008744E-2</v>
      </c>
    </row>
  </sheetData>
  <sheetProtection sheet="1" objects="1" scenarios="1"/>
  <mergeCells count="1">
    <mergeCell ref="A1:L1"/>
  </mergeCells>
  <pageMargins left="0.7" right="0.7" top="0.75" bottom="0.75" header="0.3" footer="0.3"/>
  <pageSetup scale="94" orientation="landscape" horizontalDpi="1200" verticalDpi="1200" r:id="rId1"/>
  <rowBreaks count="2" manualBreakCount="2">
    <brk id="35" max="11" man="1"/>
    <brk id="65" max="11"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3306F-FBF6-41DC-B4E1-1BE06A9B4027}">
  <sheetPr codeName="Sheet5">
    <outlinePr summaryBelow="0" summaryRight="0"/>
  </sheetPr>
  <dimension ref="A1:T406"/>
  <sheetViews>
    <sheetView showGridLines="0" zoomScaleNormal="100" workbookViewId="0"/>
  </sheetViews>
  <sheetFormatPr defaultColWidth="9.33203125" defaultRowHeight="11.25" x14ac:dyDescent="0.2"/>
  <cols>
    <col min="1" max="10" width="10.83203125" style="3" customWidth="1"/>
    <col min="11" max="11" width="9.33203125" style="3" customWidth="1"/>
    <col min="12" max="20" width="10.83203125" style="3" customWidth="1"/>
    <col min="21" max="16384" width="9.33203125" style="3"/>
  </cols>
  <sheetData>
    <row r="1" spans="1:20" ht="18" x14ac:dyDescent="0.25">
      <c r="B1" s="19" t="s">
        <v>92</v>
      </c>
      <c r="C1" s="14"/>
      <c r="D1" s="14"/>
      <c r="E1" s="14"/>
      <c r="F1" s="14"/>
      <c r="G1" s="14"/>
      <c r="H1" s="14"/>
      <c r="I1" s="14"/>
      <c r="J1" s="14"/>
      <c r="L1" s="19" t="s">
        <v>93</v>
      </c>
      <c r="M1" s="14"/>
      <c r="N1" s="14"/>
      <c r="O1" s="14"/>
      <c r="P1" s="14"/>
      <c r="Q1" s="14"/>
      <c r="R1" s="14"/>
      <c r="S1" s="14"/>
      <c r="T1" s="14"/>
    </row>
    <row r="2" spans="1:20" ht="12.75" x14ac:dyDescent="0.2">
      <c r="B2" s="63" t="s">
        <v>176</v>
      </c>
      <c r="L2" s="63"/>
    </row>
    <row r="3" spans="1:20" ht="12.75" x14ac:dyDescent="0.2">
      <c r="B3" s="20"/>
      <c r="L3" s="20"/>
    </row>
    <row r="4" spans="1:20" ht="12" thickBot="1" x14ac:dyDescent="0.25"/>
    <row r="5" spans="1:20" ht="12" thickBot="1" x14ac:dyDescent="0.25">
      <c r="B5" s="132" t="s">
        <v>15</v>
      </c>
      <c r="C5" s="133"/>
      <c r="D5" s="134"/>
      <c r="E5" s="132" t="s">
        <v>61</v>
      </c>
      <c r="F5" s="133"/>
      <c r="G5" s="134"/>
      <c r="H5" s="132" t="s">
        <v>135</v>
      </c>
      <c r="I5" s="133"/>
      <c r="J5" s="134"/>
      <c r="L5" s="132" t="s">
        <v>15</v>
      </c>
      <c r="M5" s="133"/>
      <c r="N5" s="134"/>
      <c r="O5" s="132" t="s">
        <v>61</v>
      </c>
      <c r="P5" s="133"/>
      <c r="Q5" s="134"/>
      <c r="R5" s="132" t="s">
        <v>135</v>
      </c>
      <c r="S5" s="133"/>
      <c r="T5" s="134"/>
    </row>
    <row r="6" spans="1:20" ht="12" thickBot="1" x14ac:dyDescent="0.25">
      <c r="A6" s="13" t="s">
        <v>6</v>
      </c>
      <c r="B6" s="21" t="s">
        <v>13</v>
      </c>
      <c r="C6" s="12" t="s">
        <v>5</v>
      </c>
      <c r="D6" s="22" t="s">
        <v>14</v>
      </c>
      <c r="E6" s="21" t="s">
        <v>13</v>
      </c>
      <c r="F6" s="12" t="s">
        <v>5</v>
      </c>
      <c r="G6" s="22" t="s">
        <v>14</v>
      </c>
      <c r="H6" s="21" t="s">
        <v>13</v>
      </c>
      <c r="I6" s="12" t="s">
        <v>5</v>
      </c>
      <c r="J6" s="22" t="s">
        <v>14</v>
      </c>
      <c r="L6" s="21" t="s">
        <v>13</v>
      </c>
      <c r="M6" s="12" t="s">
        <v>5</v>
      </c>
      <c r="N6" s="22" t="s">
        <v>14</v>
      </c>
      <c r="O6" s="21" t="s">
        <v>13</v>
      </c>
      <c r="P6" s="12" t="s">
        <v>5</v>
      </c>
      <c r="Q6" s="22" t="s">
        <v>14</v>
      </c>
      <c r="R6" s="21" t="s">
        <v>13</v>
      </c>
      <c r="S6" s="12" t="s">
        <v>5</v>
      </c>
      <c r="T6" s="22" t="s">
        <v>14</v>
      </c>
    </row>
    <row r="7" spans="1:20" x14ac:dyDescent="0.2">
      <c r="A7" s="4">
        <v>1</v>
      </c>
      <c r="B7" s="24">
        <v>1</v>
      </c>
      <c r="C7" s="25">
        <v>0.98292679883810097</v>
      </c>
      <c r="D7" s="26">
        <v>0.96585359767620305</v>
      </c>
      <c r="E7" s="24">
        <v>1</v>
      </c>
      <c r="F7" s="25">
        <v>0.99146339941905004</v>
      </c>
      <c r="G7" s="26">
        <v>0.98292679883810097</v>
      </c>
      <c r="H7" s="24">
        <v>1</v>
      </c>
      <c r="I7" s="25">
        <v>0.995722551426375</v>
      </c>
      <c r="J7" s="26">
        <v>0.99146339941905004</v>
      </c>
      <c r="L7" s="65"/>
      <c r="M7" s="66"/>
      <c r="N7" s="67"/>
      <c r="O7" s="65"/>
      <c r="P7" s="66"/>
      <c r="Q7" s="67"/>
      <c r="R7" s="65"/>
      <c r="S7" s="66"/>
      <c r="T7" s="67"/>
    </row>
    <row r="8" spans="1:20" x14ac:dyDescent="0.2">
      <c r="A8" s="4">
        <v>2</v>
      </c>
      <c r="B8" s="27">
        <v>0.96585359767620305</v>
      </c>
      <c r="C8" s="28">
        <v>0.94931445323230201</v>
      </c>
      <c r="D8" s="29">
        <v>0.93277530878839998</v>
      </c>
      <c r="E8" s="27">
        <v>0.98292679883810097</v>
      </c>
      <c r="F8" s="28">
        <v>0.97439019825715201</v>
      </c>
      <c r="G8" s="29">
        <v>0.96585359767620305</v>
      </c>
      <c r="H8" s="27">
        <v>0.99146339941905004</v>
      </c>
      <c r="I8" s="28">
        <v>0.98719502010404003</v>
      </c>
      <c r="J8" s="29">
        <v>0.98292679883810097</v>
      </c>
      <c r="L8" s="68"/>
      <c r="M8" s="69"/>
      <c r="N8" s="70"/>
      <c r="O8" s="68"/>
      <c r="P8" s="69"/>
      <c r="Q8" s="70"/>
      <c r="R8" s="68"/>
      <c r="S8" s="69"/>
      <c r="T8" s="70"/>
    </row>
    <row r="9" spans="1:20" x14ac:dyDescent="0.2">
      <c r="A9" s="4">
        <v>3</v>
      </c>
      <c r="B9" s="27">
        <v>0.93277530878839998</v>
      </c>
      <c r="C9" s="28">
        <v>0.91628956277900198</v>
      </c>
      <c r="D9" s="29">
        <v>0.89980381676960397</v>
      </c>
      <c r="E9" s="27">
        <v>0.96585359767620305</v>
      </c>
      <c r="F9" s="28">
        <v>0.95758402545425203</v>
      </c>
      <c r="G9" s="29">
        <v>0.94931445323230201</v>
      </c>
      <c r="H9" s="27">
        <v>0.98292679883810097</v>
      </c>
      <c r="I9" s="28">
        <v>0.97865836540465501</v>
      </c>
      <c r="J9" s="29">
        <v>0.97439019825715201</v>
      </c>
      <c r="L9" s="68"/>
      <c r="M9" s="69"/>
      <c r="N9" s="70"/>
      <c r="O9" s="68"/>
      <c r="P9" s="69"/>
      <c r="Q9" s="70"/>
      <c r="R9" s="68"/>
      <c r="S9" s="69"/>
      <c r="T9" s="70"/>
    </row>
    <row r="10" spans="1:20" x14ac:dyDescent="0.2">
      <c r="A10" s="4">
        <v>4</v>
      </c>
      <c r="B10" s="27">
        <v>0.89980381676960397</v>
      </c>
      <c r="C10" s="28">
        <v>0.88268801884208004</v>
      </c>
      <c r="D10" s="29">
        <v>0.86557222091455499</v>
      </c>
      <c r="E10" s="27">
        <v>0.94931445323230201</v>
      </c>
      <c r="F10" s="28">
        <v>0.941044881010351</v>
      </c>
      <c r="G10" s="29">
        <v>0.93277530878839998</v>
      </c>
      <c r="H10" s="27">
        <v>0.97439019825715201</v>
      </c>
      <c r="I10" s="28">
        <v>0.97012170951875698</v>
      </c>
      <c r="J10" s="29">
        <v>0.96585359767620305</v>
      </c>
      <c r="L10" s="68"/>
      <c r="M10" s="69"/>
      <c r="N10" s="70"/>
      <c r="O10" s="68"/>
      <c r="P10" s="69"/>
      <c r="Q10" s="70"/>
      <c r="R10" s="68"/>
      <c r="S10" s="69"/>
      <c r="T10" s="70"/>
    </row>
    <row r="11" spans="1:20" x14ac:dyDescent="0.2">
      <c r="A11" s="4">
        <v>5</v>
      </c>
      <c r="B11" s="27">
        <v>0.86557222091455499</v>
      </c>
      <c r="C11" s="28">
        <v>0.84833846918106104</v>
      </c>
      <c r="D11" s="29">
        <v>0.83110471744756598</v>
      </c>
      <c r="E11" s="27">
        <v>0.93277530878839998</v>
      </c>
      <c r="F11" s="28">
        <v>0.92453243578370103</v>
      </c>
      <c r="G11" s="29">
        <v>0.91628956277900198</v>
      </c>
      <c r="H11" s="27">
        <v>0.96585359767620305</v>
      </c>
      <c r="I11" s="28">
        <v>0.96170574164452605</v>
      </c>
      <c r="J11" s="29">
        <v>0.95758402545425203</v>
      </c>
      <c r="L11" s="68"/>
      <c r="M11" s="69"/>
      <c r="N11" s="70"/>
      <c r="O11" s="68"/>
      <c r="P11" s="69"/>
      <c r="Q11" s="70"/>
      <c r="R11" s="68"/>
      <c r="S11" s="69"/>
      <c r="T11" s="70"/>
    </row>
    <row r="12" spans="1:20" x14ac:dyDescent="0.2">
      <c r="A12" s="4">
        <v>6</v>
      </c>
      <c r="B12" s="27">
        <v>0.83110471744756598</v>
      </c>
      <c r="C12" s="28">
        <v>0.81359707409821103</v>
      </c>
      <c r="D12" s="29">
        <v>0.79608943074885496</v>
      </c>
      <c r="E12" s="27">
        <v>0.91628956277900198</v>
      </c>
      <c r="F12" s="28">
        <v>0.90804668977430303</v>
      </c>
      <c r="G12" s="29">
        <v>0.89980381676960397</v>
      </c>
      <c r="H12" s="27">
        <v>0.95758402545425203</v>
      </c>
      <c r="I12" s="28">
        <v>0.95344047294693901</v>
      </c>
      <c r="J12" s="29">
        <v>0.94931445323230201</v>
      </c>
      <c r="L12" s="68"/>
      <c r="M12" s="69"/>
      <c r="N12" s="70"/>
      <c r="O12" s="68"/>
      <c r="P12" s="69"/>
      <c r="Q12" s="70"/>
      <c r="R12" s="68"/>
      <c r="S12" s="69"/>
      <c r="T12" s="70"/>
    </row>
    <row r="13" spans="1:20" x14ac:dyDescent="0.2">
      <c r="A13" s="4">
        <v>7</v>
      </c>
      <c r="B13" s="27">
        <v>0.79608943074885496</v>
      </c>
      <c r="C13" s="28">
        <v>0.77850839498831603</v>
      </c>
      <c r="D13" s="29">
        <v>0.76092735922777699</v>
      </c>
      <c r="E13" s="27">
        <v>0.89980381676960397</v>
      </c>
      <c r="F13" s="28">
        <v>0.89124591780584195</v>
      </c>
      <c r="G13" s="29">
        <v>0.88268801884208004</v>
      </c>
      <c r="H13" s="27">
        <v>0.94931445323230201</v>
      </c>
      <c r="I13" s="28">
        <v>0.94517332574840596</v>
      </c>
      <c r="J13" s="29">
        <v>0.941044881010351</v>
      </c>
      <c r="L13" s="68"/>
      <c r="M13" s="69"/>
      <c r="N13" s="70"/>
      <c r="O13" s="68"/>
      <c r="P13" s="69"/>
      <c r="Q13" s="70"/>
      <c r="R13" s="68"/>
      <c r="S13" s="69"/>
      <c r="T13" s="70"/>
    </row>
    <row r="14" spans="1:20" x14ac:dyDescent="0.2">
      <c r="A14" s="4">
        <v>8</v>
      </c>
      <c r="B14" s="27">
        <v>0.76092735922777699</v>
      </c>
      <c r="C14" s="28">
        <v>0.74440313516949597</v>
      </c>
      <c r="D14" s="29">
        <v>0.72787891111121406</v>
      </c>
      <c r="E14" s="27">
        <v>0.88268801884208004</v>
      </c>
      <c r="F14" s="28">
        <v>0.87413011987831701</v>
      </c>
      <c r="G14" s="29">
        <v>0.86557222091455499</v>
      </c>
      <c r="H14" s="27">
        <v>0.941044881010351</v>
      </c>
      <c r="I14" s="28">
        <v>0.93690524132457997</v>
      </c>
      <c r="J14" s="29">
        <v>0.93277530878839998</v>
      </c>
      <c r="L14" s="68"/>
      <c r="M14" s="69"/>
      <c r="N14" s="70"/>
      <c r="O14" s="68"/>
      <c r="P14" s="69"/>
      <c r="Q14" s="70"/>
      <c r="R14" s="68"/>
      <c r="S14" s="69"/>
      <c r="T14" s="70"/>
    </row>
    <row r="15" spans="1:20" x14ac:dyDescent="0.2">
      <c r="A15" s="4">
        <v>9</v>
      </c>
      <c r="B15" s="27">
        <v>0.72787891111121406</v>
      </c>
      <c r="C15" s="28">
        <v>0.71155888427747704</v>
      </c>
      <c r="D15" s="29">
        <v>0.69523885744373903</v>
      </c>
      <c r="E15" s="27">
        <v>0.86557222091455499</v>
      </c>
      <c r="F15" s="28">
        <v>0.85695534504780801</v>
      </c>
      <c r="G15" s="29">
        <v>0.84833846918106104</v>
      </c>
      <c r="H15" s="27">
        <v>0.93277530878839998</v>
      </c>
      <c r="I15" s="28">
        <v>0.92864930132913104</v>
      </c>
      <c r="J15" s="29">
        <v>0.92453243578370103</v>
      </c>
      <c r="L15" s="68"/>
      <c r="M15" s="69"/>
      <c r="N15" s="70"/>
      <c r="O15" s="68"/>
      <c r="P15" s="69"/>
      <c r="Q15" s="70"/>
      <c r="R15" s="68"/>
      <c r="S15" s="69"/>
      <c r="T15" s="70"/>
    </row>
    <row r="16" spans="1:20" x14ac:dyDescent="0.2">
      <c r="A16" s="4">
        <v>10</v>
      </c>
      <c r="B16" s="27">
        <v>0.69523885744373903</v>
      </c>
      <c r="C16" s="28">
        <v>0.67914469585354398</v>
      </c>
      <c r="D16" s="29">
        <v>0.66305053426334803</v>
      </c>
      <c r="E16" s="27">
        <v>0.84833846918106104</v>
      </c>
      <c r="F16" s="28">
        <v>0.83972159331431395</v>
      </c>
      <c r="G16" s="29">
        <v>0.83110471744756598</v>
      </c>
      <c r="H16" s="27">
        <v>0.92453243578370103</v>
      </c>
      <c r="I16" s="28">
        <v>0.92040722814057097</v>
      </c>
      <c r="J16" s="29">
        <v>0.91628956277900198</v>
      </c>
      <c r="L16" s="68"/>
      <c r="M16" s="69"/>
      <c r="N16" s="70"/>
      <c r="O16" s="68"/>
      <c r="P16" s="69"/>
      <c r="Q16" s="70"/>
      <c r="R16" s="68"/>
      <c r="S16" s="69"/>
      <c r="T16" s="70"/>
    </row>
    <row r="17" spans="1:20" x14ac:dyDescent="0.2">
      <c r="A17" s="4">
        <v>11</v>
      </c>
      <c r="B17" s="27">
        <v>0.66305053426334803</v>
      </c>
      <c r="C17" s="28">
        <v>0.64807687713529305</v>
      </c>
      <c r="D17" s="29">
        <v>0.63310322000723895</v>
      </c>
      <c r="E17" s="27">
        <v>0.83110471744756598</v>
      </c>
      <c r="F17" s="28">
        <v>0.822350895772889</v>
      </c>
      <c r="G17" s="29">
        <v>0.81359707409821103</v>
      </c>
      <c r="H17" s="27">
        <v>0.91628956277900198</v>
      </c>
      <c r="I17" s="28">
        <v>0.91216491744505501</v>
      </c>
      <c r="J17" s="29">
        <v>0.90804668977430303</v>
      </c>
      <c r="L17" s="68"/>
      <c r="M17" s="69"/>
      <c r="N17" s="70"/>
      <c r="O17" s="68"/>
      <c r="P17" s="69"/>
      <c r="Q17" s="70"/>
      <c r="R17" s="68"/>
      <c r="S17" s="69"/>
      <c r="T17" s="70"/>
    </row>
    <row r="18" spans="1:20" x14ac:dyDescent="0.2">
      <c r="A18" s="4">
        <v>12</v>
      </c>
      <c r="B18" s="27">
        <v>0.63310322000723895</v>
      </c>
      <c r="C18" s="28">
        <v>0.61847796382665798</v>
      </c>
      <c r="D18" s="29">
        <v>0.60385270764607801</v>
      </c>
      <c r="E18" s="27">
        <v>0.81359707409821103</v>
      </c>
      <c r="F18" s="28">
        <v>0.80484325242353305</v>
      </c>
      <c r="G18" s="29">
        <v>0.79608943074885496</v>
      </c>
      <c r="H18" s="27">
        <v>0.90804668977430303</v>
      </c>
      <c r="I18" s="28">
        <v>0.90392244840050195</v>
      </c>
      <c r="J18" s="29">
        <v>0.89980381676960397</v>
      </c>
      <c r="L18" s="68"/>
      <c r="M18" s="69"/>
      <c r="N18" s="70"/>
      <c r="O18" s="68"/>
      <c r="P18" s="69"/>
      <c r="Q18" s="70"/>
      <c r="R18" s="68"/>
      <c r="S18" s="69"/>
      <c r="T18" s="70"/>
    </row>
    <row r="19" spans="1:20" x14ac:dyDescent="0.2">
      <c r="A19" s="4">
        <v>13</v>
      </c>
      <c r="B19" s="27">
        <v>0.60385270764607801</v>
      </c>
      <c r="C19" s="28">
        <v>0.58957950928782799</v>
      </c>
      <c r="D19" s="29">
        <v>0.57530631092957896</v>
      </c>
      <c r="E19" s="27">
        <v>0.79608943074885496</v>
      </c>
      <c r="F19" s="28">
        <v>0.787298912868585</v>
      </c>
      <c r="G19" s="29">
        <v>0.77850839498831603</v>
      </c>
      <c r="H19" s="27">
        <v>0.89980381676960397</v>
      </c>
      <c r="I19" s="28">
        <v>0.89552770114661695</v>
      </c>
      <c r="J19" s="29">
        <v>0.89124591780584195</v>
      </c>
      <c r="L19" s="68"/>
      <c r="M19" s="69"/>
      <c r="N19" s="70"/>
      <c r="O19" s="68"/>
      <c r="P19" s="69"/>
      <c r="Q19" s="70"/>
      <c r="R19" s="68"/>
      <c r="S19" s="69"/>
      <c r="T19" s="70"/>
    </row>
    <row r="20" spans="1:20" x14ac:dyDescent="0.2">
      <c r="A20" s="4">
        <v>14</v>
      </c>
      <c r="B20" s="27">
        <v>0.57530631092957896</v>
      </c>
      <c r="C20" s="28">
        <v>0.56138810128665795</v>
      </c>
      <c r="D20" s="29">
        <v>0.54746989164373605</v>
      </c>
      <c r="E20" s="27">
        <v>0.77850839498831603</v>
      </c>
      <c r="F20" s="28">
        <v>0.76971787710804596</v>
      </c>
      <c r="G20" s="29">
        <v>0.76092735922777699</v>
      </c>
      <c r="H20" s="27">
        <v>0.89124591780584195</v>
      </c>
      <c r="I20" s="28">
        <v>0.88696919177563405</v>
      </c>
      <c r="J20" s="29">
        <v>0.88268801884208004</v>
      </c>
      <c r="L20" s="68"/>
      <c r="M20" s="69"/>
      <c r="N20" s="70"/>
      <c r="O20" s="68"/>
      <c r="P20" s="69"/>
      <c r="Q20" s="70"/>
      <c r="R20" s="68"/>
      <c r="S20" s="69"/>
      <c r="T20" s="70"/>
    </row>
    <row r="21" spans="1:20" x14ac:dyDescent="0.2">
      <c r="A21" s="4">
        <v>15</v>
      </c>
      <c r="B21" s="27">
        <v>0.54746989164373605</v>
      </c>
      <c r="C21" s="28">
        <v>0.53390889993262103</v>
      </c>
      <c r="D21" s="29">
        <v>0.52034790822150601</v>
      </c>
      <c r="E21" s="27">
        <v>0.76092735922777699</v>
      </c>
      <c r="F21" s="28">
        <v>0.75266524719863603</v>
      </c>
      <c r="G21" s="29">
        <v>0.74440313516949597</v>
      </c>
      <c r="H21" s="27">
        <v>0.88268801884208004</v>
      </c>
      <c r="I21" s="28">
        <v>0.87841079090679997</v>
      </c>
      <c r="J21" s="29">
        <v>0.87413011987831701</v>
      </c>
      <c r="L21" s="68"/>
      <c r="M21" s="69"/>
      <c r="N21" s="70"/>
      <c r="O21" s="68"/>
      <c r="P21" s="69"/>
      <c r="Q21" s="70"/>
      <c r="R21" s="68"/>
      <c r="S21" s="69"/>
      <c r="T21" s="70"/>
    </row>
    <row r="22" spans="1:20" x14ac:dyDescent="0.2">
      <c r="A22" s="4">
        <v>16</v>
      </c>
      <c r="B22" s="27">
        <v>0.52034790822150601</v>
      </c>
      <c r="C22" s="28">
        <v>0.50714568698129103</v>
      </c>
      <c r="D22" s="29">
        <v>0.493943465741076</v>
      </c>
      <c r="E22" s="27">
        <v>0.74440313516949597</v>
      </c>
      <c r="F22" s="28">
        <v>0.73614102314035501</v>
      </c>
      <c r="G22" s="29">
        <v>0.72787891111121406</v>
      </c>
      <c r="H22" s="27">
        <v>0.87413011987831701</v>
      </c>
      <c r="I22" s="28">
        <v>0.86985247070662097</v>
      </c>
      <c r="J22" s="29">
        <v>0.86557222091455499</v>
      </c>
      <c r="L22" s="68"/>
      <c r="M22" s="69"/>
      <c r="N22" s="70"/>
      <c r="O22" s="68"/>
      <c r="P22" s="69"/>
      <c r="Q22" s="70"/>
      <c r="R22" s="68"/>
      <c r="S22" s="69"/>
      <c r="T22" s="70"/>
    </row>
    <row r="23" spans="1:20" x14ac:dyDescent="0.2">
      <c r="A23" s="4">
        <v>17</v>
      </c>
      <c r="B23" s="27">
        <v>0.493943465741076</v>
      </c>
      <c r="C23" s="28">
        <v>0.48110091642555203</v>
      </c>
      <c r="D23" s="29">
        <v>0.46825836711002899</v>
      </c>
      <c r="E23" s="27">
        <v>0.72787891111121406</v>
      </c>
      <c r="F23" s="28">
        <v>0.71971889769434605</v>
      </c>
      <c r="G23" s="29">
        <v>0.71155888427747704</v>
      </c>
      <c r="H23" s="27">
        <v>0.86557222091455499</v>
      </c>
      <c r="I23" s="28">
        <v>0.86126544696748797</v>
      </c>
      <c r="J23" s="29">
        <v>0.85695534504780801</v>
      </c>
      <c r="L23" s="68"/>
      <c r="M23" s="69"/>
      <c r="N23" s="70"/>
      <c r="O23" s="68"/>
      <c r="P23" s="69"/>
      <c r="Q23" s="70"/>
      <c r="R23" s="68"/>
      <c r="S23" s="69"/>
      <c r="T23" s="70"/>
    </row>
    <row r="24" spans="1:20" x14ac:dyDescent="0.2">
      <c r="A24" s="4">
        <v>18</v>
      </c>
      <c r="B24" s="27">
        <v>0.46825836711002899</v>
      </c>
      <c r="C24" s="28">
        <v>0.455775766174292</v>
      </c>
      <c r="D24" s="29">
        <v>0.443293165238554</v>
      </c>
      <c r="E24" s="27">
        <v>0.71155888427747704</v>
      </c>
      <c r="F24" s="28">
        <v>0.70339887086060804</v>
      </c>
      <c r="G24" s="29">
        <v>0.69523885744373903</v>
      </c>
      <c r="H24" s="27">
        <v>0.85695534504780801</v>
      </c>
      <c r="I24" s="28">
        <v>0.85264816668068699</v>
      </c>
      <c r="J24" s="29">
        <v>0.84833846918106104</v>
      </c>
      <c r="L24" s="68"/>
      <c r="M24" s="69"/>
      <c r="N24" s="70"/>
      <c r="O24" s="68"/>
      <c r="P24" s="69"/>
      <c r="Q24" s="70"/>
      <c r="R24" s="68"/>
      <c r="S24" s="69"/>
      <c r="T24" s="70"/>
    </row>
    <row r="25" spans="1:20" x14ac:dyDescent="0.2">
      <c r="A25" s="4">
        <v>19</v>
      </c>
      <c r="B25" s="27">
        <v>0.443293165238554</v>
      </c>
      <c r="C25" s="28">
        <v>0.43117019062431899</v>
      </c>
      <c r="D25" s="29">
        <v>0.41904721601008399</v>
      </c>
      <c r="E25" s="27">
        <v>0.69523885744373903</v>
      </c>
      <c r="F25" s="28">
        <v>0.68719177664864095</v>
      </c>
      <c r="G25" s="29">
        <v>0.67914469585354398</v>
      </c>
      <c r="H25" s="27">
        <v>0.84833846918106104</v>
      </c>
      <c r="I25" s="28">
        <v>0.84403093728998801</v>
      </c>
      <c r="J25" s="29">
        <v>0.83972159331431395</v>
      </c>
      <c r="L25" s="68"/>
      <c r="M25" s="69"/>
      <c r="N25" s="70"/>
      <c r="O25" s="68"/>
      <c r="P25" s="69"/>
      <c r="Q25" s="70"/>
      <c r="R25" s="68"/>
      <c r="S25" s="69"/>
      <c r="T25" s="70"/>
    </row>
    <row r="26" spans="1:20" x14ac:dyDescent="0.2">
      <c r="A26" s="4">
        <v>20</v>
      </c>
      <c r="B26" s="27">
        <v>0.41904721601008399</v>
      </c>
      <c r="C26" s="28">
        <v>0.407282973936827</v>
      </c>
      <c r="D26" s="29">
        <v>0.395518731863571</v>
      </c>
      <c r="E26" s="27">
        <v>0.67914469585354398</v>
      </c>
      <c r="F26" s="28">
        <v>0.67109761505844601</v>
      </c>
      <c r="G26" s="29">
        <v>0.66305053426334803</v>
      </c>
      <c r="H26" s="27">
        <v>0.83972159331431395</v>
      </c>
      <c r="I26" s="28">
        <v>0.83541374804150703</v>
      </c>
      <c r="J26" s="29">
        <v>0.83110471744756598</v>
      </c>
      <c r="L26" s="68"/>
      <c r="M26" s="69"/>
      <c r="N26" s="70"/>
      <c r="O26" s="68"/>
      <c r="P26" s="69"/>
      <c r="Q26" s="70"/>
      <c r="R26" s="68"/>
      <c r="S26" s="69"/>
      <c r="T26" s="70"/>
    </row>
    <row r="27" spans="1:20" x14ac:dyDescent="0.2">
      <c r="A27" s="4">
        <v>21</v>
      </c>
      <c r="B27" s="27">
        <v>0.395518731863571</v>
      </c>
      <c r="C27" s="28">
        <v>0.38635440216280198</v>
      </c>
      <c r="D27" s="29">
        <v>0.37719007246203301</v>
      </c>
      <c r="E27" s="27">
        <v>0.66305053426334803</v>
      </c>
      <c r="F27" s="28">
        <v>0.65556370569932099</v>
      </c>
      <c r="G27" s="29">
        <v>0.64807687713529305</v>
      </c>
      <c r="H27" s="27">
        <v>0.83110471744756598</v>
      </c>
      <c r="I27" s="28">
        <v>0.82672939511485399</v>
      </c>
      <c r="J27" s="29">
        <v>0.822350895772889</v>
      </c>
      <c r="L27" s="68"/>
      <c r="M27" s="69"/>
      <c r="N27" s="70"/>
      <c r="O27" s="68"/>
      <c r="P27" s="69"/>
      <c r="Q27" s="70"/>
      <c r="R27" s="68"/>
      <c r="S27" s="69"/>
      <c r="T27" s="70"/>
    </row>
    <row r="28" spans="1:20" x14ac:dyDescent="0.2">
      <c r="A28" s="4">
        <v>22</v>
      </c>
      <c r="B28" s="27">
        <v>0.37719007246203301</v>
      </c>
      <c r="C28" s="28">
        <v>0.36839799419754998</v>
      </c>
      <c r="D28" s="29">
        <v>0.35960591593306701</v>
      </c>
      <c r="E28" s="27">
        <v>0.64807687713529305</v>
      </c>
      <c r="F28" s="28">
        <v>0.640590048571266</v>
      </c>
      <c r="G28" s="29">
        <v>0.63310322000723895</v>
      </c>
      <c r="H28" s="27">
        <v>0.822350895772889</v>
      </c>
      <c r="I28" s="28">
        <v>0.81797517822510901</v>
      </c>
      <c r="J28" s="29">
        <v>0.81359707409821103</v>
      </c>
      <c r="L28" s="68"/>
      <c r="M28" s="69"/>
      <c r="N28" s="70"/>
      <c r="O28" s="68"/>
      <c r="P28" s="69"/>
      <c r="Q28" s="70"/>
      <c r="R28" s="68"/>
      <c r="S28" s="69"/>
      <c r="T28" s="70"/>
    </row>
    <row r="29" spans="1:20" x14ac:dyDescent="0.2">
      <c r="A29" s="4">
        <v>23</v>
      </c>
      <c r="B29" s="27">
        <v>0.35960591593306701</v>
      </c>
      <c r="C29" s="28">
        <v>0.35117179905822399</v>
      </c>
      <c r="D29" s="29">
        <v>0.34273768218338102</v>
      </c>
      <c r="E29" s="27">
        <v>0.63310322000723895</v>
      </c>
      <c r="F29" s="28">
        <v>0.62579059191694797</v>
      </c>
      <c r="G29" s="29">
        <v>0.61847796382665798</v>
      </c>
      <c r="H29" s="27">
        <v>0.81359707409821103</v>
      </c>
      <c r="I29" s="28">
        <v>0.80922100003326602</v>
      </c>
      <c r="J29" s="29">
        <v>0.80484325242353305</v>
      </c>
      <c r="L29" s="68"/>
      <c r="M29" s="69"/>
      <c r="N29" s="70"/>
      <c r="O29" s="68"/>
      <c r="P29" s="69"/>
      <c r="Q29" s="70"/>
      <c r="R29" s="68"/>
      <c r="S29" s="69"/>
      <c r="T29" s="70"/>
    </row>
    <row r="30" spans="1:20" x14ac:dyDescent="0.2">
      <c r="A30" s="4">
        <v>24</v>
      </c>
      <c r="B30" s="27">
        <v>0.34273768218338102</v>
      </c>
      <c r="C30" s="28">
        <v>0.334647753731034</v>
      </c>
      <c r="D30" s="29">
        <v>0.32655782527868699</v>
      </c>
      <c r="E30" s="27">
        <v>0.61847796382665798</v>
      </c>
      <c r="F30" s="28">
        <v>0.611165335736368</v>
      </c>
      <c r="G30" s="29">
        <v>0.60385270764607801</v>
      </c>
      <c r="H30" s="27">
        <v>0.80484325242353305</v>
      </c>
      <c r="I30" s="28">
        <v>0.80046685351316804</v>
      </c>
      <c r="J30" s="29">
        <v>0.79608943074885496</v>
      </c>
      <c r="L30" s="68"/>
      <c r="M30" s="69"/>
      <c r="N30" s="70"/>
      <c r="O30" s="68"/>
      <c r="P30" s="69"/>
      <c r="Q30" s="70"/>
      <c r="R30" s="68"/>
      <c r="S30" s="69"/>
      <c r="T30" s="70"/>
    </row>
    <row r="31" spans="1:20" x14ac:dyDescent="0.2">
      <c r="A31" s="4">
        <v>25</v>
      </c>
      <c r="B31" s="27">
        <v>0.32655782527868699</v>
      </c>
      <c r="C31" s="28">
        <v>0.31879881193619503</v>
      </c>
      <c r="D31" s="29">
        <v>0.31103979859370301</v>
      </c>
      <c r="E31" s="27">
        <v>0.60385270764607801</v>
      </c>
      <c r="F31" s="28">
        <v>0.596716108466953</v>
      </c>
      <c r="G31" s="29">
        <v>0.58957950928782799</v>
      </c>
      <c r="H31" s="27">
        <v>0.79608943074885496</v>
      </c>
      <c r="I31" s="28">
        <v>0.79169465171636499</v>
      </c>
      <c r="J31" s="29">
        <v>0.787298912868585</v>
      </c>
      <c r="L31" s="68"/>
      <c r="M31" s="69"/>
      <c r="N31" s="70"/>
      <c r="O31" s="68"/>
      <c r="P31" s="69"/>
      <c r="Q31" s="70"/>
      <c r="R31" s="68"/>
      <c r="S31" s="69"/>
      <c r="T31" s="70"/>
    </row>
    <row r="32" spans="1:20" x14ac:dyDescent="0.2">
      <c r="A32" s="4">
        <v>26</v>
      </c>
      <c r="B32" s="27">
        <v>0.31103979859370301</v>
      </c>
      <c r="C32" s="28">
        <v>0.303598909813865</v>
      </c>
      <c r="D32" s="29">
        <v>0.296158021034028</v>
      </c>
      <c r="E32" s="27">
        <v>0.58957950928782799</v>
      </c>
      <c r="F32" s="28">
        <v>0.58244291010870397</v>
      </c>
      <c r="G32" s="29">
        <v>0.57530631092957896</v>
      </c>
      <c r="H32" s="27">
        <v>0.787298912868585</v>
      </c>
      <c r="I32" s="28">
        <v>0.782903829970234</v>
      </c>
      <c r="J32" s="29">
        <v>0.77850839498831603</v>
      </c>
      <c r="L32" s="68"/>
      <c r="M32" s="69"/>
      <c r="N32" s="70"/>
      <c r="O32" s="68"/>
      <c r="P32" s="69"/>
      <c r="Q32" s="70"/>
      <c r="R32" s="68"/>
      <c r="S32" s="69"/>
      <c r="T32" s="70"/>
    </row>
    <row r="33" spans="1:20" x14ac:dyDescent="0.2">
      <c r="A33" s="4">
        <v>27</v>
      </c>
      <c r="B33" s="27">
        <v>0.296158021034028</v>
      </c>
      <c r="C33" s="28">
        <v>0.28902293266745399</v>
      </c>
      <c r="D33" s="29">
        <v>0.28188784430087999</v>
      </c>
      <c r="E33" s="27">
        <v>0.57530631092957896</v>
      </c>
      <c r="F33" s="28">
        <v>0.56834720610811895</v>
      </c>
      <c r="G33" s="29">
        <v>0.56138810128665795</v>
      </c>
      <c r="H33" s="27">
        <v>0.77850839498831603</v>
      </c>
      <c r="I33" s="28">
        <v>0.77411302885839695</v>
      </c>
      <c r="J33" s="29">
        <v>0.76971787710804596</v>
      </c>
      <c r="L33" s="68"/>
      <c r="M33" s="69"/>
      <c r="N33" s="70"/>
      <c r="O33" s="68"/>
      <c r="P33" s="69"/>
      <c r="Q33" s="70"/>
      <c r="R33" s="68"/>
      <c r="S33" s="69"/>
      <c r="T33" s="70"/>
    </row>
    <row r="34" spans="1:20" x14ac:dyDescent="0.2">
      <c r="A34" s="4">
        <v>28</v>
      </c>
      <c r="B34" s="27">
        <v>0.28188784430087999</v>
      </c>
      <c r="C34" s="28">
        <v>0.27504668273560101</v>
      </c>
      <c r="D34" s="29">
        <v>0.26820552117032098</v>
      </c>
      <c r="E34" s="27">
        <v>0.56138810128665795</v>
      </c>
      <c r="F34" s="28">
        <v>0.55442899646519705</v>
      </c>
      <c r="G34" s="29">
        <v>0.54746989164373605</v>
      </c>
      <c r="H34" s="27">
        <v>0.76971787710804596</v>
      </c>
      <c r="I34" s="28">
        <v>0.76532224488034195</v>
      </c>
      <c r="J34" s="29">
        <v>0.76092735922777699</v>
      </c>
      <c r="L34" s="68"/>
      <c r="M34" s="69"/>
      <c r="N34" s="70"/>
      <c r="O34" s="68"/>
      <c r="P34" s="69"/>
      <c r="Q34" s="70"/>
      <c r="R34" s="68"/>
      <c r="S34" s="69"/>
      <c r="T34" s="70"/>
    </row>
    <row r="35" spans="1:20" x14ac:dyDescent="0.2">
      <c r="A35" s="4">
        <v>29</v>
      </c>
      <c r="B35" s="27">
        <v>0.26820552117032098</v>
      </c>
      <c r="C35" s="28">
        <v>0.261646847964773</v>
      </c>
      <c r="D35" s="29">
        <v>0.25508817475922402</v>
      </c>
      <c r="E35" s="27">
        <v>0.54746989164373605</v>
      </c>
      <c r="F35" s="28">
        <v>0.54068939578817898</v>
      </c>
      <c r="G35" s="29">
        <v>0.53390889993262103</v>
      </c>
      <c r="H35" s="27">
        <v>0.76092735922777699</v>
      </c>
      <c r="I35" s="28">
        <v>0.75679259326873805</v>
      </c>
      <c r="J35" s="29">
        <v>0.75266524719863603</v>
      </c>
      <c r="L35" s="68"/>
      <c r="M35" s="69"/>
      <c r="N35" s="70"/>
      <c r="O35" s="68"/>
      <c r="P35" s="69"/>
      <c r="Q35" s="70"/>
      <c r="R35" s="68"/>
      <c r="S35" s="69"/>
      <c r="T35" s="70"/>
    </row>
    <row r="36" spans="1:20" x14ac:dyDescent="0.2">
      <c r="A36" s="4">
        <v>30</v>
      </c>
      <c r="B36" s="27">
        <v>0.25508817475922402</v>
      </c>
      <c r="C36" s="28">
        <v>0.24880097175504101</v>
      </c>
      <c r="D36" s="29">
        <v>0.24251376875085801</v>
      </c>
      <c r="E36" s="27">
        <v>0.53390889993262103</v>
      </c>
      <c r="F36" s="28">
        <v>0.52712840407706396</v>
      </c>
      <c r="G36" s="29">
        <v>0.52034790822150601</v>
      </c>
      <c r="H36" s="27">
        <v>0.75266524719863603</v>
      </c>
      <c r="I36" s="28">
        <v>0.74853052704204504</v>
      </c>
      <c r="J36" s="29">
        <v>0.74440313516949597</v>
      </c>
      <c r="L36" s="68"/>
      <c r="M36" s="69"/>
      <c r="N36" s="70"/>
      <c r="O36" s="68"/>
      <c r="P36" s="69"/>
      <c r="Q36" s="70"/>
      <c r="R36" s="68"/>
      <c r="S36" s="69"/>
      <c r="T36" s="70"/>
    </row>
    <row r="37" spans="1:20" x14ac:dyDescent="0.2">
      <c r="A37" s="4">
        <v>31</v>
      </c>
      <c r="B37" s="27">
        <v>0.24251376875085801</v>
      </c>
      <c r="C37" s="28">
        <v>0.23653648933802299</v>
      </c>
      <c r="D37" s="29">
        <v>0.230559209925187</v>
      </c>
      <c r="E37" s="27">
        <v>0.52034790822150601</v>
      </c>
      <c r="F37" s="28">
        <v>0.51374679760139896</v>
      </c>
      <c r="G37" s="29">
        <v>0.50714568698129103</v>
      </c>
      <c r="H37" s="27">
        <v>0.74440313516949597</v>
      </c>
      <c r="I37" s="28">
        <v>0.74026844431542704</v>
      </c>
      <c r="J37" s="29">
        <v>0.73614102314035501</v>
      </c>
      <c r="L37" s="68"/>
      <c r="M37" s="69"/>
      <c r="N37" s="70"/>
      <c r="O37" s="68"/>
      <c r="P37" s="69"/>
      <c r="Q37" s="70"/>
      <c r="R37" s="68"/>
      <c r="S37" s="69"/>
      <c r="T37" s="70"/>
    </row>
    <row r="38" spans="1:20" x14ac:dyDescent="0.2">
      <c r="A38" s="4">
        <v>32</v>
      </c>
      <c r="B38" s="27">
        <v>0.230559209925187</v>
      </c>
      <c r="C38" s="28">
        <v>0.22487657662142099</v>
      </c>
      <c r="D38" s="29">
        <v>0.21919394331765499</v>
      </c>
      <c r="E38" s="27">
        <v>0.50714568698129103</v>
      </c>
      <c r="F38" s="28">
        <v>0.50054457636118299</v>
      </c>
      <c r="G38" s="29">
        <v>0.493943465741076</v>
      </c>
      <c r="H38" s="27">
        <v>0.73614102314035501</v>
      </c>
      <c r="I38" s="28">
        <v>0.732006346794425</v>
      </c>
      <c r="J38" s="29">
        <v>0.72787891111121406</v>
      </c>
      <c r="L38" s="68"/>
      <c r="M38" s="69"/>
      <c r="N38" s="70"/>
      <c r="O38" s="68"/>
      <c r="P38" s="69"/>
      <c r="Q38" s="70"/>
      <c r="R38" s="68"/>
      <c r="S38" s="69"/>
      <c r="T38" s="70"/>
    </row>
    <row r="39" spans="1:20" x14ac:dyDescent="0.2">
      <c r="A39" s="4">
        <v>33</v>
      </c>
      <c r="B39" s="27">
        <v>0.21919394331765499</v>
      </c>
      <c r="C39" s="28">
        <v>0.21379143173425399</v>
      </c>
      <c r="D39" s="29">
        <v>0.208388920150852</v>
      </c>
      <c r="E39" s="27">
        <v>0.493943465741076</v>
      </c>
      <c r="F39" s="28">
        <v>0.48752219108331402</v>
      </c>
      <c r="G39" s="29">
        <v>0.48110091642555203</v>
      </c>
      <c r="H39" s="27">
        <v>0.72787891111121406</v>
      </c>
      <c r="I39" s="28">
        <v>0.72379479827888704</v>
      </c>
      <c r="J39" s="29">
        <v>0.71971889769434605</v>
      </c>
      <c r="L39" s="68"/>
      <c r="M39" s="69"/>
      <c r="N39" s="70"/>
      <c r="O39" s="68"/>
      <c r="P39" s="69"/>
      <c r="Q39" s="70"/>
      <c r="R39" s="68"/>
      <c r="S39" s="69"/>
      <c r="T39" s="70"/>
    </row>
    <row r="40" spans="1:20" x14ac:dyDescent="0.2">
      <c r="A40" s="4">
        <v>34</v>
      </c>
      <c r="B40" s="27">
        <v>0.208388920150852</v>
      </c>
      <c r="C40" s="28">
        <v>0.203252721869424</v>
      </c>
      <c r="D40" s="29">
        <v>0.198116523587997</v>
      </c>
      <c r="E40" s="27">
        <v>0.48110091642555203</v>
      </c>
      <c r="F40" s="28">
        <v>0.47467964176779098</v>
      </c>
      <c r="G40" s="29">
        <v>0.46825836711002899</v>
      </c>
      <c r="H40" s="27">
        <v>0.71971889769434605</v>
      </c>
      <c r="I40" s="28">
        <v>0.71563481683420205</v>
      </c>
      <c r="J40" s="29">
        <v>0.71155888427747704</v>
      </c>
      <c r="L40" s="68"/>
      <c r="M40" s="69"/>
      <c r="N40" s="70"/>
      <c r="O40" s="68"/>
      <c r="P40" s="69"/>
      <c r="Q40" s="70"/>
      <c r="R40" s="68"/>
      <c r="S40" s="69"/>
      <c r="T40" s="70"/>
    </row>
    <row r="41" spans="1:20" x14ac:dyDescent="0.2">
      <c r="A41" s="4">
        <v>35</v>
      </c>
      <c r="B41" s="27">
        <v>0.198116523587997</v>
      </c>
      <c r="C41" s="28">
        <v>0.193233510867174</v>
      </c>
      <c r="D41" s="29">
        <v>0.18835049814635199</v>
      </c>
      <c r="E41" s="27">
        <v>0.46825836711002899</v>
      </c>
      <c r="F41" s="28">
        <v>0.46201706664216102</v>
      </c>
      <c r="G41" s="29">
        <v>0.455775766174292</v>
      </c>
      <c r="H41" s="27">
        <v>0.71155888427747704</v>
      </c>
      <c r="I41" s="28">
        <v>0.70747482084698998</v>
      </c>
      <c r="J41" s="29">
        <v>0.70339887086060804</v>
      </c>
      <c r="L41" s="68"/>
      <c r="M41" s="69"/>
      <c r="N41" s="70"/>
      <c r="O41" s="68"/>
      <c r="P41" s="69"/>
      <c r="Q41" s="70"/>
      <c r="R41" s="68"/>
      <c r="S41" s="69"/>
      <c r="T41" s="70"/>
    </row>
    <row r="42" spans="1:20" x14ac:dyDescent="0.2">
      <c r="A42" s="4">
        <v>36</v>
      </c>
      <c r="B42" s="27">
        <v>0.18835049814635199</v>
      </c>
      <c r="C42" s="28">
        <v>0.183708190368255</v>
      </c>
      <c r="D42" s="29">
        <v>0.17906588259015899</v>
      </c>
      <c r="E42" s="27">
        <v>0.455775766174292</v>
      </c>
      <c r="F42" s="28">
        <v>0.44953446570642303</v>
      </c>
      <c r="G42" s="29">
        <v>0.443293165238554</v>
      </c>
      <c r="H42" s="27">
        <v>0.70339887086060804</v>
      </c>
      <c r="I42" s="28">
        <v>0.69931481156727704</v>
      </c>
      <c r="J42" s="29">
        <v>0.69523885744373903</v>
      </c>
      <c r="L42" s="68"/>
      <c r="M42" s="69"/>
      <c r="N42" s="70"/>
      <c r="O42" s="68"/>
      <c r="P42" s="69"/>
      <c r="Q42" s="70"/>
      <c r="R42" s="68"/>
      <c r="S42" s="69"/>
      <c r="T42" s="70"/>
    </row>
    <row r="43" spans="1:20" x14ac:dyDescent="0.2">
      <c r="A43" s="4">
        <v>37</v>
      </c>
      <c r="B43" s="27">
        <v>0.17906588259015899</v>
      </c>
      <c r="C43" s="28">
        <v>0.17465241436086901</v>
      </c>
      <c r="D43" s="29">
        <v>0.170238946131579</v>
      </c>
      <c r="E43" s="27">
        <v>0.443293165238554</v>
      </c>
      <c r="F43" s="28">
        <v>0.43723167793143702</v>
      </c>
      <c r="G43" s="29">
        <v>0.43117019062431899</v>
      </c>
      <c r="H43" s="27">
        <v>0.69523885744373903</v>
      </c>
      <c r="I43" s="28">
        <v>0.69121082142202905</v>
      </c>
      <c r="J43" s="29">
        <v>0.68719177664864095</v>
      </c>
      <c r="L43" s="68"/>
      <c r="M43" s="69"/>
      <c r="N43" s="70"/>
      <c r="O43" s="68"/>
      <c r="P43" s="69"/>
      <c r="Q43" s="70"/>
      <c r="R43" s="68"/>
      <c r="S43" s="69"/>
      <c r="T43" s="70"/>
    </row>
    <row r="44" spans="1:20" x14ac:dyDescent="0.2">
      <c r="A44" s="4">
        <v>38</v>
      </c>
      <c r="B44" s="27">
        <v>0.170238946131579</v>
      </c>
      <c r="C44" s="28">
        <v>0.166043036954065</v>
      </c>
      <c r="D44" s="29">
        <v>0.161847127776552</v>
      </c>
      <c r="E44" s="27">
        <v>0.43117019062431899</v>
      </c>
      <c r="F44" s="28">
        <v>0.42510870331720102</v>
      </c>
      <c r="G44" s="29">
        <v>0.41904721601008399</v>
      </c>
      <c r="H44" s="27">
        <v>0.68719177664864095</v>
      </c>
      <c r="I44" s="28">
        <v>0.68316375972938503</v>
      </c>
      <c r="J44" s="29">
        <v>0.67914469585354398</v>
      </c>
      <c r="L44" s="68"/>
      <c r="M44" s="69"/>
      <c r="N44" s="70"/>
      <c r="O44" s="68"/>
      <c r="P44" s="69"/>
      <c r="Q44" s="70"/>
      <c r="R44" s="68"/>
      <c r="S44" s="69"/>
      <c r="T44" s="70"/>
    </row>
    <row r="45" spans="1:20" x14ac:dyDescent="0.2">
      <c r="A45" s="4">
        <v>39</v>
      </c>
      <c r="B45" s="27">
        <v>0.161847127776552</v>
      </c>
      <c r="C45" s="28">
        <v>0.157858053218566</v>
      </c>
      <c r="D45" s="29">
        <v>0.15386897866058</v>
      </c>
      <c r="E45" s="27">
        <v>0.41904721601008399</v>
      </c>
      <c r="F45" s="28">
        <v>0.41316509497345599</v>
      </c>
      <c r="G45" s="29">
        <v>0.407282973936827</v>
      </c>
      <c r="H45" s="27">
        <v>0.67914469585354398</v>
      </c>
      <c r="I45" s="28">
        <v>0.67511668489466903</v>
      </c>
      <c r="J45" s="29">
        <v>0.67109761505844601</v>
      </c>
      <c r="L45" s="68"/>
      <c r="M45" s="69"/>
      <c r="N45" s="70"/>
      <c r="O45" s="68"/>
      <c r="P45" s="69"/>
      <c r="Q45" s="70"/>
      <c r="R45" s="68"/>
      <c r="S45" s="69"/>
      <c r="T45" s="70"/>
    </row>
    <row r="46" spans="1:20" x14ac:dyDescent="0.2">
      <c r="A46" s="4">
        <v>40</v>
      </c>
      <c r="B46" s="27">
        <v>0.15386897866058</v>
      </c>
      <c r="C46" s="28">
        <v>0.15007654294379899</v>
      </c>
      <c r="D46" s="29">
        <v>0.14628410722701801</v>
      </c>
      <c r="E46" s="27">
        <v>0.407282973936827</v>
      </c>
      <c r="F46" s="28">
        <v>0.401400852900199</v>
      </c>
      <c r="G46" s="29">
        <v>0.395518731863571</v>
      </c>
      <c r="H46" s="27">
        <v>0.67109761505844601</v>
      </c>
      <c r="I46" s="28">
        <v>0.66706959785396902</v>
      </c>
      <c r="J46" s="29">
        <v>0.66305053426334803</v>
      </c>
      <c r="L46" s="68"/>
      <c r="M46" s="69"/>
      <c r="N46" s="70"/>
      <c r="O46" s="68"/>
      <c r="P46" s="69"/>
      <c r="Q46" s="70"/>
      <c r="R46" s="68"/>
      <c r="S46" s="69"/>
      <c r="T46" s="70"/>
    </row>
    <row r="47" spans="1:20" x14ac:dyDescent="0.2">
      <c r="A47" s="4">
        <v>41</v>
      </c>
      <c r="B47" s="27">
        <v>0.14628410722701801</v>
      </c>
      <c r="C47" s="28">
        <v>0.142678617167394</v>
      </c>
      <c r="D47" s="29">
        <v>0.13907312710777101</v>
      </c>
      <c r="E47" s="27">
        <v>0.395518731863571</v>
      </c>
      <c r="F47" s="28">
        <v>0.39093656701318602</v>
      </c>
      <c r="G47" s="29">
        <v>0.38635440216280198</v>
      </c>
      <c r="H47" s="27">
        <v>0.66305053426334803</v>
      </c>
      <c r="I47" s="28">
        <v>0.65930084698654501</v>
      </c>
      <c r="J47" s="29">
        <v>0.65556370569932099</v>
      </c>
      <c r="L47" s="68"/>
      <c r="M47" s="69"/>
      <c r="N47" s="70"/>
      <c r="O47" s="68"/>
      <c r="P47" s="69"/>
      <c r="Q47" s="70"/>
      <c r="R47" s="68"/>
      <c r="S47" s="69"/>
      <c r="T47" s="70"/>
    </row>
    <row r="48" spans="1:20" x14ac:dyDescent="0.2">
      <c r="A48" s="4">
        <v>42</v>
      </c>
      <c r="B48" s="27">
        <v>0.13907312710777101</v>
      </c>
      <c r="C48" s="28">
        <v>0.135645367340473</v>
      </c>
      <c r="D48" s="29">
        <v>0.13221760757317499</v>
      </c>
      <c r="E48" s="27">
        <v>0.38635440216280198</v>
      </c>
      <c r="F48" s="28">
        <v>0.38177223731241799</v>
      </c>
      <c r="G48" s="29">
        <v>0.37719007246203301</v>
      </c>
      <c r="H48" s="27">
        <v>0.65556370569932099</v>
      </c>
      <c r="I48" s="28">
        <v>0.65181414798391601</v>
      </c>
      <c r="J48" s="29">
        <v>0.64807687713529305</v>
      </c>
      <c r="L48" s="68"/>
      <c r="M48" s="69"/>
      <c r="N48" s="70"/>
      <c r="O48" s="68"/>
      <c r="P48" s="69"/>
      <c r="Q48" s="70"/>
      <c r="R48" s="68"/>
      <c r="S48" s="69"/>
      <c r="T48" s="70"/>
    </row>
    <row r="49" spans="1:20" x14ac:dyDescent="0.2">
      <c r="A49" s="4">
        <v>43</v>
      </c>
      <c r="B49" s="27">
        <v>0.13221760757317499</v>
      </c>
      <c r="C49" s="28">
        <v>0.12895881699879999</v>
      </c>
      <c r="D49" s="29">
        <v>0.12570002642442499</v>
      </c>
      <c r="E49" s="27">
        <v>0.37719007246203301</v>
      </c>
      <c r="F49" s="28">
        <v>0.372794033329792</v>
      </c>
      <c r="G49" s="29">
        <v>0.36839799419754998</v>
      </c>
      <c r="H49" s="27">
        <v>0.64807687713529305</v>
      </c>
      <c r="I49" s="28">
        <v>0.64432742981950397</v>
      </c>
      <c r="J49" s="29">
        <v>0.640590048571266</v>
      </c>
      <c r="L49" s="68"/>
      <c r="M49" s="69"/>
      <c r="N49" s="70"/>
      <c r="O49" s="68"/>
      <c r="P49" s="69"/>
      <c r="Q49" s="70"/>
      <c r="R49" s="68"/>
      <c r="S49" s="69"/>
      <c r="T49" s="70"/>
    </row>
    <row r="50" spans="1:20" x14ac:dyDescent="0.2">
      <c r="A50" s="4">
        <v>44</v>
      </c>
      <c r="B50" s="27">
        <v>0.12570002642442499</v>
      </c>
      <c r="C50" s="28">
        <v>0.122601875816277</v>
      </c>
      <c r="D50" s="29">
        <v>0.11950372520813</v>
      </c>
      <c r="E50" s="27">
        <v>0.36839799419754998</v>
      </c>
      <c r="F50" s="28">
        <v>0.36400195506530802</v>
      </c>
      <c r="G50" s="29">
        <v>0.35960591593306701</v>
      </c>
      <c r="H50" s="27">
        <v>0.640590048571266</v>
      </c>
      <c r="I50" s="28">
        <v>0.63684069395345499</v>
      </c>
      <c r="J50" s="29">
        <v>0.63310322000723895</v>
      </c>
      <c r="L50" s="68"/>
      <c r="M50" s="69"/>
      <c r="N50" s="70"/>
      <c r="O50" s="68"/>
      <c r="P50" s="69"/>
      <c r="Q50" s="70"/>
      <c r="R50" s="68"/>
      <c r="S50" s="69"/>
      <c r="T50" s="70"/>
    </row>
    <row r="51" spans="1:20" x14ac:dyDescent="0.2">
      <c r="A51" s="4">
        <v>45</v>
      </c>
      <c r="B51" s="27">
        <v>0.11950372520813</v>
      </c>
      <c r="C51" s="28">
        <v>0.11655829592333899</v>
      </c>
      <c r="D51" s="29">
        <v>0.113612866638549</v>
      </c>
      <c r="E51" s="27">
        <v>0.35960591593306701</v>
      </c>
      <c r="F51" s="28">
        <v>0.35538885749564503</v>
      </c>
      <c r="G51" s="29">
        <v>0.35117179905822399</v>
      </c>
      <c r="H51" s="27">
        <v>0.63310322000723895</v>
      </c>
      <c r="I51" s="28">
        <v>0.62944058259587998</v>
      </c>
      <c r="J51" s="29">
        <v>0.62579059191694797</v>
      </c>
      <c r="L51" s="68"/>
      <c r="M51" s="69"/>
      <c r="N51" s="70"/>
      <c r="O51" s="68"/>
      <c r="P51" s="69"/>
      <c r="Q51" s="70"/>
      <c r="R51" s="68"/>
      <c r="S51" s="69"/>
      <c r="T51" s="70"/>
    </row>
    <row r="52" spans="1:20" x14ac:dyDescent="0.2">
      <c r="A52" s="4">
        <v>46</v>
      </c>
      <c r="B52" s="27">
        <v>0.113612866638549</v>
      </c>
      <c r="C52" s="28">
        <v>0.110812630378605</v>
      </c>
      <c r="D52" s="29">
        <v>0.108012394118661</v>
      </c>
      <c r="E52" s="27">
        <v>0.35117179905822399</v>
      </c>
      <c r="F52" s="28">
        <v>0.346954740620802</v>
      </c>
      <c r="G52" s="29">
        <v>0.34273768218338102</v>
      </c>
      <c r="H52" s="27">
        <v>0.62579059191694797</v>
      </c>
      <c r="I52" s="28">
        <v>0.62212805687551598</v>
      </c>
      <c r="J52" s="29">
        <v>0.61847796382665798</v>
      </c>
      <c r="L52" s="68"/>
      <c r="M52" s="69"/>
      <c r="N52" s="70"/>
      <c r="O52" s="68"/>
      <c r="P52" s="69"/>
      <c r="Q52" s="70"/>
      <c r="R52" s="68"/>
      <c r="S52" s="69"/>
      <c r="T52" s="70"/>
    </row>
    <row r="53" spans="1:20" x14ac:dyDescent="0.2">
      <c r="A53" s="4">
        <v>47</v>
      </c>
      <c r="B53" s="27">
        <v>0.108012394118661</v>
      </c>
      <c r="C53" s="28">
        <v>0.10535019368764199</v>
      </c>
      <c r="D53" s="29">
        <v>0.10268799325662301</v>
      </c>
      <c r="E53" s="27">
        <v>0.34273768218338102</v>
      </c>
      <c r="F53" s="28">
        <v>0.33869271795720801</v>
      </c>
      <c r="G53" s="29">
        <v>0.334647753731034</v>
      </c>
      <c r="H53" s="27">
        <v>0.61847796382665798</v>
      </c>
      <c r="I53" s="28">
        <v>0.61481551481540098</v>
      </c>
      <c r="J53" s="29">
        <v>0.611165335736368</v>
      </c>
      <c r="L53" s="68"/>
      <c r="M53" s="69"/>
      <c r="N53" s="70"/>
      <c r="O53" s="68"/>
      <c r="P53" s="69"/>
      <c r="Q53" s="70"/>
      <c r="R53" s="68"/>
      <c r="S53" s="69"/>
      <c r="T53" s="70"/>
    </row>
    <row r="54" spans="1:20" x14ac:dyDescent="0.2">
      <c r="A54" s="4">
        <v>48</v>
      </c>
      <c r="B54" s="27">
        <v>0.10268799325662301</v>
      </c>
      <c r="C54" s="28">
        <v>0.100157024267935</v>
      </c>
      <c r="D54" s="29">
        <v>9.76260552792481E-2</v>
      </c>
      <c r="E54" s="27">
        <v>0.334647753731034</v>
      </c>
      <c r="F54" s="28">
        <v>0.33060278950486099</v>
      </c>
      <c r="G54" s="29">
        <v>0.32655782527868699</v>
      </c>
      <c r="H54" s="27">
        <v>0.611165335736368</v>
      </c>
      <c r="I54" s="28">
        <v>0.60750295748865701</v>
      </c>
      <c r="J54" s="29">
        <v>0.60385270764607801</v>
      </c>
      <c r="L54" s="68"/>
      <c r="M54" s="69"/>
      <c r="N54" s="70"/>
      <c r="O54" s="68"/>
      <c r="P54" s="69"/>
      <c r="Q54" s="70"/>
      <c r="R54" s="68"/>
      <c r="S54" s="69"/>
      <c r="T54" s="70"/>
    </row>
    <row r="55" spans="1:20" x14ac:dyDescent="0.2">
      <c r="A55" s="4">
        <v>49</v>
      </c>
      <c r="B55" s="27">
        <v>9.76260552792481E-2</v>
      </c>
      <c r="C55" s="28">
        <v>9.5219848764118306E-2</v>
      </c>
      <c r="D55" s="29">
        <v>9.2813642248988498E-2</v>
      </c>
      <c r="E55" s="27">
        <v>0.32655782527868699</v>
      </c>
      <c r="F55" s="28">
        <v>0.32267831860744101</v>
      </c>
      <c r="G55" s="29">
        <v>0.31879881193619503</v>
      </c>
      <c r="H55" s="27">
        <v>0.60385270764607801</v>
      </c>
      <c r="I55" s="28">
        <v>0.60027802873548197</v>
      </c>
      <c r="J55" s="29">
        <v>0.596716108466953</v>
      </c>
      <c r="L55" s="68"/>
      <c r="M55" s="69"/>
      <c r="N55" s="70"/>
      <c r="O55" s="68"/>
      <c r="P55" s="69"/>
      <c r="Q55" s="70"/>
      <c r="R55" s="68"/>
      <c r="S55" s="69"/>
      <c r="T55" s="70"/>
    </row>
    <row r="56" spans="1:20" x14ac:dyDescent="0.2">
      <c r="A56" s="4">
        <v>50</v>
      </c>
      <c r="B56" s="27">
        <v>9.2813642248988498E-2</v>
      </c>
      <c r="C56" s="28">
        <v>9.0526048122260394E-2</v>
      </c>
      <c r="D56" s="29">
        <v>8.8238453995532304E-2</v>
      </c>
      <c r="E56" s="27">
        <v>0.31879881193619503</v>
      </c>
      <c r="F56" s="28">
        <v>0.31491930526494899</v>
      </c>
      <c r="G56" s="29">
        <v>0.31103979859370301</v>
      </c>
      <c r="H56" s="27">
        <v>0.596716108466953</v>
      </c>
      <c r="I56" s="28">
        <v>0.59314150889005801</v>
      </c>
      <c r="J56" s="29">
        <v>0.58957950928782799</v>
      </c>
      <c r="L56" s="68"/>
      <c r="M56" s="69"/>
      <c r="N56" s="70"/>
      <c r="O56" s="68"/>
      <c r="P56" s="69"/>
      <c r="Q56" s="70"/>
      <c r="R56" s="68"/>
      <c r="S56" s="69"/>
      <c r="T56" s="70"/>
    </row>
    <row r="57" spans="1:20" x14ac:dyDescent="0.2">
      <c r="A57" s="4">
        <v>51</v>
      </c>
      <c r="B57" s="27">
        <v>8.8238453995532304E-2</v>
      </c>
      <c r="C57" s="28">
        <v>8.6063625336505703E-2</v>
      </c>
      <c r="D57" s="29">
        <v>8.3888796677479005E-2</v>
      </c>
      <c r="E57" s="27">
        <v>0.31103979859370301</v>
      </c>
      <c r="F57" s="28">
        <v>0.30731935420378398</v>
      </c>
      <c r="G57" s="29">
        <v>0.303598909813865</v>
      </c>
      <c r="H57" s="27">
        <v>0.58957950928782799</v>
      </c>
      <c r="I57" s="28">
        <v>0.58600497480950797</v>
      </c>
      <c r="J57" s="29">
        <v>0.58244291010870397</v>
      </c>
      <c r="L57" s="68"/>
      <c r="M57" s="69"/>
      <c r="N57" s="70"/>
      <c r="O57" s="68"/>
      <c r="P57" s="69"/>
      <c r="Q57" s="70"/>
      <c r="R57" s="68"/>
      <c r="S57" s="69"/>
      <c r="T57" s="70"/>
    </row>
    <row r="58" spans="1:20" x14ac:dyDescent="0.2">
      <c r="A58" s="4">
        <v>52</v>
      </c>
      <c r="B58" s="27">
        <v>8.3888796677479005E-2</v>
      </c>
      <c r="C58" s="28">
        <v>8.1821174785614598E-2</v>
      </c>
      <c r="D58" s="29">
        <v>7.9753552893750093E-2</v>
      </c>
      <c r="E58" s="27">
        <v>0.303598909813865</v>
      </c>
      <c r="F58" s="28">
        <v>0.29987846542394597</v>
      </c>
      <c r="G58" s="29">
        <v>0.296158021034028</v>
      </c>
      <c r="H58" s="27">
        <v>0.58244291010870397</v>
      </c>
      <c r="I58" s="28">
        <v>0.57886842729314103</v>
      </c>
      <c r="J58" s="29">
        <v>0.57530631092957896</v>
      </c>
      <c r="L58" s="68"/>
      <c r="M58" s="69"/>
      <c r="N58" s="70"/>
      <c r="O58" s="68"/>
      <c r="P58" s="69"/>
      <c r="Q58" s="70"/>
      <c r="R58" s="68"/>
      <c r="S58" s="69"/>
      <c r="T58" s="70"/>
    </row>
    <row r="59" spans="1:20" x14ac:dyDescent="0.2">
      <c r="A59" s="4">
        <v>53</v>
      </c>
      <c r="B59" s="27">
        <v>7.9753552893750093E-2</v>
      </c>
      <c r="C59" s="28">
        <v>7.7787853081043606E-2</v>
      </c>
      <c r="D59" s="29">
        <v>7.5822153268337106E-2</v>
      </c>
      <c r="E59" s="27">
        <v>0.296158021034028</v>
      </c>
      <c r="F59" s="28">
        <v>0.29259047685074102</v>
      </c>
      <c r="G59" s="29">
        <v>0.28902293266745399</v>
      </c>
      <c r="H59" s="27">
        <v>0.57530631092957896</v>
      </c>
      <c r="I59" s="28">
        <v>0.57182032116952797</v>
      </c>
      <c r="J59" s="29">
        <v>0.56834720610811895</v>
      </c>
      <c r="L59" s="68"/>
      <c r="M59" s="69"/>
      <c r="N59" s="70"/>
      <c r="O59" s="68"/>
      <c r="P59" s="69"/>
      <c r="Q59" s="70"/>
      <c r="R59" s="68"/>
      <c r="S59" s="69"/>
      <c r="T59" s="70"/>
    </row>
    <row r="60" spans="1:20" x14ac:dyDescent="0.2">
      <c r="A60" s="4">
        <v>54</v>
      </c>
      <c r="B60" s="27">
        <v>7.5822153268337106E-2</v>
      </c>
      <c r="C60" s="28">
        <v>7.3953351352049695E-2</v>
      </c>
      <c r="D60" s="29">
        <v>7.2084549435762299E-2</v>
      </c>
      <c r="E60" s="27">
        <v>0.28902293266745399</v>
      </c>
      <c r="F60" s="28">
        <v>0.28545538848416702</v>
      </c>
      <c r="G60" s="29">
        <v>0.28188784430087999</v>
      </c>
      <c r="H60" s="27">
        <v>0.56834720610811895</v>
      </c>
      <c r="I60" s="28">
        <v>0.56486127571857003</v>
      </c>
      <c r="J60" s="29">
        <v>0.56138810128665795</v>
      </c>
      <c r="L60" s="68"/>
      <c r="M60" s="69"/>
      <c r="N60" s="70"/>
      <c r="O60" s="68"/>
      <c r="P60" s="69"/>
      <c r="Q60" s="70"/>
      <c r="R60" s="68"/>
      <c r="S60" s="69"/>
      <c r="T60" s="70"/>
    </row>
    <row r="61" spans="1:20" x14ac:dyDescent="0.2">
      <c r="A61" s="4">
        <v>55</v>
      </c>
      <c r="B61" s="27">
        <v>7.2084549435762299E-2</v>
      </c>
      <c r="C61" s="28">
        <v>7.0307868896981998E-2</v>
      </c>
      <c r="D61" s="29">
        <v>6.8531188358201794E-2</v>
      </c>
      <c r="E61" s="27">
        <v>0.28188784430087999</v>
      </c>
      <c r="F61" s="28">
        <v>0.27846726351824003</v>
      </c>
      <c r="G61" s="29">
        <v>0.27504668273560101</v>
      </c>
      <c r="H61" s="27">
        <v>0.56138810128665795</v>
      </c>
      <c r="I61" s="28">
        <v>0.55790221763312398</v>
      </c>
      <c r="J61" s="29">
        <v>0.55442899646519705</v>
      </c>
      <c r="L61" s="68"/>
      <c r="M61" s="69"/>
      <c r="N61" s="70"/>
      <c r="O61" s="68"/>
      <c r="P61" s="69"/>
      <c r="Q61" s="70"/>
      <c r="R61" s="68"/>
      <c r="S61" s="69"/>
      <c r="T61" s="70"/>
    </row>
    <row r="62" spans="1:20" x14ac:dyDescent="0.2">
      <c r="A62" s="4">
        <v>56</v>
      </c>
      <c r="B62" s="27">
        <v>6.8531188358201794E-2</v>
      </c>
      <c r="C62" s="28">
        <v>6.68420881334163E-2</v>
      </c>
      <c r="D62" s="29">
        <v>6.5152987908630902E-2</v>
      </c>
      <c r="E62" s="27">
        <v>0.27504668273560101</v>
      </c>
      <c r="F62" s="28">
        <v>0.271626101952961</v>
      </c>
      <c r="G62" s="29">
        <v>0.26820552117032098</v>
      </c>
      <c r="H62" s="27">
        <v>0.55442899646519705</v>
      </c>
      <c r="I62" s="28">
        <v>0.55094314751202</v>
      </c>
      <c r="J62" s="29">
        <v>0.54746989164373605</v>
      </c>
      <c r="L62" s="68"/>
      <c r="M62" s="69"/>
      <c r="N62" s="70"/>
      <c r="O62" s="68"/>
      <c r="P62" s="69"/>
      <c r="Q62" s="70"/>
      <c r="R62" s="68"/>
      <c r="S62" s="69"/>
      <c r="T62" s="70"/>
    </row>
    <row r="63" spans="1:20" x14ac:dyDescent="0.2">
      <c r="A63" s="4">
        <v>57</v>
      </c>
      <c r="B63" s="27">
        <v>6.5152987908630902E-2</v>
      </c>
      <c r="C63" s="28">
        <v>6.3547150783106507E-2</v>
      </c>
      <c r="D63" s="29">
        <v>6.1941313657582001E-2</v>
      </c>
      <c r="E63" s="27">
        <v>0.26820552117032098</v>
      </c>
      <c r="F63" s="28">
        <v>0.26492618456754702</v>
      </c>
      <c r="G63" s="29">
        <v>0.261646847964773</v>
      </c>
      <c r="H63" s="27">
        <v>0.54746989164373605</v>
      </c>
      <c r="I63" s="28">
        <v>0.54407314840051602</v>
      </c>
      <c r="J63" s="29">
        <v>0.54068939578817898</v>
      </c>
      <c r="L63" s="68"/>
      <c r="M63" s="69"/>
      <c r="N63" s="70"/>
      <c r="O63" s="68"/>
      <c r="P63" s="69"/>
      <c r="Q63" s="70"/>
      <c r="R63" s="68"/>
      <c r="S63" s="69"/>
      <c r="T63" s="70"/>
    </row>
    <row r="64" spans="1:20" x14ac:dyDescent="0.2">
      <c r="A64" s="4">
        <v>58</v>
      </c>
      <c r="B64" s="27">
        <v>6.1941313657582001E-2</v>
      </c>
      <c r="C64" s="28">
        <v>6.04146352308828E-2</v>
      </c>
      <c r="D64" s="29">
        <v>5.88879568041836E-2</v>
      </c>
      <c r="E64" s="27">
        <v>0.261646847964773</v>
      </c>
      <c r="F64" s="28">
        <v>0.25836751136199798</v>
      </c>
      <c r="G64" s="29">
        <v>0.25508817475922402</v>
      </c>
      <c r="H64" s="27">
        <v>0.54068939578817898</v>
      </c>
      <c r="I64" s="28">
        <v>0.53729269428464299</v>
      </c>
      <c r="J64" s="29">
        <v>0.53390889993262103</v>
      </c>
      <c r="L64" s="68"/>
      <c r="M64" s="69"/>
      <c r="N64" s="70"/>
      <c r="O64" s="68"/>
      <c r="P64" s="69"/>
      <c r="Q64" s="70"/>
      <c r="R64" s="68"/>
      <c r="S64" s="69"/>
      <c r="T64" s="70"/>
    </row>
    <row r="65" spans="1:20" x14ac:dyDescent="0.2">
      <c r="A65" s="4">
        <v>59</v>
      </c>
      <c r="B65" s="27">
        <v>5.88879568041836E-2</v>
      </c>
      <c r="C65" s="28">
        <v>5.7436534999629502E-2</v>
      </c>
      <c r="D65" s="29">
        <v>5.5985113195075403E-2</v>
      </c>
      <c r="E65" s="27">
        <v>0.25508817475922402</v>
      </c>
      <c r="F65" s="28">
        <v>0.25194457325713299</v>
      </c>
      <c r="G65" s="29">
        <v>0.24880097175504101</v>
      </c>
      <c r="H65" s="27">
        <v>0.53390889993262103</v>
      </c>
      <c r="I65" s="28">
        <v>0.53051222876852999</v>
      </c>
      <c r="J65" s="29">
        <v>0.52712840407706396</v>
      </c>
      <c r="L65" s="68"/>
      <c r="M65" s="69"/>
      <c r="N65" s="70"/>
      <c r="O65" s="68"/>
      <c r="P65" s="69"/>
      <c r="Q65" s="70"/>
      <c r="R65" s="68"/>
      <c r="S65" s="69"/>
      <c r="T65" s="70"/>
    </row>
    <row r="66" spans="1:20" x14ac:dyDescent="0.2">
      <c r="A66" s="4">
        <v>60</v>
      </c>
      <c r="B66" s="27">
        <v>5.5985113195075403E-2</v>
      </c>
      <c r="C66" s="28">
        <v>5.4605238286323403E-2</v>
      </c>
      <c r="D66" s="29">
        <v>5.3225363377571402E-2</v>
      </c>
      <c r="E66" s="27">
        <v>0.24880097175504101</v>
      </c>
      <c r="F66" s="28">
        <v>0.24565737025295001</v>
      </c>
      <c r="G66" s="29">
        <v>0.24251376875085801</v>
      </c>
      <c r="H66" s="27">
        <v>0.52712840407706396</v>
      </c>
      <c r="I66" s="28">
        <v>0.52373175229966695</v>
      </c>
      <c r="J66" s="29">
        <v>0.52034790822150601</v>
      </c>
      <c r="L66" s="68"/>
      <c r="M66" s="69"/>
      <c r="N66" s="70"/>
      <c r="O66" s="68"/>
      <c r="P66" s="69"/>
      <c r="Q66" s="70"/>
      <c r="R66" s="68"/>
      <c r="S66" s="69"/>
      <c r="T66" s="70"/>
    </row>
    <row r="67" spans="1:20" x14ac:dyDescent="0.2">
      <c r="A67" s="4">
        <v>61</v>
      </c>
      <c r="B67" s="27">
        <v>5.3225363377571402E-2</v>
      </c>
      <c r="C67" s="28">
        <v>5.1913508506830901E-2</v>
      </c>
      <c r="D67" s="29">
        <v>5.0601653636090399E-2</v>
      </c>
      <c r="E67" s="27">
        <v>0.24251376875085801</v>
      </c>
      <c r="F67" s="28">
        <v>0.23952512904444001</v>
      </c>
      <c r="G67" s="29">
        <v>0.23653648933802299</v>
      </c>
      <c r="H67" s="27">
        <v>0.52034790822150601</v>
      </c>
      <c r="I67" s="28">
        <v>0.51704080095421001</v>
      </c>
      <c r="J67" s="29">
        <v>0.51374679760139896</v>
      </c>
      <c r="L67" s="68"/>
      <c r="M67" s="69"/>
      <c r="N67" s="70"/>
      <c r="O67" s="68"/>
      <c r="P67" s="69"/>
      <c r="Q67" s="70"/>
      <c r="R67" s="68"/>
      <c r="S67" s="69"/>
      <c r="T67" s="70"/>
    </row>
    <row r="68" spans="1:20" x14ac:dyDescent="0.2">
      <c r="A68" s="4">
        <v>62</v>
      </c>
      <c r="B68" s="27">
        <v>5.0601653636090399E-2</v>
      </c>
      <c r="C68" s="28">
        <v>4.9354465799736402E-2</v>
      </c>
      <c r="D68" s="29">
        <v>4.8107277963382399E-2</v>
      </c>
      <c r="E68" s="27">
        <v>0.23653648933802299</v>
      </c>
      <c r="F68" s="28">
        <v>0.23354784963160499</v>
      </c>
      <c r="G68" s="29">
        <v>0.230559209925187</v>
      </c>
      <c r="H68" s="27">
        <v>0.51374679760139896</v>
      </c>
      <c r="I68" s="28">
        <v>0.51043971624849005</v>
      </c>
      <c r="J68" s="29">
        <v>0.50714568698129103</v>
      </c>
      <c r="L68" s="68"/>
      <c r="M68" s="69"/>
      <c r="N68" s="70"/>
      <c r="O68" s="68"/>
      <c r="P68" s="69"/>
      <c r="Q68" s="70"/>
      <c r="R68" s="68"/>
      <c r="S68" s="69"/>
      <c r="T68" s="70"/>
    </row>
    <row r="69" spans="1:20" x14ac:dyDescent="0.2">
      <c r="A69" s="4">
        <v>63</v>
      </c>
      <c r="B69" s="27">
        <v>4.8107277963382399E-2</v>
      </c>
      <c r="C69" s="28">
        <v>4.6921569441927401E-2</v>
      </c>
      <c r="D69" s="29">
        <v>4.5735860920472299E-2</v>
      </c>
      <c r="E69" s="27">
        <v>0.230559209925187</v>
      </c>
      <c r="F69" s="28">
        <v>0.227717893273304</v>
      </c>
      <c r="G69" s="29">
        <v>0.22487657662142099</v>
      </c>
      <c r="H69" s="27">
        <v>0.50714568698129103</v>
      </c>
      <c r="I69" s="28">
        <v>0.50383862110228494</v>
      </c>
      <c r="J69" s="29">
        <v>0.50054457636118299</v>
      </c>
      <c r="L69" s="68"/>
      <c r="M69" s="69"/>
      <c r="N69" s="70"/>
      <c r="O69" s="68"/>
      <c r="P69" s="69"/>
      <c r="Q69" s="70"/>
      <c r="R69" s="68"/>
      <c r="S69" s="69"/>
      <c r="T69" s="70"/>
    </row>
    <row r="70" spans="1:20" x14ac:dyDescent="0.2">
      <c r="A70" s="4">
        <v>64</v>
      </c>
      <c r="B70" s="27">
        <v>4.5735860920472299E-2</v>
      </c>
      <c r="C70" s="28">
        <v>4.4608601130991701E-2</v>
      </c>
      <c r="D70" s="29">
        <v>4.3481341341511E-2</v>
      </c>
      <c r="E70" s="27">
        <v>0.22487657662142099</v>
      </c>
      <c r="F70" s="28">
        <v>0.22203525996953799</v>
      </c>
      <c r="G70" s="29">
        <v>0.21919394331765499</v>
      </c>
      <c r="H70" s="27">
        <v>0.50054457636118299</v>
      </c>
      <c r="I70" s="28">
        <v>0.49723751584558401</v>
      </c>
      <c r="J70" s="29">
        <v>0.493943465741076</v>
      </c>
      <c r="L70" s="68"/>
      <c r="M70" s="69"/>
      <c r="N70" s="70"/>
      <c r="O70" s="68"/>
      <c r="P70" s="69"/>
      <c r="Q70" s="70"/>
      <c r="R70" s="68"/>
      <c r="S70" s="69"/>
      <c r="T70" s="70"/>
    </row>
    <row r="71" spans="1:20" x14ac:dyDescent="0.2">
      <c r="A71" s="4">
        <v>65</v>
      </c>
      <c r="B71" s="27">
        <v>4.3481341341511E-2</v>
      </c>
      <c r="C71" s="28">
        <v>4.2409649091698601E-2</v>
      </c>
      <c r="D71" s="29">
        <v>4.1337956841886299E-2</v>
      </c>
      <c r="E71" s="27">
        <v>0.21919394331765499</v>
      </c>
      <c r="F71" s="28">
        <v>0.21649268752595399</v>
      </c>
      <c r="G71" s="29">
        <v>0.21379143173425399</v>
      </c>
      <c r="H71" s="27">
        <v>0.493943465741076</v>
      </c>
      <c r="I71" s="28">
        <v>0.49072622181799502</v>
      </c>
      <c r="J71" s="29">
        <v>0.48752219108331402</v>
      </c>
      <c r="L71" s="68"/>
      <c r="M71" s="69"/>
      <c r="N71" s="70"/>
      <c r="O71" s="68"/>
      <c r="P71" s="69"/>
      <c r="Q71" s="70"/>
      <c r="R71" s="68"/>
      <c r="S71" s="69"/>
      <c r="T71" s="70"/>
    </row>
    <row r="72" spans="1:20" x14ac:dyDescent="0.2">
      <c r="A72" s="4">
        <v>66</v>
      </c>
      <c r="B72" s="27">
        <v>4.1337956841886299E-2</v>
      </c>
      <c r="C72" s="28">
        <v>4.0319092965940599E-2</v>
      </c>
      <c r="D72" s="29">
        <v>3.9300229089994899E-2</v>
      </c>
      <c r="E72" s="27">
        <v>0.21379143173425399</v>
      </c>
      <c r="F72" s="28">
        <v>0.211090175942553</v>
      </c>
      <c r="G72" s="29">
        <v>0.208388920150852</v>
      </c>
      <c r="H72" s="27">
        <v>0.48752219108331402</v>
      </c>
      <c r="I72" s="28">
        <v>0.48430495866679601</v>
      </c>
      <c r="J72" s="29">
        <v>0.48110091642555203</v>
      </c>
      <c r="L72" s="68"/>
      <c r="M72" s="69"/>
      <c r="N72" s="70"/>
      <c r="O72" s="68"/>
      <c r="P72" s="69"/>
      <c r="Q72" s="70"/>
      <c r="R72" s="68"/>
      <c r="S72" s="69"/>
      <c r="T72" s="70"/>
    </row>
    <row r="73" spans="1:20" x14ac:dyDescent="0.2">
      <c r="A73" s="4">
        <v>67</v>
      </c>
      <c r="B73" s="27">
        <v>3.9300229089994899E-2</v>
      </c>
      <c r="C73" s="28">
        <v>3.8331589447514802E-2</v>
      </c>
      <c r="D73" s="29">
        <v>3.7362949805034601E-2</v>
      </c>
      <c r="E73" s="27">
        <v>0.208388920150852</v>
      </c>
      <c r="F73" s="28">
        <v>0.20582082101013799</v>
      </c>
      <c r="G73" s="29">
        <v>0.203252721869424</v>
      </c>
      <c r="H73" s="27">
        <v>0.48110091642555203</v>
      </c>
      <c r="I73" s="28">
        <v>0.47788368582351398</v>
      </c>
      <c r="J73" s="29">
        <v>0.47467964176779098</v>
      </c>
      <c r="L73" s="68"/>
      <c r="M73" s="69"/>
      <c r="N73" s="70"/>
      <c r="O73" s="68"/>
      <c r="P73" s="69"/>
      <c r="Q73" s="70"/>
      <c r="R73" s="68"/>
      <c r="S73" s="69"/>
      <c r="T73" s="70"/>
    </row>
    <row r="74" spans="1:20" x14ac:dyDescent="0.2">
      <c r="A74" s="4">
        <v>68</v>
      </c>
      <c r="B74" s="27">
        <v>3.7362949805034601E-2</v>
      </c>
      <c r="C74" s="28">
        <v>3.6442058625029597E-2</v>
      </c>
      <c r="D74" s="29">
        <v>3.55211674450246E-2</v>
      </c>
      <c r="E74" s="27">
        <v>0.203252721869424</v>
      </c>
      <c r="F74" s="28">
        <v>0.20068462272871099</v>
      </c>
      <c r="G74" s="29">
        <v>0.198116523587997</v>
      </c>
      <c r="H74" s="27">
        <v>0.47467964176779098</v>
      </c>
      <c r="I74" s="28">
        <v>0.47146240352442798</v>
      </c>
      <c r="J74" s="29">
        <v>0.46825836711002899</v>
      </c>
      <c r="L74" s="68"/>
      <c r="M74" s="69"/>
      <c r="N74" s="70"/>
      <c r="O74" s="68"/>
      <c r="P74" s="69"/>
      <c r="Q74" s="70"/>
      <c r="R74" s="68"/>
      <c r="S74" s="69"/>
      <c r="T74" s="70"/>
    </row>
    <row r="75" spans="1:20" x14ac:dyDescent="0.2">
      <c r="A75" s="4">
        <v>69</v>
      </c>
      <c r="B75" s="27">
        <v>3.55211674450246E-2</v>
      </c>
      <c r="C75" s="28">
        <v>3.4645670998028399E-2</v>
      </c>
      <c r="D75" s="29">
        <v>3.3770174551032303E-2</v>
      </c>
      <c r="E75" s="27">
        <v>0.198116523587997</v>
      </c>
      <c r="F75" s="28">
        <v>0.19567501722758501</v>
      </c>
      <c r="G75" s="29">
        <v>0.193233510867174</v>
      </c>
      <c r="H75" s="27">
        <v>0.46825836711002899</v>
      </c>
      <c r="I75" s="28">
        <v>0.46513105792466303</v>
      </c>
      <c r="J75" s="29">
        <v>0.46201706664216102</v>
      </c>
      <c r="L75" s="68"/>
      <c r="M75" s="69"/>
      <c r="N75" s="70"/>
      <c r="O75" s="68"/>
      <c r="P75" s="69"/>
      <c r="Q75" s="70"/>
      <c r="R75" s="68"/>
      <c r="S75" s="69"/>
      <c r="T75" s="70"/>
    </row>
    <row r="76" spans="1:20" x14ac:dyDescent="0.2">
      <c r="A76" s="4">
        <v>70</v>
      </c>
      <c r="B76" s="27">
        <v>3.3770174551032303E-2</v>
      </c>
      <c r="C76" s="28">
        <v>3.2937835133144903E-2</v>
      </c>
      <c r="D76" s="29">
        <v>3.2105495715257601E-2</v>
      </c>
      <c r="E76" s="27">
        <v>0.193233510867174</v>
      </c>
      <c r="F76" s="28">
        <v>0.19079200450676301</v>
      </c>
      <c r="G76" s="29">
        <v>0.18835049814635199</v>
      </c>
      <c r="H76" s="27">
        <v>0.46201706664216102</v>
      </c>
      <c r="I76" s="28">
        <v>0.45888975567768298</v>
      </c>
      <c r="J76" s="29">
        <v>0.455775766174292</v>
      </c>
      <c r="L76" s="68"/>
      <c r="M76" s="69"/>
      <c r="N76" s="70"/>
      <c r="O76" s="68"/>
      <c r="P76" s="69"/>
      <c r="Q76" s="70"/>
      <c r="R76" s="68"/>
      <c r="S76" s="69"/>
      <c r="T76" s="70"/>
    </row>
    <row r="77" spans="1:20" x14ac:dyDescent="0.2">
      <c r="A77" s="4">
        <v>71</v>
      </c>
      <c r="B77" s="27">
        <v>3.2105495715257601E-2</v>
      </c>
      <c r="C77" s="28">
        <v>3.13141859287406E-2</v>
      </c>
      <c r="D77" s="29">
        <v>3.0522876142223501E-2</v>
      </c>
      <c r="E77" s="27">
        <v>0.18835049814635199</v>
      </c>
      <c r="F77" s="28">
        <v>0.186029344257303</v>
      </c>
      <c r="G77" s="29">
        <v>0.183708190368255</v>
      </c>
      <c r="H77" s="27">
        <v>0.455775766174292</v>
      </c>
      <c r="I77" s="28">
        <v>0.452648444320013</v>
      </c>
      <c r="J77" s="29">
        <v>0.44953446570642303</v>
      </c>
      <c r="L77" s="68"/>
      <c r="M77" s="69"/>
      <c r="N77" s="70"/>
      <c r="O77" s="68"/>
      <c r="P77" s="69"/>
      <c r="Q77" s="70"/>
      <c r="R77" s="68"/>
      <c r="S77" s="69"/>
      <c r="T77" s="70"/>
    </row>
    <row r="78" spans="1:20" x14ac:dyDescent="0.2">
      <c r="A78" s="4">
        <v>72</v>
      </c>
      <c r="B78" s="27">
        <v>3.0522876142223501E-2</v>
      </c>
      <c r="C78" s="28">
        <v>2.97705734580288E-2</v>
      </c>
      <c r="D78" s="29">
        <v>2.90182707738341E-2</v>
      </c>
      <c r="E78" s="27">
        <v>0.183708190368255</v>
      </c>
      <c r="F78" s="28">
        <v>0.18138703647920701</v>
      </c>
      <c r="G78" s="29">
        <v>0.17906588259015899</v>
      </c>
      <c r="H78" s="27">
        <v>0.44953446570642303</v>
      </c>
      <c r="I78" s="28">
        <v>0.44640712401119298</v>
      </c>
      <c r="J78" s="29">
        <v>0.443293165238554</v>
      </c>
      <c r="L78" s="68"/>
      <c r="M78" s="69"/>
      <c r="N78" s="70"/>
      <c r="O78" s="68"/>
      <c r="P78" s="69"/>
      <c r="Q78" s="70"/>
      <c r="R78" s="68"/>
      <c r="S78" s="69"/>
      <c r="T78" s="70"/>
    </row>
    <row r="79" spans="1:20" x14ac:dyDescent="0.2">
      <c r="A79" s="4">
        <v>73</v>
      </c>
      <c r="B79" s="27">
        <v>2.90182707738341E-2</v>
      </c>
      <c r="C79" s="28">
        <v>2.8303052362170601E-2</v>
      </c>
      <c r="D79" s="29">
        <v>2.7587833950507099E-2</v>
      </c>
      <c r="E79" s="27">
        <v>0.17906588259015899</v>
      </c>
      <c r="F79" s="28">
        <v>0.17685914847551401</v>
      </c>
      <c r="G79" s="29">
        <v>0.17465241436086901</v>
      </c>
      <c r="H79" s="27">
        <v>0.443293165238554</v>
      </c>
      <c r="I79" s="28">
        <v>0.44025571253387402</v>
      </c>
      <c r="J79" s="29">
        <v>0.43723167793143702</v>
      </c>
      <c r="L79" s="68"/>
      <c r="M79" s="69"/>
      <c r="N79" s="70"/>
      <c r="O79" s="68"/>
      <c r="P79" s="69"/>
      <c r="Q79" s="70"/>
      <c r="R79" s="68"/>
      <c r="S79" s="69"/>
      <c r="T79" s="70"/>
    </row>
    <row r="80" spans="1:20" x14ac:dyDescent="0.2">
      <c r="A80" s="4">
        <v>74</v>
      </c>
      <c r="B80" s="27">
        <v>2.7587833950507099E-2</v>
      </c>
      <c r="C80" s="28">
        <v>2.6907871766229999E-2</v>
      </c>
      <c r="D80" s="29">
        <v>2.6227909581953E-2</v>
      </c>
      <c r="E80" s="27">
        <v>0.17465241436086901</v>
      </c>
      <c r="F80" s="28">
        <v>0.172445680246224</v>
      </c>
      <c r="G80" s="29">
        <v>0.170238946131579</v>
      </c>
      <c r="H80" s="27">
        <v>0.43723167793143702</v>
      </c>
      <c r="I80" s="28">
        <v>0.43419421105202599</v>
      </c>
      <c r="J80" s="29">
        <v>0.43117019062431899</v>
      </c>
      <c r="L80" s="68"/>
      <c r="M80" s="69"/>
      <c r="N80" s="70"/>
      <c r="O80" s="68"/>
      <c r="P80" s="69"/>
      <c r="Q80" s="70"/>
      <c r="R80" s="68"/>
      <c r="S80" s="69"/>
      <c r="T80" s="70"/>
    </row>
    <row r="81" spans="1:20" x14ac:dyDescent="0.2">
      <c r="A81" s="4">
        <v>75</v>
      </c>
      <c r="B81" s="27">
        <v>2.6227909581953E-2</v>
      </c>
      <c r="C81" s="28">
        <v>2.5581465692216698E-2</v>
      </c>
      <c r="D81" s="29">
        <v>2.49350218024804E-2</v>
      </c>
      <c r="E81" s="27">
        <v>0.170238946131579</v>
      </c>
      <c r="F81" s="28">
        <v>0.168140991542822</v>
      </c>
      <c r="G81" s="29">
        <v>0.166043036954065</v>
      </c>
      <c r="H81" s="27">
        <v>0.43117019062431899</v>
      </c>
      <c r="I81" s="28">
        <v>0.42813270090550198</v>
      </c>
      <c r="J81" s="29">
        <v>0.42510870331720102</v>
      </c>
      <c r="L81" s="68"/>
      <c r="M81" s="69"/>
      <c r="N81" s="70"/>
      <c r="O81" s="68"/>
      <c r="P81" s="69"/>
      <c r="Q81" s="70"/>
      <c r="R81" s="68"/>
      <c r="S81" s="69"/>
      <c r="T81" s="70"/>
    </row>
    <row r="82" spans="1:20" x14ac:dyDescent="0.2">
      <c r="A82" s="4">
        <v>76</v>
      </c>
      <c r="B82" s="27">
        <v>2.49350218024804E-2</v>
      </c>
      <c r="C82" s="28">
        <v>2.4320443944710599E-2</v>
      </c>
      <c r="D82" s="29">
        <v>2.3705866086940901E-2</v>
      </c>
      <c r="E82" s="27">
        <v>0.166043036954065</v>
      </c>
      <c r="F82" s="28">
        <v>0.163945082365308</v>
      </c>
      <c r="G82" s="29">
        <v>0.161847127776552</v>
      </c>
      <c r="H82" s="27">
        <v>0.42510870331720102</v>
      </c>
      <c r="I82" s="28">
        <v>0.42207118218928502</v>
      </c>
      <c r="J82" s="29">
        <v>0.41904721601008399</v>
      </c>
      <c r="L82" s="68"/>
      <c r="M82" s="69"/>
      <c r="N82" s="70"/>
      <c r="O82" s="68"/>
      <c r="P82" s="69"/>
      <c r="Q82" s="70"/>
      <c r="R82" s="68"/>
      <c r="S82" s="69"/>
      <c r="T82" s="70"/>
    </row>
    <row r="83" spans="1:20" x14ac:dyDescent="0.2">
      <c r="A83" s="4">
        <v>77</v>
      </c>
      <c r="B83" s="27">
        <v>2.3705866086940901E-2</v>
      </c>
      <c r="C83" s="28">
        <v>2.31215834457747E-2</v>
      </c>
      <c r="D83" s="29">
        <v>2.2537300804608602E-2</v>
      </c>
      <c r="E83" s="27">
        <v>0.161847127776552</v>
      </c>
      <c r="F83" s="28">
        <v>0.15985259049755901</v>
      </c>
      <c r="G83" s="29">
        <v>0.157858053218566</v>
      </c>
      <c r="H83" s="27">
        <v>0.41904721601008399</v>
      </c>
      <c r="I83" s="28">
        <v>0.41609939834676701</v>
      </c>
      <c r="J83" s="29">
        <v>0.41316509497345599</v>
      </c>
      <c r="L83" s="68"/>
      <c r="M83" s="69"/>
      <c r="N83" s="70"/>
      <c r="O83" s="68"/>
      <c r="P83" s="69"/>
      <c r="Q83" s="70"/>
      <c r="R83" s="68"/>
      <c r="S83" s="69"/>
      <c r="T83" s="70"/>
    </row>
    <row r="84" spans="1:20" x14ac:dyDescent="0.2">
      <c r="A84" s="4">
        <v>78</v>
      </c>
      <c r="B84" s="27">
        <v>2.2537300804608602E-2</v>
      </c>
      <c r="C84" s="28">
        <v>2.19818199970068E-2</v>
      </c>
      <c r="D84" s="29">
        <v>2.1426339189405098E-2</v>
      </c>
      <c r="E84" s="27">
        <v>0.157858053218566</v>
      </c>
      <c r="F84" s="28">
        <v>0.15586351593957301</v>
      </c>
      <c r="G84" s="29">
        <v>0.15386897866058</v>
      </c>
      <c r="H84" s="27">
        <v>0.41316509497345599</v>
      </c>
      <c r="I84" s="28">
        <v>0.41021725144134902</v>
      </c>
      <c r="J84" s="29">
        <v>0.407282973936827</v>
      </c>
      <c r="L84" s="68"/>
      <c r="M84" s="69"/>
      <c r="N84" s="70"/>
      <c r="O84" s="68"/>
      <c r="P84" s="69"/>
      <c r="Q84" s="70"/>
      <c r="R84" s="68"/>
      <c r="S84" s="69"/>
      <c r="T84" s="70"/>
    </row>
    <row r="85" spans="1:20" x14ac:dyDescent="0.2">
      <c r="A85" s="4">
        <v>79</v>
      </c>
      <c r="B85" s="27">
        <v>2.1426339189405098E-2</v>
      </c>
      <c r="C85" s="28">
        <v>2.08982404476762E-2</v>
      </c>
      <c r="D85" s="29">
        <v>2.0370141705947298E-2</v>
      </c>
      <c r="E85" s="27">
        <v>0.15386897866058</v>
      </c>
      <c r="F85" s="28">
        <v>0.15197276080218899</v>
      </c>
      <c r="G85" s="29">
        <v>0.15007654294379899</v>
      </c>
      <c r="H85" s="27">
        <v>0.407282973936827</v>
      </c>
      <c r="I85" s="28">
        <v>0.40433509620460401</v>
      </c>
      <c r="J85" s="29">
        <v>0.401400852900199</v>
      </c>
      <c r="L85" s="68"/>
      <c r="M85" s="69"/>
      <c r="N85" s="70"/>
      <c r="O85" s="68"/>
      <c r="P85" s="69"/>
      <c r="Q85" s="70"/>
      <c r="R85" s="68"/>
      <c r="S85" s="69"/>
      <c r="T85" s="70"/>
    </row>
    <row r="86" spans="1:20" x14ac:dyDescent="0.2">
      <c r="A86" s="4">
        <v>80</v>
      </c>
      <c r="B86" s="27">
        <v>2.0370141705947298E-2</v>
      </c>
      <c r="C86" s="28">
        <v>1.98680752489265E-2</v>
      </c>
      <c r="D86" s="29">
        <v>1.9366008791905701E-2</v>
      </c>
      <c r="E86" s="27">
        <v>0.15007654294379899</v>
      </c>
      <c r="F86" s="28">
        <v>0.14818032508540799</v>
      </c>
      <c r="G86" s="29">
        <v>0.14628410722701801</v>
      </c>
      <c r="H86" s="27">
        <v>0.401400852900199</v>
      </c>
      <c r="I86" s="28">
        <v>0.39845293267569698</v>
      </c>
      <c r="J86" s="29">
        <v>0.395518731863571</v>
      </c>
      <c r="L86" s="68"/>
      <c r="M86" s="69"/>
      <c r="N86" s="70"/>
      <c r="O86" s="68"/>
      <c r="P86" s="69"/>
      <c r="Q86" s="70"/>
      <c r="R86" s="68"/>
      <c r="S86" s="69"/>
      <c r="T86" s="70"/>
    </row>
    <row r="87" spans="1:20" x14ac:dyDescent="0.2">
      <c r="A87" s="4">
        <v>81</v>
      </c>
      <c r="B87" s="27">
        <v>1.9366008791905701E-2</v>
      </c>
      <c r="C87" s="28">
        <v>1.88886913750148E-2</v>
      </c>
      <c r="D87" s="29">
        <v>1.8411373958123801E-2</v>
      </c>
      <c r="E87" s="27">
        <v>0.14628410722701801</v>
      </c>
      <c r="F87" s="28">
        <v>0.144481362197206</v>
      </c>
      <c r="G87" s="29">
        <v>0.142678617167394</v>
      </c>
      <c r="H87" s="27">
        <v>0.395518731863571</v>
      </c>
      <c r="I87" s="28">
        <v>0.39322104589705997</v>
      </c>
      <c r="J87" s="29">
        <v>0.39093656701318602</v>
      </c>
      <c r="L87" s="68"/>
      <c r="M87" s="69"/>
      <c r="N87" s="70"/>
      <c r="O87" s="68"/>
      <c r="P87" s="69"/>
      <c r="Q87" s="70"/>
      <c r="R87" s="68"/>
      <c r="S87" s="69"/>
      <c r="T87" s="70"/>
    </row>
    <row r="88" spans="1:20" x14ac:dyDescent="0.2">
      <c r="A88" s="4">
        <v>82</v>
      </c>
      <c r="B88" s="27">
        <v>1.8411373958123801E-2</v>
      </c>
      <c r="C88" s="28">
        <v>1.7957585593492999E-2</v>
      </c>
      <c r="D88" s="29">
        <v>1.7503797228862202E-2</v>
      </c>
      <c r="E88" s="27">
        <v>0.142678617167394</v>
      </c>
      <c r="F88" s="28">
        <v>0.14087587213758301</v>
      </c>
      <c r="G88" s="29">
        <v>0.13907312710777101</v>
      </c>
      <c r="H88" s="27">
        <v>0.39093656701318602</v>
      </c>
      <c r="I88" s="28">
        <v>0.38863896261180297</v>
      </c>
      <c r="J88" s="29">
        <v>0.38635440216280198</v>
      </c>
      <c r="L88" s="68"/>
      <c r="M88" s="69"/>
      <c r="N88" s="70"/>
      <c r="O88" s="68"/>
      <c r="P88" s="69"/>
      <c r="Q88" s="70"/>
      <c r="R88" s="68"/>
      <c r="S88" s="69"/>
      <c r="T88" s="70"/>
    </row>
    <row r="89" spans="1:20" x14ac:dyDescent="0.2">
      <c r="A89" s="4">
        <v>83</v>
      </c>
      <c r="B89" s="27">
        <v>1.7503797228862202E-2</v>
      </c>
      <c r="C89" s="28">
        <v>1.7072378067132001E-2</v>
      </c>
      <c r="D89" s="29">
        <v>1.66409589054018E-2</v>
      </c>
      <c r="E89" s="27">
        <v>0.13907312710777101</v>
      </c>
      <c r="F89" s="28">
        <v>0.13735924722412199</v>
      </c>
      <c r="G89" s="29">
        <v>0.135645367340473</v>
      </c>
      <c r="H89" s="27">
        <v>0.38635440216280198</v>
      </c>
      <c r="I89" s="28">
        <v>0.384056871689199</v>
      </c>
      <c r="J89" s="29">
        <v>0.38177223731241799</v>
      </c>
      <c r="L89" s="68"/>
      <c r="M89" s="69"/>
      <c r="N89" s="70"/>
      <c r="O89" s="68"/>
      <c r="P89" s="69"/>
      <c r="Q89" s="70"/>
      <c r="R89" s="68"/>
      <c r="S89" s="69"/>
      <c r="T89" s="70"/>
    </row>
    <row r="90" spans="1:20" x14ac:dyDescent="0.2">
      <c r="A90" s="4">
        <v>84</v>
      </c>
      <c r="B90" s="27">
        <v>1.66409589054018E-2</v>
      </c>
      <c r="C90" s="28">
        <v>1.6230806271234102E-2</v>
      </c>
      <c r="D90" s="29">
        <v>1.58206536370664E-2</v>
      </c>
      <c r="E90" s="27">
        <v>0.135645367340473</v>
      </c>
      <c r="F90" s="28">
        <v>0.13393148745682401</v>
      </c>
      <c r="G90" s="29">
        <v>0.13221760757317499</v>
      </c>
      <c r="H90" s="27">
        <v>0.38177223731241799</v>
      </c>
      <c r="I90" s="28">
        <v>0.37947477335781399</v>
      </c>
      <c r="J90" s="29">
        <v>0.37719007246203301</v>
      </c>
      <c r="L90" s="68"/>
      <c r="M90" s="69"/>
      <c r="N90" s="70"/>
      <c r="O90" s="68"/>
      <c r="P90" s="69"/>
      <c r="Q90" s="70"/>
      <c r="R90" s="68"/>
      <c r="S90" s="69"/>
      <c r="T90" s="70"/>
    </row>
    <row r="91" spans="1:20" x14ac:dyDescent="0.2">
      <c r="A91" s="4">
        <v>85</v>
      </c>
      <c r="B91" s="27">
        <v>1.58206536370664E-2</v>
      </c>
      <c r="C91" s="28">
        <v>1.54307192107881E-2</v>
      </c>
      <c r="D91" s="29">
        <v>1.50407847845099E-2</v>
      </c>
      <c r="E91" s="27">
        <v>0.13221760757317499</v>
      </c>
      <c r="F91" s="28">
        <v>0.13058821228598799</v>
      </c>
      <c r="G91" s="29">
        <v>0.12895881699879999</v>
      </c>
      <c r="H91" s="27">
        <v>0.37719007246203301</v>
      </c>
      <c r="I91" s="28">
        <v>0.37498573885290698</v>
      </c>
      <c r="J91" s="29">
        <v>0.372794033329792</v>
      </c>
      <c r="L91" s="68"/>
      <c r="M91" s="69"/>
      <c r="N91" s="70"/>
      <c r="O91" s="68"/>
      <c r="P91" s="69"/>
      <c r="Q91" s="70"/>
      <c r="R91" s="68"/>
      <c r="S91" s="69"/>
      <c r="T91" s="70"/>
    </row>
    <row r="92" spans="1:20" x14ac:dyDescent="0.2">
      <c r="A92" s="4">
        <v>86</v>
      </c>
      <c r="B92" s="27">
        <v>1.50407847845099E-2</v>
      </c>
      <c r="C92" s="28">
        <v>1.4670071922686E-2</v>
      </c>
      <c r="D92" s="29">
        <v>1.4299359060862001E-2</v>
      </c>
      <c r="E92" s="27">
        <v>0.12895881699879999</v>
      </c>
      <c r="F92" s="28">
        <v>0.12732942171161199</v>
      </c>
      <c r="G92" s="29">
        <v>0.12570002642442499</v>
      </c>
      <c r="H92" s="27">
        <v>0.372794033329792</v>
      </c>
      <c r="I92" s="28">
        <v>0.37058976868024002</v>
      </c>
      <c r="J92" s="29">
        <v>0.36839799419754998</v>
      </c>
      <c r="L92" s="68"/>
      <c r="M92" s="69"/>
      <c r="N92" s="70"/>
      <c r="O92" s="68"/>
      <c r="P92" s="69"/>
      <c r="Q92" s="70"/>
      <c r="R92" s="68"/>
      <c r="S92" s="69"/>
      <c r="T92" s="70"/>
    </row>
    <row r="93" spans="1:20" x14ac:dyDescent="0.2">
      <c r="A93" s="4">
        <v>87</v>
      </c>
      <c r="B93" s="27">
        <v>1.4299359060862001E-2</v>
      </c>
      <c r="C93" s="28">
        <v>1.39469202489484E-2</v>
      </c>
      <c r="D93" s="29">
        <v>1.35944814370349E-2</v>
      </c>
      <c r="E93" s="27">
        <v>0.12570002642442499</v>
      </c>
      <c r="F93" s="28">
        <v>0.124150951120351</v>
      </c>
      <c r="G93" s="29">
        <v>0.122601875816277</v>
      </c>
      <c r="H93" s="27">
        <v>0.36839799419754998</v>
      </c>
      <c r="I93" s="28">
        <v>0.36619379169722899</v>
      </c>
      <c r="J93" s="29">
        <v>0.36400195506530802</v>
      </c>
      <c r="L93" s="68"/>
      <c r="M93" s="69"/>
      <c r="N93" s="70"/>
      <c r="O93" s="68"/>
      <c r="P93" s="69"/>
      <c r="Q93" s="70"/>
      <c r="R93" s="68"/>
      <c r="S93" s="69"/>
      <c r="T93" s="70"/>
    </row>
    <row r="94" spans="1:20" x14ac:dyDescent="0.2">
      <c r="A94" s="4">
        <v>88</v>
      </c>
      <c r="B94" s="27">
        <v>1.35944814370349E-2</v>
      </c>
      <c r="C94" s="28">
        <v>1.32594158676022E-2</v>
      </c>
      <c r="D94" s="29">
        <v>1.29243502981696E-2</v>
      </c>
      <c r="E94" s="27">
        <v>0.122601875816277</v>
      </c>
      <c r="F94" s="28">
        <v>0.121052800512204</v>
      </c>
      <c r="G94" s="29">
        <v>0.11950372520813</v>
      </c>
      <c r="H94" s="27">
        <v>0.36400195506530802</v>
      </c>
      <c r="I94" s="28">
        <v>0.36179780808275203</v>
      </c>
      <c r="J94" s="29">
        <v>0.35960591593306701</v>
      </c>
      <c r="L94" s="68"/>
      <c r="M94" s="69"/>
      <c r="N94" s="70"/>
      <c r="O94" s="68"/>
      <c r="P94" s="69"/>
      <c r="Q94" s="70"/>
      <c r="R94" s="68"/>
      <c r="S94" s="69"/>
      <c r="T94" s="70"/>
    </row>
    <row r="95" spans="1:20" x14ac:dyDescent="0.2">
      <c r="A95" s="4">
        <v>89</v>
      </c>
      <c r="B95" s="27">
        <v>1.29243502981696E-2</v>
      </c>
      <c r="C95" s="28">
        <v>1.2605801568506001E-2</v>
      </c>
      <c r="D95" s="29">
        <v>1.22872528388423E-2</v>
      </c>
      <c r="E95" s="27">
        <v>0.11950372520813</v>
      </c>
      <c r="F95" s="28">
        <v>0.11803101056573501</v>
      </c>
      <c r="G95" s="29">
        <v>0.11655829592333899</v>
      </c>
      <c r="H95" s="27">
        <v>0.35960591593306701</v>
      </c>
      <c r="I95" s="28">
        <v>0.35749134337944499</v>
      </c>
      <c r="J95" s="29">
        <v>0.35538885749564503</v>
      </c>
      <c r="L95" s="68"/>
      <c r="M95" s="69"/>
      <c r="N95" s="70"/>
      <c r="O95" s="68"/>
      <c r="P95" s="69"/>
      <c r="Q95" s="70"/>
      <c r="R95" s="68"/>
      <c r="S95" s="69"/>
      <c r="T95" s="70"/>
    </row>
    <row r="96" spans="1:20" x14ac:dyDescent="0.2">
      <c r="A96" s="4">
        <v>90</v>
      </c>
      <c r="B96" s="27">
        <v>1.22872528388423E-2</v>
      </c>
      <c r="C96" s="28">
        <v>1.1984406762051701E-2</v>
      </c>
      <c r="D96" s="29">
        <v>1.1681560685261E-2</v>
      </c>
      <c r="E96" s="27">
        <v>0.11655829592333899</v>
      </c>
      <c r="F96" s="28">
        <v>0.115085581280944</v>
      </c>
      <c r="G96" s="29">
        <v>0.113612866638549</v>
      </c>
      <c r="H96" s="27">
        <v>0.35538885749564503</v>
      </c>
      <c r="I96" s="28">
        <v>0.35327434299711202</v>
      </c>
      <c r="J96" s="29">
        <v>0.35117179905822399</v>
      </c>
      <c r="L96" s="68"/>
      <c r="M96" s="69"/>
      <c r="N96" s="70"/>
      <c r="O96" s="68"/>
      <c r="P96" s="69"/>
      <c r="Q96" s="70"/>
      <c r="R96" s="68"/>
      <c r="S96" s="69"/>
      <c r="T96" s="70"/>
    </row>
    <row r="97" spans="1:20" x14ac:dyDescent="0.2">
      <c r="A97" s="4">
        <v>91</v>
      </c>
      <c r="B97" s="27">
        <v>1.1681560685261E-2</v>
      </c>
      <c r="C97" s="28">
        <v>1.1393643209261801E-2</v>
      </c>
      <c r="D97" s="29">
        <v>1.11057257332626E-2</v>
      </c>
      <c r="E97" s="27">
        <v>0.113612866638549</v>
      </c>
      <c r="F97" s="28">
        <v>0.112212748508577</v>
      </c>
      <c r="G97" s="29">
        <v>0.110812630378605</v>
      </c>
      <c r="H97" s="27">
        <v>0.35117179905822399</v>
      </c>
      <c r="I97" s="28">
        <v>0.349057336500669</v>
      </c>
      <c r="J97" s="29">
        <v>0.346954740620802</v>
      </c>
      <c r="L97" s="68"/>
      <c r="M97" s="69"/>
      <c r="N97" s="70"/>
      <c r="O97" s="68"/>
      <c r="P97" s="69"/>
      <c r="Q97" s="70"/>
      <c r="R97" s="68"/>
      <c r="S97" s="69"/>
      <c r="T97" s="70"/>
    </row>
    <row r="98" spans="1:20" x14ac:dyDescent="0.2">
      <c r="A98" s="4">
        <v>92</v>
      </c>
      <c r="B98" s="27">
        <v>1.11057257332626E-2</v>
      </c>
      <c r="C98" s="28">
        <v>1.08320009623684E-2</v>
      </c>
      <c r="D98" s="29">
        <v>1.0558276191474101E-2</v>
      </c>
      <c r="E98" s="27">
        <v>0.110812630378605</v>
      </c>
      <c r="F98" s="28">
        <v>0.10941251224863301</v>
      </c>
      <c r="G98" s="29">
        <v>0.108012394118661</v>
      </c>
      <c r="H98" s="27">
        <v>0.346954740620802</v>
      </c>
      <c r="I98" s="28">
        <v>0.34484032402944997</v>
      </c>
      <c r="J98" s="29">
        <v>0.34273768218338102</v>
      </c>
      <c r="L98" s="68"/>
      <c r="M98" s="69"/>
      <c r="N98" s="70"/>
      <c r="O98" s="68"/>
      <c r="P98" s="69"/>
      <c r="Q98" s="70"/>
      <c r="R98" s="68"/>
      <c r="S98" s="69"/>
      <c r="T98" s="70"/>
    </row>
    <row r="99" spans="1:20" x14ac:dyDescent="0.2">
      <c r="A99" s="4">
        <v>93</v>
      </c>
      <c r="B99" s="27">
        <v>1.0558276191474101E-2</v>
      </c>
      <c r="C99" s="28">
        <v>1.02980445054985E-2</v>
      </c>
      <c r="D99" s="29">
        <v>1.0037812819522899E-2</v>
      </c>
      <c r="E99" s="27">
        <v>0.108012394118661</v>
      </c>
      <c r="F99" s="28">
        <v>0.10668129390315099</v>
      </c>
      <c r="G99" s="29">
        <v>0.10535019368764199</v>
      </c>
      <c r="H99" s="27">
        <v>0.34273768218338102</v>
      </c>
      <c r="I99" s="28">
        <v>0.34070941079258399</v>
      </c>
      <c r="J99" s="29">
        <v>0.33869271795720801</v>
      </c>
      <c r="L99" s="68"/>
      <c r="M99" s="69"/>
      <c r="N99" s="70"/>
      <c r="O99" s="68"/>
      <c r="P99" s="69"/>
      <c r="Q99" s="70"/>
      <c r="R99" s="68"/>
      <c r="S99" s="69"/>
      <c r="T99" s="70"/>
    </row>
    <row r="100" spans="1:20" x14ac:dyDescent="0.2">
      <c r="A100" s="4">
        <v>94</v>
      </c>
      <c r="B100" s="27">
        <v>1.0037812819522899E-2</v>
      </c>
      <c r="C100" s="28">
        <v>9.7904090856027505E-3</v>
      </c>
      <c r="D100" s="29">
        <v>9.5430053516825097E-3</v>
      </c>
      <c r="E100" s="27">
        <v>0.10535019368764199</v>
      </c>
      <c r="F100" s="28">
        <v>0.10401909347213199</v>
      </c>
      <c r="G100" s="29">
        <v>0.10268799325662301</v>
      </c>
      <c r="H100" s="27">
        <v>0.33869271795720801</v>
      </c>
      <c r="I100" s="28">
        <v>0.33666449514074098</v>
      </c>
      <c r="J100" s="29">
        <v>0.334647753731034</v>
      </c>
      <c r="L100" s="68"/>
      <c r="M100" s="69"/>
      <c r="N100" s="70"/>
      <c r="O100" s="68"/>
      <c r="P100" s="69"/>
      <c r="Q100" s="70"/>
      <c r="R100" s="68"/>
      <c r="S100" s="69"/>
      <c r="T100" s="70"/>
    </row>
    <row r="101" spans="1:20" x14ac:dyDescent="0.2">
      <c r="A101" s="4">
        <v>95</v>
      </c>
      <c r="B101" s="27">
        <v>9.5430053516825097E-3</v>
      </c>
      <c r="C101" s="28">
        <v>9.3077972242471101E-3</v>
      </c>
      <c r="D101" s="29">
        <v>9.0725890968117104E-3</v>
      </c>
      <c r="E101" s="27">
        <v>0.10268799325662301</v>
      </c>
      <c r="F101" s="28">
        <v>0.101422508762279</v>
      </c>
      <c r="G101" s="29">
        <v>0.100157024267935</v>
      </c>
      <c r="H101" s="27">
        <v>0.334647753731034</v>
      </c>
      <c r="I101" s="28">
        <v>0.33261957396556802</v>
      </c>
      <c r="J101" s="29">
        <v>0.33060278950486099</v>
      </c>
      <c r="L101" s="68"/>
      <c r="M101" s="69"/>
      <c r="N101" s="70"/>
      <c r="O101" s="68"/>
      <c r="P101" s="69"/>
      <c r="Q101" s="70"/>
      <c r="R101" s="68"/>
      <c r="S101" s="69"/>
      <c r="T101" s="70"/>
    </row>
    <row r="102" spans="1:20" x14ac:dyDescent="0.2">
      <c r="A102" s="4">
        <v>96</v>
      </c>
      <c r="B102" s="27">
        <v>9.0725890968117104E-3</v>
      </c>
      <c r="C102" s="28">
        <v>8.8489754013551004E-3</v>
      </c>
      <c r="D102" s="29">
        <v>8.6253617058984905E-3</v>
      </c>
      <c r="E102" s="27">
        <v>0.100157024267935</v>
      </c>
      <c r="F102" s="28">
        <v>9.8891539773591997E-2</v>
      </c>
      <c r="G102" s="29">
        <v>9.76260552792481E-2</v>
      </c>
      <c r="H102" s="27">
        <v>0.33060278950486099</v>
      </c>
      <c r="I102" s="28">
        <v>0.32857464737464898</v>
      </c>
      <c r="J102" s="29">
        <v>0.32655782527868699</v>
      </c>
      <c r="L102" s="68"/>
      <c r="M102" s="69"/>
      <c r="N102" s="70"/>
      <c r="O102" s="68"/>
      <c r="P102" s="69"/>
      <c r="Q102" s="70"/>
      <c r="R102" s="68"/>
      <c r="S102" s="69"/>
      <c r="T102" s="70"/>
    </row>
    <row r="103" spans="1:20" x14ac:dyDescent="0.2">
      <c r="A103" s="4">
        <v>97</v>
      </c>
      <c r="B103" s="27">
        <v>8.6253617058984905E-3</v>
      </c>
      <c r="C103" s="28">
        <v>8.4127709024217102E-3</v>
      </c>
      <c r="D103" s="29">
        <v>8.20018009894493E-3</v>
      </c>
      <c r="E103" s="27">
        <v>9.76260552792481E-2</v>
      </c>
      <c r="F103" s="28">
        <v>9.6422952021683203E-2</v>
      </c>
      <c r="G103" s="29">
        <v>9.5219848764118306E-2</v>
      </c>
      <c r="H103" s="27">
        <v>0.32655782527868699</v>
      </c>
      <c r="I103" s="28">
        <v>0.324612521812847</v>
      </c>
      <c r="J103" s="29">
        <v>0.32267831860744101</v>
      </c>
      <c r="L103" s="68"/>
      <c r="M103" s="69"/>
      <c r="N103" s="70"/>
      <c r="O103" s="68"/>
      <c r="P103" s="69"/>
      <c r="Q103" s="70"/>
      <c r="R103" s="68"/>
      <c r="S103" s="69"/>
      <c r="T103" s="70"/>
    </row>
    <row r="104" spans="1:20" x14ac:dyDescent="0.2">
      <c r="A104" s="4">
        <v>98</v>
      </c>
      <c r="B104" s="27">
        <v>8.20018009894493E-3</v>
      </c>
      <c r="C104" s="28">
        <v>7.9980688211423005E-3</v>
      </c>
      <c r="D104" s="29">
        <v>7.7959575433396702E-3</v>
      </c>
      <c r="E104" s="27">
        <v>9.5219848764118306E-2</v>
      </c>
      <c r="F104" s="28">
        <v>9.4016745506553395E-2</v>
      </c>
      <c r="G104" s="29">
        <v>9.2813642248988498E-2</v>
      </c>
      <c r="H104" s="27">
        <v>0.32267831860744101</v>
      </c>
      <c r="I104" s="28">
        <v>0.32073305543602698</v>
      </c>
      <c r="J104" s="29">
        <v>0.31879881193619503</v>
      </c>
      <c r="L104" s="68"/>
      <c r="M104" s="69"/>
      <c r="N104" s="70"/>
      <c r="O104" s="68"/>
      <c r="P104" s="69"/>
      <c r="Q104" s="70"/>
      <c r="R104" s="68"/>
      <c r="S104" s="69"/>
      <c r="T104" s="70"/>
    </row>
    <row r="105" spans="1:20" x14ac:dyDescent="0.2">
      <c r="A105" s="4">
        <v>99</v>
      </c>
      <c r="B105" s="27">
        <v>7.7959575433396702E-3</v>
      </c>
      <c r="C105" s="28">
        <v>7.6038092097948798E-3</v>
      </c>
      <c r="D105" s="29">
        <v>7.4116608762500903E-3</v>
      </c>
      <c r="E105" s="27">
        <v>9.2813642248988498E-2</v>
      </c>
      <c r="F105" s="28">
        <v>9.1669845185624502E-2</v>
      </c>
      <c r="G105" s="29">
        <v>9.0526048122260394E-2</v>
      </c>
      <c r="H105" s="27">
        <v>0.31879881193619503</v>
      </c>
      <c r="I105" s="28">
        <v>0.31685358404074299</v>
      </c>
      <c r="J105" s="29">
        <v>0.31491930526494899</v>
      </c>
      <c r="L105" s="68"/>
      <c r="M105" s="69"/>
      <c r="N105" s="70"/>
      <c r="O105" s="68"/>
      <c r="P105" s="69"/>
      <c r="Q105" s="70"/>
      <c r="R105" s="68"/>
      <c r="S105" s="69"/>
      <c r="T105" s="70"/>
    </row>
    <row r="106" spans="1:20" x14ac:dyDescent="0.2">
      <c r="A106" s="4">
        <v>100</v>
      </c>
      <c r="B106" s="27">
        <v>7.4116608762500903E-3</v>
      </c>
      <c r="C106" s="28">
        <v>7.2289843700924497E-3</v>
      </c>
      <c r="D106" s="29">
        <v>7.0463078639348203E-3</v>
      </c>
      <c r="E106" s="27">
        <v>9.0526048122260394E-2</v>
      </c>
      <c r="F106" s="28">
        <v>8.9382251058896398E-2</v>
      </c>
      <c r="G106" s="29">
        <v>8.8238453995532304E-2</v>
      </c>
      <c r="H106" s="27">
        <v>0.31491930526494899</v>
      </c>
      <c r="I106" s="28">
        <v>0.31297410770887102</v>
      </c>
      <c r="J106" s="29">
        <v>0.31103979859370301</v>
      </c>
      <c r="L106" s="68"/>
      <c r="M106" s="69"/>
      <c r="N106" s="70"/>
      <c r="O106" s="68"/>
      <c r="P106" s="69"/>
      <c r="Q106" s="70"/>
      <c r="R106" s="68"/>
      <c r="S106" s="69"/>
      <c r="T106" s="70"/>
    </row>
    <row r="107" spans="1:20" x14ac:dyDescent="0.2">
      <c r="A107" s="4">
        <v>101</v>
      </c>
      <c r="B107" s="27"/>
      <c r="C107" s="28"/>
      <c r="D107" s="29"/>
      <c r="E107" s="27">
        <v>8.8238453995532304E-2</v>
      </c>
      <c r="F107" s="28">
        <v>8.7151039666019003E-2</v>
      </c>
      <c r="G107" s="29">
        <v>8.6063625336505703E-2</v>
      </c>
      <c r="H107" s="27">
        <v>0.31103979859370301</v>
      </c>
      <c r="I107" s="28">
        <v>0.30917425194182202</v>
      </c>
      <c r="J107" s="29">
        <v>0.30731935420378398</v>
      </c>
      <c r="L107" s="68"/>
      <c r="M107" s="69"/>
      <c r="N107" s="70"/>
      <c r="O107" s="68"/>
      <c r="P107" s="69"/>
      <c r="Q107" s="70"/>
      <c r="R107" s="68"/>
      <c r="S107" s="69"/>
      <c r="T107" s="70"/>
    </row>
    <row r="108" spans="1:20" x14ac:dyDescent="0.2">
      <c r="A108" s="4">
        <v>102</v>
      </c>
      <c r="B108" s="27"/>
      <c r="C108" s="28"/>
      <c r="D108" s="29"/>
      <c r="E108" s="27">
        <v>8.6063625336505703E-2</v>
      </c>
      <c r="F108" s="28">
        <v>8.4976211006992403E-2</v>
      </c>
      <c r="G108" s="29">
        <v>8.3888796677479005E-2</v>
      </c>
      <c r="H108" s="27">
        <v>0.30731935420378398</v>
      </c>
      <c r="I108" s="28">
        <v>0.30545384058620501</v>
      </c>
      <c r="J108" s="29">
        <v>0.303598909813865</v>
      </c>
      <c r="L108" s="68"/>
      <c r="M108" s="69"/>
      <c r="N108" s="70"/>
      <c r="O108" s="68"/>
      <c r="P108" s="69"/>
      <c r="Q108" s="70"/>
      <c r="R108" s="68"/>
      <c r="S108" s="69"/>
      <c r="T108" s="70"/>
    </row>
    <row r="109" spans="1:20" x14ac:dyDescent="0.2">
      <c r="A109" s="4">
        <v>103</v>
      </c>
      <c r="B109" s="27"/>
      <c r="C109" s="28"/>
      <c r="D109" s="29"/>
      <c r="E109" s="27">
        <v>8.3888796677479005E-2</v>
      </c>
      <c r="F109" s="28">
        <v>8.2854985731546801E-2</v>
      </c>
      <c r="G109" s="29">
        <v>8.1821174785614598E-2</v>
      </c>
      <c r="H109" s="27">
        <v>0.303598909813865</v>
      </c>
      <c r="I109" s="28">
        <v>0.30173342464633202</v>
      </c>
      <c r="J109" s="29">
        <v>0.29987846542394597</v>
      </c>
      <c r="L109" s="68"/>
      <c r="M109" s="69"/>
      <c r="N109" s="70"/>
      <c r="O109" s="68"/>
      <c r="P109" s="69"/>
      <c r="Q109" s="70"/>
      <c r="R109" s="68"/>
      <c r="S109" s="69"/>
      <c r="T109" s="70"/>
    </row>
    <row r="110" spans="1:20" x14ac:dyDescent="0.2">
      <c r="A110" s="4">
        <v>104</v>
      </c>
      <c r="B110" s="27"/>
      <c r="C110" s="28"/>
      <c r="D110" s="29"/>
      <c r="E110" s="27">
        <v>8.1821174785614598E-2</v>
      </c>
      <c r="F110" s="28">
        <v>8.0787363839682297E-2</v>
      </c>
      <c r="G110" s="29">
        <v>7.9753552893750093E-2</v>
      </c>
      <c r="H110" s="27">
        <v>0.29987846542394597</v>
      </c>
      <c r="I110" s="28">
        <v>0.298013004183104</v>
      </c>
      <c r="J110" s="29">
        <v>0.296158021034028</v>
      </c>
      <c r="L110" s="68"/>
      <c r="M110" s="69"/>
      <c r="N110" s="70"/>
      <c r="O110" s="68"/>
      <c r="P110" s="69"/>
      <c r="Q110" s="70"/>
      <c r="R110" s="68"/>
      <c r="S110" s="69"/>
      <c r="T110" s="70"/>
    </row>
    <row r="111" spans="1:20" x14ac:dyDescent="0.2">
      <c r="A111" s="4">
        <v>105</v>
      </c>
      <c r="B111" s="27"/>
      <c r="C111" s="28"/>
      <c r="D111" s="29"/>
      <c r="E111" s="27">
        <v>7.9753552893750093E-2</v>
      </c>
      <c r="F111" s="28">
        <v>7.8770702987396801E-2</v>
      </c>
      <c r="G111" s="29">
        <v>7.7787853081043606E-2</v>
      </c>
      <c r="H111" s="27">
        <v>0.296158021034028</v>
      </c>
      <c r="I111" s="28">
        <v>0.294369137882391</v>
      </c>
      <c r="J111" s="29">
        <v>0.29259047685074102</v>
      </c>
      <c r="L111" s="68"/>
      <c r="M111" s="69"/>
      <c r="N111" s="70"/>
      <c r="O111" s="68"/>
      <c r="P111" s="69"/>
      <c r="Q111" s="70"/>
      <c r="R111" s="68"/>
      <c r="S111" s="69"/>
      <c r="T111" s="70"/>
    </row>
    <row r="112" spans="1:20" x14ac:dyDescent="0.2">
      <c r="A112" s="4">
        <v>106</v>
      </c>
      <c r="B112" s="27"/>
      <c r="C112" s="28"/>
      <c r="D112" s="29"/>
      <c r="E112" s="27">
        <v>7.7787853081043606E-2</v>
      </c>
      <c r="F112" s="28">
        <v>7.6805003174690398E-2</v>
      </c>
      <c r="G112" s="29">
        <v>7.5822153268337106E-2</v>
      </c>
      <c r="H112" s="27">
        <v>0.29259047685074102</v>
      </c>
      <c r="I112" s="28">
        <v>0.29080162034448398</v>
      </c>
      <c r="J112" s="29">
        <v>0.28902293266745399</v>
      </c>
      <c r="L112" s="68"/>
      <c r="M112" s="69"/>
      <c r="N112" s="70"/>
      <c r="O112" s="68"/>
      <c r="P112" s="69"/>
      <c r="Q112" s="70"/>
      <c r="R112" s="68"/>
      <c r="S112" s="69"/>
      <c r="T112" s="70"/>
    </row>
    <row r="113" spans="1:20" x14ac:dyDescent="0.2">
      <c r="A113" s="4">
        <v>107</v>
      </c>
      <c r="B113" s="27"/>
      <c r="C113" s="28"/>
      <c r="D113" s="29"/>
      <c r="E113" s="27">
        <v>7.5822153268337106E-2</v>
      </c>
      <c r="F113" s="28">
        <v>7.4887752310193401E-2</v>
      </c>
      <c r="G113" s="29">
        <v>7.3953351352049695E-2</v>
      </c>
      <c r="H113" s="27">
        <v>0.28902293266745399</v>
      </c>
      <c r="I113" s="28">
        <v>0.287234098597905</v>
      </c>
      <c r="J113" s="29">
        <v>0.28545538848416702</v>
      </c>
      <c r="L113" s="68"/>
      <c r="M113" s="69"/>
      <c r="N113" s="70"/>
      <c r="O113" s="68"/>
      <c r="P113" s="69"/>
      <c r="Q113" s="70"/>
      <c r="R113" s="68"/>
      <c r="S113" s="69"/>
      <c r="T113" s="70"/>
    </row>
    <row r="114" spans="1:20" x14ac:dyDescent="0.2">
      <c r="A114" s="4">
        <v>108</v>
      </c>
      <c r="B114" s="27"/>
      <c r="C114" s="28"/>
      <c r="D114" s="29"/>
      <c r="E114" s="27">
        <v>7.3953351352049695E-2</v>
      </c>
      <c r="F114" s="28">
        <v>7.3018950393906004E-2</v>
      </c>
      <c r="G114" s="29">
        <v>7.2084549435762299E-2</v>
      </c>
      <c r="H114" s="27">
        <v>0.28545538848416702</v>
      </c>
      <c r="I114" s="28">
        <v>0.283666572686328</v>
      </c>
      <c r="J114" s="29">
        <v>0.28188784430087999</v>
      </c>
      <c r="L114" s="68"/>
      <c r="M114" s="69"/>
      <c r="N114" s="70"/>
      <c r="O114" s="68"/>
      <c r="P114" s="69"/>
      <c r="Q114" s="70"/>
      <c r="R114" s="68"/>
      <c r="S114" s="69"/>
      <c r="T114" s="70"/>
    </row>
    <row r="115" spans="1:20" x14ac:dyDescent="0.2">
      <c r="A115" s="4">
        <v>109</v>
      </c>
      <c r="B115" s="27"/>
      <c r="C115" s="28"/>
      <c r="D115" s="29"/>
      <c r="E115" s="27">
        <v>7.2084549435762299E-2</v>
      </c>
      <c r="F115" s="28">
        <v>7.1196209166372093E-2</v>
      </c>
      <c r="G115" s="29">
        <v>7.0307868896981998E-2</v>
      </c>
      <c r="H115" s="27">
        <v>0.28188784430087999</v>
      </c>
      <c r="I115" s="28">
        <v>0.28017264498088501</v>
      </c>
      <c r="J115" s="29">
        <v>0.27846726351824003</v>
      </c>
      <c r="L115" s="68"/>
      <c r="M115" s="69"/>
      <c r="N115" s="70"/>
      <c r="O115" s="68"/>
      <c r="P115" s="69"/>
      <c r="Q115" s="70"/>
      <c r="R115" s="68"/>
      <c r="S115" s="69"/>
      <c r="T115" s="70"/>
    </row>
    <row r="116" spans="1:20" x14ac:dyDescent="0.2">
      <c r="A116" s="4">
        <v>110</v>
      </c>
      <c r="B116" s="27"/>
      <c r="C116" s="28"/>
      <c r="D116" s="29"/>
      <c r="E116" s="27">
        <v>7.0307868896981998E-2</v>
      </c>
      <c r="F116" s="28">
        <v>6.9419528627591903E-2</v>
      </c>
      <c r="G116" s="29">
        <v>6.8531188358201794E-2</v>
      </c>
      <c r="H116" s="27">
        <v>0.27846726351824003</v>
      </c>
      <c r="I116" s="28">
        <v>0.27675208520288003</v>
      </c>
      <c r="J116" s="29">
        <v>0.27504668273560101</v>
      </c>
      <c r="L116" s="68"/>
      <c r="M116" s="69"/>
      <c r="N116" s="70"/>
      <c r="O116" s="68"/>
      <c r="P116" s="69"/>
      <c r="Q116" s="70"/>
      <c r="R116" s="68"/>
      <c r="S116" s="69"/>
      <c r="T116" s="70"/>
    </row>
    <row r="117" spans="1:20" x14ac:dyDescent="0.2">
      <c r="A117" s="4">
        <v>111</v>
      </c>
      <c r="B117" s="27"/>
      <c r="C117" s="28"/>
      <c r="D117" s="29"/>
      <c r="E117" s="27">
        <v>6.8531188358201794E-2</v>
      </c>
      <c r="F117" s="28">
        <v>6.7686638245809005E-2</v>
      </c>
      <c r="G117" s="29">
        <v>6.68420881334163E-2</v>
      </c>
      <c r="H117" s="27">
        <v>0.27504668273560101</v>
      </c>
      <c r="I117" s="28">
        <v>0.27333152154275803</v>
      </c>
      <c r="J117" s="29">
        <v>0.271626101952961</v>
      </c>
      <c r="L117" s="68"/>
      <c r="M117" s="69"/>
      <c r="N117" s="70"/>
      <c r="O117" s="68"/>
      <c r="P117" s="69"/>
      <c r="Q117" s="70"/>
      <c r="R117" s="68"/>
      <c r="S117" s="69"/>
      <c r="T117" s="70"/>
    </row>
    <row r="118" spans="1:20" x14ac:dyDescent="0.2">
      <c r="A118" s="4">
        <v>112</v>
      </c>
      <c r="B118" s="27"/>
      <c r="C118" s="28"/>
      <c r="D118" s="29"/>
      <c r="E118" s="27">
        <v>6.68420881334163E-2</v>
      </c>
      <c r="F118" s="28">
        <v>6.5997538021023594E-2</v>
      </c>
      <c r="G118" s="29">
        <v>6.5152987908630902E-2</v>
      </c>
      <c r="H118" s="27">
        <v>0.271626101952961</v>
      </c>
      <c r="I118" s="28">
        <v>0.26991095402994397</v>
      </c>
      <c r="J118" s="29">
        <v>0.26820552117032098</v>
      </c>
      <c r="L118" s="68"/>
      <c r="M118" s="69"/>
      <c r="N118" s="70"/>
      <c r="O118" s="68"/>
      <c r="P118" s="69"/>
      <c r="Q118" s="70"/>
      <c r="R118" s="68"/>
      <c r="S118" s="69"/>
      <c r="T118" s="70"/>
    </row>
    <row r="119" spans="1:20" x14ac:dyDescent="0.2">
      <c r="A119" s="4">
        <v>113</v>
      </c>
      <c r="B119" s="27"/>
      <c r="C119" s="28"/>
      <c r="D119" s="29"/>
      <c r="E119" s="27">
        <v>6.5152987908630902E-2</v>
      </c>
      <c r="F119" s="28">
        <v>6.4350069345868705E-2</v>
      </c>
      <c r="G119" s="29">
        <v>6.3547150783106507E-2</v>
      </c>
      <c r="H119" s="27">
        <v>0.26820552117032098</v>
      </c>
      <c r="I119" s="28">
        <v>0.26656113566777601</v>
      </c>
      <c r="J119" s="29">
        <v>0.26492618456754702</v>
      </c>
      <c r="L119" s="68"/>
      <c r="M119" s="69"/>
      <c r="N119" s="70"/>
      <c r="O119" s="68"/>
      <c r="P119" s="69"/>
      <c r="Q119" s="70"/>
      <c r="R119" s="68"/>
      <c r="S119" s="69"/>
      <c r="T119" s="70"/>
    </row>
    <row r="120" spans="1:20" x14ac:dyDescent="0.2">
      <c r="A120" s="4">
        <v>114</v>
      </c>
      <c r="B120" s="27"/>
      <c r="C120" s="28"/>
      <c r="D120" s="29"/>
      <c r="E120" s="27">
        <v>6.3547150783106507E-2</v>
      </c>
      <c r="F120" s="28">
        <v>6.2744232220344198E-2</v>
      </c>
      <c r="G120" s="29">
        <v>6.1941313657582001E-2</v>
      </c>
      <c r="H120" s="27">
        <v>0.26492618456754702</v>
      </c>
      <c r="I120" s="28">
        <v>0.26328181507435799</v>
      </c>
      <c r="J120" s="29">
        <v>0.261646847964773</v>
      </c>
      <c r="L120" s="68"/>
      <c r="M120" s="69"/>
      <c r="N120" s="70"/>
      <c r="O120" s="68"/>
      <c r="P120" s="69"/>
      <c r="Q120" s="70"/>
      <c r="R120" s="68"/>
      <c r="S120" s="69"/>
      <c r="T120" s="70"/>
    </row>
    <row r="121" spans="1:20" x14ac:dyDescent="0.2">
      <c r="A121" s="4">
        <v>115</v>
      </c>
      <c r="B121" s="27"/>
      <c r="C121" s="28"/>
      <c r="D121" s="29"/>
      <c r="E121" s="27">
        <v>6.1941313657582001E-2</v>
      </c>
      <c r="F121" s="28">
        <v>6.1177974444232397E-2</v>
      </c>
      <c r="G121" s="29">
        <v>6.04146352308828E-2</v>
      </c>
      <c r="H121" s="27">
        <v>0.261646847964773</v>
      </c>
      <c r="I121" s="28">
        <v>0.26000249088405902</v>
      </c>
      <c r="J121" s="29">
        <v>0.25836751136199798</v>
      </c>
      <c r="L121" s="68"/>
      <c r="M121" s="69"/>
      <c r="N121" s="70"/>
      <c r="O121" s="68"/>
      <c r="P121" s="69"/>
      <c r="Q121" s="70"/>
      <c r="R121" s="68"/>
      <c r="S121" s="69"/>
      <c r="T121" s="70"/>
    </row>
    <row r="122" spans="1:20" x14ac:dyDescent="0.2">
      <c r="A122" s="4">
        <v>116</v>
      </c>
      <c r="B122" s="27"/>
      <c r="C122" s="28"/>
      <c r="D122" s="29"/>
      <c r="E122" s="27">
        <v>6.04146352308828E-2</v>
      </c>
      <c r="F122" s="28">
        <v>5.9651296017533197E-2</v>
      </c>
      <c r="G122" s="29">
        <v>5.88879568041836E-2</v>
      </c>
      <c r="H122" s="27">
        <v>0.25836751136199798</v>
      </c>
      <c r="I122" s="28">
        <v>0.25672316311444598</v>
      </c>
      <c r="J122" s="29">
        <v>0.25508817475922402</v>
      </c>
      <c r="L122" s="68"/>
      <c r="M122" s="69"/>
      <c r="N122" s="70"/>
      <c r="O122" s="68"/>
      <c r="P122" s="69"/>
      <c r="Q122" s="70"/>
      <c r="R122" s="68"/>
      <c r="S122" s="69"/>
      <c r="T122" s="70"/>
    </row>
    <row r="123" spans="1:20" x14ac:dyDescent="0.2">
      <c r="A123" s="4">
        <v>117</v>
      </c>
      <c r="B123" s="27"/>
      <c r="C123" s="28"/>
      <c r="D123" s="29"/>
      <c r="E123" s="27">
        <v>5.88879568041836E-2</v>
      </c>
      <c r="F123" s="28">
        <v>5.8162245901906599E-2</v>
      </c>
      <c r="G123" s="29">
        <v>5.7436534999629502E-2</v>
      </c>
      <c r="H123" s="27">
        <v>0.25508817475922402</v>
      </c>
      <c r="I123" s="28">
        <v>0.25351183887263601</v>
      </c>
      <c r="J123" s="29">
        <v>0.25194457325713299</v>
      </c>
      <c r="L123" s="68"/>
      <c r="M123" s="69"/>
      <c r="N123" s="70"/>
      <c r="O123" s="68"/>
      <c r="P123" s="69"/>
      <c r="Q123" s="70"/>
      <c r="R123" s="68"/>
      <c r="S123" s="69"/>
      <c r="T123" s="70"/>
    </row>
    <row r="124" spans="1:20" x14ac:dyDescent="0.2">
      <c r="A124" s="4">
        <v>118</v>
      </c>
      <c r="B124" s="27"/>
      <c r="C124" s="28"/>
      <c r="D124" s="29"/>
      <c r="E124" s="27">
        <v>5.7436534999629502E-2</v>
      </c>
      <c r="F124" s="28">
        <v>5.6710824097352397E-2</v>
      </c>
      <c r="G124" s="29">
        <v>5.5985113195075403E-2</v>
      </c>
      <c r="H124" s="27">
        <v>0.25194457325713299</v>
      </c>
      <c r="I124" s="28">
        <v>0.25036824894367898</v>
      </c>
      <c r="J124" s="29">
        <v>0.24880097175504101</v>
      </c>
      <c r="L124" s="68"/>
      <c r="M124" s="69"/>
      <c r="N124" s="70"/>
      <c r="O124" s="68"/>
      <c r="P124" s="69"/>
      <c r="Q124" s="70"/>
      <c r="R124" s="68"/>
      <c r="S124" s="69"/>
      <c r="T124" s="70"/>
    </row>
    <row r="125" spans="1:20" x14ac:dyDescent="0.2">
      <c r="A125" s="4">
        <v>119</v>
      </c>
      <c r="B125" s="27"/>
      <c r="C125" s="28"/>
      <c r="D125" s="29"/>
      <c r="E125" s="27">
        <v>5.5985113195075403E-2</v>
      </c>
      <c r="F125" s="28">
        <v>5.52951757406994E-2</v>
      </c>
      <c r="G125" s="29">
        <v>5.4605238286323403E-2</v>
      </c>
      <c r="H125" s="27">
        <v>0.24880097175504101</v>
      </c>
      <c r="I125" s="28">
        <v>0.247224655668007</v>
      </c>
      <c r="J125" s="29">
        <v>0.24565737025295001</v>
      </c>
      <c r="L125" s="68"/>
      <c r="M125" s="69"/>
      <c r="N125" s="70"/>
      <c r="O125" s="68"/>
      <c r="P125" s="69"/>
      <c r="Q125" s="70"/>
      <c r="R125" s="68"/>
      <c r="S125" s="69"/>
      <c r="T125" s="70"/>
    </row>
    <row r="126" spans="1:20" x14ac:dyDescent="0.2">
      <c r="A126" s="4">
        <v>120</v>
      </c>
      <c r="B126" s="27"/>
      <c r="C126" s="28"/>
      <c r="D126" s="29"/>
      <c r="E126" s="27">
        <v>5.4605238286323403E-2</v>
      </c>
      <c r="F126" s="28">
        <v>5.3915300831947399E-2</v>
      </c>
      <c r="G126" s="29">
        <v>5.3225363377571402E-2</v>
      </c>
      <c r="H126" s="27">
        <v>0.24565737025295001</v>
      </c>
      <c r="I126" s="28">
        <v>0.244081059053255</v>
      </c>
      <c r="J126" s="29">
        <v>0.24251376875085801</v>
      </c>
      <c r="L126" s="68"/>
      <c r="M126" s="69"/>
      <c r="N126" s="70"/>
      <c r="O126" s="68"/>
      <c r="P126" s="69"/>
      <c r="Q126" s="70"/>
      <c r="R126" s="68"/>
      <c r="S126" s="69"/>
      <c r="T126" s="70"/>
    </row>
    <row r="127" spans="1:20" x14ac:dyDescent="0.2">
      <c r="A127" s="4">
        <v>121</v>
      </c>
      <c r="B127" s="27"/>
      <c r="C127" s="28"/>
      <c r="D127" s="29"/>
      <c r="E127" s="27">
        <v>5.3225363377571402E-2</v>
      </c>
      <c r="F127" s="28">
        <v>5.2569435942201197E-2</v>
      </c>
      <c r="G127" s="29">
        <v>5.1913508506830901E-2</v>
      </c>
      <c r="H127" s="27">
        <v>0.24251376875085801</v>
      </c>
      <c r="I127" s="28">
        <v>0.24101511242735299</v>
      </c>
      <c r="J127" s="29">
        <v>0.23952512904444001</v>
      </c>
      <c r="L127" s="68"/>
      <c r="M127" s="69"/>
      <c r="N127" s="70"/>
      <c r="O127" s="68"/>
      <c r="P127" s="69"/>
      <c r="Q127" s="70"/>
      <c r="R127" s="68"/>
      <c r="S127" s="69"/>
      <c r="T127" s="70"/>
    </row>
    <row r="128" spans="1:20" x14ac:dyDescent="0.2">
      <c r="A128" s="4">
        <v>122</v>
      </c>
      <c r="B128" s="27"/>
      <c r="C128" s="28"/>
      <c r="D128" s="29"/>
      <c r="E128" s="27">
        <v>5.1913508506830901E-2</v>
      </c>
      <c r="F128" s="28">
        <v>5.1257581071460702E-2</v>
      </c>
      <c r="G128" s="29">
        <v>5.0601653636090399E-2</v>
      </c>
      <c r="H128" s="27">
        <v>0.23952512904444001</v>
      </c>
      <c r="I128" s="28">
        <v>0.23802648203700499</v>
      </c>
      <c r="J128" s="29">
        <v>0.23653648933802299</v>
      </c>
      <c r="L128" s="68"/>
      <c r="M128" s="69"/>
      <c r="N128" s="70"/>
      <c r="O128" s="68"/>
      <c r="P128" s="69"/>
      <c r="Q128" s="70"/>
      <c r="R128" s="68"/>
      <c r="S128" s="69"/>
      <c r="T128" s="70"/>
    </row>
    <row r="129" spans="1:20" x14ac:dyDescent="0.2">
      <c r="A129" s="4">
        <v>123</v>
      </c>
      <c r="B129" s="27"/>
      <c r="C129" s="28"/>
      <c r="D129" s="29"/>
      <c r="E129" s="27">
        <v>5.0601653636090399E-2</v>
      </c>
      <c r="F129" s="28">
        <v>4.9978059717913401E-2</v>
      </c>
      <c r="G129" s="29">
        <v>4.9354465799736402E-2</v>
      </c>
      <c r="H129" s="27">
        <v>0.23653648933802299</v>
      </c>
      <c r="I129" s="28">
        <v>0.23503784855870399</v>
      </c>
      <c r="J129" s="29">
        <v>0.23354784963160499</v>
      </c>
      <c r="L129" s="68"/>
      <c r="M129" s="69"/>
      <c r="N129" s="70"/>
      <c r="O129" s="68"/>
      <c r="P129" s="69"/>
      <c r="Q129" s="70"/>
      <c r="R129" s="68"/>
      <c r="S129" s="69"/>
      <c r="T129" s="70"/>
    </row>
    <row r="130" spans="1:20" x14ac:dyDescent="0.2">
      <c r="A130" s="4">
        <v>124</v>
      </c>
      <c r="B130" s="27"/>
      <c r="C130" s="28"/>
      <c r="D130" s="29"/>
      <c r="E130" s="27">
        <v>4.9354465799736402E-2</v>
      </c>
      <c r="F130" s="28">
        <v>4.8730871881559397E-2</v>
      </c>
      <c r="G130" s="29">
        <v>4.8107277963382399E-2</v>
      </c>
      <c r="H130" s="27">
        <v>0.23354784963160499</v>
      </c>
      <c r="I130" s="28">
        <v>0.232049211994409</v>
      </c>
      <c r="J130" s="29">
        <v>0.230559209925187</v>
      </c>
      <c r="L130" s="68"/>
      <c r="M130" s="69"/>
      <c r="N130" s="70"/>
      <c r="O130" s="68"/>
      <c r="P130" s="69"/>
      <c r="Q130" s="70"/>
      <c r="R130" s="68"/>
      <c r="S130" s="69"/>
      <c r="T130" s="70"/>
    </row>
    <row r="131" spans="1:20" x14ac:dyDescent="0.2">
      <c r="A131" s="4">
        <v>125</v>
      </c>
      <c r="B131" s="27"/>
      <c r="C131" s="28"/>
      <c r="D131" s="29"/>
      <c r="E131" s="27">
        <v>4.8107277963382399E-2</v>
      </c>
      <c r="F131" s="28">
        <v>4.75144237026549E-2</v>
      </c>
      <c r="G131" s="29">
        <v>4.6921569441927401E-2</v>
      </c>
      <c r="H131" s="27">
        <v>0.230559209925187</v>
      </c>
      <c r="I131" s="28">
        <v>0.22913440759076001</v>
      </c>
      <c r="J131" s="29">
        <v>0.227717893273304</v>
      </c>
      <c r="L131" s="68"/>
      <c r="M131" s="69"/>
      <c r="N131" s="70"/>
      <c r="O131" s="68"/>
      <c r="P131" s="69"/>
      <c r="Q131" s="70"/>
      <c r="R131" s="68"/>
      <c r="S131" s="69"/>
      <c r="T131" s="70"/>
    </row>
    <row r="132" spans="1:20" x14ac:dyDescent="0.2">
      <c r="A132" s="4">
        <v>126</v>
      </c>
      <c r="B132" s="27"/>
      <c r="C132" s="28"/>
      <c r="D132" s="29"/>
      <c r="E132" s="27">
        <v>4.6921569441927401E-2</v>
      </c>
      <c r="F132" s="28">
        <v>4.6328715181199798E-2</v>
      </c>
      <c r="G132" s="29">
        <v>4.5735860920472299E-2</v>
      </c>
      <c r="H132" s="27">
        <v>0.227717893273304</v>
      </c>
      <c r="I132" s="28">
        <v>0.226293098246383</v>
      </c>
      <c r="J132" s="29">
        <v>0.22487657662142099</v>
      </c>
      <c r="L132" s="68"/>
      <c r="M132" s="69"/>
      <c r="N132" s="70"/>
      <c r="O132" s="68"/>
      <c r="P132" s="69"/>
      <c r="Q132" s="70"/>
      <c r="R132" s="68"/>
      <c r="S132" s="69"/>
      <c r="T132" s="70"/>
    </row>
    <row r="133" spans="1:20" x14ac:dyDescent="0.2">
      <c r="A133" s="4">
        <v>127</v>
      </c>
      <c r="B133" s="27"/>
      <c r="C133" s="28"/>
      <c r="D133" s="29"/>
      <c r="E133" s="27">
        <v>4.5735860920472299E-2</v>
      </c>
      <c r="F133" s="28">
        <v>4.5172231025732E-2</v>
      </c>
      <c r="G133" s="29">
        <v>4.4608601130991701E-2</v>
      </c>
      <c r="H133" s="27">
        <v>0.22487657662142099</v>
      </c>
      <c r="I133" s="28">
        <v>0.22345178604877899</v>
      </c>
      <c r="J133" s="29">
        <v>0.22203525996953799</v>
      </c>
      <c r="L133" s="68"/>
      <c r="M133" s="69"/>
      <c r="N133" s="70"/>
      <c r="O133" s="68"/>
      <c r="P133" s="69"/>
      <c r="Q133" s="70"/>
      <c r="R133" s="68"/>
      <c r="S133" s="69"/>
      <c r="T133" s="70"/>
    </row>
    <row r="134" spans="1:20" x14ac:dyDescent="0.2">
      <c r="A134" s="4">
        <v>128</v>
      </c>
      <c r="B134" s="27"/>
      <c r="C134" s="28"/>
      <c r="D134" s="29"/>
      <c r="E134" s="27">
        <v>4.4608601130991701E-2</v>
      </c>
      <c r="F134" s="28">
        <v>4.4044971236251299E-2</v>
      </c>
      <c r="G134" s="29">
        <v>4.3481341341511E-2</v>
      </c>
      <c r="H134" s="27">
        <v>0.22203525996953799</v>
      </c>
      <c r="I134" s="28">
        <v>0.220610470995309</v>
      </c>
      <c r="J134" s="29">
        <v>0.21919394331765499</v>
      </c>
      <c r="L134" s="68"/>
      <c r="M134" s="69"/>
      <c r="N134" s="70"/>
      <c r="O134" s="68"/>
      <c r="P134" s="69"/>
      <c r="Q134" s="70"/>
      <c r="R134" s="68"/>
      <c r="S134" s="69"/>
      <c r="T134" s="70"/>
    </row>
    <row r="135" spans="1:20" x14ac:dyDescent="0.2">
      <c r="A135" s="4">
        <v>129</v>
      </c>
      <c r="B135" s="27"/>
      <c r="C135" s="28"/>
      <c r="D135" s="29"/>
      <c r="E135" s="27">
        <v>4.3481341341511E-2</v>
      </c>
      <c r="F135" s="28">
        <v>4.2945495216604797E-2</v>
      </c>
      <c r="G135" s="29">
        <v>4.2409649091698601E-2</v>
      </c>
      <c r="H135" s="27">
        <v>0.21919394331765499</v>
      </c>
      <c r="I135" s="28">
        <v>0.21783935740187599</v>
      </c>
      <c r="J135" s="29">
        <v>0.21649268752595399</v>
      </c>
      <c r="L135" s="68"/>
      <c r="M135" s="69"/>
      <c r="N135" s="70"/>
      <c r="O135" s="68"/>
      <c r="P135" s="69"/>
      <c r="Q135" s="70"/>
      <c r="R135" s="68"/>
      <c r="S135" s="69"/>
      <c r="T135" s="70"/>
    </row>
    <row r="136" spans="1:20" x14ac:dyDescent="0.2">
      <c r="A136" s="4">
        <v>130</v>
      </c>
      <c r="B136" s="27"/>
      <c r="C136" s="28"/>
      <c r="D136" s="29"/>
      <c r="E136" s="27">
        <v>4.2409649091698601E-2</v>
      </c>
      <c r="F136" s="28">
        <v>4.1873802966792398E-2</v>
      </c>
      <c r="G136" s="29">
        <v>4.1337956841886299E-2</v>
      </c>
      <c r="H136" s="27">
        <v>0.21649268752595399</v>
      </c>
      <c r="I136" s="28">
        <v>0.21513810713640699</v>
      </c>
      <c r="J136" s="29">
        <v>0.21379143173425399</v>
      </c>
      <c r="L136" s="68"/>
      <c r="M136" s="69"/>
      <c r="N136" s="70"/>
      <c r="O136" s="68"/>
      <c r="P136" s="69"/>
      <c r="Q136" s="70"/>
      <c r="R136" s="68"/>
      <c r="S136" s="69"/>
      <c r="T136" s="70"/>
    </row>
    <row r="137" spans="1:20" x14ac:dyDescent="0.2">
      <c r="A137" s="4">
        <v>131</v>
      </c>
      <c r="B137" s="27"/>
      <c r="C137" s="28"/>
      <c r="D137" s="29"/>
      <c r="E137" s="27">
        <v>4.1337956841886299E-2</v>
      </c>
      <c r="F137" s="28">
        <v>4.08285249039134E-2</v>
      </c>
      <c r="G137" s="29">
        <v>4.0319092965940599E-2</v>
      </c>
      <c r="H137" s="27">
        <v>0.21379143173425399</v>
      </c>
      <c r="I137" s="28">
        <v>0.21243685423101599</v>
      </c>
      <c r="J137" s="29">
        <v>0.211090175942553</v>
      </c>
      <c r="L137" s="68"/>
      <c r="M137" s="69"/>
      <c r="N137" s="70"/>
      <c r="O137" s="68"/>
      <c r="P137" s="69"/>
      <c r="Q137" s="70"/>
      <c r="R137" s="68"/>
      <c r="S137" s="69"/>
      <c r="T137" s="70"/>
    </row>
    <row r="138" spans="1:20" x14ac:dyDescent="0.2">
      <c r="A138" s="4">
        <v>132</v>
      </c>
      <c r="B138" s="27"/>
      <c r="C138" s="28"/>
      <c r="D138" s="29"/>
      <c r="E138" s="27">
        <v>4.0319092965940599E-2</v>
      </c>
      <c r="F138" s="28">
        <v>3.9809661027967798E-2</v>
      </c>
      <c r="G138" s="29">
        <v>3.9300229089994899E-2</v>
      </c>
      <c r="H138" s="27">
        <v>0.211090175942553</v>
      </c>
      <c r="I138" s="28">
        <v>0.20973559867934799</v>
      </c>
      <c r="J138" s="29">
        <v>0.208388920150852</v>
      </c>
      <c r="L138" s="68"/>
      <c r="M138" s="69"/>
      <c r="N138" s="70"/>
      <c r="O138" s="68"/>
      <c r="P138" s="69"/>
      <c r="Q138" s="70"/>
      <c r="R138" s="68"/>
      <c r="S138" s="69"/>
      <c r="T138" s="70"/>
    </row>
    <row r="139" spans="1:20" x14ac:dyDescent="0.2">
      <c r="A139" s="4">
        <v>133</v>
      </c>
      <c r="B139" s="27"/>
      <c r="C139" s="28"/>
      <c r="D139" s="29"/>
      <c r="E139" s="27">
        <v>3.9300229089994899E-2</v>
      </c>
      <c r="F139" s="28">
        <v>3.8815909268754903E-2</v>
      </c>
      <c r="G139" s="29">
        <v>3.8331589447514802E-2</v>
      </c>
      <c r="H139" s="27">
        <v>0.208388920150852</v>
      </c>
      <c r="I139" s="28">
        <v>0.20710109192176099</v>
      </c>
      <c r="J139" s="29">
        <v>0.20582082101013799</v>
      </c>
      <c r="L139" s="68"/>
      <c r="M139" s="69"/>
      <c r="N139" s="70"/>
      <c r="O139" s="68"/>
      <c r="P139" s="69"/>
      <c r="Q139" s="70"/>
      <c r="R139" s="68"/>
      <c r="S139" s="69"/>
      <c r="T139" s="70"/>
    </row>
    <row r="140" spans="1:20" x14ac:dyDescent="0.2">
      <c r="A140" s="4">
        <v>134</v>
      </c>
      <c r="B140" s="27"/>
      <c r="C140" s="28"/>
      <c r="D140" s="29"/>
      <c r="E140" s="27">
        <v>3.8331589447514802E-2</v>
      </c>
      <c r="F140" s="28">
        <v>3.7847269626274702E-2</v>
      </c>
      <c r="G140" s="29">
        <v>3.7362949805034601E-2</v>
      </c>
      <c r="H140" s="27">
        <v>0.20582082101013799</v>
      </c>
      <c r="I140" s="28">
        <v>0.20453299673289499</v>
      </c>
      <c r="J140" s="29">
        <v>0.203252721869424</v>
      </c>
      <c r="L140" s="68"/>
      <c r="M140" s="69"/>
      <c r="N140" s="70"/>
      <c r="O140" s="68"/>
      <c r="P140" s="69"/>
      <c r="Q140" s="70"/>
      <c r="R140" s="68"/>
      <c r="S140" s="69"/>
      <c r="T140" s="70"/>
    </row>
    <row r="141" spans="1:20" x14ac:dyDescent="0.2">
      <c r="A141" s="4">
        <v>135</v>
      </c>
      <c r="B141" s="27"/>
      <c r="C141" s="28"/>
      <c r="D141" s="29"/>
      <c r="E141" s="27">
        <v>3.7362949805034601E-2</v>
      </c>
      <c r="F141" s="28">
        <v>3.6902504215032099E-2</v>
      </c>
      <c r="G141" s="29">
        <v>3.6442058625029597E-2</v>
      </c>
      <c r="H141" s="27">
        <v>0.203252721869424</v>
      </c>
      <c r="I141" s="28">
        <v>0.20196489909828999</v>
      </c>
      <c r="J141" s="29">
        <v>0.20068462272871099</v>
      </c>
      <c r="L141" s="68"/>
      <c r="M141" s="69"/>
      <c r="N141" s="70"/>
      <c r="O141" s="68"/>
      <c r="P141" s="69"/>
      <c r="Q141" s="70"/>
      <c r="R141" s="68"/>
      <c r="S141" s="69"/>
      <c r="T141" s="70"/>
    </row>
    <row r="142" spans="1:20" x14ac:dyDescent="0.2">
      <c r="A142" s="4">
        <v>136</v>
      </c>
      <c r="B142" s="27"/>
      <c r="C142" s="28"/>
      <c r="D142" s="29"/>
      <c r="E142" s="27">
        <v>3.6442058625029597E-2</v>
      </c>
      <c r="F142" s="28">
        <v>3.5981613035027102E-2</v>
      </c>
      <c r="G142" s="29">
        <v>3.55211674450246E-2</v>
      </c>
      <c r="H142" s="27">
        <v>0.20068462272871099</v>
      </c>
      <c r="I142" s="28">
        <v>0.19939679900861901</v>
      </c>
      <c r="J142" s="29">
        <v>0.198116523587997</v>
      </c>
      <c r="L142" s="68"/>
      <c r="M142" s="69"/>
      <c r="N142" s="70"/>
      <c r="O142" s="68"/>
      <c r="P142" s="69"/>
      <c r="Q142" s="70"/>
      <c r="R142" s="68"/>
      <c r="S142" s="69"/>
      <c r="T142" s="70"/>
    </row>
    <row r="143" spans="1:20" x14ac:dyDescent="0.2">
      <c r="A143" s="4">
        <v>137</v>
      </c>
      <c r="B143" s="27"/>
      <c r="C143" s="28"/>
      <c r="D143" s="29"/>
      <c r="E143" s="27">
        <v>3.55211674450246E-2</v>
      </c>
      <c r="F143" s="28">
        <v>3.5083419221526503E-2</v>
      </c>
      <c r="G143" s="29">
        <v>3.4645670998028399E-2</v>
      </c>
      <c r="H143" s="27">
        <v>0.198116523587997</v>
      </c>
      <c r="I143" s="28">
        <v>0.196892164418666</v>
      </c>
      <c r="J143" s="29">
        <v>0.19567501722758501</v>
      </c>
      <c r="L143" s="68"/>
      <c r="M143" s="69"/>
      <c r="N143" s="70"/>
      <c r="O143" s="68"/>
      <c r="P143" s="69"/>
      <c r="Q143" s="70"/>
      <c r="R143" s="68"/>
      <c r="S143" s="69"/>
      <c r="T143" s="70"/>
    </row>
    <row r="144" spans="1:20" x14ac:dyDescent="0.2">
      <c r="A144" s="4">
        <v>138</v>
      </c>
      <c r="B144" s="27"/>
      <c r="C144" s="28"/>
      <c r="D144" s="29"/>
      <c r="E144" s="27">
        <v>3.4645670998028399E-2</v>
      </c>
      <c r="F144" s="28">
        <v>3.4207922774530303E-2</v>
      </c>
      <c r="G144" s="29">
        <v>3.3770174551032303E-2</v>
      </c>
      <c r="H144" s="27">
        <v>0.19567501722758501</v>
      </c>
      <c r="I144" s="28">
        <v>0.19445066062333</v>
      </c>
      <c r="J144" s="29">
        <v>0.193233510867174</v>
      </c>
      <c r="L144" s="68"/>
      <c r="M144" s="69"/>
      <c r="N144" s="70"/>
      <c r="O144" s="68"/>
      <c r="P144" s="69"/>
      <c r="Q144" s="70"/>
      <c r="R144" s="68"/>
      <c r="S144" s="69"/>
      <c r="T144" s="70"/>
    </row>
    <row r="145" spans="1:20" x14ac:dyDescent="0.2">
      <c r="A145" s="4">
        <v>139</v>
      </c>
      <c r="B145" s="27"/>
      <c r="C145" s="28"/>
      <c r="D145" s="29"/>
      <c r="E145" s="27">
        <v>3.3770174551032303E-2</v>
      </c>
      <c r="F145" s="28">
        <v>3.33540048420886E-2</v>
      </c>
      <c r="G145" s="29">
        <v>3.2937835133144903E-2</v>
      </c>
      <c r="H145" s="27">
        <v>0.193233510867174</v>
      </c>
      <c r="I145" s="28">
        <v>0.192009154559344</v>
      </c>
      <c r="J145" s="29">
        <v>0.19079200450676301</v>
      </c>
      <c r="L145" s="68"/>
      <c r="M145" s="69"/>
      <c r="N145" s="70"/>
      <c r="O145" s="68"/>
      <c r="P145" s="69"/>
      <c r="Q145" s="70"/>
      <c r="R145" s="68"/>
      <c r="S145" s="69"/>
      <c r="T145" s="70"/>
    </row>
    <row r="146" spans="1:20" x14ac:dyDescent="0.2">
      <c r="A146" s="4">
        <v>140</v>
      </c>
      <c r="B146" s="27"/>
      <c r="C146" s="28"/>
      <c r="D146" s="29"/>
      <c r="E146" s="27">
        <v>3.2937835133144903E-2</v>
      </c>
      <c r="F146" s="28">
        <v>3.2521665424201297E-2</v>
      </c>
      <c r="G146" s="29">
        <v>3.2105495715257601E-2</v>
      </c>
      <c r="H146" s="27">
        <v>0.19079200450676301</v>
      </c>
      <c r="I146" s="28">
        <v>0.189567646215024</v>
      </c>
      <c r="J146" s="29">
        <v>0.18835049814635199</v>
      </c>
      <c r="L146" s="68"/>
      <c r="M146" s="69"/>
      <c r="N146" s="70"/>
      <c r="O146" s="68"/>
      <c r="P146" s="69"/>
      <c r="Q146" s="70"/>
      <c r="R146" s="68"/>
      <c r="S146" s="69"/>
      <c r="T146" s="70"/>
    </row>
    <row r="147" spans="1:20" x14ac:dyDescent="0.2">
      <c r="A147" s="4">
        <v>141</v>
      </c>
      <c r="B147" s="27"/>
      <c r="C147" s="28"/>
      <c r="D147" s="29"/>
      <c r="E147" s="27">
        <v>3.2105495715257601E-2</v>
      </c>
      <c r="F147" s="28">
        <v>3.1709840821999097E-2</v>
      </c>
      <c r="G147" s="29">
        <v>3.13141859287406E-2</v>
      </c>
      <c r="H147" s="27">
        <v>0.18835049814635199</v>
      </c>
      <c r="I147" s="28">
        <v>0.18718648119620099</v>
      </c>
      <c r="J147" s="29">
        <v>0.186029344257303</v>
      </c>
      <c r="L147" s="68"/>
      <c r="M147" s="69"/>
      <c r="N147" s="70"/>
      <c r="O147" s="68"/>
      <c r="P147" s="69"/>
      <c r="Q147" s="70"/>
      <c r="R147" s="68"/>
      <c r="S147" s="69"/>
      <c r="T147" s="70"/>
    </row>
    <row r="148" spans="1:20" x14ac:dyDescent="0.2">
      <c r="A148" s="4">
        <v>142</v>
      </c>
      <c r="B148" s="27"/>
      <c r="C148" s="28"/>
      <c r="D148" s="29"/>
      <c r="E148" s="27">
        <v>3.13141859287406E-2</v>
      </c>
      <c r="F148" s="28">
        <v>3.0918531035482099E-2</v>
      </c>
      <c r="G148" s="29">
        <v>3.0522876142223501E-2</v>
      </c>
      <c r="H148" s="27">
        <v>0.186029344257303</v>
      </c>
      <c r="I148" s="28">
        <v>0.18486532865505101</v>
      </c>
      <c r="J148" s="29">
        <v>0.183708190368255</v>
      </c>
      <c r="L148" s="68"/>
      <c r="M148" s="69"/>
      <c r="N148" s="70"/>
      <c r="O148" s="68"/>
      <c r="P148" s="69"/>
      <c r="Q148" s="70"/>
      <c r="R148" s="68"/>
      <c r="S148" s="69"/>
      <c r="T148" s="70"/>
    </row>
    <row r="149" spans="1:20" x14ac:dyDescent="0.2">
      <c r="A149" s="4">
        <v>143</v>
      </c>
      <c r="B149" s="27"/>
      <c r="C149" s="28"/>
      <c r="D149" s="29"/>
      <c r="E149" s="27">
        <v>3.0522876142223501E-2</v>
      </c>
      <c r="F149" s="28">
        <v>3.0146724800126201E-2</v>
      </c>
      <c r="G149" s="29">
        <v>2.97705734580288E-2</v>
      </c>
      <c r="H149" s="27">
        <v>0.183708190368255</v>
      </c>
      <c r="I149" s="28">
        <v>0.18254417400703099</v>
      </c>
      <c r="J149" s="29">
        <v>0.18138703647920701</v>
      </c>
      <c r="L149" s="68"/>
      <c r="M149" s="69"/>
      <c r="N149" s="70"/>
      <c r="O149" s="68"/>
      <c r="P149" s="69"/>
      <c r="Q149" s="70"/>
      <c r="R149" s="68"/>
      <c r="S149" s="69"/>
      <c r="T149" s="70"/>
    </row>
    <row r="150" spans="1:20" x14ac:dyDescent="0.2">
      <c r="A150" s="4">
        <v>144</v>
      </c>
      <c r="B150" s="27"/>
      <c r="C150" s="28"/>
      <c r="D150" s="29"/>
      <c r="E150" s="27">
        <v>2.97705734580288E-2</v>
      </c>
      <c r="F150" s="28">
        <v>2.93944221159315E-2</v>
      </c>
      <c r="G150" s="29">
        <v>2.90182707738341E-2</v>
      </c>
      <c r="H150" s="27">
        <v>0.18138703647920701</v>
      </c>
      <c r="I150" s="28">
        <v>0.180223017238614</v>
      </c>
      <c r="J150" s="29">
        <v>0.17906588259015899</v>
      </c>
      <c r="L150" s="68"/>
      <c r="M150" s="69"/>
      <c r="N150" s="70"/>
      <c r="O150" s="68"/>
      <c r="P150" s="69"/>
      <c r="Q150" s="70"/>
      <c r="R150" s="68"/>
      <c r="S150" s="69"/>
      <c r="T150" s="70"/>
    </row>
    <row r="151" spans="1:20" x14ac:dyDescent="0.2">
      <c r="A151" s="4">
        <v>145</v>
      </c>
      <c r="B151" s="27"/>
      <c r="C151" s="28"/>
      <c r="D151" s="29"/>
      <c r="E151" s="27">
        <v>2.90182707738341E-2</v>
      </c>
      <c r="F151" s="28">
        <v>2.8660661568002399E-2</v>
      </c>
      <c r="G151" s="29">
        <v>2.8303052362170601E-2</v>
      </c>
      <c r="H151" s="27">
        <v>0.17906588259015899</v>
      </c>
      <c r="I151" s="28">
        <v>0.17795923488384999</v>
      </c>
      <c r="J151" s="29">
        <v>0.17685914847551401</v>
      </c>
      <c r="L151" s="68"/>
      <c r="M151" s="69"/>
      <c r="N151" s="70"/>
      <c r="O151" s="68"/>
      <c r="P151" s="69"/>
      <c r="Q151" s="70"/>
      <c r="R151" s="68"/>
      <c r="S151" s="69"/>
      <c r="T151" s="70"/>
    </row>
    <row r="152" spans="1:20" x14ac:dyDescent="0.2">
      <c r="A152" s="4">
        <v>146</v>
      </c>
      <c r="B152" s="27"/>
      <c r="C152" s="28"/>
      <c r="D152" s="29"/>
      <c r="E152" s="27">
        <v>2.8303052362170601E-2</v>
      </c>
      <c r="F152" s="28">
        <v>2.79454431563388E-2</v>
      </c>
      <c r="G152" s="29">
        <v>2.7587833950507099E-2</v>
      </c>
      <c r="H152" s="27">
        <v>0.17685914847551401</v>
      </c>
      <c r="I152" s="28">
        <v>0.17575250105283799</v>
      </c>
      <c r="J152" s="29">
        <v>0.17465241436086901</v>
      </c>
      <c r="L152" s="68"/>
      <c r="M152" s="69"/>
      <c r="N152" s="70"/>
      <c r="O152" s="68"/>
      <c r="P152" s="69"/>
      <c r="Q152" s="70"/>
      <c r="R152" s="68"/>
      <c r="S152" s="69"/>
      <c r="T152" s="70"/>
    </row>
    <row r="153" spans="1:20" x14ac:dyDescent="0.2">
      <c r="A153" s="4">
        <v>147</v>
      </c>
      <c r="B153" s="27"/>
      <c r="C153" s="28"/>
      <c r="D153" s="29"/>
      <c r="E153" s="27">
        <v>2.7587833950507099E-2</v>
      </c>
      <c r="F153" s="28">
        <v>2.7247852858368601E-2</v>
      </c>
      <c r="G153" s="29">
        <v>2.6907871766229999E-2</v>
      </c>
      <c r="H153" s="27">
        <v>0.17465241436086901</v>
      </c>
      <c r="I153" s="28">
        <v>0.173545765263004</v>
      </c>
      <c r="J153" s="29">
        <v>0.172445680246224</v>
      </c>
      <c r="L153" s="68"/>
      <c r="M153" s="69"/>
      <c r="N153" s="70"/>
      <c r="O153" s="68"/>
      <c r="P153" s="69"/>
      <c r="Q153" s="70"/>
      <c r="R153" s="68"/>
      <c r="S153" s="69"/>
      <c r="T153" s="70"/>
    </row>
    <row r="154" spans="1:20" x14ac:dyDescent="0.2">
      <c r="A154" s="4">
        <v>148</v>
      </c>
      <c r="B154" s="27"/>
      <c r="C154" s="28"/>
      <c r="D154" s="29"/>
      <c r="E154" s="27">
        <v>2.6907871766229999E-2</v>
      </c>
      <c r="F154" s="28">
        <v>2.6567890674091502E-2</v>
      </c>
      <c r="G154" s="29">
        <v>2.6227909581953E-2</v>
      </c>
      <c r="H154" s="27">
        <v>0.172445680246224</v>
      </c>
      <c r="I154" s="28">
        <v>0.171339027499403</v>
      </c>
      <c r="J154" s="29">
        <v>0.170238946131579</v>
      </c>
      <c r="L154" s="68"/>
      <c r="M154" s="69"/>
      <c r="N154" s="70"/>
      <c r="O154" s="68"/>
      <c r="P154" s="69"/>
      <c r="Q154" s="70"/>
      <c r="R154" s="68"/>
      <c r="S154" s="69"/>
      <c r="T154" s="70"/>
    </row>
    <row r="155" spans="1:20" x14ac:dyDescent="0.2">
      <c r="A155" s="4">
        <v>149</v>
      </c>
      <c r="B155" s="27"/>
      <c r="C155" s="28"/>
      <c r="D155" s="29"/>
      <c r="E155" s="27">
        <v>2.6227909581953E-2</v>
      </c>
      <c r="F155" s="28">
        <v>2.5904687637084801E-2</v>
      </c>
      <c r="G155" s="29">
        <v>2.5581465692216698E-2</v>
      </c>
      <c r="H155" s="27">
        <v>0.170238946131579</v>
      </c>
      <c r="I155" s="28">
        <v>0.169186841018479</v>
      </c>
      <c r="J155" s="29">
        <v>0.168140991542822</v>
      </c>
      <c r="L155" s="68"/>
      <c r="M155" s="69"/>
      <c r="N155" s="70"/>
      <c r="O155" s="68"/>
      <c r="P155" s="69"/>
      <c r="Q155" s="70"/>
      <c r="R155" s="68"/>
      <c r="S155" s="69"/>
      <c r="T155" s="70"/>
    </row>
    <row r="156" spans="1:20" x14ac:dyDescent="0.2">
      <c r="A156" s="4">
        <v>150</v>
      </c>
      <c r="B156" s="27"/>
      <c r="C156" s="28"/>
      <c r="D156" s="29"/>
      <c r="E156" s="27">
        <v>2.5581465692216698E-2</v>
      </c>
      <c r="F156" s="28">
        <v>2.5258243747348499E-2</v>
      </c>
      <c r="G156" s="29">
        <v>2.49350218024804E-2</v>
      </c>
      <c r="H156" s="27">
        <v>0.168140991542822</v>
      </c>
      <c r="I156" s="28">
        <v>0.16708888578665501</v>
      </c>
      <c r="J156" s="29">
        <v>0.166043036954065</v>
      </c>
      <c r="L156" s="68"/>
      <c r="M156" s="69"/>
      <c r="N156" s="70"/>
      <c r="O156" s="68"/>
      <c r="P156" s="69"/>
      <c r="Q156" s="70"/>
      <c r="R156" s="68"/>
      <c r="S156" s="69"/>
      <c r="T156" s="70"/>
    </row>
    <row r="157" spans="1:20" x14ac:dyDescent="0.2">
      <c r="A157" s="4">
        <v>151</v>
      </c>
      <c r="B157" s="27"/>
      <c r="C157" s="28"/>
      <c r="D157" s="29"/>
      <c r="E157" s="27">
        <v>2.49350218024804E-2</v>
      </c>
      <c r="F157" s="28">
        <v>2.4627732873595501E-2</v>
      </c>
      <c r="G157" s="29">
        <v>2.4320443944710599E-2</v>
      </c>
      <c r="H157" s="27">
        <v>0.166043036954065</v>
      </c>
      <c r="I157" s="28">
        <v>0.16499092873170801</v>
      </c>
      <c r="J157" s="29">
        <v>0.163945082365308</v>
      </c>
      <c r="L157" s="68"/>
      <c r="M157" s="69"/>
      <c r="N157" s="70"/>
      <c r="O157" s="68"/>
      <c r="P157" s="69"/>
      <c r="Q157" s="70"/>
      <c r="R157" s="68"/>
      <c r="S157" s="69"/>
      <c r="T157" s="70"/>
    </row>
    <row r="158" spans="1:20" x14ac:dyDescent="0.2">
      <c r="A158" s="4">
        <v>152</v>
      </c>
      <c r="B158" s="27"/>
      <c r="C158" s="28"/>
      <c r="D158" s="29"/>
      <c r="E158" s="27">
        <v>2.4320443944710599E-2</v>
      </c>
      <c r="F158" s="28">
        <v>2.40131550158257E-2</v>
      </c>
      <c r="G158" s="29">
        <v>2.3705866086940901E-2</v>
      </c>
      <c r="H158" s="27">
        <v>0.163945082365308</v>
      </c>
      <c r="I158" s="28">
        <v>0.16289296983764001</v>
      </c>
      <c r="J158" s="29">
        <v>0.161847127776552</v>
      </c>
      <c r="L158" s="68"/>
      <c r="M158" s="69"/>
      <c r="N158" s="70"/>
      <c r="O158" s="68"/>
      <c r="P158" s="69"/>
      <c r="Q158" s="70"/>
      <c r="R158" s="68"/>
      <c r="S158" s="69"/>
      <c r="T158" s="70"/>
    </row>
    <row r="159" spans="1:20" x14ac:dyDescent="0.2">
      <c r="A159" s="4">
        <v>153</v>
      </c>
      <c r="B159" s="27"/>
      <c r="C159" s="28"/>
      <c r="D159" s="29"/>
      <c r="E159" s="27">
        <v>2.3705866086940901E-2</v>
      </c>
      <c r="F159" s="28">
        <v>2.34137247663578E-2</v>
      </c>
      <c r="G159" s="29">
        <v>2.31215834457747E-2</v>
      </c>
      <c r="H159" s="27">
        <v>0.161847127776552</v>
      </c>
      <c r="I159" s="28">
        <v>0.16084687775397699</v>
      </c>
      <c r="J159" s="29">
        <v>0.15985259049755901</v>
      </c>
      <c r="L159" s="68"/>
      <c r="M159" s="69"/>
      <c r="N159" s="70"/>
      <c r="O159" s="68"/>
      <c r="P159" s="69"/>
      <c r="Q159" s="70"/>
      <c r="R159" s="68"/>
      <c r="S159" s="69"/>
      <c r="T159" s="70"/>
    </row>
    <row r="160" spans="1:20" x14ac:dyDescent="0.2">
      <c r="A160" s="4">
        <v>154</v>
      </c>
      <c r="B160" s="27"/>
      <c r="C160" s="28"/>
      <c r="D160" s="29"/>
      <c r="E160" s="27">
        <v>2.31215834457747E-2</v>
      </c>
      <c r="F160" s="28">
        <v>2.2829442125191599E-2</v>
      </c>
      <c r="G160" s="29">
        <v>2.2537300804608602E-2</v>
      </c>
      <c r="H160" s="27">
        <v>0.15985259049755901</v>
      </c>
      <c r="I160" s="28">
        <v>0.158852339028724</v>
      </c>
      <c r="J160" s="29">
        <v>0.157858053218566</v>
      </c>
      <c r="L160" s="68"/>
      <c r="M160" s="69"/>
      <c r="N160" s="70"/>
      <c r="O160" s="68"/>
      <c r="P160" s="69"/>
      <c r="Q160" s="70"/>
      <c r="R160" s="68"/>
      <c r="S160" s="69"/>
      <c r="T160" s="70"/>
    </row>
    <row r="161" spans="1:20" x14ac:dyDescent="0.2">
      <c r="A161" s="4">
        <v>155</v>
      </c>
      <c r="B161" s="27"/>
      <c r="C161" s="28"/>
      <c r="D161" s="29"/>
      <c r="E161" s="27">
        <v>2.2537300804608602E-2</v>
      </c>
      <c r="F161" s="28">
        <v>2.2259560400807701E-2</v>
      </c>
      <c r="G161" s="29">
        <v>2.19818199970068E-2</v>
      </c>
      <c r="H161" s="27">
        <v>0.157858053218566</v>
      </c>
      <c r="I161" s="28">
        <v>0.15685779860493501</v>
      </c>
      <c r="J161" s="29">
        <v>0.15586351593957301</v>
      </c>
      <c r="L161" s="68"/>
      <c r="M161" s="69"/>
      <c r="N161" s="70"/>
      <c r="O161" s="68"/>
      <c r="P161" s="69"/>
      <c r="Q161" s="70"/>
      <c r="R161" s="68"/>
      <c r="S161" s="69"/>
      <c r="T161" s="70"/>
    </row>
    <row r="162" spans="1:20" x14ac:dyDescent="0.2">
      <c r="A162" s="4">
        <v>156</v>
      </c>
      <c r="B162" s="27"/>
      <c r="C162" s="28"/>
      <c r="D162" s="29"/>
      <c r="E162" s="27">
        <v>2.19818199970068E-2</v>
      </c>
      <c r="F162" s="28">
        <v>2.1704079593205999E-2</v>
      </c>
      <c r="G162" s="29">
        <v>2.1426339189405098E-2</v>
      </c>
      <c r="H162" s="27">
        <v>0.15586351593957301</v>
      </c>
      <c r="I162" s="28">
        <v>0.154863256465849</v>
      </c>
      <c r="J162" s="29">
        <v>0.15386897866058</v>
      </c>
      <c r="L162" s="68"/>
      <c r="M162" s="69"/>
      <c r="N162" s="70"/>
      <c r="O162" s="68"/>
      <c r="P162" s="69"/>
      <c r="Q162" s="70"/>
      <c r="R162" s="68"/>
      <c r="S162" s="69"/>
      <c r="T162" s="70"/>
    </row>
    <row r="163" spans="1:20" x14ac:dyDescent="0.2">
      <c r="A163" s="4">
        <v>157</v>
      </c>
      <c r="B163" s="27"/>
      <c r="C163" s="28"/>
      <c r="D163" s="29"/>
      <c r="E163" s="27">
        <v>2.1426339189405098E-2</v>
      </c>
      <c r="F163" s="28">
        <v>2.1162289818540601E-2</v>
      </c>
      <c r="G163" s="29">
        <v>2.08982404476762E-2</v>
      </c>
      <c r="H163" s="27">
        <v>0.15386897866058</v>
      </c>
      <c r="I163" s="28">
        <v>0.15291802854443701</v>
      </c>
      <c r="J163" s="29">
        <v>0.15197276080218899</v>
      </c>
      <c r="L163" s="68"/>
      <c r="M163" s="69"/>
      <c r="N163" s="70"/>
      <c r="O163" s="68"/>
      <c r="P163" s="69"/>
      <c r="Q163" s="70"/>
      <c r="R163" s="68"/>
      <c r="S163" s="69"/>
      <c r="T163" s="70"/>
    </row>
    <row r="164" spans="1:20" x14ac:dyDescent="0.2">
      <c r="A164" s="4">
        <v>158</v>
      </c>
      <c r="B164" s="27"/>
      <c r="C164" s="28"/>
      <c r="D164" s="29"/>
      <c r="E164" s="27">
        <v>2.08982404476762E-2</v>
      </c>
      <c r="F164" s="28">
        <v>2.0634191076811699E-2</v>
      </c>
      <c r="G164" s="29">
        <v>2.0370141705947298E-2</v>
      </c>
      <c r="H164" s="27">
        <v>0.15197276080218899</v>
      </c>
      <c r="I164" s="28">
        <v>0.15102180854729</v>
      </c>
      <c r="J164" s="29">
        <v>0.15007654294379899</v>
      </c>
      <c r="L164" s="68"/>
      <c r="M164" s="69"/>
      <c r="N164" s="70"/>
      <c r="O164" s="68"/>
      <c r="P164" s="69"/>
      <c r="Q164" s="70"/>
      <c r="R164" s="68"/>
      <c r="S164" s="69"/>
      <c r="T164" s="70"/>
    </row>
    <row r="165" spans="1:20" x14ac:dyDescent="0.2">
      <c r="A165" s="4">
        <v>159</v>
      </c>
      <c r="B165" s="27"/>
      <c r="C165" s="28"/>
      <c r="D165" s="29"/>
      <c r="E165" s="27">
        <v>2.0370141705947298E-2</v>
      </c>
      <c r="F165" s="28">
        <v>2.0119108477436899E-2</v>
      </c>
      <c r="G165" s="29">
        <v>1.98680752489265E-2</v>
      </c>
      <c r="H165" s="27">
        <v>0.15007654294379899</v>
      </c>
      <c r="I165" s="28">
        <v>0.14912558696616701</v>
      </c>
      <c r="J165" s="29">
        <v>0.14818032508540799</v>
      </c>
      <c r="L165" s="68"/>
      <c r="M165" s="69"/>
      <c r="N165" s="70"/>
      <c r="O165" s="68"/>
      <c r="P165" s="69"/>
      <c r="Q165" s="70"/>
      <c r="R165" s="68"/>
      <c r="S165" s="69"/>
      <c r="T165" s="70"/>
    </row>
    <row r="166" spans="1:20" x14ac:dyDescent="0.2">
      <c r="A166" s="4">
        <v>160</v>
      </c>
      <c r="B166" s="27"/>
      <c r="C166" s="28"/>
      <c r="D166" s="29"/>
      <c r="E166" s="27">
        <v>1.98680752489265E-2</v>
      </c>
      <c r="F166" s="28">
        <v>1.9617042020416101E-2</v>
      </c>
      <c r="G166" s="29">
        <v>1.9366008791905701E-2</v>
      </c>
      <c r="H166" s="27">
        <v>0.14818032508540799</v>
      </c>
      <c r="I166" s="28">
        <v>0.14722936378378401</v>
      </c>
      <c r="J166" s="29">
        <v>0.14628410722701801</v>
      </c>
      <c r="L166" s="68"/>
      <c r="M166" s="69"/>
      <c r="N166" s="70"/>
      <c r="O166" s="68"/>
      <c r="P166" s="69"/>
      <c r="Q166" s="70"/>
      <c r="R166" s="68"/>
      <c r="S166" s="69"/>
      <c r="T166" s="70"/>
    </row>
    <row r="167" spans="1:20" x14ac:dyDescent="0.2">
      <c r="A167" s="4">
        <v>161</v>
      </c>
      <c r="B167" s="27"/>
      <c r="C167" s="28"/>
      <c r="D167" s="29"/>
      <c r="E167" s="27">
        <v>1.9366008791905701E-2</v>
      </c>
      <c r="F167" s="28">
        <v>1.9127350083460198E-2</v>
      </c>
      <c r="G167" s="29">
        <v>1.88886913750148E-2</v>
      </c>
      <c r="H167" s="27">
        <v>0.14628410722701801</v>
      </c>
      <c r="I167" s="28">
        <v>0.145380027653956</v>
      </c>
      <c r="J167" s="29">
        <v>0.144481362197206</v>
      </c>
      <c r="L167" s="68"/>
      <c r="M167" s="69"/>
      <c r="N167" s="70"/>
      <c r="O167" s="68"/>
      <c r="P167" s="69"/>
      <c r="Q167" s="70"/>
      <c r="R167" s="68"/>
      <c r="S167" s="69"/>
      <c r="T167" s="70"/>
    </row>
    <row r="168" spans="1:20" x14ac:dyDescent="0.2">
      <c r="A168" s="4">
        <v>162</v>
      </c>
      <c r="B168" s="27"/>
      <c r="C168" s="28"/>
      <c r="D168" s="29"/>
      <c r="E168" s="27">
        <v>1.88886913750148E-2</v>
      </c>
      <c r="F168" s="28">
        <v>1.86500326665693E-2</v>
      </c>
      <c r="G168" s="29">
        <v>1.8411373958123801E-2</v>
      </c>
      <c r="H168" s="27">
        <v>0.144481362197206</v>
      </c>
      <c r="I168" s="28">
        <v>0.143577279891939</v>
      </c>
      <c r="J168" s="29">
        <v>0.142678617167394</v>
      </c>
      <c r="L168" s="68"/>
      <c r="M168" s="69"/>
      <c r="N168" s="70"/>
      <c r="O168" s="68"/>
      <c r="P168" s="69"/>
      <c r="Q168" s="70"/>
      <c r="R168" s="68"/>
      <c r="S168" s="69"/>
      <c r="T168" s="70"/>
    </row>
    <row r="169" spans="1:20" x14ac:dyDescent="0.2">
      <c r="A169" s="4">
        <v>163</v>
      </c>
      <c r="B169" s="27"/>
      <c r="C169" s="28"/>
      <c r="D169" s="29"/>
      <c r="E169" s="27">
        <v>1.8411373958123801E-2</v>
      </c>
      <c r="F169" s="28">
        <v>1.81844797758084E-2</v>
      </c>
      <c r="G169" s="29">
        <v>1.7957585593492999E-2</v>
      </c>
      <c r="H169" s="27">
        <v>0.142678617167394</v>
      </c>
      <c r="I169" s="28">
        <v>0.141774530651439</v>
      </c>
      <c r="J169" s="29">
        <v>0.14087587213758301</v>
      </c>
      <c r="L169" s="68"/>
      <c r="M169" s="69"/>
      <c r="N169" s="70"/>
      <c r="O169" s="68"/>
      <c r="P169" s="69"/>
      <c r="Q169" s="70"/>
      <c r="R169" s="68"/>
      <c r="S169" s="69"/>
      <c r="T169" s="70"/>
    </row>
    <row r="170" spans="1:20" x14ac:dyDescent="0.2">
      <c r="A170" s="4">
        <v>164</v>
      </c>
      <c r="B170" s="27"/>
      <c r="C170" s="28"/>
      <c r="D170" s="29"/>
      <c r="E170" s="27">
        <v>1.7957585593492999E-2</v>
      </c>
      <c r="F170" s="28">
        <v>1.7730691411177599E-2</v>
      </c>
      <c r="G170" s="29">
        <v>1.7503797228862202E-2</v>
      </c>
      <c r="H170" s="27">
        <v>0.14087587213758301</v>
      </c>
      <c r="I170" s="28">
        <v>0.13997177991485499</v>
      </c>
      <c r="J170" s="29">
        <v>0.13907312710777101</v>
      </c>
      <c r="L170" s="68"/>
      <c r="M170" s="69"/>
      <c r="N170" s="70"/>
      <c r="O170" s="68"/>
      <c r="P170" s="69"/>
      <c r="Q170" s="70"/>
      <c r="R170" s="68"/>
      <c r="S170" s="69"/>
      <c r="T170" s="70"/>
    </row>
    <row r="171" spans="1:20" x14ac:dyDescent="0.2">
      <c r="A171" s="4">
        <v>165</v>
      </c>
      <c r="B171" s="27"/>
      <c r="C171" s="28"/>
      <c r="D171" s="29"/>
      <c r="E171" s="27">
        <v>1.7503797228862202E-2</v>
      </c>
      <c r="F171" s="28">
        <v>1.7288087647997101E-2</v>
      </c>
      <c r="G171" s="29">
        <v>1.7072378067132001E-2</v>
      </c>
      <c r="H171" s="27">
        <v>0.13907312710777101</v>
      </c>
      <c r="I171" s="28">
        <v>0.138213608353458</v>
      </c>
      <c r="J171" s="29">
        <v>0.13735924722412199</v>
      </c>
      <c r="L171" s="68"/>
      <c r="M171" s="69"/>
      <c r="N171" s="70"/>
      <c r="O171" s="68"/>
      <c r="P171" s="69"/>
      <c r="Q171" s="70"/>
      <c r="R171" s="68"/>
      <c r="S171" s="69"/>
      <c r="T171" s="70"/>
    </row>
    <row r="172" spans="1:20" x14ac:dyDescent="0.2">
      <c r="A172" s="4">
        <v>166</v>
      </c>
      <c r="B172" s="27"/>
      <c r="C172" s="28"/>
      <c r="D172" s="29"/>
      <c r="E172" s="27">
        <v>1.7072378067132001E-2</v>
      </c>
      <c r="F172" s="28">
        <v>1.68566684862669E-2</v>
      </c>
      <c r="G172" s="29">
        <v>1.66409589054018E-2</v>
      </c>
      <c r="H172" s="27">
        <v>0.13735924722412199</v>
      </c>
      <c r="I172" s="28">
        <v>0.13649972523264001</v>
      </c>
      <c r="J172" s="29">
        <v>0.135645367340473</v>
      </c>
      <c r="L172" s="68"/>
      <c r="M172" s="69"/>
      <c r="N172" s="70"/>
      <c r="O172" s="68"/>
      <c r="P172" s="69"/>
      <c r="Q172" s="70"/>
      <c r="R172" s="68"/>
      <c r="S172" s="69"/>
      <c r="T172" s="70"/>
    </row>
    <row r="173" spans="1:20" x14ac:dyDescent="0.2">
      <c r="A173" s="4">
        <v>167</v>
      </c>
      <c r="B173" s="27"/>
      <c r="C173" s="28"/>
      <c r="D173" s="29"/>
      <c r="E173" s="27">
        <v>1.66409589054018E-2</v>
      </c>
      <c r="F173" s="28">
        <v>1.64358825883179E-2</v>
      </c>
      <c r="G173" s="29">
        <v>1.6230806271234102E-2</v>
      </c>
      <c r="H173" s="27">
        <v>0.135645367340473</v>
      </c>
      <c r="I173" s="28">
        <v>0.13478584073062</v>
      </c>
      <c r="J173" s="29">
        <v>0.13393148745682401</v>
      </c>
      <c r="L173" s="68"/>
      <c r="M173" s="69"/>
      <c r="N173" s="70"/>
      <c r="O173" s="68"/>
      <c r="P173" s="69"/>
      <c r="Q173" s="70"/>
      <c r="R173" s="68"/>
      <c r="S173" s="69"/>
      <c r="T173" s="70"/>
    </row>
    <row r="174" spans="1:20" x14ac:dyDescent="0.2">
      <c r="A174" s="4">
        <v>168</v>
      </c>
      <c r="B174" s="27"/>
      <c r="C174" s="28"/>
      <c r="D174" s="29"/>
      <c r="E174" s="27">
        <v>1.6230806271234102E-2</v>
      </c>
      <c r="F174" s="28">
        <v>1.6025729954150199E-2</v>
      </c>
      <c r="G174" s="29">
        <v>1.58206536370664E-2</v>
      </c>
      <c r="H174" s="27">
        <v>0.13393148745682401</v>
      </c>
      <c r="I174" s="28">
        <v>0.13307195482965101</v>
      </c>
      <c r="J174" s="29">
        <v>0.13221760757317499</v>
      </c>
      <c r="L174" s="68"/>
      <c r="M174" s="69"/>
      <c r="N174" s="70"/>
      <c r="O174" s="68"/>
      <c r="P174" s="69"/>
      <c r="Q174" s="70"/>
      <c r="R174" s="68"/>
      <c r="S174" s="69"/>
      <c r="T174" s="70"/>
    </row>
    <row r="175" spans="1:20" x14ac:dyDescent="0.2">
      <c r="A175" s="4">
        <v>169</v>
      </c>
      <c r="B175" s="27"/>
      <c r="C175" s="28"/>
      <c r="D175" s="29"/>
      <c r="E175" s="27">
        <v>1.58206536370664E-2</v>
      </c>
      <c r="F175" s="28">
        <v>1.5625686423927299E-2</v>
      </c>
      <c r="G175" s="29">
        <v>1.54307192107881E-2</v>
      </c>
      <c r="H175" s="27">
        <v>0.13221760757317499</v>
      </c>
      <c r="I175" s="28">
        <v>0.13140045367190001</v>
      </c>
      <c r="J175" s="29">
        <v>0.13058821228598799</v>
      </c>
      <c r="L175" s="68"/>
      <c r="M175" s="69"/>
      <c r="N175" s="70"/>
      <c r="O175" s="68"/>
      <c r="P175" s="69"/>
      <c r="Q175" s="70"/>
      <c r="R175" s="68"/>
      <c r="S175" s="69"/>
      <c r="T175" s="70"/>
    </row>
    <row r="176" spans="1:20" x14ac:dyDescent="0.2">
      <c r="A176" s="4">
        <v>170</v>
      </c>
      <c r="B176" s="27"/>
      <c r="C176" s="28"/>
      <c r="D176" s="29"/>
      <c r="E176" s="27">
        <v>1.54307192107881E-2</v>
      </c>
      <c r="F176" s="28">
        <v>1.5235751997649E-2</v>
      </c>
      <c r="G176" s="29">
        <v>1.50407847845099E-2</v>
      </c>
      <c r="H176" s="27">
        <v>0.13058821228598799</v>
      </c>
      <c r="I176" s="28">
        <v>0.1297710547215</v>
      </c>
      <c r="J176" s="29">
        <v>0.12895881699879999</v>
      </c>
      <c r="L176" s="68"/>
      <c r="M176" s="69"/>
      <c r="N176" s="70"/>
      <c r="O176" s="68"/>
      <c r="P176" s="69"/>
      <c r="Q176" s="70"/>
      <c r="R176" s="68"/>
      <c r="S176" s="69"/>
      <c r="T176" s="70"/>
    </row>
    <row r="177" spans="1:20" x14ac:dyDescent="0.2">
      <c r="A177" s="4">
        <v>171</v>
      </c>
      <c r="B177" s="27"/>
      <c r="C177" s="28"/>
      <c r="D177" s="29"/>
      <c r="E177" s="27">
        <v>1.50407847845099E-2</v>
      </c>
      <c r="F177" s="28">
        <v>1.48554283535979E-2</v>
      </c>
      <c r="G177" s="29">
        <v>1.4670071922686E-2</v>
      </c>
      <c r="H177" s="27">
        <v>0.12895881699879999</v>
      </c>
      <c r="I177" s="28">
        <v>0.128141654479731</v>
      </c>
      <c r="J177" s="29">
        <v>0.12732942171161199</v>
      </c>
      <c r="L177" s="68"/>
      <c r="M177" s="69"/>
      <c r="N177" s="70"/>
      <c r="O177" s="68"/>
      <c r="P177" s="69"/>
      <c r="Q177" s="70"/>
      <c r="R177" s="68"/>
      <c r="S177" s="69"/>
      <c r="T177" s="70"/>
    </row>
    <row r="178" spans="1:20" x14ac:dyDescent="0.2">
      <c r="A178" s="4">
        <v>172</v>
      </c>
      <c r="B178" s="27"/>
      <c r="C178" s="28"/>
      <c r="D178" s="29"/>
      <c r="E178" s="27">
        <v>1.4670071922686E-2</v>
      </c>
      <c r="F178" s="28">
        <v>1.4484715491774E-2</v>
      </c>
      <c r="G178" s="29">
        <v>1.4299359060862001E-2</v>
      </c>
      <c r="H178" s="27">
        <v>0.12732942171161199</v>
      </c>
      <c r="I178" s="28">
        <v>0.126512252928836</v>
      </c>
      <c r="J178" s="29">
        <v>0.12570002642442499</v>
      </c>
      <c r="L178" s="68"/>
      <c r="M178" s="69"/>
      <c r="N178" s="70"/>
      <c r="O178" s="68"/>
      <c r="P178" s="69"/>
      <c r="Q178" s="70"/>
      <c r="R178" s="68"/>
      <c r="S178" s="69"/>
      <c r="T178" s="70"/>
    </row>
    <row r="179" spans="1:20" x14ac:dyDescent="0.2">
      <c r="A179" s="4">
        <v>173</v>
      </c>
      <c r="B179" s="27"/>
      <c r="C179" s="28"/>
      <c r="D179" s="29"/>
      <c r="E179" s="27">
        <v>1.4299359060862001E-2</v>
      </c>
      <c r="F179" s="28">
        <v>1.4123139654905199E-2</v>
      </c>
      <c r="G179" s="29">
        <v>1.39469202489484E-2</v>
      </c>
      <c r="H179" s="27">
        <v>0.12570002642442499</v>
      </c>
      <c r="I179" s="28">
        <v>0.124923149575763</v>
      </c>
      <c r="J179" s="29">
        <v>0.124150951120351</v>
      </c>
      <c r="L179" s="68"/>
      <c r="M179" s="69"/>
      <c r="N179" s="70"/>
      <c r="O179" s="68"/>
      <c r="P179" s="69"/>
      <c r="Q179" s="70"/>
      <c r="R179" s="68"/>
      <c r="S179" s="69"/>
      <c r="T179" s="70"/>
    </row>
    <row r="180" spans="1:20" x14ac:dyDescent="0.2">
      <c r="A180" s="4">
        <v>174</v>
      </c>
      <c r="B180" s="27"/>
      <c r="C180" s="28"/>
      <c r="D180" s="29"/>
      <c r="E180" s="27">
        <v>1.39469202489484E-2</v>
      </c>
      <c r="F180" s="28">
        <v>1.3770700842991699E-2</v>
      </c>
      <c r="G180" s="29">
        <v>1.35944814370349E-2</v>
      </c>
      <c r="H180" s="27">
        <v>0.124150951120351</v>
      </c>
      <c r="I180" s="28">
        <v>0.123374070252718</v>
      </c>
      <c r="J180" s="29">
        <v>0.122601875816277</v>
      </c>
      <c r="L180" s="68"/>
      <c r="M180" s="69"/>
      <c r="N180" s="70"/>
      <c r="O180" s="68"/>
      <c r="P180" s="69"/>
      <c r="Q180" s="70"/>
      <c r="R180" s="68"/>
      <c r="S180" s="69"/>
      <c r="T180" s="70"/>
    </row>
    <row r="181" spans="1:20" x14ac:dyDescent="0.2">
      <c r="A181" s="4">
        <v>175</v>
      </c>
      <c r="B181" s="27"/>
      <c r="C181" s="28"/>
      <c r="D181" s="29"/>
      <c r="E181" s="27">
        <v>1.35944814370349E-2</v>
      </c>
      <c r="F181" s="28">
        <v>1.3426948652318599E-2</v>
      </c>
      <c r="G181" s="29">
        <v>1.32594158676022E-2</v>
      </c>
      <c r="H181" s="27">
        <v>0.122601875816277</v>
      </c>
      <c r="I181" s="28">
        <v>0.121824989721365</v>
      </c>
      <c r="J181" s="29">
        <v>0.121052800512204</v>
      </c>
      <c r="L181" s="68"/>
      <c r="M181" s="69"/>
      <c r="N181" s="70"/>
      <c r="O181" s="68"/>
      <c r="P181" s="69"/>
      <c r="Q181" s="70"/>
      <c r="R181" s="68"/>
      <c r="S181" s="69"/>
      <c r="T181" s="70"/>
    </row>
    <row r="182" spans="1:20" x14ac:dyDescent="0.2">
      <c r="A182" s="4">
        <v>176</v>
      </c>
      <c r="B182" s="27"/>
      <c r="C182" s="28"/>
      <c r="D182" s="29"/>
      <c r="E182" s="27">
        <v>1.32594158676022E-2</v>
      </c>
      <c r="F182" s="28">
        <v>1.30918830828859E-2</v>
      </c>
      <c r="G182" s="29">
        <v>1.29243502981696E-2</v>
      </c>
      <c r="H182" s="27">
        <v>0.121052800512204</v>
      </c>
      <c r="I182" s="28">
        <v>0.120275907964054</v>
      </c>
      <c r="J182" s="29">
        <v>0.11950372520813</v>
      </c>
      <c r="L182" s="68"/>
      <c r="M182" s="69"/>
      <c r="N182" s="70"/>
      <c r="O182" s="68"/>
      <c r="P182" s="69"/>
      <c r="Q182" s="70"/>
      <c r="R182" s="68"/>
      <c r="S182" s="69"/>
      <c r="T182" s="70"/>
    </row>
    <row r="183" spans="1:20" x14ac:dyDescent="0.2">
      <c r="A183" s="4">
        <v>177</v>
      </c>
      <c r="B183" s="27"/>
      <c r="C183" s="28"/>
      <c r="D183" s="29"/>
      <c r="E183" s="27">
        <v>1.29243502981696E-2</v>
      </c>
      <c r="F183" s="28">
        <v>1.27650759333378E-2</v>
      </c>
      <c r="G183" s="29">
        <v>1.2605801568506001E-2</v>
      </c>
      <c r="H183" s="27">
        <v>0.11950372520813</v>
      </c>
      <c r="I183" s="28">
        <v>0.118765140457051</v>
      </c>
      <c r="J183" s="29">
        <v>0.11803101056573501</v>
      </c>
      <c r="L183" s="68"/>
      <c r="M183" s="69"/>
      <c r="N183" s="70"/>
      <c r="O183" s="68"/>
      <c r="P183" s="69"/>
      <c r="Q183" s="70"/>
      <c r="R183" s="68"/>
      <c r="S183" s="69"/>
      <c r="T183" s="70"/>
    </row>
    <row r="184" spans="1:20" x14ac:dyDescent="0.2">
      <c r="A184" s="4">
        <v>178</v>
      </c>
      <c r="B184" s="27"/>
      <c r="C184" s="28"/>
      <c r="D184" s="29"/>
      <c r="E184" s="27">
        <v>1.2605801568506001E-2</v>
      </c>
      <c r="F184" s="28">
        <v>1.24465272036742E-2</v>
      </c>
      <c r="G184" s="29">
        <v>1.22872528388423E-2</v>
      </c>
      <c r="H184" s="27">
        <v>0.11803101056573501</v>
      </c>
      <c r="I184" s="28">
        <v>0.11729242150241399</v>
      </c>
      <c r="J184" s="29">
        <v>0.11655829592333899</v>
      </c>
      <c r="L184" s="68"/>
      <c r="M184" s="69"/>
      <c r="N184" s="70"/>
      <c r="O184" s="68"/>
      <c r="P184" s="69"/>
      <c r="Q184" s="70"/>
      <c r="R184" s="68"/>
      <c r="S184" s="69"/>
      <c r="T184" s="70"/>
    </row>
    <row r="185" spans="1:20" x14ac:dyDescent="0.2">
      <c r="A185" s="4">
        <v>179</v>
      </c>
      <c r="B185" s="27"/>
      <c r="C185" s="28"/>
      <c r="D185" s="29"/>
      <c r="E185" s="27">
        <v>1.22872528388423E-2</v>
      </c>
      <c r="F185" s="28">
        <v>1.2135829800446999E-2</v>
      </c>
      <c r="G185" s="29">
        <v>1.1984406762051701E-2</v>
      </c>
      <c r="H185" s="27">
        <v>0.11655829592333899</v>
      </c>
      <c r="I185" s="28">
        <v>0.11581970141636599</v>
      </c>
      <c r="J185" s="29">
        <v>0.115085581280944</v>
      </c>
      <c r="L185" s="68"/>
      <c r="M185" s="69"/>
      <c r="N185" s="70"/>
      <c r="O185" s="68"/>
      <c r="P185" s="69"/>
      <c r="Q185" s="70"/>
      <c r="R185" s="68"/>
      <c r="S185" s="69"/>
      <c r="T185" s="70"/>
    </row>
    <row r="186" spans="1:20" x14ac:dyDescent="0.2">
      <c r="A186" s="4">
        <v>180</v>
      </c>
      <c r="B186" s="27"/>
      <c r="C186" s="28"/>
      <c r="D186" s="29"/>
      <c r="E186" s="27">
        <v>1.1984406762051701E-2</v>
      </c>
      <c r="F186" s="28">
        <v>1.18329837236563E-2</v>
      </c>
      <c r="G186" s="29">
        <v>1.1681560685261E-2</v>
      </c>
      <c r="H186" s="27">
        <v>0.115085581280944</v>
      </c>
      <c r="I186" s="28">
        <v>0.11434698018144999</v>
      </c>
      <c r="J186" s="29">
        <v>0.113612866638549</v>
      </c>
      <c r="L186" s="68"/>
      <c r="M186" s="69"/>
      <c r="N186" s="70"/>
      <c r="O186" s="68"/>
      <c r="P186" s="69"/>
      <c r="Q186" s="70"/>
      <c r="R186" s="68"/>
      <c r="S186" s="69"/>
      <c r="T186" s="70"/>
    </row>
    <row r="187" spans="1:20" x14ac:dyDescent="0.2">
      <c r="A187" s="4">
        <v>181</v>
      </c>
      <c r="B187" s="27"/>
      <c r="C187" s="28"/>
      <c r="D187" s="29"/>
      <c r="E187" s="27">
        <v>1.1681560685261E-2</v>
      </c>
      <c r="F187" s="28">
        <v>1.1537601947261399E-2</v>
      </c>
      <c r="G187" s="29">
        <v>1.1393643209261801E-2</v>
      </c>
      <c r="H187" s="27">
        <v>0.113612866638549</v>
      </c>
      <c r="I187" s="28">
        <v>0.11291068681586</v>
      </c>
      <c r="J187" s="29">
        <v>0.112212748508577</v>
      </c>
      <c r="L187" s="68"/>
      <c r="M187" s="69"/>
      <c r="N187" s="70"/>
      <c r="O187" s="68"/>
      <c r="P187" s="69"/>
      <c r="Q187" s="70"/>
      <c r="R187" s="68"/>
      <c r="S187" s="69"/>
      <c r="T187" s="70"/>
    </row>
    <row r="188" spans="1:20" x14ac:dyDescent="0.2">
      <c r="A188" s="4">
        <v>182</v>
      </c>
      <c r="B188" s="27"/>
      <c r="C188" s="28"/>
      <c r="D188" s="29"/>
      <c r="E188" s="27">
        <v>1.1393643209261801E-2</v>
      </c>
      <c r="F188" s="28">
        <v>1.1249684471262201E-2</v>
      </c>
      <c r="G188" s="29">
        <v>1.11057257332626E-2</v>
      </c>
      <c r="H188" s="27">
        <v>0.112212748508577</v>
      </c>
      <c r="I188" s="28">
        <v>0.111510564135837</v>
      </c>
      <c r="J188" s="29">
        <v>0.110812630378605</v>
      </c>
      <c r="L188" s="68"/>
      <c r="M188" s="69"/>
      <c r="N188" s="70"/>
      <c r="O188" s="68"/>
      <c r="P188" s="69"/>
      <c r="Q188" s="70"/>
      <c r="R188" s="68"/>
      <c r="S188" s="69"/>
      <c r="T188" s="70"/>
    </row>
    <row r="189" spans="1:20" x14ac:dyDescent="0.2">
      <c r="A189" s="4">
        <v>183</v>
      </c>
      <c r="B189" s="27"/>
      <c r="C189" s="28"/>
      <c r="D189" s="29"/>
      <c r="E189" s="27">
        <v>1.11057257332626E-2</v>
      </c>
      <c r="F189" s="28">
        <v>1.0968863347815499E-2</v>
      </c>
      <c r="G189" s="29">
        <v>1.08320009623684E-2</v>
      </c>
      <c r="H189" s="27">
        <v>0.110812630378605</v>
      </c>
      <c r="I189" s="28">
        <v>0.11011044039567899</v>
      </c>
      <c r="J189" s="29">
        <v>0.10941251224863301</v>
      </c>
      <c r="L189" s="68"/>
      <c r="M189" s="69"/>
      <c r="N189" s="70"/>
      <c r="O189" s="68"/>
      <c r="P189" s="69"/>
      <c r="Q189" s="70"/>
      <c r="R189" s="68"/>
      <c r="S189" s="69"/>
      <c r="T189" s="70"/>
    </row>
    <row r="190" spans="1:20" x14ac:dyDescent="0.2">
      <c r="A190" s="4">
        <v>184</v>
      </c>
      <c r="B190" s="27"/>
      <c r="C190" s="28"/>
      <c r="D190" s="29"/>
      <c r="E190" s="27">
        <v>1.08320009623684E-2</v>
      </c>
      <c r="F190" s="28">
        <v>1.06951385769212E-2</v>
      </c>
      <c r="G190" s="29">
        <v>1.0558276191474101E-2</v>
      </c>
      <c r="H190" s="27">
        <v>0.10941251224863301</v>
      </c>
      <c r="I190" s="28">
        <v>0.10871031557819399</v>
      </c>
      <c r="J190" s="29">
        <v>0.108012394118661</v>
      </c>
      <c r="L190" s="68"/>
      <c r="M190" s="69"/>
      <c r="N190" s="70"/>
      <c r="O190" s="68"/>
      <c r="P190" s="69"/>
      <c r="Q190" s="70"/>
      <c r="R190" s="68"/>
      <c r="S190" s="69"/>
      <c r="T190" s="70"/>
    </row>
    <row r="191" spans="1:20" x14ac:dyDescent="0.2">
      <c r="A191" s="4">
        <v>185</v>
      </c>
      <c r="B191" s="27"/>
      <c r="C191" s="28"/>
      <c r="D191" s="29"/>
      <c r="E191" s="27">
        <v>1.0558276191474101E-2</v>
      </c>
      <c r="F191" s="28">
        <v>1.0428160348486299E-2</v>
      </c>
      <c r="G191" s="29">
        <v>1.02980445054985E-2</v>
      </c>
      <c r="H191" s="27">
        <v>0.108012394118661</v>
      </c>
      <c r="I191" s="28">
        <v>0.10734482502929101</v>
      </c>
      <c r="J191" s="29">
        <v>0.10668129390315099</v>
      </c>
      <c r="L191" s="68"/>
      <c r="M191" s="69"/>
      <c r="N191" s="70"/>
      <c r="O191" s="68"/>
      <c r="P191" s="69"/>
      <c r="Q191" s="70"/>
      <c r="R191" s="68"/>
      <c r="S191" s="69"/>
      <c r="T191" s="70"/>
    </row>
    <row r="192" spans="1:20" x14ac:dyDescent="0.2">
      <c r="A192" s="4">
        <v>186</v>
      </c>
      <c r="B192" s="27"/>
      <c r="C192" s="28"/>
      <c r="D192" s="29"/>
      <c r="E192" s="27">
        <v>1.02980445054985E-2</v>
      </c>
      <c r="F192" s="28">
        <v>1.0167928662510701E-2</v>
      </c>
      <c r="G192" s="29">
        <v>1.0037812819522899E-2</v>
      </c>
      <c r="H192" s="27">
        <v>0.10668129390315099</v>
      </c>
      <c r="I192" s="28">
        <v>0.10601372007505699</v>
      </c>
      <c r="J192" s="29">
        <v>0.10535019368764199</v>
      </c>
      <c r="L192" s="68"/>
      <c r="M192" s="69"/>
      <c r="N192" s="70"/>
      <c r="O192" s="68"/>
      <c r="P192" s="69"/>
      <c r="Q192" s="70"/>
      <c r="R192" s="68"/>
      <c r="S192" s="69"/>
      <c r="T192" s="70"/>
    </row>
    <row r="193" spans="1:20" x14ac:dyDescent="0.2">
      <c r="A193" s="4">
        <v>187</v>
      </c>
      <c r="B193" s="27"/>
      <c r="C193" s="28"/>
      <c r="D193" s="29"/>
      <c r="E193" s="27">
        <v>1.0037812819522899E-2</v>
      </c>
      <c r="F193" s="28">
        <v>9.9141109525628691E-3</v>
      </c>
      <c r="G193" s="29">
        <v>9.7904090856027505E-3</v>
      </c>
      <c r="H193" s="27">
        <v>0.10535019368764199</v>
      </c>
      <c r="I193" s="28">
        <v>0.104682614126824</v>
      </c>
      <c r="J193" s="29">
        <v>0.10401909347213199</v>
      </c>
      <c r="L193" s="68"/>
      <c r="M193" s="69"/>
      <c r="N193" s="70"/>
      <c r="O193" s="68"/>
      <c r="P193" s="69"/>
      <c r="Q193" s="70"/>
      <c r="R193" s="68"/>
      <c r="S193" s="69"/>
      <c r="T193" s="70"/>
    </row>
    <row r="194" spans="1:20" x14ac:dyDescent="0.2">
      <c r="A194" s="4">
        <v>188</v>
      </c>
      <c r="B194" s="27"/>
      <c r="C194" s="28"/>
      <c r="D194" s="29"/>
      <c r="E194" s="27">
        <v>9.7904090856027505E-3</v>
      </c>
      <c r="F194" s="28">
        <v>9.6667072186426301E-3</v>
      </c>
      <c r="G194" s="29">
        <v>9.5430053516825097E-3</v>
      </c>
      <c r="H194" s="27">
        <v>0.10401909347213199</v>
      </c>
      <c r="I194" s="28">
        <v>0.103351507167731</v>
      </c>
      <c r="J194" s="29">
        <v>0.10268799325662301</v>
      </c>
      <c r="L194" s="68"/>
      <c r="M194" s="69"/>
      <c r="N194" s="70"/>
      <c r="O194" s="68"/>
      <c r="P194" s="69"/>
      <c r="Q194" s="70"/>
      <c r="R194" s="68"/>
      <c r="S194" s="69"/>
      <c r="T194" s="70"/>
    </row>
    <row r="195" spans="1:20" x14ac:dyDescent="0.2">
      <c r="A195" s="4">
        <v>189</v>
      </c>
      <c r="B195" s="27"/>
      <c r="C195" s="28"/>
      <c r="D195" s="29"/>
      <c r="E195" s="27">
        <v>9.5430053516825097E-3</v>
      </c>
      <c r="F195" s="28">
        <v>9.4254012879648099E-3</v>
      </c>
      <c r="G195" s="29">
        <v>9.3077972242471101E-3</v>
      </c>
      <c r="H195" s="27">
        <v>0.10268799325662301</v>
      </c>
      <c r="I195" s="28">
        <v>0.10205332910378299</v>
      </c>
      <c r="J195" s="29">
        <v>0.101422508762279</v>
      </c>
      <c r="L195" s="68"/>
      <c r="M195" s="69"/>
      <c r="N195" s="70"/>
      <c r="O195" s="68"/>
      <c r="P195" s="69"/>
      <c r="Q195" s="70"/>
      <c r="R195" s="68"/>
      <c r="S195" s="69"/>
      <c r="T195" s="70"/>
    </row>
    <row r="196" spans="1:20" x14ac:dyDescent="0.2">
      <c r="A196" s="4">
        <v>190</v>
      </c>
      <c r="B196" s="27"/>
      <c r="C196" s="28"/>
      <c r="D196" s="29"/>
      <c r="E196" s="27">
        <v>9.3077972242471101E-3</v>
      </c>
      <c r="F196" s="28">
        <v>9.1901931605294102E-3</v>
      </c>
      <c r="G196" s="29">
        <v>9.0725890968117104E-3</v>
      </c>
      <c r="H196" s="27">
        <v>0.101422508762279</v>
      </c>
      <c r="I196" s="28">
        <v>0.10078783972548799</v>
      </c>
      <c r="J196" s="29">
        <v>0.100157024267935</v>
      </c>
      <c r="L196" s="68"/>
      <c r="M196" s="69"/>
      <c r="N196" s="70"/>
      <c r="O196" s="68"/>
      <c r="P196" s="69"/>
      <c r="Q196" s="70"/>
      <c r="R196" s="68"/>
      <c r="S196" s="69"/>
      <c r="T196" s="70"/>
    </row>
    <row r="197" spans="1:20" x14ac:dyDescent="0.2">
      <c r="A197" s="4">
        <v>191</v>
      </c>
      <c r="B197" s="27"/>
      <c r="C197" s="28"/>
      <c r="D197" s="29"/>
      <c r="E197" s="27">
        <v>9.0725890968117104E-3</v>
      </c>
      <c r="F197" s="28">
        <v>8.9607822490834106E-3</v>
      </c>
      <c r="G197" s="29">
        <v>8.8489754013551004E-3</v>
      </c>
      <c r="H197" s="27">
        <v>0.100157024267935</v>
      </c>
      <c r="I197" s="28">
        <v>9.9522349414629396E-2</v>
      </c>
      <c r="J197" s="29">
        <v>9.8891539773591997E-2</v>
      </c>
      <c r="L197" s="68"/>
      <c r="M197" s="69"/>
      <c r="N197" s="70"/>
      <c r="O197" s="68"/>
      <c r="P197" s="69"/>
      <c r="Q197" s="70"/>
      <c r="R197" s="68"/>
      <c r="S197" s="69"/>
      <c r="T197" s="70"/>
    </row>
    <row r="198" spans="1:20" x14ac:dyDescent="0.2">
      <c r="A198" s="4">
        <v>192</v>
      </c>
      <c r="B198" s="27"/>
      <c r="C198" s="28"/>
      <c r="D198" s="29"/>
      <c r="E198" s="27">
        <v>8.8489754013551004E-3</v>
      </c>
      <c r="F198" s="28">
        <v>8.7371685536268007E-3</v>
      </c>
      <c r="G198" s="29">
        <v>8.6253617058984905E-3</v>
      </c>
      <c r="H198" s="27">
        <v>9.8891539773591997E-2</v>
      </c>
      <c r="I198" s="28">
        <v>9.8256858154722307E-2</v>
      </c>
      <c r="J198" s="29">
        <v>9.76260552792481E-2</v>
      </c>
      <c r="L198" s="68"/>
      <c r="M198" s="69"/>
      <c r="N198" s="70"/>
      <c r="O198" s="68"/>
      <c r="P198" s="69"/>
      <c r="Q198" s="70"/>
      <c r="R198" s="68"/>
      <c r="S198" s="69"/>
      <c r="T198" s="70"/>
    </row>
    <row r="199" spans="1:20" x14ac:dyDescent="0.2">
      <c r="A199" s="4">
        <v>193</v>
      </c>
      <c r="B199" s="27"/>
      <c r="C199" s="28"/>
      <c r="D199" s="29"/>
      <c r="E199" s="27">
        <v>8.6253617058984905E-3</v>
      </c>
      <c r="F199" s="28">
        <v>8.5190663041601004E-3</v>
      </c>
      <c r="G199" s="29">
        <v>8.4127709024217102E-3</v>
      </c>
      <c r="H199" s="27">
        <v>9.76260552792481E-2</v>
      </c>
      <c r="I199" s="28">
        <v>9.7022674313078205E-2</v>
      </c>
      <c r="J199" s="29">
        <v>9.6422952021683203E-2</v>
      </c>
      <c r="L199" s="68"/>
      <c r="M199" s="69"/>
      <c r="N199" s="70"/>
      <c r="O199" s="68"/>
      <c r="P199" s="69"/>
      <c r="Q199" s="70"/>
      <c r="R199" s="68"/>
      <c r="S199" s="69"/>
      <c r="T199" s="70"/>
    </row>
    <row r="200" spans="1:20" x14ac:dyDescent="0.2">
      <c r="A200" s="4">
        <v>194</v>
      </c>
      <c r="B200" s="27"/>
      <c r="C200" s="28"/>
      <c r="D200" s="29"/>
      <c r="E200" s="27">
        <v>8.4127709024217102E-3</v>
      </c>
      <c r="F200" s="28">
        <v>8.3064755006833201E-3</v>
      </c>
      <c r="G200" s="29">
        <v>8.20018009894493E-3</v>
      </c>
      <c r="H200" s="27">
        <v>9.6422952021683203E-2</v>
      </c>
      <c r="I200" s="28">
        <v>9.5819566064664505E-2</v>
      </c>
      <c r="J200" s="29">
        <v>9.5219848764118306E-2</v>
      </c>
      <c r="L200" s="68"/>
      <c r="M200" s="69"/>
      <c r="N200" s="70"/>
      <c r="O200" s="68"/>
      <c r="P200" s="69"/>
      <c r="Q200" s="70"/>
      <c r="R200" s="68"/>
      <c r="S200" s="69"/>
      <c r="T200" s="70"/>
    </row>
    <row r="201" spans="1:20" x14ac:dyDescent="0.2">
      <c r="A201" s="4">
        <v>195</v>
      </c>
      <c r="B201" s="27"/>
      <c r="C201" s="28"/>
      <c r="D201" s="29"/>
      <c r="E201" s="27">
        <v>8.20018009894493E-3</v>
      </c>
      <c r="F201" s="28">
        <v>8.0991244600436205E-3</v>
      </c>
      <c r="G201" s="29">
        <v>7.9980688211423005E-3</v>
      </c>
      <c r="H201" s="27">
        <v>9.5219848764118306E-2</v>
      </c>
      <c r="I201" s="28">
        <v>9.4616456940816704E-2</v>
      </c>
      <c r="J201" s="29">
        <v>9.4016745506553395E-2</v>
      </c>
      <c r="L201" s="68"/>
      <c r="M201" s="69"/>
      <c r="N201" s="70"/>
      <c r="O201" s="68"/>
      <c r="P201" s="69"/>
      <c r="Q201" s="70"/>
      <c r="R201" s="68"/>
      <c r="S201" s="69"/>
      <c r="T201" s="70"/>
    </row>
    <row r="202" spans="1:20" x14ac:dyDescent="0.2">
      <c r="A202" s="4">
        <v>196</v>
      </c>
      <c r="B202" s="27"/>
      <c r="C202" s="28"/>
      <c r="D202" s="29"/>
      <c r="E202" s="27">
        <v>7.9980688211423005E-3</v>
      </c>
      <c r="F202" s="28">
        <v>7.8970131822409893E-3</v>
      </c>
      <c r="G202" s="29">
        <v>7.7959575433396702E-3</v>
      </c>
      <c r="H202" s="27">
        <v>9.4016745506553395E-2</v>
      </c>
      <c r="I202" s="28">
        <v>9.3413346925457705E-2</v>
      </c>
      <c r="J202" s="29">
        <v>9.2813642248988498E-2</v>
      </c>
      <c r="L202" s="68"/>
      <c r="M202" s="69"/>
      <c r="N202" s="70"/>
      <c r="O202" s="68"/>
      <c r="P202" s="69"/>
      <c r="Q202" s="70"/>
      <c r="R202" s="68"/>
      <c r="S202" s="69"/>
      <c r="T202" s="70"/>
    </row>
    <row r="203" spans="1:20" x14ac:dyDescent="0.2">
      <c r="A203" s="4">
        <v>197</v>
      </c>
      <c r="B203" s="27"/>
      <c r="C203" s="28"/>
      <c r="D203" s="29"/>
      <c r="E203" s="27">
        <v>7.7959575433396702E-3</v>
      </c>
      <c r="F203" s="28">
        <v>7.6998833765672802E-3</v>
      </c>
      <c r="G203" s="29">
        <v>7.6038092097948798E-3</v>
      </c>
      <c r="H203" s="27">
        <v>9.2813642248988498E-2</v>
      </c>
      <c r="I203" s="28">
        <v>9.22400026287786E-2</v>
      </c>
      <c r="J203" s="29">
        <v>9.1669845185624502E-2</v>
      </c>
      <c r="L203" s="68"/>
      <c r="M203" s="69"/>
      <c r="N203" s="70"/>
      <c r="O203" s="68"/>
      <c r="P203" s="69"/>
      <c r="Q203" s="70"/>
      <c r="R203" s="68"/>
      <c r="S203" s="69"/>
      <c r="T203" s="70"/>
    </row>
    <row r="204" spans="1:20" x14ac:dyDescent="0.2">
      <c r="A204" s="4">
        <v>198</v>
      </c>
      <c r="B204" s="27"/>
      <c r="C204" s="28"/>
      <c r="D204" s="29"/>
      <c r="E204" s="27">
        <v>7.6038092097948798E-3</v>
      </c>
      <c r="F204" s="28">
        <v>7.5077350430224898E-3</v>
      </c>
      <c r="G204" s="29">
        <v>7.4116608762500903E-3</v>
      </c>
      <c r="H204" s="27">
        <v>9.1669845185624502E-2</v>
      </c>
      <c r="I204" s="28">
        <v>9.1096200501405294E-2</v>
      </c>
      <c r="J204" s="29">
        <v>9.0526048122260394E-2</v>
      </c>
      <c r="L204" s="68"/>
      <c r="M204" s="69"/>
      <c r="N204" s="70"/>
      <c r="O204" s="68"/>
      <c r="P204" s="69"/>
      <c r="Q204" s="70"/>
      <c r="R204" s="68"/>
      <c r="S204" s="69"/>
      <c r="T204" s="70"/>
    </row>
    <row r="205" spans="1:20" x14ac:dyDescent="0.2">
      <c r="A205" s="4">
        <v>199</v>
      </c>
      <c r="B205" s="27"/>
      <c r="C205" s="28"/>
      <c r="D205" s="29"/>
      <c r="E205" s="27">
        <v>7.4116608762500903E-3</v>
      </c>
      <c r="F205" s="28">
        <v>7.3203226231712704E-3</v>
      </c>
      <c r="G205" s="29">
        <v>7.2289843700924497E-3</v>
      </c>
      <c r="H205" s="27">
        <v>9.0526048122260394E-2</v>
      </c>
      <c r="I205" s="28">
        <v>8.9952397551770993E-2</v>
      </c>
      <c r="J205" s="29">
        <v>8.9382251058896398E-2</v>
      </c>
      <c r="L205" s="68"/>
      <c r="M205" s="69"/>
      <c r="N205" s="70"/>
      <c r="O205" s="68"/>
      <c r="P205" s="69"/>
      <c r="Q205" s="70"/>
      <c r="R205" s="68"/>
      <c r="S205" s="69"/>
      <c r="T205" s="70"/>
    </row>
    <row r="206" spans="1:20" x14ac:dyDescent="0.2">
      <c r="A206" s="4">
        <v>200</v>
      </c>
      <c r="B206" s="27"/>
      <c r="C206" s="28"/>
      <c r="D206" s="29"/>
      <c r="E206" s="27">
        <v>7.2289843700924497E-3</v>
      </c>
      <c r="F206" s="28">
        <v>7.1376461170136402E-3</v>
      </c>
      <c r="G206" s="29">
        <v>7.0463078639348203E-3</v>
      </c>
      <c r="H206" s="27">
        <v>8.9382251058896398E-2</v>
      </c>
      <c r="I206" s="28">
        <v>8.8808593764239496E-2</v>
      </c>
      <c r="J206" s="29">
        <v>8.8238453995532304E-2</v>
      </c>
      <c r="L206" s="68"/>
      <c r="M206" s="69"/>
      <c r="N206" s="70"/>
      <c r="O206" s="68"/>
      <c r="P206" s="69"/>
      <c r="Q206" s="70"/>
      <c r="R206" s="68"/>
      <c r="S206" s="69"/>
      <c r="T206" s="70"/>
    </row>
    <row r="207" spans="1:20" x14ac:dyDescent="0.2">
      <c r="A207" s="4">
        <v>201</v>
      </c>
      <c r="B207" s="27"/>
      <c r="C207" s="28"/>
      <c r="D207" s="29"/>
      <c r="E207" s="27"/>
      <c r="F207" s="28"/>
      <c r="G207" s="29"/>
      <c r="H207" s="27">
        <v>8.8238453995532304E-2</v>
      </c>
      <c r="I207" s="28">
        <v>8.7693089855147996E-2</v>
      </c>
      <c r="J207" s="29">
        <v>8.7151039666019003E-2</v>
      </c>
      <c r="L207" s="68"/>
      <c r="M207" s="69"/>
      <c r="N207" s="70"/>
      <c r="O207" s="68"/>
      <c r="P207" s="69"/>
      <c r="Q207" s="70"/>
      <c r="R207" s="68"/>
      <c r="S207" s="69"/>
      <c r="T207" s="70"/>
    </row>
    <row r="208" spans="1:20" x14ac:dyDescent="0.2">
      <c r="A208" s="4">
        <v>202</v>
      </c>
      <c r="B208" s="27"/>
      <c r="C208" s="28"/>
      <c r="D208" s="29"/>
      <c r="E208" s="27"/>
      <c r="F208" s="28"/>
      <c r="G208" s="29"/>
      <c r="H208" s="27">
        <v>8.7151039666019003E-2</v>
      </c>
      <c r="I208" s="28">
        <v>8.66056704180794E-2</v>
      </c>
      <c r="J208" s="29">
        <v>8.6063625336505703E-2</v>
      </c>
      <c r="L208" s="68"/>
      <c r="M208" s="69"/>
      <c r="N208" s="70"/>
      <c r="O208" s="68"/>
      <c r="P208" s="69"/>
      <c r="Q208" s="70"/>
      <c r="R208" s="68"/>
      <c r="S208" s="69"/>
      <c r="T208" s="70"/>
    </row>
    <row r="209" spans="1:20" x14ac:dyDescent="0.2">
      <c r="A209" s="4">
        <v>203</v>
      </c>
      <c r="B209" s="27"/>
      <c r="C209" s="28"/>
      <c r="D209" s="29"/>
      <c r="E209" s="27"/>
      <c r="F209" s="28"/>
      <c r="G209" s="29"/>
      <c r="H209" s="27">
        <v>8.6063625336505703E-2</v>
      </c>
      <c r="I209" s="28">
        <v>8.5518250208288002E-2</v>
      </c>
      <c r="J209" s="29">
        <v>8.4976211006992403E-2</v>
      </c>
      <c r="L209" s="68"/>
      <c r="M209" s="69"/>
      <c r="N209" s="70"/>
      <c r="O209" s="68"/>
      <c r="P209" s="69"/>
      <c r="Q209" s="70"/>
      <c r="R209" s="68"/>
      <c r="S209" s="69"/>
      <c r="T209" s="70"/>
    </row>
    <row r="210" spans="1:20" x14ac:dyDescent="0.2">
      <c r="A210" s="4">
        <v>204</v>
      </c>
      <c r="B210" s="27"/>
      <c r="C210" s="28"/>
      <c r="D210" s="29"/>
      <c r="E210" s="27"/>
      <c r="F210" s="28"/>
      <c r="G210" s="29"/>
      <c r="H210" s="27">
        <v>8.4976211006992403E-2</v>
      </c>
      <c r="I210" s="28">
        <v>8.4430829210599107E-2</v>
      </c>
      <c r="J210" s="29">
        <v>8.3888796677479005E-2</v>
      </c>
      <c r="L210" s="68"/>
      <c r="M210" s="69"/>
      <c r="N210" s="70"/>
      <c r="O210" s="68"/>
      <c r="P210" s="69"/>
      <c r="Q210" s="70"/>
      <c r="R210" s="68"/>
      <c r="S210" s="69"/>
      <c r="T210" s="70"/>
    </row>
    <row r="211" spans="1:20" x14ac:dyDescent="0.2">
      <c r="A211" s="4">
        <v>205</v>
      </c>
      <c r="B211" s="27"/>
      <c r="C211" s="28"/>
      <c r="D211" s="29"/>
      <c r="E211" s="27"/>
      <c r="F211" s="28"/>
      <c r="G211" s="29"/>
      <c r="H211" s="27">
        <v>8.3888796677479005E-2</v>
      </c>
      <c r="I211" s="28">
        <v>8.3370314384097102E-2</v>
      </c>
      <c r="J211" s="29">
        <v>8.2854985731546801E-2</v>
      </c>
      <c r="L211" s="68"/>
      <c r="M211" s="69"/>
      <c r="N211" s="70"/>
      <c r="O211" s="68"/>
      <c r="P211" s="69"/>
      <c r="Q211" s="70"/>
      <c r="R211" s="68"/>
      <c r="S211" s="69"/>
      <c r="T211" s="70"/>
    </row>
    <row r="212" spans="1:20" x14ac:dyDescent="0.2">
      <c r="A212" s="4">
        <v>206</v>
      </c>
      <c r="B212" s="27"/>
      <c r="C212" s="28"/>
      <c r="D212" s="29"/>
      <c r="E212" s="27"/>
      <c r="F212" s="28"/>
      <c r="G212" s="29"/>
      <c r="H212" s="27">
        <v>8.2854985731546801E-2</v>
      </c>
      <c r="I212" s="28">
        <v>8.2336498312978498E-2</v>
      </c>
      <c r="J212" s="29">
        <v>8.1821174785614598E-2</v>
      </c>
      <c r="L212" s="68"/>
      <c r="M212" s="69"/>
      <c r="N212" s="70"/>
      <c r="O212" s="68"/>
      <c r="P212" s="69"/>
      <c r="Q212" s="70"/>
      <c r="R212" s="68"/>
      <c r="S212" s="69"/>
      <c r="T212" s="70"/>
    </row>
    <row r="213" spans="1:20" x14ac:dyDescent="0.2">
      <c r="A213" s="4">
        <v>207</v>
      </c>
      <c r="B213" s="27"/>
      <c r="C213" s="28"/>
      <c r="D213" s="29"/>
      <c r="E213" s="27"/>
      <c r="F213" s="28"/>
      <c r="G213" s="29"/>
      <c r="H213" s="27">
        <v>8.1821174785614598E-2</v>
      </c>
      <c r="I213" s="28">
        <v>8.1302681515333097E-2</v>
      </c>
      <c r="J213" s="29">
        <v>8.0787363839682297E-2</v>
      </c>
      <c r="L213" s="68"/>
      <c r="M213" s="69"/>
      <c r="N213" s="70"/>
      <c r="O213" s="68"/>
      <c r="P213" s="69"/>
      <c r="Q213" s="70"/>
      <c r="R213" s="68"/>
      <c r="S213" s="69"/>
      <c r="T213" s="70"/>
    </row>
    <row r="214" spans="1:20" x14ac:dyDescent="0.2">
      <c r="A214" s="4">
        <v>208</v>
      </c>
      <c r="B214" s="27"/>
      <c r="C214" s="28"/>
      <c r="D214" s="29"/>
      <c r="E214" s="27"/>
      <c r="F214" s="28"/>
      <c r="G214" s="29"/>
      <c r="H214" s="27">
        <v>8.0787363839682297E-2</v>
      </c>
      <c r="I214" s="28">
        <v>8.0268863976456106E-2</v>
      </c>
      <c r="J214" s="29">
        <v>7.9753552893750093E-2</v>
      </c>
      <c r="L214" s="68"/>
      <c r="M214" s="69"/>
      <c r="N214" s="70"/>
      <c r="O214" s="68"/>
      <c r="P214" s="69"/>
      <c r="Q214" s="70"/>
      <c r="R214" s="68"/>
      <c r="S214" s="69"/>
      <c r="T214" s="70"/>
    </row>
    <row r="215" spans="1:20" x14ac:dyDescent="0.2">
      <c r="A215" s="4">
        <v>209</v>
      </c>
      <c r="B215" s="27"/>
      <c r="C215" s="28"/>
      <c r="D215" s="29"/>
      <c r="E215" s="27"/>
      <c r="F215" s="28"/>
      <c r="G215" s="29"/>
      <c r="H215" s="27">
        <v>7.9753552893750093E-2</v>
      </c>
      <c r="I215" s="28">
        <v>7.9260627490470803E-2</v>
      </c>
      <c r="J215" s="29">
        <v>7.8770702987396801E-2</v>
      </c>
      <c r="L215" s="68"/>
      <c r="M215" s="69"/>
      <c r="N215" s="70"/>
      <c r="O215" s="68"/>
      <c r="P215" s="69"/>
      <c r="Q215" s="70"/>
      <c r="R215" s="68"/>
      <c r="S215" s="69"/>
      <c r="T215" s="70"/>
    </row>
    <row r="216" spans="1:20" x14ac:dyDescent="0.2">
      <c r="A216" s="4">
        <v>210</v>
      </c>
      <c r="B216" s="27"/>
      <c r="C216" s="28"/>
      <c r="D216" s="29"/>
      <c r="E216" s="27"/>
      <c r="F216" s="28"/>
      <c r="G216" s="29"/>
      <c r="H216" s="27">
        <v>7.8770702987396801E-2</v>
      </c>
      <c r="I216" s="28">
        <v>7.82777724639038E-2</v>
      </c>
      <c r="J216" s="29">
        <v>7.7787853081043606E-2</v>
      </c>
      <c r="L216" s="68"/>
      <c r="M216" s="69"/>
      <c r="N216" s="70"/>
      <c r="O216" s="68"/>
      <c r="P216" s="69"/>
      <c r="Q216" s="70"/>
      <c r="R216" s="68"/>
      <c r="S216" s="69"/>
      <c r="T216" s="70"/>
    </row>
    <row r="217" spans="1:20" x14ac:dyDescent="0.2">
      <c r="A217" s="4">
        <v>211</v>
      </c>
      <c r="B217" s="27"/>
      <c r="C217" s="28"/>
      <c r="D217" s="29"/>
      <c r="E217" s="27"/>
      <c r="F217" s="28"/>
      <c r="G217" s="29"/>
      <c r="H217" s="27">
        <v>7.7787853081043606E-2</v>
      </c>
      <c r="I217" s="28">
        <v>7.7294916753922305E-2</v>
      </c>
      <c r="J217" s="29">
        <v>7.6805003174690398E-2</v>
      </c>
      <c r="L217" s="68"/>
      <c r="M217" s="69"/>
      <c r="N217" s="70"/>
      <c r="O217" s="68"/>
      <c r="P217" s="69"/>
      <c r="Q217" s="70"/>
      <c r="R217" s="68"/>
      <c r="S217" s="69"/>
      <c r="T217" s="70"/>
    </row>
    <row r="218" spans="1:20" x14ac:dyDescent="0.2">
      <c r="A218" s="4">
        <v>212</v>
      </c>
      <c r="B218" s="27"/>
      <c r="C218" s="28"/>
      <c r="D218" s="29"/>
      <c r="E218" s="27"/>
      <c r="F218" s="28"/>
      <c r="G218" s="29"/>
      <c r="H218" s="27">
        <v>7.6805003174690398E-2</v>
      </c>
      <c r="I218" s="28">
        <v>7.6312060346300101E-2</v>
      </c>
      <c r="J218" s="29">
        <v>7.5822153268337106E-2</v>
      </c>
      <c r="L218" s="68"/>
      <c r="M218" s="69"/>
      <c r="N218" s="70"/>
      <c r="O218" s="68"/>
      <c r="P218" s="69"/>
      <c r="Q218" s="70"/>
      <c r="R218" s="68"/>
      <c r="S218" s="69"/>
      <c r="T218" s="70"/>
    </row>
    <row r="219" spans="1:20" x14ac:dyDescent="0.2">
      <c r="A219" s="4">
        <v>213</v>
      </c>
      <c r="B219" s="27"/>
      <c r="C219" s="28"/>
      <c r="D219" s="29"/>
      <c r="E219" s="27"/>
      <c r="F219" s="28"/>
      <c r="G219" s="29"/>
      <c r="H219" s="27">
        <v>7.5822153268337106E-2</v>
      </c>
      <c r="I219" s="28">
        <v>7.5353525091692602E-2</v>
      </c>
      <c r="J219" s="29">
        <v>7.4887752310193401E-2</v>
      </c>
      <c r="L219" s="68"/>
      <c r="M219" s="69"/>
      <c r="N219" s="70"/>
      <c r="O219" s="68"/>
      <c r="P219" s="69"/>
      <c r="Q219" s="70"/>
      <c r="R219" s="68"/>
      <c r="S219" s="69"/>
      <c r="T219" s="70"/>
    </row>
    <row r="220" spans="1:20" x14ac:dyDescent="0.2">
      <c r="A220" s="4">
        <v>214</v>
      </c>
      <c r="B220" s="27"/>
      <c r="C220" s="28"/>
      <c r="D220" s="29"/>
      <c r="E220" s="27"/>
      <c r="F220" s="28"/>
      <c r="G220" s="29"/>
      <c r="H220" s="27">
        <v>7.4887752310193401E-2</v>
      </c>
      <c r="I220" s="28">
        <v>7.4419119037944195E-2</v>
      </c>
      <c r="J220" s="29">
        <v>7.3953351352049695E-2</v>
      </c>
      <c r="L220" s="68"/>
      <c r="M220" s="69"/>
      <c r="N220" s="70"/>
      <c r="O220" s="68"/>
      <c r="P220" s="69"/>
      <c r="Q220" s="70"/>
      <c r="R220" s="68"/>
      <c r="S220" s="69"/>
      <c r="T220" s="70"/>
    </row>
    <row r="221" spans="1:20" x14ac:dyDescent="0.2">
      <c r="A221" s="4">
        <v>215</v>
      </c>
      <c r="B221" s="27"/>
      <c r="C221" s="28"/>
      <c r="D221" s="29"/>
      <c r="E221" s="27"/>
      <c r="F221" s="28"/>
      <c r="G221" s="29"/>
      <c r="H221" s="27">
        <v>7.3953351352049695E-2</v>
      </c>
      <c r="I221" s="28">
        <v>7.3484712341047295E-2</v>
      </c>
      <c r="J221" s="29">
        <v>7.3018950393906004E-2</v>
      </c>
      <c r="L221" s="68"/>
      <c r="M221" s="69"/>
      <c r="N221" s="70"/>
      <c r="O221" s="68"/>
      <c r="P221" s="69"/>
      <c r="Q221" s="70"/>
      <c r="R221" s="68"/>
      <c r="S221" s="69"/>
      <c r="T221" s="70"/>
    </row>
    <row r="222" spans="1:20" x14ac:dyDescent="0.2">
      <c r="A222" s="4">
        <v>216</v>
      </c>
      <c r="B222" s="27"/>
      <c r="C222" s="28"/>
      <c r="D222" s="29"/>
      <c r="E222" s="27"/>
      <c r="F222" s="28"/>
      <c r="G222" s="29"/>
      <c r="H222" s="27">
        <v>7.3018950393906004E-2</v>
      </c>
      <c r="I222" s="28">
        <v>7.2550304987262004E-2</v>
      </c>
      <c r="J222" s="29">
        <v>7.2084549435762299E-2</v>
      </c>
      <c r="L222" s="68"/>
      <c r="M222" s="69"/>
      <c r="N222" s="70"/>
      <c r="O222" s="68"/>
      <c r="P222" s="69"/>
      <c r="Q222" s="70"/>
      <c r="R222" s="68"/>
      <c r="S222" s="69"/>
      <c r="T222" s="70"/>
    </row>
    <row r="223" spans="1:20" x14ac:dyDescent="0.2">
      <c r="A223" s="4">
        <v>217</v>
      </c>
      <c r="B223" s="27"/>
      <c r="C223" s="28"/>
      <c r="D223" s="29"/>
      <c r="E223" s="27"/>
      <c r="F223" s="28"/>
      <c r="G223" s="29"/>
      <c r="H223" s="27">
        <v>7.2084549435762299E-2</v>
      </c>
      <c r="I223" s="28">
        <v>7.1639020899571706E-2</v>
      </c>
      <c r="J223" s="29">
        <v>7.1196209166372093E-2</v>
      </c>
      <c r="L223" s="68"/>
      <c r="M223" s="69"/>
      <c r="N223" s="70"/>
      <c r="O223" s="68"/>
      <c r="P223" s="69"/>
      <c r="Q223" s="70"/>
      <c r="R223" s="68"/>
      <c r="S223" s="69"/>
      <c r="T223" s="70"/>
    </row>
    <row r="224" spans="1:20" x14ac:dyDescent="0.2">
      <c r="A224" s="4">
        <v>218</v>
      </c>
      <c r="B224" s="27"/>
      <c r="C224" s="28"/>
      <c r="D224" s="29"/>
      <c r="E224" s="27"/>
      <c r="F224" s="28"/>
      <c r="G224" s="29"/>
      <c r="H224" s="27">
        <v>7.1196209166372093E-2</v>
      </c>
      <c r="I224" s="28">
        <v>7.0750675576166697E-2</v>
      </c>
      <c r="J224" s="29">
        <v>7.0307868896981998E-2</v>
      </c>
      <c r="L224" s="68"/>
      <c r="M224" s="69"/>
      <c r="N224" s="70"/>
      <c r="O224" s="68"/>
      <c r="P224" s="69"/>
      <c r="Q224" s="70"/>
      <c r="R224" s="68"/>
      <c r="S224" s="69"/>
      <c r="T224" s="70"/>
    </row>
    <row r="225" spans="1:20" x14ac:dyDescent="0.2">
      <c r="A225" s="4">
        <v>219</v>
      </c>
      <c r="B225" s="27"/>
      <c r="C225" s="28"/>
      <c r="D225" s="29"/>
      <c r="E225" s="27"/>
      <c r="F225" s="28"/>
      <c r="G225" s="29"/>
      <c r="H225" s="27">
        <v>7.0307868896981998E-2</v>
      </c>
      <c r="I225" s="28">
        <v>6.9862329647251503E-2</v>
      </c>
      <c r="J225" s="29">
        <v>6.9419528627591903E-2</v>
      </c>
      <c r="L225" s="68"/>
      <c r="M225" s="69"/>
      <c r="N225" s="70"/>
      <c r="O225" s="68"/>
      <c r="P225" s="69"/>
      <c r="Q225" s="70"/>
      <c r="R225" s="68"/>
      <c r="S225" s="69"/>
      <c r="T225" s="70"/>
    </row>
    <row r="226" spans="1:20" x14ac:dyDescent="0.2">
      <c r="A226" s="4">
        <v>220</v>
      </c>
      <c r="B226" s="27"/>
      <c r="C226" s="28"/>
      <c r="D226" s="29"/>
      <c r="E226" s="27"/>
      <c r="F226" s="28"/>
      <c r="G226" s="29"/>
      <c r="H226" s="27">
        <v>6.9419528627591903E-2</v>
      </c>
      <c r="I226" s="28">
        <v>6.89739830995722E-2</v>
      </c>
      <c r="J226" s="29">
        <v>6.8531188358201794E-2</v>
      </c>
      <c r="L226" s="68"/>
      <c r="M226" s="69"/>
      <c r="N226" s="70"/>
      <c r="O226" s="68"/>
      <c r="P226" s="69"/>
      <c r="Q226" s="70"/>
      <c r="R226" s="68"/>
      <c r="S226" s="69"/>
      <c r="T226" s="70"/>
    </row>
    <row r="227" spans="1:20" x14ac:dyDescent="0.2">
      <c r="A227" s="4">
        <v>221</v>
      </c>
      <c r="B227" s="27"/>
      <c r="C227" s="28"/>
      <c r="D227" s="29"/>
      <c r="E227" s="27"/>
      <c r="F227" s="28"/>
      <c r="G227" s="29"/>
      <c r="H227" s="27">
        <v>6.8531188358201794E-2</v>
      </c>
      <c r="I227" s="28">
        <v>6.8107620895630494E-2</v>
      </c>
      <c r="J227" s="29">
        <v>6.7686638245809005E-2</v>
      </c>
      <c r="L227" s="68"/>
      <c r="M227" s="69"/>
      <c r="N227" s="70"/>
      <c r="O227" s="68"/>
      <c r="P227" s="69"/>
      <c r="Q227" s="70"/>
      <c r="R227" s="68"/>
      <c r="S227" s="69"/>
      <c r="T227" s="70"/>
    </row>
    <row r="228" spans="1:20" x14ac:dyDescent="0.2">
      <c r="A228" s="4">
        <v>222</v>
      </c>
      <c r="B228" s="27"/>
      <c r="C228" s="28"/>
      <c r="D228" s="29"/>
      <c r="E228" s="27"/>
      <c r="F228" s="28"/>
      <c r="G228" s="29"/>
      <c r="H228" s="27">
        <v>6.7686638245809005E-2</v>
      </c>
      <c r="I228" s="28">
        <v>6.7263065785423098E-2</v>
      </c>
      <c r="J228" s="29">
        <v>6.68420881334163E-2</v>
      </c>
      <c r="L228" s="68"/>
      <c r="M228" s="69"/>
      <c r="N228" s="70"/>
      <c r="O228" s="68"/>
      <c r="P228" s="69"/>
      <c r="Q228" s="70"/>
      <c r="R228" s="68"/>
      <c r="S228" s="69"/>
      <c r="T228" s="70"/>
    </row>
    <row r="229" spans="1:20" x14ac:dyDescent="0.2">
      <c r="A229" s="4">
        <v>223</v>
      </c>
      <c r="B229" s="27"/>
      <c r="C229" s="28"/>
      <c r="D229" s="29"/>
      <c r="E229" s="27"/>
      <c r="F229" s="28"/>
      <c r="G229" s="29"/>
      <c r="H229" s="27">
        <v>6.68420881334163E-2</v>
      </c>
      <c r="I229" s="28">
        <v>6.6418510104910594E-2</v>
      </c>
      <c r="J229" s="29">
        <v>6.5997538021023594E-2</v>
      </c>
      <c r="L229" s="68"/>
      <c r="M229" s="69"/>
      <c r="N229" s="70"/>
      <c r="O229" s="68"/>
      <c r="P229" s="69"/>
      <c r="Q229" s="70"/>
      <c r="R229" s="68"/>
      <c r="S229" s="69"/>
      <c r="T229" s="70"/>
    </row>
    <row r="230" spans="1:20" x14ac:dyDescent="0.2">
      <c r="A230" s="4">
        <v>224</v>
      </c>
      <c r="B230" s="27"/>
      <c r="C230" s="28"/>
      <c r="D230" s="29"/>
      <c r="E230" s="27"/>
      <c r="F230" s="28"/>
      <c r="G230" s="29"/>
      <c r="H230" s="27">
        <v>6.5997538021023594E-2</v>
      </c>
      <c r="I230" s="28">
        <v>6.5573953841323099E-2</v>
      </c>
      <c r="J230" s="29">
        <v>6.5152987908630902E-2</v>
      </c>
      <c r="L230" s="68"/>
      <c r="M230" s="69"/>
      <c r="N230" s="70"/>
      <c r="O230" s="68"/>
      <c r="P230" s="69"/>
      <c r="Q230" s="70"/>
      <c r="R230" s="68"/>
      <c r="S230" s="69"/>
      <c r="T230" s="70"/>
    </row>
    <row r="231" spans="1:20" x14ac:dyDescent="0.2">
      <c r="A231" s="4">
        <v>225</v>
      </c>
      <c r="B231" s="27"/>
      <c r="C231" s="28"/>
      <c r="D231" s="29"/>
      <c r="E231" s="27"/>
      <c r="F231" s="28"/>
      <c r="G231" s="29"/>
      <c r="H231" s="27">
        <v>6.5152987908630902E-2</v>
      </c>
      <c r="I231" s="28">
        <v>6.47502990647051E-2</v>
      </c>
      <c r="J231" s="29">
        <v>6.4350069345868705E-2</v>
      </c>
      <c r="L231" s="68"/>
      <c r="M231" s="69"/>
      <c r="N231" s="70"/>
      <c r="O231" s="68"/>
      <c r="P231" s="69"/>
      <c r="Q231" s="70"/>
      <c r="R231" s="68"/>
      <c r="S231" s="69"/>
      <c r="T231" s="70"/>
    </row>
    <row r="232" spans="1:20" x14ac:dyDescent="0.2">
      <c r="A232" s="4">
        <v>226</v>
      </c>
      <c r="B232" s="27"/>
      <c r="C232" s="28"/>
      <c r="D232" s="29"/>
      <c r="E232" s="27"/>
      <c r="F232" s="28"/>
      <c r="G232" s="29"/>
      <c r="H232" s="27">
        <v>6.4350069345868705E-2</v>
      </c>
      <c r="I232" s="28">
        <v>6.39473755728171E-2</v>
      </c>
      <c r="J232" s="29">
        <v>6.3547150783106507E-2</v>
      </c>
      <c r="L232" s="68"/>
      <c r="M232" s="69"/>
      <c r="N232" s="70"/>
      <c r="O232" s="68"/>
      <c r="P232" s="69"/>
      <c r="Q232" s="70"/>
      <c r="R232" s="68"/>
      <c r="S232" s="69"/>
      <c r="T232" s="70"/>
    </row>
    <row r="233" spans="1:20" x14ac:dyDescent="0.2">
      <c r="A233" s="4">
        <v>227</v>
      </c>
      <c r="B233" s="27"/>
      <c r="C233" s="28"/>
      <c r="D233" s="29"/>
      <c r="E233" s="27"/>
      <c r="F233" s="28"/>
      <c r="G233" s="29"/>
      <c r="H233" s="27">
        <v>6.3547150783106507E-2</v>
      </c>
      <c r="I233" s="28">
        <v>6.3144451543578298E-2</v>
      </c>
      <c r="J233" s="29">
        <v>6.2744232220344198E-2</v>
      </c>
      <c r="L233" s="68"/>
      <c r="M233" s="69"/>
      <c r="N233" s="70"/>
      <c r="O233" s="68"/>
      <c r="P233" s="69"/>
      <c r="Q233" s="70"/>
      <c r="R233" s="68"/>
      <c r="S233" s="69"/>
      <c r="T233" s="70"/>
    </row>
    <row r="234" spans="1:20" x14ac:dyDescent="0.2">
      <c r="A234" s="4">
        <v>228</v>
      </c>
      <c r="B234" s="27"/>
      <c r="C234" s="28"/>
      <c r="D234" s="29"/>
      <c r="E234" s="27"/>
      <c r="F234" s="28"/>
      <c r="G234" s="29"/>
      <c r="H234" s="27">
        <v>6.2744232220344198E-2</v>
      </c>
      <c r="I234" s="28">
        <v>6.2341526964696997E-2</v>
      </c>
      <c r="J234" s="29">
        <v>6.1941313657582001E-2</v>
      </c>
      <c r="L234" s="68"/>
      <c r="M234" s="69"/>
      <c r="N234" s="70"/>
      <c r="O234" s="68"/>
      <c r="P234" s="69"/>
      <c r="Q234" s="70"/>
      <c r="R234" s="68"/>
      <c r="S234" s="69"/>
      <c r="T234" s="70"/>
    </row>
    <row r="235" spans="1:20" x14ac:dyDescent="0.2">
      <c r="A235" s="4">
        <v>229</v>
      </c>
      <c r="B235" s="27"/>
      <c r="C235" s="28"/>
      <c r="D235" s="29"/>
      <c r="E235" s="27"/>
      <c r="F235" s="28"/>
      <c r="G235" s="29"/>
      <c r="H235" s="27">
        <v>6.1941313657582001E-2</v>
      </c>
      <c r="I235" s="28">
        <v>6.1558474324780801E-2</v>
      </c>
      <c r="J235" s="29">
        <v>6.1177974444232397E-2</v>
      </c>
      <c r="L235" s="68"/>
      <c r="M235" s="69"/>
      <c r="N235" s="70"/>
      <c r="O235" s="68"/>
      <c r="P235" s="69"/>
      <c r="Q235" s="70"/>
      <c r="R235" s="68"/>
      <c r="S235" s="69"/>
      <c r="T235" s="70"/>
    </row>
    <row r="236" spans="1:20" x14ac:dyDescent="0.2">
      <c r="A236" s="4">
        <v>230</v>
      </c>
      <c r="B236" s="27"/>
      <c r="C236" s="28"/>
      <c r="D236" s="29"/>
      <c r="E236" s="27"/>
      <c r="F236" s="28"/>
      <c r="G236" s="29"/>
      <c r="H236" s="27">
        <v>6.1177974444232397E-2</v>
      </c>
      <c r="I236" s="28">
        <v>6.0795130261592598E-2</v>
      </c>
      <c r="J236" s="29">
        <v>6.04146352308828E-2</v>
      </c>
      <c r="L236" s="68"/>
      <c r="M236" s="69"/>
      <c r="N236" s="70"/>
      <c r="O236" s="68"/>
      <c r="P236" s="69"/>
      <c r="Q236" s="70"/>
      <c r="R236" s="68"/>
      <c r="S236" s="69"/>
      <c r="T236" s="70"/>
    </row>
    <row r="237" spans="1:20" x14ac:dyDescent="0.2">
      <c r="A237" s="4">
        <v>231</v>
      </c>
      <c r="B237" s="27"/>
      <c r="C237" s="28"/>
      <c r="D237" s="29"/>
      <c r="E237" s="27"/>
      <c r="F237" s="28"/>
      <c r="G237" s="29"/>
      <c r="H237" s="27">
        <v>6.04146352308828E-2</v>
      </c>
      <c r="I237" s="28">
        <v>6.0031785691920699E-2</v>
      </c>
      <c r="J237" s="29">
        <v>5.9651296017533197E-2</v>
      </c>
      <c r="L237" s="68"/>
      <c r="M237" s="69"/>
      <c r="N237" s="70"/>
      <c r="O237" s="68"/>
      <c r="P237" s="69"/>
      <c r="Q237" s="70"/>
      <c r="R237" s="68"/>
      <c r="S237" s="69"/>
      <c r="T237" s="70"/>
    </row>
    <row r="238" spans="1:20" x14ac:dyDescent="0.2">
      <c r="A238" s="4">
        <v>232</v>
      </c>
      <c r="B238" s="27"/>
      <c r="C238" s="28"/>
      <c r="D238" s="29"/>
      <c r="E238" s="27"/>
      <c r="F238" s="28"/>
      <c r="G238" s="29"/>
      <c r="H238" s="27">
        <v>5.9651296017533197E-2</v>
      </c>
      <c r="I238" s="28">
        <v>5.9268440603945101E-2</v>
      </c>
      <c r="J238" s="29">
        <v>5.88879568041836E-2</v>
      </c>
      <c r="L238" s="68"/>
      <c r="M238" s="69"/>
      <c r="N238" s="70"/>
      <c r="O238" s="68"/>
      <c r="P238" s="69"/>
      <c r="Q238" s="70"/>
      <c r="R238" s="68"/>
      <c r="S238" s="69"/>
      <c r="T238" s="70"/>
    </row>
    <row r="239" spans="1:20" x14ac:dyDescent="0.2">
      <c r="A239" s="4">
        <v>233</v>
      </c>
      <c r="B239" s="27"/>
      <c r="C239" s="28"/>
      <c r="D239" s="29"/>
      <c r="E239" s="27"/>
      <c r="F239" s="28"/>
      <c r="G239" s="29"/>
      <c r="H239" s="27">
        <v>5.88879568041836E-2</v>
      </c>
      <c r="I239" s="28">
        <v>5.8523988594094002E-2</v>
      </c>
      <c r="J239" s="29">
        <v>5.8162245901906599E-2</v>
      </c>
      <c r="L239" s="68"/>
      <c r="M239" s="69"/>
      <c r="N239" s="70"/>
      <c r="O239" s="68"/>
      <c r="P239" s="69"/>
      <c r="Q239" s="70"/>
      <c r="R239" s="68"/>
      <c r="S239" s="69"/>
      <c r="T239" s="70"/>
    </row>
    <row r="240" spans="1:20" x14ac:dyDescent="0.2">
      <c r="A240" s="4">
        <v>234</v>
      </c>
      <c r="B240" s="27"/>
      <c r="C240" s="28"/>
      <c r="D240" s="29"/>
      <c r="E240" s="27"/>
      <c r="F240" s="28"/>
      <c r="G240" s="29"/>
      <c r="H240" s="27">
        <v>5.8162245901906599E-2</v>
      </c>
      <c r="I240" s="28">
        <v>5.7798272930178897E-2</v>
      </c>
      <c r="J240" s="29">
        <v>5.7436534999629502E-2</v>
      </c>
      <c r="L240" s="68"/>
      <c r="M240" s="69"/>
      <c r="N240" s="70"/>
      <c r="O240" s="68"/>
      <c r="P240" s="69"/>
      <c r="Q240" s="70"/>
      <c r="R240" s="68"/>
      <c r="S240" s="69"/>
      <c r="T240" s="70"/>
    </row>
    <row r="241" spans="1:20" x14ac:dyDescent="0.2">
      <c r="A241" s="4">
        <v>235</v>
      </c>
      <c r="B241" s="27"/>
      <c r="C241" s="28"/>
      <c r="D241" s="29"/>
      <c r="E241" s="27"/>
      <c r="F241" s="28"/>
      <c r="G241" s="29"/>
      <c r="H241" s="27">
        <v>5.7436534999629502E-2</v>
      </c>
      <c r="I241" s="28">
        <v>5.7072556788710399E-2</v>
      </c>
      <c r="J241" s="29">
        <v>5.6710824097352397E-2</v>
      </c>
      <c r="L241" s="68"/>
      <c r="M241" s="69"/>
      <c r="N241" s="70"/>
      <c r="O241" s="68"/>
      <c r="P241" s="69"/>
      <c r="Q241" s="70"/>
      <c r="R241" s="68"/>
      <c r="S241" s="69"/>
      <c r="T241" s="70"/>
    </row>
    <row r="242" spans="1:20" x14ac:dyDescent="0.2">
      <c r="A242" s="4">
        <v>236</v>
      </c>
      <c r="B242" s="27"/>
      <c r="C242" s="28"/>
      <c r="D242" s="29"/>
      <c r="E242" s="27"/>
      <c r="F242" s="28"/>
      <c r="G242" s="29"/>
      <c r="H242" s="27">
        <v>5.6710824097352397E-2</v>
      </c>
      <c r="I242" s="28">
        <v>5.6346840158329602E-2</v>
      </c>
      <c r="J242" s="29">
        <v>5.5985113195075403E-2</v>
      </c>
      <c r="L242" s="68"/>
      <c r="M242" s="69"/>
      <c r="N242" s="70"/>
      <c r="O242" s="68"/>
      <c r="P242" s="69"/>
      <c r="Q242" s="70"/>
      <c r="R242" s="68"/>
      <c r="S242" s="69"/>
      <c r="T242" s="70"/>
    </row>
    <row r="243" spans="1:20" x14ac:dyDescent="0.2">
      <c r="A243" s="4">
        <v>237</v>
      </c>
      <c r="B243" s="27"/>
      <c r="C243" s="28"/>
      <c r="D243" s="29"/>
      <c r="E243" s="27"/>
      <c r="F243" s="28"/>
      <c r="G243" s="29"/>
      <c r="H243" s="27">
        <v>5.5985113195075403E-2</v>
      </c>
      <c r="I243" s="28">
        <v>5.5639085939428297E-2</v>
      </c>
      <c r="J243" s="29">
        <v>5.52951757406994E-2</v>
      </c>
      <c r="L243" s="68"/>
      <c r="M243" s="69"/>
      <c r="N243" s="70"/>
      <c r="O243" s="68"/>
      <c r="P243" s="69"/>
      <c r="Q243" s="70"/>
      <c r="R243" s="68"/>
      <c r="S243" s="69"/>
      <c r="T243" s="70"/>
    </row>
    <row r="244" spans="1:20" x14ac:dyDescent="0.2">
      <c r="A244" s="4">
        <v>238</v>
      </c>
      <c r="B244" s="27"/>
      <c r="C244" s="28"/>
      <c r="D244" s="29"/>
      <c r="E244" s="27"/>
      <c r="F244" s="28"/>
      <c r="G244" s="29"/>
      <c r="H244" s="27">
        <v>5.52951757406994E-2</v>
      </c>
      <c r="I244" s="28">
        <v>5.49491438190291E-2</v>
      </c>
      <c r="J244" s="29">
        <v>5.4605238286323403E-2</v>
      </c>
      <c r="L244" s="68"/>
      <c r="M244" s="69"/>
      <c r="N244" s="70"/>
      <c r="O244" s="68"/>
      <c r="P244" s="69"/>
      <c r="Q244" s="70"/>
      <c r="R244" s="68"/>
      <c r="S244" s="69"/>
      <c r="T244" s="70"/>
    </row>
    <row r="245" spans="1:20" x14ac:dyDescent="0.2">
      <c r="A245" s="4">
        <v>239</v>
      </c>
      <c r="B245" s="27"/>
      <c r="C245" s="28"/>
      <c r="D245" s="29"/>
      <c r="E245" s="27"/>
      <c r="F245" s="28"/>
      <c r="G245" s="29"/>
      <c r="H245" s="27">
        <v>5.4605238286323403E-2</v>
      </c>
      <c r="I245" s="28">
        <v>5.4259201248206997E-2</v>
      </c>
      <c r="J245" s="29">
        <v>5.3915300831947399E-2</v>
      </c>
      <c r="L245" s="68"/>
      <c r="M245" s="69"/>
      <c r="N245" s="70"/>
      <c r="O245" s="68"/>
      <c r="P245" s="69"/>
      <c r="Q245" s="70"/>
      <c r="R245" s="68"/>
      <c r="S245" s="69"/>
      <c r="T245" s="70"/>
    </row>
    <row r="246" spans="1:20" x14ac:dyDescent="0.2">
      <c r="A246" s="4">
        <v>240</v>
      </c>
      <c r="B246" s="27"/>
      <c r="C246" s="28"/>
      <c r="D246" s="29"/>
      <c r="E246" s="27"/>
      <c r="F246" s="28"/>
      <c r="G246" s="29"/>
      <c r="H246" s="27">
        <v>5.3915300831947399E-2</v>
      </c>
      <c r="I246" s="28">
        <v>5.3569258216055002E-2</v>
      </c>
      <c r="J246" s="29">
        <v>5.3225363377571402E-2</v>
      </c>
      <c r="L246" s="68"/>
      <c r="M246" s="69"/>
      <c r="N246" s="70"/>
      <c r="O246" s="68"/>
      <c r="P246" s="69"/>
      <c r="Q246" s="70"/>
      <c r="R246" s="68"/>
      <c r="S246" s="69"/>
      <c r="T246" s="70"/>
    </row>
    <row r="247" spans="1:20" x14ac:dyDescent="0.2">
      <c r="A247" s="4">
        <v>241</v>
      </c>
      <c r="B247" s="27"/>
      <c r="C247" s="28"/>
      <c r="D247" s="29"/>
      <c r="E247" s="27"/>
      <c r="F247" s="28"/>
      <c r="G247" s="29"/>
      <c r="H247" s="27">
        <v>5.3225363377571402E-2</v>
      </c>
      <c r="I247" s="28">
        <v>5.2896392752311901E-2</v>
      </c>
      <c r="J247" s="29">
        <v>5.2569435942201197E-2</v>
      </c>
      <c r="L247" s="68"/>
      <c r="M247" s="69"/>
      <c r="N247" s="70"/>
      <c r="O247" s="68"/>
      <c r="P247" s="69"/>
      <c r="Q247" s="70"/>
      <c r="R247" s="68"/>
      <c r="S247" s="69"/>
      <c r="T247" s="70"/>
    </row>
    <row r="248" spans="1:20" x14ac:dyDescent="0.2">
      <c r="A248" s="4">
        <v>242</v>
      </c>
      <c r="B248" s="27"/>
      <c r="C248" s="28"/>
      <c r="D248" s="29"/>
      <c r="E248" s="27"/>
      <c r="F248" s="28"/>
      <c r="G248" s="29"/>
      <c r="H248" s="27">
        <v>5.2569435942201197E-2</v>
      </c>
      <c r="I248" s="28">
        <v>5.2240460752612697E-2</v>
      </c>
      <c r="J248" s="29">
        <v>5.1913508506830901E-2</v>
      </c>
      <c r="L248" s="68"/>
      <c r="M248" s="69"/>
      <c r="N248" s="70"/>
      <c r="O248" s="68"/>
      <c r="P248" s="69"/>
      <c r="Q248" s="70"/>
      <c r="R248" s="68"/>
      <c r="S248" s="69"/>
      <c r="T248" s="70"/>
    </row>
    <row r="249" spans="1:20" x14ac:dyDescent="0.2">
      <c r="A249" s="4">
        <v>243</v>
      </c>
      <c r="B249" s="27"/>
      <c r="C249" s="28"/>
      <c r="D249" s="29"/>
      <c r="E249" s="27"/>
      <c r="F249" s="28"/>
      <c r="G249" s="29"/>
      <c r="H249" s="27">
        <v>5.1913508506830901E-2</v>
      </c>
      <c r="I249" s="28">
        <v>5.1584528327948201E-2</v>
      </c>
      <c r="J249" s="29">
        <v>5.1257581071460702E-2</v>
      </c>
      <c r="L249" s="68"/>
      <c r="M249" s="69"/>
      <c r="N249" s="70"/>
      <c r="O249" s="68"/>
      <c r="P249" s="69"/>
      <c r="Q249" s="70"/>
      <c r="R249" s="68"/>
      <c r="S249" s="69"/>
      <c r="T249" s="70"/>
    </row>
    <row r="250" spans="1:20" x14ac:dyDescent="0.2">
      <c r="A250" s="4">
        <v>244</v>
      </c>
      <c r="B250" s="27"/>
      <c r="C250" s="28"/>
      <c r="D250" s="29"/>
      <c r="E250" s="27"/>
      <c r="F250" s="28"/>
      <c r="G250" s="29"/>
      <c r="H250" s="27">
        <v>5.1257581071460702E-2</v>
      </c>
      <c r="I250" s="28">
        <v>5.0928595467851501E-2</v>
      </c>
      <c r="J250" s="29">
        <v>5.0601653636090399E-2</v>
      </c>
      <c r="L250" s="68"/>
      <c r="M250" s="69"/>
      <c r="N250" s="70"/>
      <c r="O250" s="68"/>
      <c r="P250" s="69"/>
      <c r="Q250" s="70"/>
      <c r="R250" s="68"/>
      <c r="S250" s="69"/>
      <c r="T250" s="70"/>
    </row>
    <row r="251" spans="1:20" x14ac:dyDescent="0.2">
      <c r="A251" s="4">
        <v>245</v>
      </c>
      <c r="B251" s="27"/>
      <c r="C251" s="28"/>
      <c r="D251" s="29"/>
      <c r="E251" s="27"/>
      <c r="F251" s="28"/>
      <c r="G251" s="29"/>
      <c r="H251" s="27">
        <v>5.0601653636090399E-2</v>
      </c>
      <c r="I251" s="28">
        <v>5.0288898902430899E-2</v>
      </c>
      <c r="J251" s="29">
        <v>4.9978059717913401E-2</v>
      </c>
      <c r="L251" s="68"/>
      <c r="M251" s="69"/>
      <c r="N251" s="70"/>
      <c r="O251" s="68"/>
      <c r="P251" s="69"/>
      <c r="Q251" s="70"/>
      <c r="R251" s="68"/>
      <c r="S251" s="69"/>
      <c r="T251" s="70"/>
    </row>
    <row r="252" spans="1:20" x14ac:dyDescent="0.2">
      <c r="A252" s="4">
        <v>246</v>
      </c>
      <c r="B252" s="27"/>
      <c r="C252" s="28"/>
      <c r="D252" s="29"/>
      <c r="E252" s="27"/>
      <c r="F252" s="28"/>
      <c r="G252" s="29"/>
      <c r="H252" s="27">
        <v>4.9978059717913401E-2</v>
      </c>
      <c r="I252" s="28">
        <v>4.9665300526516999E-2</v>
      </c>
      <c r="J252" s="29">
        <v>4.9354465799736402E-2</v>
      </c>
      <c r="L252" s="68"/>
      <c r="M252" s="69"/>
      <c r="N252" s="70"/>
      <c r="O252" s="68"/>
      <c r="P252" s="69"/>
      <c r="Q252" s="70"/>
      <c r="R252" s="68"/>
      <c r="S252" s="69"/>
      <c r="T252" s="70"/>
    </row>
    <row r="253" spans="1:20" x14ac:dyDescent="0.2">
      <c r="A253" s="4">
        <v>247</v>
      </c>
      <c r="B253" s="27"/>
      <c r="C253" s="28"/>
      <c r="D253" s="29"/>
      <c r="E253" s="27"/>
      <c r="F253" s="28"/>
      <c r="G253" s="29"/>
      <c r="H253" s="27">
        <v>4.9354465799736402E-2</v>
      </c>
      <c r="I253" s="28">
        <v>4.9041701749536697E-2</v>
      </c>
      <c r="J253" s="29">
        <v>4.8730871881559397E-2</v>
      </c>
      <c r="L253" s="68"/>
      <c r="M253" s="69"/>
      <c r="N253" s="70"/>
      <c r="O253" s="68"/>
      <c r="P253" s="69"/>
      <c r="Q253" s="70"/>
      <c r="R253" s="68"/>
      <c r="S253" s="69"/>
      <c r="T253" s="70"/>
    </row>
    <row r="254" spans="1:20" x14ac:dyDescent="0.2">
      <c r="A254" s="4">
        <v>248</v>
      </c>
      <c r="B254" s="27"/>
      <c r="C254" s="28"/>
      <c r="D254" s="29"/>
      <c r="E254" s="27"/>
      <c r="F254" s="28"/>
      <c r="G254" s="29"/>
      <c r="H254" s="27">
        <v>4.8730871881559397E-2</v>
      </c>
      <c r="I254" s="28">
        <v>4.84181025614547E-2</v>
      </c>
      <c r="J254" s="29">
        <v>4.8107277963382399E-2</v>
      </c>
      <c r="L254" s="68"/>
      <c r="M254" s="69"/>
      <c r="N254" s="70"/>
      <c r="O254" s="68"/>
      <c r="P254" s="69"/>
      <c r="Q254" s="70"/>
      <c r="R254" s="68"/>
      <c r="S254" s="69"/>
      <c r="T254" s="70"/>
    </row>
    <row r="255" spans="1:20" x14ac:dyDescent="0.2">
      <c r="A255" s="4">
        <v>249</v>
      </c>
      <c r="B255" s="27"/>
      <c r="C255" s="28"/>
      <c r="D255" s="29"/>
      <c r="E255" s="27"/>
      <c r="F255" s="28"/>
      <c r="G255" s="29"/>
      <c r="H255" s="27">
        <v>4.8107277963382399E-2</v>
      </c>
      <c r="I255" s="28">
        <v>4.7809939820097402E-2</v>
      </c>
      <c r="J255" s="29">
        <v>4.75144237026549E-2</v>
      </c>
      <c r="L255" s="68"/>
      <c r="M255" s="69"/>
      <c r="N255" s="70"/>
      <c r="O255" s="68"/>
      <c r="P255" s="69"/>
      <c r="Q255" s="70"/>
      <c r="R255" s="68"/>
      <c r="S255" s="69"/>
      <c r="T255" s="70"/>
    </row>
    <row r="256" spans="1:20" x14ac:dyDescent="0.2">
      <c r="A256" s="4">
        <v>250</v>
      </c>
      <c r="B256" s="27"/>
      <c r="C256" s="28"/>
      <c r="D256" s="29"/>
      <c r="E256" s="27"/>
      <c r="F256" s="28"/>
      <c r="G256" s="29"/>
      <c r="H256" s="27">
        <v>4.75144237026549E-2</v>
      </c>
      <c r="I256" s="28">
        <v>4.72170812120732E-2</v>
      </c>
      <c r="J256" s="29">
        <v>4.6921569441927401E-2</v>
      </c>
      <c r="L256" s="68"/>
      <c r="M256" s="69"/>
      <c r="N256" s="70"/>
      <c r="O256" s="68"/>
      <c r="P256" s="69"/>
      <c r="Q256" s="70"/>
      <c r="R256" s="68"/>
      <c r="S256" s="69"/>
      <c r="T256" s="70"/>
    </row>
    <row r="257" spans="1:20" x14ac:dyDescent="0.2">
      <c r="A257" s="4">
        <v>251</v>
      </c>
      <c r="B257" s="27"/>
      <c r="C257" s="28"/>
      <c r="D257" s="29"/>
      <c r="E257" s="27"/>
      <c r="F257" s="28"/>
      <c r="G257" s="29"/>
      <c r="H257" s="27">
        <v>4.6921569441927401E-2</v>
      </c>
      <c r="I257" s="28">
        <v>4.6624222225431201E-2</v>
      </c>
      <c r="J257" s="29">
        <v>4.6328715181199798E-2</v>
      </c>
      <c r="L257" s="68"/>
      <c r="M257" s="69"/>
      <c r="N257" s="70"/>
      <c r="O257" s="68"/>
      <c r="P257" s="69"/>
      <c r="Q257" s="70"/>
      <c r="R257" s="68"/>
      <c r="S257" s="69"/>
      <c r="T257" s="70"/>
    </row>
    <row r="258" spans="1:20" x14ac:dyDescent="0.2">
      <c r="A258" s="4">
        <v>252</v>
      </c>
      <c r="B258" s="27"/>
      <c r="C258" s="28"/>
      <c r="D258" s="29"/>
      <c r="E258" s="27"/>
      <c r="F258" s="28"/>
      <c r="G258" s="29"/>
      <c r="H258" s="27">
        <v>4.6328715181199798E-2</v>
      </c>
      <c r="I258" s="28">
        <v>4.6031362850553599E-2</v>
      </c>
      <c r="J258" s="29">
        <v>4.5735860920472299E-2</v>
      </c>
      <c r="L258" s="68"/>
      <c r="M258" s="69"/>
      <c r="N258" s="70"/>
      <c r="O258" s="68"/>
      <c r="P258" s="69"/>
      <c r="Q258" s="70"/>
      <c r="R258" s="68"/>
      <c r="S258" s="69"/>
      <c r="T258" s="70"/>
    </row>
    <row r="259" spans="1:20" x14ac:dyDescent="0.2">
      <c r="A259" s="4">
        <v>253</v>
      </c>
      <c r="B259" s="27"/>
      <c r="C259" s="28"/>
      <c r="D259" s="29"/>
      <c r="E259" s="27"/>
      <c r="F259" s="28"/>
      <c r="G259" s="29"/>
      <c r="H259" s="27">
        <v>4.5735860920472299E-2</v>
      </c>
      <c r="I259" s="28">
        <v>4.5453179461962201E-2</v>
      </c>
      <c r="J259" s="29">
        <v>4.5172231025732E-2</v>
      </c>
      <c r="L259" s="68"/>
      <c r="M259" s="69"/>
      <c r="N259" s="70"/>
      <c r="O259" s="68"/>
      <c r="P259" s="69"/>
      <c r="Q259" s="70"/>
      <c r="R259" s="68"/>
      <c r="S259" s="69"/>
      <c r="T259" s="70"/>
    </row>
    <row r="260" spans="1:20" x14ac:dyDescent="0.2">
      <c r="A260" s="4">
        <v>254</v>
      </c>
      <c r="B260" s="27"/>
      <c r="C260" s="28"/>
      <c r="D260" s="29"/>
      <c r="E260" s="27"/>
      <c r="F260" s="28"/>
      <c r="G260" s="29"/>
      <c r="H260" s="27">
        <v>4.5172231025732E-2</v>
      </c>
      <c r="I260" s="28">
        <v>4.4889545333285298E-2</v>
      </c>
      <c r="J260" s="29">
        <v>4.4608601130991701E-2</v>
      </c>
      <c r="L260" s="68"/>
      <c r="M260" s="69"/>
      <c r="N260" s="70"/>
      <c r="O260" s="68"/>
      <c r="P260" s="69"/>
      <c r="Q260" s="70"/>
      <c r="R260" s="68"/>
      <c r="S260" s="69"/>
      <c r="T260" s="70"/>
    </row>
    <row r="261" spans="1:20" x14ac:dyDescent="0.2">
      <c r="A261" s="4">
        <v>255</v>
      </c>
      <c r="B261" s="27"/>
      <c r="C261" s="28"/>
      <c r="D261" s="29"/>
      <c r="E261" s="27"/>
      <c r="F261" s="28"/>
      <c r="G261" s="29"/>
      <c r="H261" s="27">
        <v>4.4608601130991701E-2</v>
      </c>
      <c r="I261" s="28">
        <v>4.4325910847088201E-2</v>
      </c>
      <c r="J261" s="29">
        <v>4.4044971236251299E-2</v>
      </c>
      <c r="L261" s="68"/>
      <c r="M261" s="69"/>
      <c r="N261" s="70"/>
      <c r="O261" s="68"/>
      <c r="P261" s="69"/>
      <c r="Q261" s="70"/>
      <c r="R261" s="68"/>
      <c r="S261" s="69"/>
      <c r="T261" s="70"/>
    </row>
    <row r="262" spans="1:20" x14ac:dyDescent="0.2">
      <c r="A262" s="4">
        <v>256</v>
      </c>
      <c r="B262" s="27"/>
      <c r="C262" s="28"/>
      <c r="D262" s="29"/>
      <c r="E262" s="27"/>
      <c r="F262" s="28"/>
      <c r="G262" s="29"/>
      <c r="H262" s="27">
        <v>4.4044971236251299E-2</v>
      </c>
      <c r="I262" s="28">
        <v>4.37622759941576E-2</v>
      </c>
      <c r="J262" s="29">
        <v>4.3481341341511E-2</v>
      </c>
      <c r="L262" s="68"/>
      <c r="M262" s="69"/>
      <c r="N262" s="70"/>
      <c r="O262" s="68"/>
      <c r="P262" s="69"/>
      <c r="Q262" s="70"/>
      <c r="R262" s="68"/>
      <c r="S262" s="69"/>
      <c r="T262" s="70"/>
    </row>
    <row r="263" spans="1:20" x14ac:dyDescent="0.2">
      <c r="A263" s="4">
        <v>257</v>
      </c>
      <c r="B263" s="27"/>
      <c r="C263" s="28"/>
      <c r="D263" s="29"/>
      <c r="E263" s="27"/>
      <c r="F263" s="28"/>
      <c r="G263" s="29"/>
      <c r="H263" s="27">
        <v>4.3481341341511E-2</v>
      </c>
      <c r="I263" s="28">
        <v>4.3212594116435799E-2</v>
      </c>
      <c r="J263" s="29">
        <v>4.2945495216604797E-2</v>
      </c>
      <c r="L263" s="68"/>
      <c r="M263" s="69"/>
      <c r="N263" s="70"/>
      <c r="O263" s="68"/>
      <c r="P263" s="69"/>
      <c r="Q263" s="70"/>
      <c r="R263" s="68"/>
      <c r="S263" s="69"/>
      <c r="T263" s="70"/>
    </row>
    <row r="264" spans="1:20" x14ac:dyDescent="0.2">
      <c r="A264" s="4">
        <v>258</v>
      </c>
      <c r="B264" s="27"/>
      <c r="C264" s="28"/>
      <c r="D264" s="29"/>
      <c r="E264" s="27"/>
      <c r="F264" s="28"/>
      <c r="G264" s="29"/>
      <c r="H264" s="27">
        <v>4.2945495216604797E-2</v>
      </c>
      <c r="I264" s="28">
        <v>4.26767438730557E-2</v>
      </c>
      <c r="J264" s="29">
        <v>4.2409649091698601E-2</v>
      </c>
      <c r="L264" s="68"/>
      <c r="M264" s="69"/>
      <c r="N264" s="70"/>
      <c r="O264" s="68"/>
      <c r="P264" s="69"/>
      <c r="Q264" s="70"/>
      <c r="R264" s="68"/>
      <c r="S264" s="69"/>
      <c r="T264" s="70"/>
    </row>
    <row r="265" spans="1:20" x14ac:dyDescent="0.2">
      <c r="A265" s="4">
        <v>259</v>
      </c>
      <c r="B265" s="27"/>
      <c r="C265" s="28"/>
      <c r="D265" s="29"/>
      <c r="E265" s="27"/>
      <c r="F265" s="28"/>
      <c r="G265" s="29"/>
      <c r="H265" s="27">
        <v>4.2409649091698601E-2</v>
      </c>
      <c r="I265" s="28">
        <v>4.2140893291990097E-2</v>
      </c>
      <c r="J265" s="29">
        <v>4.1873802966792398E-2</v>
      </c>
      <c r="L265" s="68"/>
      <c r="M265" s="69"/>
      <c r="N265" s="70"/>
      <c r="O265" s="68"/>
      <c r="P265" s="69"/>
      <c r="Q265" s="70"/>
      <c r="R265" s="68"/>
      <c r="S265" s="69"/>
      <c r="T265" s="70"/>
    </row>
    <row r="266" spans="1:20" x14ac:dyDescent="0.2">
      <c r="A266" s="4">
        <v>260</v>
      </c>
      <c r="B266" s="27"/>
      <c r="C266" s="28"/>
      <c r="D266" s="29"/>
      <c r="E266" s="27"/>
      <c r="F266" s="28"/>
      <c r="G266" s="29"/>
      <c r="H266" s="27">
        <v>4.1873802966792398E-2</v>
      </c>
      <c r="I266" s="28">
        <v>4.1605042364418997E-2</v>
      </c>
      <c r="J266" s="29">
        <v>4.1337956841886299E-2</v>
      </c>
      <c r="L266" s="68"/>
      <c r="M266" s="69"/>
      <c r="N266" s="70"/>
      <c r="O266" s="68"/>
      <c r="P266" s="69"/>
      <c r="Q266" s="70"/>
      <c r="R266" s="68"/>
      <c r="S266" s="69"/>
      <c r="T266" s="70"/>
    </row>
    <row r="267" spans="1:20" x14ac:dyDescent="0.2">
      <c r="A267" s="4">
        <v>261</v>
      </c>
      <c r="B267" s="27"/>
      <c r="C267" s="28"/>
      <c r="D267" s="29"/>
      <c r="E267" s="27"/>
      <c r="F267" s="28"/>
      <c r="G267" s="29"/>
      <c r="H267" s="27">
        <v>4.1337956841886299E-2</v>
      </c>
      <c r="I267" s="28">
        <v>4.1082457007421101E-2</v>
      </c>
      <c r="J267" s="29">
        <v>4.08285249039134E-2</v>
      </c>
      <c r="L267" s="68"/>
      <c r="M267" s="69"/>
      <c r="N267" s="70"/>
      <c r="O267" s="68"/>
      <c r="P267" s="69"/>
      <c r="Q267" s="70"/>
      <c r="R267" s="68"/>
      <c r="S267" s="69"/>
      <c r="T267" s="70"/>
    </row>
    <row r="268" spans="1:20" x14ac:dyDescent="0.2">
      <c r="A268" s="4">
        <v>262</v>
      </c>
      <c r="B268" s="27"/>
      <c r="C268" s="28"/>
      <c r="D268" s="29"/>
      <c r="E268" s="27"/>
      <c r="F268" s="28"/>
      <c r="G268" s="29"/>
      <c r="H268" s="27">
        <v>4.08285249039134E-2</v>
      </c>
      <c r="I268" s="28">
        <v>4.0573021067819397E-2</v>
      </c>
      <c r="J268" s="29">
        <v>4.0319092965940599E-2</v>
      </c>
      <c r="L268" s="68"/>
      <c r="M268" s="69"/>
      <c r="N268" s="70"/>
      <c r="O268" s="68"/>
      <c r="P268" s="69"/>
      <c r="Q268" s="70"/>
      <c r="R268" s="68"/>
      <c r="S268" s="69"/>
      <c r="T268" s="70"/>
    </row>
    <row r="269" spans="1:20" x14ac:dyDescent="0.2">
      <c r="A269" s="4">
        <v>263</v>
      </c>
      <c r="B269" s="27"/>
      <c r="C269" s="28"/>
      <c r="D269" s="29"/>
      <c r="E269" s="27"/>
      <c r="F269" s="28"/>
      <c r="G269" s="29"/>
      <c r="H269" s="27">
        <v>4.0319092965940599E-2</v>
      </c>
      <c r="I269" s="28">
        <v>4.0063584809187897E-2</v>
      </c>
      <c r="J269" s="29">
        <v>3.9809661027967798E-2</v>
      </c>
      <c r="L269" s="68"/>
      <c r="M269" s="69"/>
      <c r="N269" s="70"/>
      <c r="O269" s="68"/>
      <c r="P269" s="69"/>
      <c r="Q269" s="70"/>
      <c r="R269" s="68"/>
      <c r="S269" s="69"/>
      <c r="T269" s="70"/>
    </row>
    <row r="270" spans="1:20" x14ac:dyDescent="0.2">
      <c r="A270" s="4">
        <v>264</v>
      </c>
      <c r="B270" s="27"/>
      <c r="C270" s="28"/>
      <c r="D270" s="29"/>
      <c r="E270" s="27"/>
      <c r="F270" s="28"/>
      <c r="G270" s="29"/>
      <c r="H270" s="27">
        <v>3.9809661027967798E-2</v>
      </c>
      <c r="I270" s="28">
        <v>3.9554148223088198E-2</v>
      </c>
      <c r="J270" s="29">
        <v>3.9300229089994899E-2</v>
      </c>
      <c r="L270" s="68"/>
      <c r="M270" s="69"/>
      <c r="N270" s="70"/>
      <c r="O270" s="68"/>
      <c r="P270" s="69"/>
      <c r="Q270" s="70"/>
      <c r="R270" s="68"/>
      <c r="S270" s="69"/>
      <c r="T270" s="70"/>
    </row>
    <row r="271" spans="1:20" x14ac:dyDescent="0.2">
      <c r="A271" s="4">
        <v>265</v>
      </c>
      <c r="B271" s="27"/>
      <c r="C271" s="28"/>
      <c r="D271" s="29"/>
      <c r="E271" s="27"/>
      <c r="F271" s="28"/>
      <c r="G271" s="29"/>
      <c r="H271" s="27">
        <v>3.9300229089994899E-2</v>
      </c>
      <c r="I271" s="28">
        <v>3.9057323657010201E-2</v>
      </c>
      <c r="J271" s="29">
        <v>3.8815909268754903E-2</v>
      </c>
      <c r="L271" s="68"/>
      <c r="M271" s="69"/>
      <c r="N271" s="70"/>
      <c r="O271" s="68"/>
      <c r="P271" s="69"/>
      <c r="Q271" s="70"/>
      <c r="R271" s="68"/>
      <c r="S271" s="69"/>
      <c r="T271" s="70"/>
    </row>
    <row r="272" spans="1:20" x14ac:dyDescent="0.2">
      <c r="A272" s="4">
        <v>266</v>
      </c>
      <c r="B272" s="27"/>
      <c r="C272" s="28"/>
      <c r="D272" s="29"/>
      <c r="E272" s="27"/>
      <c r="F272" s="28"/>
      <c r="G272" s="29"/>
      <c r="H272" s="27">
        <v>3.8815909268754903E-2</v>
      </c>
      <c r="I272" s="28">
        <v>3.8572999951733397E-2</v>
      </c>
      <c r="J272" s="29">
        <v>3.8331589447514802E-2</v>
      </c>
      <c r="L272" s="68"/>
      <c r="M272" s="69"/>
      <c r="N272" s="70"/>
      <c r="O272" s="68"/>
      <c r="P272" s="69"/>
      <c r="Q272" s="70"/>
      <c r="R272" s="68"/>
      <c r="S272" s="69"/>
      <c r="T272" s="70"/>
    </row>
    <row r="273" spans="1:20" x14ac:dyDescent="0.2">
      <c r="A273" s="4">
        <v>267</v>
      </c>
      <c r="B273" s="27"/>
      <c r="C273" s="28"/>
      <c r="D273" s="29"/>
      <c r="E273" s="27"/>
      <c r="F273" s="28"/>
      <c r="G273" s="29"/>
      <c r="H273" s="27">
        <v>3.8331589447514802E-2</v>
      </c>
      <c r="I273" s="28">
        <v>3.8088675944984697E-2</v>
      </c>
      <c r="J273" s="29">
        <v>3.7847269626274702E-2</v>
      </c>
      <c r="L273" s="68"/>
      <c r="M273" s="69"/>
      <c r="N273" s="70"/>
      <c r="O273" s="68"/>
      <c r="P273" s="69"/>
      <c r="Q273" s="70"/>
      <c r="R273" s="68"/>
      <c r="S273" s="69"/>
      <c r="T273" s="70"/>
    </row>
    <row r="274" spans="1:20" x14ac:dyDescent="0.2">
      <c r="A274" s="4">
        <v>268</v>
      </c>
      <c r="B274" s="27"/>
      <c r="C274" s="28"/>
      <c r="D274" s="29"/>
      <c r="E274" s="27"/>
      <c r="F274" s="28"/>
      <c r="G274" s="29"/>
      <c r="H274" s="27">
        <v>3.7847269626274702E-2</v>
      </c>
      <c r="I274" s="28">
        <v>3.7604351628688998E-2</v>
      </c>
      <c r="J274" s="29">
        <v>3.7362949805034601E-2</v>
      </c>
      <c r="L274" s="68"/>
      <c r="M274" s="69"/>
      <c r="N274" s="70"/>
      <c r="O274" s="68"/>
      <c r="P274" s="69"/>
      <c r="Q274" s="70"/>
      <c r="R274" s="68"/>
      <c r="S274" s="69"/>
      <c r="T274" s="70"/>
    </row>
    <row r="275" spans="1:20" x14ac:dyDescent="0.2">
      <c r="A275" s="4">
        <v>269</v>
      </c>
      <c r="B275" s="27"/>
      <c r="C275" s="28"/>
      <c r="D275" s="29"/>
      <c r="E275" s="27"/>
      <c r="F275" s="28"/>
      <c r="G275" s="29"/>
      <c r="H275" s="27">
        <v>3.7362949805034601E-2</v>
      </c>
      <c r="I275" s="28">
        <v>3.71320179697157E-2</v>
      </c>
      <c r="J275" s="29">
        <v>3.6902504215032099E-2</v>
      </c>
      <c r="L275" s="68"/>
      <c r="M275" s="69"/>
      <c r="N275" s="70"/>
      <c r="O275" s="68"/>
      <c r="P275" s="69"/>
      <c r="Q275" s="70"/>
      <c r="R275" s="68"/>
      <c r="S275" s="69"/>
      <c r="T275" s="70"/>
    </row>
    <row r="276" spans="1:20" x14ac:dyDescent="0.2">
      <c r="A276" s="4">
        <v>270</v>
      </c>
      <c r="B276" s="27"/>
      <c r="C276" s="28"/>
      <c r="D276" s="29"/>
      <c r="E276" s="27"/>
      <c r="F276" s="28"/>
      <c r="G276" s="29"/>
      <c r="H276" s="27">
        <v>3.6902504215032099E-2</v>
      </c>
      <c r="I276" s="28">
        <v>3.6671568613464198E-2</v>
      </c>
      <c r="J276" s="29">
        <v>3.6442058625029597E-2</v>
      </c>
      <c r="L276" s="68"/>
      <c r="M276" s="69"/>
      <c r="N276" s="70"/>
      <c r="O276" s="68"/>
      <c r="P276" s="69"/>
      <c r="Q276" s="70"/>
      <c r="R276" s="68"/>
      <c r="S276" s="69"/>
      <c r="T276" s="70"/>
    </row>
    <row r="277" spans="1:20" x14ac:dyDescent="0.2">
      <c r="A277" s="4">
        <v>271</v>
      </c>
      <c r="B277" s="27"/>
      <c r="C277" s="28"/>
      <c r="D277" s="29"/>
      <c r="E277" s="27"/>
      <c r="F277" s="28"/>
      <c r="G277" s="29"/>
      <c r="H277" s="27">
        <v>3.6442058625029597E-2</v>
      </c>
      <c r="I277" s="28">
        <v>3.6211118972267503E-2</v>
      </c>
      <c r="J277" s="29">
        <v>3.5981613035027102E-2</v>
      </c>
      <c r="L277" s="68"/>
      <c r="M277" s="69"/>
      <c r="N277" s="70"/>
      <c r="O277" s="68"/>
      <c r="P277" s="69"/>
      <c r="Q277" s="70"/>
      <c r="R277" s="68"/>
      <c r="S277" s="69"/>
      <c r="T277" s="70"/>
    </row>
    <row r="278" spans="1:20" x14ac:dyDescent="0.2">
      <c r="A278" s="4">
        <v>272</v>
      </c>
      <c r="B278" s="27"/>
      <c r="C278" s="28"/>
      <c r="D278" s="29"/>
      <c r="E278" s="27"/>
      <c r="F278" s="28"/>
      <c r="G278" s="29"/>
      <c r="H278" s="27">
        <v>3.5981613035027102E-2</v>
      </c>
      <c r="I278" s="28">
        <v>3.5750669038404702E-2</v>
      </c>
      <c r="J278" s="29">
        <v>3.55211674450246E-2</v>
      </c>
      <c r="L278" s="68"/>
      <c r="M278" s="69"/>
      <c r="N278" s="70"/>
      <c r="O278" s="68"/>
      <c r="P278" s="69"/>
      <c r="Q278" s="70"/>
      <c r="R278" s="68"/>
      <c r="S278" s="69"/>
      <c r="T278" s="70"/>
    </row>
    <row r="279" spans="1:20" x14ac:dyDescent="0.2">
      <c r="A279" s="4">
        <v>273</v>
      </c>
      <c r="B279" s="27"/>
      <c r="C279" s="28"/>
      <c r="D279" s="29"/>
      <c r="E279" s="27"/>
      <c r="F279" s="28"/>
      <c r="G279" s="29"/>
      <c r="H279" s="27">
        <v>3.55211674450246E-2</v>
      </c>
      <c r="I279" s="28">
        <v>3.5301619002689397E-2</v>
      </c>
      <c r="J279" s="29">
        <v>3.5083419221526503E-2</v>
      </c>
      <c r="L279" s="68"/>
      <c r="M279" s="69"/>
      <c r="N279" s="70"/>
      <c r="O279" s="68"/>
      <c r="P279" s="69"/>
      <c r="Q279" s="70"/>
      <c r="R279" s="68"/>
      <c r="S279" s="69"/>
      <c r="T279" s="70"/>
    </row>
    <row r="280" spans="1:20" x14ac:dyDescent="0.2">
      <c r="A280" s="4">
        <v>274</v>
      </c>
      <c r="B280" s="27"/>
      <c r="C280" s="28"/>
      <c r="D280" s="29"/>
      <c r="E280" s="27"/>
      <c r="F280" s="28"/>
      <c r="G280" s="29"/>
      <c r="H280" s="27">
        <v>3.5083419221526503E-2</v>
      </c>
      <c r="I280" s="28">
        <v>3.4863867130440401E-2</v>
      </c>
      <c r="J280" s="29">
        <v>3.4645670998028399E-2</v>
      </c>
      <c r="L280" s="68"/>
      <c r="M280" s="69"/>
      <c r="N280" s="70"/>
      <c r="O280" s="68"/>
      <c r="P280" s="69"/>
      <c r="Q280" s="70"/>
      <c r="R280" s="68"/>
      <c r="S280" s="69"/>
      <c r="T280" s="70"/>
    </row>
    <row r="281" spans="1:20" x14ac:dyDescent="0.2">
      <c r="A281" s="4">
        <v>275</v>
      </c>
      <c r="B281" s="27"/>
      <c r="C281" s="28"/>
      <c r="D281" s="29"/>
      <c r="E281" s="27"/>
      <c r="F281" s="28"/>
      <c r="G281" s="29"/>
      <c r="H281" s="27">
        <v>3.4645670998028399E-2</v>
      </c>
      <c r="I281" s="28">
        <v>3.44261149888112E-2</v>
      </c>
      <c r="J281" s="29">
        <v>3.4207922774530303E-2</v>
      </c>
      <c r="L281" s="68"/>
      <c r="M281" s="69"/>
      <c r="N281" s="70"/>
      <c r="O281" s="68"/>
      <c r="P281" s="69"/>
      <c r="Q281" s="70"/>
      <c r="R281" s="68"/>
      <c r="S281" s="69"/>
      <c r="T281" s="70"/>
    </row>
    <row r="282" spans="1:20" x14ac:dyDescent="0.2">
      <c r="A282" s="4">
        <v>276</v>
      </c>
      <c r="B282" s="27"/>
      <c r="C282" s="28"/>
      <c r="D282" s="29"/>
      <c r="E282" s="27"/>
      <c r="F282" s="28"/>
      <c r="G282" s="29"/>
      <c r="H282" s="27">
        <v>3.4207922774530303E-2</v>
      </c>
      <c r="I282" s="28">
        <v>3.3988362570420198E-2</v>
      </c>
      <c r="J282" s="29">
        <v>3.3770174551032303E-2</v>
      </c>
      <c r="L282" s="68"/>
      <c r="M282" s="69"/>
      <c r="N282" s="70"/>
      <c r="O282" s="68"/>
      <c r="P282" s="69"/>
      <c r="Q282" s="70"/>
      <c r="R282" s="68"/>
      <c r="S282" s="69"/>
      <c r="T282" s="70"/>
    </row>
    <row r="283" spans="1:20" x14ac:dyDescent="0.2">
      <c r="A283" s="4">
        <v>277</v>
      </c>
      <c r="B283" s="27"/>
      <c r="C283" s="28"/>
      <c r="D283" s="29"/>
      <c r="E283" s="27"/>
      <c r="F283" s="28"/>
      <c r="G283" s="29"/>
      <c r="H283" s="27">
        <v>3.3770174551032303E-2</v>
      </c>
      <c r="I283" s="28">
        <v>3.3561448388090998E-2</v>
      </c>
      <c r="J283" s="29">
        <v>3.33540048420886E-2</v>
      </c>
      <c r="L283" s="68"/>
      <c r="M283" s="69"/>
      <c r="N283" s="70"/>
      <c r="O283" s="68"/>
      <c r="P283" s="69"/>
      <c r="Q283" s="70"/>
      <c r="R283" s="68"/>
      <c r="S283" s="69"/>
      <c r="T283" s="70"/>
    </row>
    <row r="284" spans="1:20" x14ac:dyDescent="0.2">
      <c r="A284" s="4">
        <v>278</v>
      </c>
      <c r="B284" s="27"/>
      <c r="C284" s="28"/>
      <c r="D284" s="29"/>
      <c r="E284" s="27"/>
      <c r="F284" s="28"/>
      <c r="G284" s="29"/>
      <c r="H284" s="27">
        <v>3.33540048420886E-2</v>
      </c>
      <c r="I284" s="28">
        <v>3.3145275147186598E-2</v>
      </c>
      <c r="J284" s="29">
        <v>3.2937835133144903E-2</v>
      </c>
      <c r="L284" s="68"/>
      <c r="M284" s="69"/>
      <c r="N284" s="70"/>
      <c r="O284" s="68"/>
      <c r="P284" s="69"/>
      <c r="Q284" s="70"/>
      <c r="R284" s="68"/>
      <c r="S284" s="69"/>
      <c r="T284" s="70"/>
    </row>
    <row r="285" spans="1:20" x14ac:dyDescent="0.2">
      <c r="A285" s="4">
        <v>279</v>
      </c>
      <c r="B285" s="27"/>
      <c r="C285" s="28"/>
      <c r="D285" s="29"/>
      <c r="E285" s="27"/>
      <c r="F285" s="28"/>
      <c r="G285" s="29"/>
      <c r="H285" s="27">
        <v>3.2937835133144903E-2</v>
      </c>
      <c r="I285" s="28">
        <v>3.2729101651563598E-2</v>
      </c>
      <c r="J285" s="29">
        <v>3.2521665424201297E-2</v>
      </c>
      <c r="L285" s="68"/>
      <c r="M285" s="69"/>
      <c r="N285" s="70"/>
      <c r="O285" s="68"/>
      <c r="P285" s="69"/>
      <c r="Q285" s="70"/>
      <c r="R285" s="68"/>
      <c r="S285" s="69"/>
      <c r="T285" s="70"/>
    </row>
    <row r="286" spans="1:20" x14ac:dyDescent="0.2">
      <c r="A286" s="4">
        <v>280</v>
      </c>
      <c r="B286" s="27"/>
      <c r="C286" s="28"/>
      <c r="D286" s="29"/>
      <c r="E286" s="27"/>
      <c r="F286" s="28"/>
      <c r="G286" s="29"/>
      <c r="H286" s="27">
        <v>3.2521665424201297E-2</v>
      </c>
      <c r="I286" s="28">
        <v>3.2312927894170798E-2</v>
      </c>
      <c r="J286" s="29">
        <v>3.2105495715257601E-2</v>
      </c>
      <c r="L286" s="68"/>
      <c r="M286" s="69"/>
      <c r="N286" s="70"/>
      <c r="O286" s="68"/>
      <c r="P286" s="69"/>
      <c r="Q286" s="70"/>
      <c r="R286" s="68"/>
      <c r="S286" s="69"/>
      <c r="T286" s="70"/>
    </row>
    <row r="287" spans="1:20" x14ac:dyDescent="0.2">
      <c r="A287" s="4">
        <v>281</v>
      </c>
      <c r="B287" s="27"/>
      <c r="C287" s="28"/>
      <c r="D287" s="29"/>
      <c r="E287" s="27"/>
      <c r="F287" s="28"/>
      <c r="G287" s="29"/>
      <c r="H287" s="27">
        <v>3.2105495715257601E-2</v>
      </c>
      <c r="I287" s="28">
        <v>3.1907058375476097E-2</v>
      </c>
      <c r="J287" s="29">
        <v>3.1709840821999097E-2</v>
      </c>
      <c r="L287" s="68"/>
      <c r="M287" s="69"/>
      <c r="N287" s="70"/>
      <c r="O287" s="68"/>
      <c r="P287" s="69"/>
      <c r="Q287" s="70"/>
      <c r="R287" s="68"/>
      <c r="S287" s="69"/>
      <c r="T287" s="70"/>
    </row>
    <row r="288" spans="1:20" x14ac:dyDescent="0.2">
      <c r="A288" s="4">
        <v>282</v>
      </c>
      <c r="B288" s="27"/>
      <c r="C288" s="28"/>
      <c r="D288" s="29"/>
      <c r="E288" s="27"/>
      <c r="F288" s="28"/>
      <c r="G288" s="29"/>
      <c r="H288" s="27">
        <v>3.1709840821999097E-2</v>
      </c>
      <c r="I288" s="28">
        <v>3.1511400065973999E-2</v>
      </c>
      <c r="J288" s="29">
        <v>3.13141859287406E-2</v>
      </c>
      <c r="L288" s="68"/>
      <c r="M288" s="69"/>
      <c r="N288" s="70"/>
      <c r="O288" s="68"/>
      <c r="P288" s="69"/>
      <c r="Q288" s="70"/>
      <c r="R288" s="68"/>
      <c r="S288" s="69"/>
      <c r="T288" s="70"/>
    </row>
    <row r="289" spans="1:20" x14ac:dyDescent="0.2">
      <c r="A289" s="4">
        <v>283</v>
      </c>
      <c r="B289" s="27"/>
      <c r="C289" s="28"/>
      <c r="D289" s="29"/>
      <c r="E289" s="27"/>
      <c r="F289" s="28"/>
      <c r="G289" s="29"/>
      <c r="H289" s="27">
        <v>3.13141859287406E-2</v>
      </c>
      <c r="I289" s="28">
        <v>3.1115741515572299E-2</v>
      </c>
      <c r="J289" s="29">
        <v>3.0918531035482099E-2</v>
      </c>
      <c r="L289" s="68"/>
      <c r="M289" s="69"/>
      <c r="N289" s="70"/>
      <c r="O289" s="68"/>
      <c r="P289" s="69"/>
      <c r="Q289" s="70"/>
      <c r="R289" s="68"/>
      <c r="S289" s="69"/>
      <c r="T289" s="70"/>
    </row>
    <row r="290" spans="1:20" x14ac:dyDescent="0.2">
      <c r="A290" s="4">
        <v>284</v>
      </c>
      <c r="B290" s="27"/>
      <c r="C290" s="28"/>
      <c r="D290" s="29"/>
      <c r="E290" s="27"/>
      <c r="F290" s="28"/>
      <c r="G290" s="29"/>
      <c r="H290" s="27">
        <v>3.0918531035482099E-2</v>
      </c>
      <c r="I290" s="28">
        <v>3.0720082717534899E-2</v>
      </c>
      <c r="J290" s="29">
        <v>3.0522876142223501E-2</v>
      </c>
      <c r="L290" s="68"/>
      <c r="M290" s="69"/>
      <c r="N290" s="70"/>
      <c r="O290" s="68"/>
      <c r="P290" s="69"/>
      <c r="Q290" s="70"/>
      <c r="R290" s="68"/>
      <c r="S290" s="69"/>
      <c r="T290" s="70"/>
    </row>
    <row r="291" spans="1:20" x14ac:dyDescent="0.2">
      <c r="A291" s="4">
        <v>285</v>
      </c>
      <c r="B291" s="27"/>
      <c r="C291" s="28"/>
      <c r="D291" s="29"/>
      <c r="E291" s="27"/>
      <c r="F291" s="28"/>
      <c r="G291" s="29"/>
      <c r="H291" s="27">
        <v>3.0522876142223501E-2</v>
      </c>
      <c r="I291" s="28">
        <v>3.0334220463627E-2</v>
      </c>
      <c r="J291" s="29">
        <v>3.0146724800126201E-2</v>
      </c>
      <c r="L291" s="68"/>
      <c r="M291" s="69"/>
      <c r="N291" s="70"/>
      <c r="O291" s="68"/>
      <c r="P291" s="69"/>
      <c r="Q291" s="70"/>
      <c r="R291" s="68"/>
      <c r="S291" s="69"/>
      <c r="T291" s="70"/>
    </row>
    <row r="292" spans="1:20" x14ac:dyDescent="0.2">
      <c r="A292" s="4">
        <v>286</v>
      </c>
      <c r="B292" s="27"/>
      <c r="C292" s="28"/>
      <c r="D292" s="29"/>
      <c r="E292" s="27"/>
      <c r="F292" s="28"/>
      <c r="G292" s="29"/>
      <c r="H292" s="27">
        <v>3.0146724800126201E-2</v>
      </c>
      <c r="I292" s="28">
        <v>2.99580658196179E-2</v>
      </c>
      <c r="J292" s="29">
        <v>2.97705734580288E-2</v>
      </c>
      <c r="L292" s="68"/>
      <c r="M292" s="69"/>
      <c r="N292" s="70"/>
      <c r="O292" s="68"/>
      <c r="P292" s="69"/>
      <c r="Q292" s="70"/>
      <c r="R292" s="68"/>
      <c r="S292" s="69"/>
      <c r="T292" s="70"/>
    </row>
    <row r="293" spans="1:20" x14ac:dyDescent="0.2">
      <c r="A293" s="4">
        <v>287</v>
      </c>
      <c r="B293" s="27"/>
      <c r="C293" s="28"/>
      <c r="D293" s="29"/>
      <c r="E293" s="27"/>
      <c r="F293" s="28"/>
      <c r="G293" s="29"/>
      <c r="H293" s="27">
        <v>2.97705734580288E-2</v>
      </c>
      <c r="I293" s="28">
        <v>2.9581910947737902E-2</v>
      </c>
      <c r="J293" s="29">
        <v>2.93944221159315E-2</v>
      </c>
      <c r="L293" s="68"/>
      <c r="M293" s="69"/>
      <c r="N293" s="70"/>
      <c r="O293" s="68"/>
      <c r="P293" s="69"/>
      <c r="Q293" s="70"/>
      <c r="R293" s="68"/>
      <c r="S293" s="69"/>
      <c r="T293" s="70"/>
    </row>
    <row r="294" spans="1:20" x14ac:dyDescent="0.2">
      <c r="A294" s="4">
        <v>288</v>
      </c>
      <c r="B294" s="27"/>
      <c r="C294" s="28"/>
      <c r="D294" s="29"/>
      <c r="E294" s="27"/>
      <c r="F294" s="28"/>
      <c r="G294" s="29"/>
      <c r="H294" s="27">
        <v>2.93944221159315E-2</v>
      </c>
      <c r="I294" s="28">
        <v>2.92057558415506E-2</v>
      </c>
      <c r="J294" s="29">
        <v>2.90182707738341E-2</v>
      </c>
      <c r="L294" s="68"/>
      <c r="M294" s="69"/>
      <c r="N294" s="70"/>
      <c r="O294" s="68"/>
      <c r="P294" s="69"/>
      <c r="Q294" s="70"/>
      <c r="R294" s="68"/>
      <c r="S294" s="69"/>
      <c r="T294" s="70"/>
    </row>
    <row r="295" spans="1:20" x14ac:dyDescent="0.2">
      <c r="A295" s="4">
        <v>289</v>
      </c>
      <c r="B295" s="27"/>
      <c r="C295" s="28"/>
      <c r="D295" s="29"/>
      <c r="E295" s="27"/>
      <c r="F295" s="28"/>
      <c r="G295" s="29"/>
      <c r="H295" s="27">
        <v>2.90182707738341E-2</v>
      </c>
      <c r="I295" s="28">
        <v>2.8838914592773001E-2</v>
      </c>
      <c r="J295" s="29">
        <v>2.8660661568002399E-2</v>
      </c>
      <c r="L295" s="68"/>
      <c r="M295" s="69"/>
      <c r="N295" s="70"/>
      <c r="O295" s="68"/>
      <c r="P295" s="69"/>
      <c r="Q295" s="70"/>
      <c r="R295" s="68"/>
      <c r="S295" s="69"/>
      <c r="T295" s="70"/>
    </row>
    <row r="296" spans="1:20" x14ac:dyDescent="0.2">
      <c r="A296" s="4">
        <v>290</v>
      </c>
      <c r="B296" s="27"/>
      <c r="C296" s="28"/>
      <c r="D296" s="29"/>
      <c r="E296" s="27"/>
      <c r="F296" s="28"/>
      <c r="G296" s="29"/>
      <c r="H296" s="27">
        <v>2.8660661568002399E-2</v>
      </c>
      <c r="I296" s="28">
        <v>2.8481302197711101E-2</v>
      </c>
      <c r="J296" s="29">
        <v>2.8303052362170601E-2</v>
      </c>
      <c r="L296" s="68"/>
      <c r="M296" s="69"/>
      <c r="N296" s="70"/>
      <c r="O296" s="68"/>
      <c r="P296" s="69"/>
      <c r="Q296" s="70"/>
      <c r="R296" s="68"/>
      <c r="S296" s="69"/>
      <c r="T296" s="70"/>
    </row>
    <row r="297" spans="1:20" x14ac:dyDescent="0.2">
      <c r="A297" s="4">
        <v>291</v>
      </c>
      <c r="B297" s="27"/>
      <c r="C297" s="28"/>
      <c r="D297" s="29"/>
      <c r="E297" s="27"/>
      <c r="F297" s="28"/>
      <c r="G297" s="29"/>
      <c r="H297" s="27">
        <v>2.8303052362170601E-2</v>
      </c>
      <c r="I297" s="28">
        <v>2.8123689587062201E-2</v>
      </c>
      <c r="J297" s="29">
        <v>2.79454431563388E-2</v>
      </c>
      <c r="L297" s="68"/>
      <c r="M297" s="69"/>
      <c r="N297" s="70"/>
      <c r="O297" s="68"/>
      <c r="P297" s="69"/>
      <c r="Q297" s="70"/>
      <c r="R297" s="68"/>
      <c r="S297" s="69"/>
      <c r="T297" s="70"/>
    </row>
    <row r="298" spans="1:20" x14ac:dyDescent="0.2">
      <c r="A298" s="4">
        <v>292</v>
      </c>
      <c r="B298" s="27"/>
      <c r="C298" s="28"/>
      <c r="D298" s="29"/>
      <c r="E298" s="27"/>
      <c r="F298" s="28"/>
      <c r="G298" s="29"/>
      <c r="H298" s="27">
        <v>2.79454431563388E-2</v>
      </c>
      <c r="I298" s="28">
        <v>2.77660767546823E-2</v>
      </c>
      <c r="J298" s="29">
        <v>2.7587833950507099E-2</v>
      </c>
      <c r="L298" s="68"/>
      <c r="M298" s="69"/>
      <c r="N298" s="70"/>
      <c r="O298" s="68"/>
      <c r="P298" s="69"/>
      <c r="Q298" s="70"/>
      <c r="R298" s="68"/>
      <c r="S298" s="69"/>
      <c r="T298" s="70"/>
    </row>
    <row r="299" spans="1:20" x14ac:dyDescent="0.2">
      <c r="A299" s="4">
        <v>293</v>
      </c>
      <c r="B299" s="27"/>
      <c r="C299" s="28"/>
      <c r="D299" s="29"/>
      <c r="E299" s="27"/>
      <c r="F299" s="28"/>
      <c r="G299" s="29"/>
      <c r="H299" s="27">
        <v>2.7587833950507099E-2</v>
      </c>
      <c r="I299" s="28">
        <v>2.7417318869583499E-2</v>
      </c>
      <c r="J299" s="29">
        <v>2.7247852858368601E-2</v>
      </c>
      <c r="L299" s="68"/>
      <c r="M299" s="69"/>
      <c r="N299" s="70"/>
      <c r="O299" s="68"/>
      <c r="P299" s="69"/>
      <c r="Q299" s="70"/>
      <c r="R299" s="68"/>
      <c r="S299" s="69"/>
      <c r="T299" s="70"/>
    </row>
    <row r="300" spans="1:20" x14ac:dyDescent="0.2">
      <c r="A300" s="4">
        <v>294</v>
      </c>
      <c r="B300" s="27"/>
      <c r="C300" s="28"/>
      <c r="D300" s="29"/>
      <c r="E300" s="27"/>
      <c r="F300" s="28"/>
      <c r="G300" s="29"/>
      <c r="H300" s="27">
        <v>2.7247852858368601E-2</v>
      </c>
      <c r="I300" s="28">
        <v>2.7077334699016999E-2</v>
      </c>
      <c r="J300" s="29">
        <v>2.6907871766229999E-2</v>
      </c>
      <c r="L300" s="68"/>
      <c r="M300" s="69"/>
      <c r="N300" s="70"/>
      <c r="O300" s="68"/>
      <c r="P300" s="69"/>
      <c r="Q300" s="70"/>
      <c r="R300" s="68"/>
      <c r="S300" s="69"/>
      <c r="T300" s="70"/>
    </row>
    <row r="301" spans="1:20" x14ac:dyDescent="0.2">
      <c r="A301" s="4">
        <v>295</v>
      </c>
      <c r="B301" s="27"/>
      <c r="C301" s="28"/>
      <c r="D301" s="29"/>
      <c r="E301" s="27"/>
      <c r="F301" s="28"/>
      <c r="G301" s="29"/>
      <c r="H301" s="27">
        <v>2.6907871766229999E-2</v>
      </c>
      <c r="I301" s="28">
        <v>2.67373503244525E-2</v>
      </c>
      <c r="J301" s="29">
        <v>2.6567890674091502E-2</v>
      </c>
      <c r="L301" s="68"/>
      <c r="M301" s="69"/>
      <c r="N301" s="70"/>
      <c r="O301" s="68"/>
      <c r="P301" s="69"/>
      <c r="Q301" s="70"/>
      <c r="R301" s="68"/>
      <c r="S301" s="69"/>
      <c r="T301" s="70"/>
    </row>
    <row r="302" spans="1:20" x14ac:dyDescent="0.2">
      <c r="A302" s="4">
        <v>296</v>
      </c>
      <c r="B302" s="27"/>
      <c r="C302" s="28"/>
      <c r="D302" s="29"/>
      <c r="E302" s="27"/>
      <c r="F302" s="28"/>
      <c r="G302" s="29"/>
      <c r="H302" s="27">
        <v>2.6567890674091502E-2</v>
      </c>
      <c r="I302" s="28">
        <v>2.6397365740023899E-2</v>
      </c>
      <c r="J302" s="29">
        <v>2.6227909581953E-2</v>
      </c>
      <c r="L302" s="68"/>
      <c r="M302" s="69"/>
      <c r="N302" s="70"/>
      <c r="O302" s="68"/>
      <c r="P302" s="69"/>
      <c r="Q302" s="70"/>
      <c r="R302" s="68"/>
      <c r="S302" s="69"/>
      <c r="T302" s="70"/>
    </row>
    <row r="303" spans="1:20" x14ac:dyDescent="0.2">
      <c r="A303" s="4">
        <v>297</v>
      </c>
      <c r="B303" s="27"/>
      <c r="C303" s="28"/>
      <c r="D303" s="29"/>
      <c r="E303" s="27"/>
      <c r="F303" s="28"/>
      <c r="G303" s="29"/>
      <c r="H303" s="27">
        <v>2.6227909581953E-2</v>
      </c>
      <c r="I303" s="28">
        <v>2.60657997986543E-2</v>
      </c>
      <c r="J303" s="29">
        <v>2.5904687637084801E-2</v>
      </c>
      <c r="L303" s="68"/>
      <c r="M303" s="69"/>
      <c r="N303" s="70"/>
      <c r="O303" s="68"/>
      <c r="P303" s="69"/>
      <c r="Q303" s="70"/>
      <c r="R303" s="68"/>
      <c r="S303" s="69"/>
      <c r="T303" s="70"/>
    </row>
    <row r="304" spans="1:20" x14ac:dyDescent="0.2">
      <c r="A304" s="4">
        <v>298</v>
      </c>
      <c r="B304" s="27"/>
      <c r="C304" s="28"/>
      <c r="D304" s="29"/>
      <c r="E304" s="27"/>
      <c r="F304" s="28"/>
      <c r="G304" s="29"/>
      <c r="H304" s="27">
        <v>2.5904687637084801E-2</v>
      </c>
      <c r="I304" s="28">
        <v>2.5742574884093199E-2</v>
      </c>
      <c r="J304" s="29">
        <v>2.5581465692216698E-2</v>
      </c>
      <c r="L304" s="68"/>
      <c r="M304" s="69"/>
      <c r="N304" s="70"/>
      <c r="O304" s="68"/>
      <c r="P304" s="69"/>
      <c r="Q304" s="70"/>
      <c r="R304" s="68"/>
      <c r="S304" s="69"/>
      <c r="T304" s="70"/>
    </row>
    <row r="305" spans="1:20" x14ac:dyDescent="0.2">
      <c r="A305" s="4">
        <v>299</v>
      </c>
      <c r="B305" s="27"/>
      <c r="C305" s="28"/>
      <c r="D305" s="29"/>
      <c r="E305" s="27"/>
      <c r="F305" s="28"/>
      <c r="G305" s="29"/>
      <c r="H305" s="27">
        <v>2.5581465692216698E-2</v>
      </c>
      <c r="I305" s="28">
        <v>2.5419349776467901E-2</v>
      </c>
      <c r="J305" s="29">
        <v>2.5258243747348499E-2</v>
      </c>
      <c r="L305" s="68"/>
      <c r="M305" s="69"/>
      <c r="N305" s="70"/>
      <c r="O305" s="68"/>
      <c r="P305" s="69"/>
      <c r="Q305" s="70"/>
      <c r="R305" s="68"/>
      <c r="S305" s="69"/>
      <c r="T305" s="70"/>
    </row>
    <row r="306" spans="1:20" x14ac:dyDescent="0.2">
      <c r="A306" s="4">
        <v>300</v>
      </c>
      <c r="B306" s="27"/>
      <c r="C306" s="28"/>
      <c r="D306" s="29"/>
      <c r="E306" s="27"/>
      <c r="F306" s="28"/>
      <c r="G306" s="29"/>
      <c r="H306" s="27">
        <v>2.5258243747348499E-2</v>
      </c>
      <c r="I306" s="28">
        <v>2.5096124470180701E-2</v>
      </c>
      <c r="J306" s="29">
        <v>2.49350218024804E-2</v>
      </c>
      <c r="L306" s="68"/>
      <c r="M306" s="69"/>
      <c r="N306" s="70"/>
      <c r="O306" s="68"/>
      <c r="P306" s="69"/>
      <c r="Q306" s="70"/>
      <c r="R306" s="68"/>
      <c r="S306" s="69"/>
      <c r="T306" s="70"/>
    </row>
    <row r="307" spans="1:20" x14ac:dyDescent="0.2">
      <c r="A307" s="4">
        <v>301</v>
      </c>
      <c r="B307" s="27"/>
      <c r="C307" s="28"/>
      <c r="D307" s="29"/>
      <c r="E307" s="27"/>
      <c r="F307" s="28"/>
      <c r="G307" s="29"/>
      <c r="H307" s="27">
        <v>2.49350218024804E-2</v>
      </c>
      <c r="I307" s="28">
        <v>2.4780902995540002E-2</v>
      </c>
      <c r="J307" s="29">
        <v>2.4627732873595501E-2</v>
      </c>
      <c r="L307" s="68"/>
      <c r="M307" s="69"/>
      <c r="N307" s="70"/>
      <c r="O307" s="68"/>
      <c r="P307" s="69"/>
      <c r="Q307" s="70"/>
      <c r="R307" s="68"/>
      <c r="S307" s="69"/>
      <c r="T307" s="70"/>
    </row>
    <row r="308" spans="1:20" x14ac:dyDescent="0.2">
      <c r="A308" s="4">
        <v>302</v>
      </c>
      <c r="B308" s="27"/>
      <c r="C308" s="28"/>
      <c r="D308" s="29"/>
      <c r="E308" s="27"/>
      <c r="F308" s="28"/>
      <c r="G308" s="29"/>
      <c r="H308" s="27">
        <v>2.4627732873595501E-2</v>
      </c>
      <c r="I308" s="28">
        <v>2.4473611203470101E-2</v>
      </c>
      <c r="J308" s="29">
        <v>2.4320443944710599E-2</v>
      </c>
      <c r="L308" s="68"/>
      <c r="M308" s="69"/>
      <c r="N308" s="70"/>
      <c r="O308" s="68"/>
      <c r="P308" s="69"/>
      <c r="Q308" s="70"/>
      <c r="R308" s="68"/>
      <c r="S308" s="69"/>
      <c r="T308" s="70"/>
    </row>
    <row r="309" spans="1:20" x14ac:dyDescent="0.2">
      <c r="A309" s="4">
        <v>303</v>
      </c>
      <c r="B309" s="27"/>
      <c r="C309" s="28"/>
      <c r="D309" s="29"/>
      <c r="E309" s="27"/>
      <c r="F309" s="28"/>
      <c r="G309" s="29"/>
      <c r="H309" s="27">
        <v>2.4320443944710599E-2</v>
      </c>
      <c r="I309" s="28">
        <v>2.4166319228656499E-2</v>
      </c>
      <c r="J309" s="29">
        <v>2.40131550158257E-2</v>
      </c>
      <c r="L309" s="68"/>
      <c r="M309" s="69"/>
      <c r="N309" s="70"/>
      <c r="O309" s="68"/>
      <c r="P309" s="69"/>
      <c r="Q309" s="70"/>
      <c r="R309" s="68"/>
      <c r="S309" s="69"/>
      <c r="T309" s="70"/>
    </row>
    <row r="310" spans="1:20" x14ac:dyDescent="0.2">
      <c r="A310" s="4">
        <v>304</v>
      </c>
      <c r="B310" s="27"/>
      <c r="C310" s="28"/>
      <c r="D310" s="29"/>
      <c r="E310" s="27"/>
      <c r="F310" s="28"/>
      <c r="G310" s="29"/>
      <c r="H310" s="27">
        <v>2.40131550158257E-2</v>
      </c>
      <c r="I310" s="28">
        <v>2.3859027065757599E-2</v>
      </c>
      <c r="J310" s="29">
        <v>2.3705866086940901E-2</v>
      </c>
      <c r="L310" s="68"/>
      <c r="M310" s="69"/>
      <c r="N310" s="70"/>
      <c r="O310" s="68"/>
      <c r="P310" s="69"/>
      <c r="Q310" s="70"/>
      <c r="R310" s="68"/>
      <c r="S310" s="69"/>
      <c r="T310" s="70"/>
    </row>
    <row r="311" spans="1:20" x14ac:dyDescent="0.2">
      <c r="A311" s="4">
        <v>305</v>
      </c>
      <c r="B311" s="27"/>
      <c r="C311" s="28"/>
      <c r="D311" s="29"/>
      <c r="E311" s="27"/>
      <c r="F311" s="28"/>
      <c r="G311" s="29"/>
      <c r="H311" s="27">
        <v>2.3705866086940901E-2</v>
      </c>
      <c r="I311" s="28">
        <v>2.3559344357572998E-2</v>
      </c>
      <c r="J311" s="29">
        <v>2.34137247663578E-2</v>
      </c>
      <c r="L311" s="68"/>
      <c r="M311" s="69"/>
      <c r="N311" s="70"/>
      <c r="O311" s="68"/>
      <c r="P311" s="69"/>
      <c r="Q311" s="70"/>
      <c r="R311" s="68"/>
      <c r="S311" s="69"/>
      <c r="T311" s="70"/>
    </row>
    <row r="312" spans="1:20" x14ac:dyDescent="0.2">
      <c r="A312" s="4">
        <v>306</v>
      </c>
      <c r="B312" s="27"/>
      <c r="C312" s="28"/>
      <c r="D312" s="29"/>
      <c r="E312" s="27"/>
      <c r="F312" s="28"/>
      <c r="G312" s="29"/>
      <c r="H312" s="27">
        <v>2.34137247663578E-2</v>
      </c>
      <c r="I312" s="28">
        <v>2.3267200277956899E-2</v>
      </c>
      <c r="J312" s="29">
        <v>2.31215834457747E-2</v>
      </c>
      <c r="L312" s="68"/>
      <c r="M312" s="69"/>
      <c r="N312" s="70"/>
      <c r="O312" s="68"/>
      <c r="P312" s="69"/>
      <c r="Q312" s="70"/>
      <c r="R312" s="68"/>
      <c r="S312" s="69"/>
      <c r="T312" s="70"/>
    </row>
    <row r="313" spans="1:20" x14ac:dyDescent="0.2">
      <c r="A313" s="4">
        <v>307</v>
      </c>
      <c r="B313" s="27"/>
      <c r="C313" s="28"/>
      <c r="D313" s="29"/>
      <c r="E313" s="27"/>
      <c r="F313" s="28"/>
      <c r="G313" s="29"/>
      <c r="H313" s="27">
        <v>2.31215834457747E-2</v>
      </c>
      <c r="I313" s="28">
        <v>2.2975056025340598E-2</v>
      </c>
      <c r="J313" s="29">
        <v>2.2829442125191599E-2</v>
      </c>
      <c r="L313" s="68"/>
      <c r="M313" s="69"/>
      <c r="N313" s="70"/>
      <c r="O313" s="68"/>
      <c r="P313" s="69"/>
      <c r="Q313" s="70"/>
      <c r="R313" s="68"/>
      <c r="S313" s="69"/>
      <c r="T313" s="70"/>
    </row>
    <row r="314" spans="1:20" x14ac:dyDescent="0.2">
      <c r="A314" s="4">
        <v>308</v>
      </c>
      <c r="B314" s="27"/>
      <c r="C314" s="28"/>
      <c r="D314" s="29"/>
      <c r="E314" s="27"/>
      <c r="F314" s="28"/>
      <c r="G314" s="29"/>
      <c r="H314" s="27">
        <v>2.2829442125191599E-2</v>
      </c>
      <c r="I314" s="28">
        <v>2.2682911594628399E-2</v>
      </c>
      <c r="J314" s="29">
        <v>2.2537300804608602E-2</v>
      </c>
      <c r="L314" s="68"/>
      <c r="M314" s="69"/>
      <c r="N314" s="70"/>
      <c r="O314" s="68"/>
      <c r="P314" s="69"/>
      <c r="Q314" s="70"/>
      <c r="R314" s="68"/>
      <c r="S314" s="69"/>
      <c r="T314" s="70"/>
    </row>
    <row r="315" spans="1:20" x14ac:dyDescent="0.2">
      <c r="A315" s="4">
        <v>309</v>
      </c>
      <c r="B315" s="27"/>
      <c r="C315" s="28"/>
      <c r="D315" s="29"/>
      <c r="E315" s="27"/>
      <c r="F315" s="28"/>
      <c r="G315" s="29"/>
      <c r="H315" s="27">
        <v>2.2537300804608602E-2</v>
      </c>
      <c r="I315" s="28">
        <v>2.2398001669920401E-2</v>
      </c>
      <c r="J315" s="29">
        <v>2.2259560400807701E-2</v>
      </c>
      <c r="L315" s="68"/>
      <c r="M315" s="69"/>
      <c r="N315" s="70"/>
      <c r="O315" s="68"/>
      <c r="P315" s="69"/>
      <c r="Q315" s="70"/>
      <c r="R315" s="68"/>
      <c r="S315" s="69"/>
      <c r="T315" s="70"/>
    </row>
    <row r="316" spans="1:20" x14ac:dyDescent="0.2">
      <c r="A316" s="4">
        <v>310</v>
      </c>
      <c r="B316" s="27"/>
      <c r="C316" s="28"/>
      <c r="D316" s="29"/>
      <c r="E316" s="27"/>
      <c r="F316" s="28"/>
      <c r="G316" s="29"/>
      <c r="H316" s="27">
        <v>2.2259560400807701E-2</v>
      </c>
      <c r="I316" s="28">
        <v>2.2120258608779302E-2</v>
      </c>
      <c r="J316" s="29">
        <v>2.19818199970068E-2</v>
      </c>
      <c r="L316" s="68"/>
      <c r="M316" s="69"/>
      <c r="N316" s="70"/>
      <c r="O316" s="68"/>
      <c r="P316" s="69"/>
      <c r="Q316" s="70"/>
      <c r="R316" s="68"/>
      <c r="S316" s="69"/>
      <c r="T316" s="70"/>
    </row>
    <row r="317" spans="1:20" x14ac:dyDescent="0.2">
      <c r="A317" s="4">
        <v>311</v>
      </c>
      <c r="B317" s="27"/>
      <c r="C317" s="28"/>
      <c r="D317" s="29"/>
      <c r="E317" s="27"/>
      <c r="F317" s="28"/>
      <c r="G317" s="29"/>
      <c r="H317" s="27">
        <v>2.19818199970068E-2</v>
      </c>
      <c r="I317" s="28">
        <v>2.1842515383839699E-2</v>
      </c>
      <c r="J317" s="29">
        <v>2.1704079593205999E-2</v>
      </c>
      <c r="L317" s="68"/>
      <c r="M317" s="69"/>
      <c r="N317" s="70"/>
      <c r="O317" s="68"/>
      <c r="P317" s="69"/>
      <c r="Q317" s="70"/>
      <c r="R317" s="68"/>
      <c r="S317" s="69"/>
      <c r="T317" s="70"/>
    </row>
    <row r="318" spans="1:20" x14ac:dyDescent="0.2">
      <c r="A318" s="4">
        <v>312</v>
      </c>
      <c r="B318" s="27"/>
      <c r="C318" s="28"/>
      <c r="D318" s="29"/>
      <c r="E318" s="27"/>
      <c r="F318" s="28"/>
      <c r="G318" s="29"/>
      <c r="H318" s="27">
        <v>2.1704079593205999E-2</v>
      </c>
      <c r="I318" s="28">
        <v>2.1564771990239501E-2</v>
      </c>
      <c r="J318" s="29">
        <v>2.1426339189405098E-2</v>
      </c>
      <c r="L318" s="68"/>
      <c r="M318" s="69"/>
      <c r="N318" s="70"/>
      <c r="O318" s="68"/>
      <c r="P318" s="69"/>
      <c r="Q318" s="70"/>
      <c r="R318" s="68"/>
      <c r="S318" s="69"/>
      <c r="T318" s="70"/>
    </row>
    <row r="319" spans="1:20" x14ac:dyDescent="0.2">
      <c r="A319" s="4">
        <v>313</v>
      </c>
      <c r="B319" s="27"/>
      <c r="C319" s="28"/>
      <c r="D319" s="29"/>
      <c r="E319" s="27"/>
      <c r="F319" s="28"/>
      <c r="G319" s="29"/>
      <c r="H319" s="27">
        <v>2.1426339189405098E-2</v>
      </c>
      <c r="I319" s="28">
        <v>2.1293906625415901E-2</v>
      </c>
      <c r="J319" s="29">
        <v>2.1162289818540601E-2</v>
      </c>
      <c r="L319" s="68"/>
      <c r="M319" s="69"/>
      <c r="N319" s="70"/>
      <c r="O319" s="68"/>
      <c r="P319" s="69"/>
      <c r="Q319" s="70"/>
      <c r="R319" s="68"/>
      <c r="S319" s="69"/>
      <c r="T319" s="70"/>
    </row>
    <row r="320" spans="1:20" x14ac:dyDescent="0.2">
      <c r="A320" s="4">
        <v>314</v>
      </c>
      <c r="B320" s="27"/>
      <c r="C320" s="28"/>
      <c r="D320" s="29"/>
      <c r="E320" s="27"/>
      <c r="F320" s="28"/>
      <c r="G320" s="29"/>
      <c r="H320" s="27">
        <v>2.1162289818540601E-2</v>
      </c>
      <c r="I320" s="28">
        <v>2.1029854696363901E-2</v>
      </c>
      <c r="J320" s="29">
        <v>2.08982404476762E-2</v>
      </c>
      <c r="L320" s="68"/>
      <c r="M320" s="69"/>
      <c r="N320" s="70"/>
      <c r="O320" s="68"/>
      <c r="P320" s="69"/>
      <c r="Q320" s="70"/>
      <c r="R320" s="68"/>
      <c r="S320" s="69"/>
      <c r="T320" s="70"/>
    </row>
    <row r="321" spans="1:20" x14ac:dyDescent="0.2">
      <c r="A321" s="4">
        <v>315</v>
      </c>
      <c r="B321" s="27"/>
      <c r="C321" s="28"/>
      <c r="D321" s="29"/>
      <c r="E321" s="27"/>
      <c r="F321" s="28"/>
      <c r="G321" s="29"/>
      <c r="H321" s="27">
        <v>2.08982404476762E-2</v>
      </c>
      <c r="I321" s="28">
        <v>2.07658026122035E-2</v>
      </c>
      <c r="J321" s="29">
        <v>2.0634191076811699E-2</v>
      </c>
      <c r="L321" s="68"/>
      <c r="M321" s="69"/>
      <c r="N321" s="70"/>
      <c r="O321" s="68"/>
      <c r="P321" s="69"/>
      <c r="Q321" s="70"/>
      <c r="R321" s="68"/>
      <c r="S321" s="69"/>
      <c r="T321" s="70"/>
    </row>
    <row r="322" spans="1:20" x14ac:dyDescent="0.2">
      <c r="A322" s="4">
        <v>316</v>
      </c>
      <c r="B322" s="27"/>
      <c r="C322" s="28"/>
      <c r="D322" s="29"/>
      <c r="E322" s="27"/>
      <c r="F322" s="28"/>
      <c r="G322" s="29"/>
      <c r="H322" s="27">
        <v>2.0634191076811699E-2</v>
      </c>
      <c r="I322" s="28">
        <v>2.0501750368298901E-2</v>
      </c>
      <c r="J322" s="29">
        <v>2.0370141705947298E-2</v>
      </c>
      <c r="L322" s="68"/>
      <c r="M322" s="69"/>
      <c r="N322" s="70"/>
      <c r="O322" s="68"/>
      <c r="P322" s="69"/>
      <c r="Q322" s="70"/>
      <c r="R322" s="68"/>
      <c r="S322" s="69"/>
      <c r="T322" s="70"/>
    </row>
    <row r="323" spans="1:20" x14ac:dyDescent="0.2">
      <c r="A323" s="4">
        <v>317</v>
      </c>
      <c r="B323" s="27"/>
      <c r="C323" s="28"/>
      <c r="D323" s="29"/>
      <c r="E323" s="27"/>
      <c r="F323" s="28"/>
      <c r="G323" s="29"/>
      <c r="H323" s="27">
        <v>2.0370141705947298E-2</v>
      </c>
      <c r="I323" s="28">
        <v>2.02442372377672E-2</v>
      </c>
      <c r="J323" s="29">
        <v>2.0119108477436899E-2</v>
      </c>
      <c r="L323" s="68"/>
      <c r="M323" s="69"/>
      <c r="N323" s="70"/>
      <c r="O323" s="68"/>
      <c r="P323" s="69"/>
      <c r="Q323" s="70"/>
      <c r="R323" s="68"/>
      <c r="S323" s="69"/>
      <c r="T323" s="70"/>
    </row>
    <row r="324" spans="1:20" x14ac:dyDescent="0.2">
      <c r="A324" s="4">
        <v>318</v>
      </c>
      <c r="B324" s="27"/>
      <c r="C324" s="28"/>
      <c r="D324" s="29"/>
      <c r="E324" s="27"/>
      <c r="F324" s="28"/>
      <c r="G324" s="29"/>
      <c r="H324" s="27">
        <v>2.0119108477436899E-2</v>
      </c>
      <c r="I324" s="28">
        <v>1.99932015476205E-2</v>
      </c>
      <c r="J324" s="29">
        <v>1.98680752489265E-2</v>
      </c>
      <c r="L324" s="68"/>
      <c r="M324" s="69"/>
      <c r="N324" s="70"/>
      <c r="O324" s="68"/>
      <c r="P324" s="69"/>
      <c r="Q324" s="70"/>
      <c r="R324" s="68"/>
      <c r="S324" s="69"/>
      <c r="T324" s="70"/>
    </row>
    <row r="325" spans="1:20" x14ac:dyDescent="0.2">
      <c r="A325" s="4">
        <v>319</v>
      </c>
      <c r="B325" s="27"/>
      <c r="C325" s="28"/>
      <c r="D325" s="29"/>
      <c r="E325" s="27"/>
      <c r="F325" s="28"/>
      <c r="G325" s="29"/>
      <c r="H325" s="27">
        <v>1.98680752489265E-2</v>
      </c>
      <c r="I325" s="28">
        <v>1.9742165710575799E-2</v>
      </c>
      <c r="J325" s="29">
        <v>1.9617042020416101E-2</v>
      </c>
      <c r="L325" s="68"/>
      <c r="M325" s="69"/>
      <c r="N325" s="70"/>
      <c r="O325" s="68"/>
      <c r="P325" s="69"/>
      <c r="Q325" s="70"/>
      <c r="R325" s="68"/>
      <c r="S325" s="69"/>
      <c r="T325" s="70"/>
    </row>
    <row r="326" spans="1:20" x14ac:dyDescent="0.2">
      <c r="A326" s="4">
        <v>320</v>
      </c>
      <c r="B326" s="27"/>
      <c r="C326" s="28"/>
      <c r="D326" s="29"/>
      <c r="E326" s="27"/>
      <c r="F326" s="28"/>
      <c r="G326" s="29"/>
      <c r="H326" s="27">
        <v>1.9617042020416101E-2</v>
      </c>
      <c r="I326" s="28">
        <v>1.9491129722213001E-2</v>
      </c>
      <c r="J326" s="29">
        <v>1.9366008791905701E-2</v>
      </c>
      <c r="L326" s="68"/>
      <c r="M326" s="69"/>
      <c r="N326" s="70"/>
      <c r="O326" s="68"/>
      <c r="P326" s="69"/>
      <c r="Q326" s="70"/>
      <c r="R326" s="68"/>
      <c r="S326" s="69"/>
      <c r="T326" s="70"/>
    </row>
    <row r="327" spans="1:20" x14ac:dyDescent="0.2">
      <c r="A327" s="4">
        <v>321</v>
      </c>
      <c r="B327" s="27"/>
      <c r="C327" s="28"/>
      <c r="D327" s="29"/>
      <c r="E327" s="27"/>
      <c r="F327" s="28"/>
      <c r="G327" s="29"/>
      <c r="H327" s="27">
        <v>1.9366008791905701E-2</v>
      </c>
      <c r="I327" s="28">
        <v>1.9246310628753201E-2</v>
      </c>
      <c r="J327" s="29">
        <v>1.9127350083460198E-2</v>
      </c>
      <c r="L327" s="68"/>
      <c r="M327" s="69"/>
      <c r="N327" s="70"/>
      <c r="O327" s="68"/>
      <c r="P327" s="69"/>
      <c r="Q327" s="70"/>
      <c r="R327" s="68"/>
      <c r="S327" s="69"/>
      <c r="T327" s="70"/>
    </row>
    <row r="328" spans="1:20" x14ac:dyDescent="0.2">
      <c r="A328" s="4">
        <v>322</v>
      </c>
      <c r="B328" s="27"/>
      <c r="C328" s="28"/>
      <c r="D328" s="29"/>
      <c r="E328" s="27"/>
      <c r="F328" s="28"/>
      <c r="G328" s="29"/>
      <c r="H328" s="27">
        <v>1.9127350083460198E-2</v>
      </c>
      <c r="I328" s="28">
        <v>1.9007649552577801E-2</v>
      </c>
      <c r="J328" s="29">
        <v>1.88886913750148E-2</v>
      </c>
      <c r="L328" s="68"/>
      <c r="M328" s="69"/>
      <c r="N328" s="70"/>
      <c r="O328" s="68"/>
      <c r="P328" s="69"/>
      <c r="Q328" s="70"/>
      <c r="R328" s="68"/>
      <c r="S328" s="69"/>
      <c r="T328" s="70"/>
    </row>
    <row r="329" spans="1:20" x14ac:dyDescent="0.2">
      <c r="A329" s="4">
        <v>323</v>
      </c>
      <c r="B329" s="27"/>
      <c r="C329" s="28"/>
      <c r="D329" s="29"/>
      <c r="E329" s="27"/>
      <c r="F329" s="28"/>
      <c r="G329" s="29"/>
      <c r="H329" s="27">
        <v>1.88886913750148E-2</v>
      </c>
      <c r="I329" s="28">
        <v>1.8768988337263801E-2</v>
      </c>
      <c r="J329" s="29">
        <v>1.86500326665693E-2</v>
      </c>
      <c r="L329" s="68"/>
      <c r="M329" s="69"/>
      <c r="N329" s="70"/>
      <c r="O329" s="68"/>
      <c r="P329" s="69"/>
      <c r="Q329" s="70"/>
      <c r="R329" s="68"/>
      <c r="S329" s="69"/>
      <c r="T329" s="70"/>
    </row>
    <row r="330" spans="1:20" x14ac:dyDescent="0.2">
      <c r="A330" s="4">
        <v>324</v>
      </c>
      <c r="B330" s="27"/>
      <c r="C330" s="28"/>
      <c r="D330" s="29"/>
      <c r="E330" s="27"/>
      <c r="F330" s="28"/>
      <c r="G330" s="29"/>
      <c r="H330" s="27">
        <v>1.86500326665693E-2</v>
      </c>
      <c r="I330" s="28">
        <v>1.8530326978595899E-2</v>
      </c>
      <c r="J330" s="29">
        <v>1.8411373958123801E-2</v>
      </c>
      <c r="L330" s="68"/>
      <c r="M330" s="69"/>
      <c r="N330" s="70"/>
      <c r="O330" s="68"/>
      <c r="P330" s="69"/>
      <c r="Q330" s="70"/>
      <c r="R330" s="68"/>
      <c r="S330" s="69"/>
      <c r="T330" s="70"/>
    </row>
    <row r="331" spans="1:20" x14ac:dyDescent="0.2">
      <c r="A331" s="4">
        <v>325</v>
      </c>
      <c r="B331" s="27"/>
      <c r="C331" s="28"/>
      <c r="D331" s="29"/>
      <c r="E331" s="27"/>
      <c r="F331" s="28"/>
      <c r="G331" s="29"/>
      <c r="H331" s="27">
        <v>1.8411373958123801E-2</v>
      </c>
      <c r="I331" s="28">
        <v>1.82975761709732E-2</v>
      </c>
      <c r="J331" s="29">
        <v>1.81844797758084E-2</v>
      </c>
      <c r="L331" s="68"/>
      <c r="M331" s="69"/>
      <c r="N331" s="70"/>
      <c r="O331" s="68"/>
      <c r="P331" s="69"/>
      <c r="Q331" s="70"/>
      <c r="R331" s="68"/>
      <c r="S331" s="69"/>
      <c r="T331" s="70"/>
    </row>
    <row r="332" spans="1:20" x14ac:dyDescent="0.2">
      <c r="A332" s="4">
        <v>326</v>
      </c>
      <c r="B332" s="27"/>
      <c r="C332" s="28"/>
      <c r="D332" s="29"/>
      <c r="E332" s="27"/>
      <c r="F332" s="28"/>
      <c r="G332" s="29"/>
      <c r="H332" s="27">
        <v>1.81844797758084E-2</v>
      </c>
      <c r="I332" s="28">
        <v>1.8070679712162901E-2</v>
      </c>
      <c r="J332" s="29">
        <v>1.7957585593492999E-2</v>
      </c>
      <c r="L332" s="68"/>
      <c r="M332" s="69"/>
      <c r="N332" s="70"/>
      <c r="O332" s="68"/>
      <c r="P332" s="69"/>
      <c r="Q332" s="70"/>
      <c r="R332" s="68"/>
      <c r="S332" s="69"/>
      <c r="T332" s="70"/>
    </row>
    <row r="333" spans="1:20" x14ac:dyDescent="0.2">
      <c r="A333" s="4">
        <v>327</v>
      </c>
      <c r="B333" s="27"/>
      <c r="C333" s="28"/>
      <c r="D333" s="29"/>
      <c r="E333" s="27"/>
      <c r="F333" s="28"/>
      <c r="G333" s="29"/>
      <c r="H333" s="27">
        <v>1.7957585593492999E-2</v>
      </c>
      <c r="I333" s="28">
        <v>1.7843783121546199E-2</v>
      </c>
      <c r="J333" s="29">
        <v>1.7730691411177599E-2</v>
      </c>
      <c r="L333" s="68"/>
      <c r="M333" s="69"/>
      <c r="N333" s="70"/>
      <c r="O333" s="68"/>
      <c r="P333" s="69"/>
      <c r="Q333" s="70"/>
      <c r="R333" s="68"/>
      <c r="S333" s="69"/>
      <c r="T333" s="70"/>
    </row>
    <row r="334" spans="1:20" x14ac:dyDescent="0.2">
      <c r="A334" s="4">
        <v>328</v>
      </c>
      <c r="B334" s="27"/>
      <c r="C334" s="28"/>
      <c r="D334" s="29"/>
      <c r="E334" s="27"/>
      <c r="F334" s="28"/>
      <c r="G334" s="29"/>
      <c r="H334" s="27">
        <v>1.7730691411177599E-2</v>
      </c>
      <c r="I334" s="28">
        <v>1.7616886395106501E-2</v>
      </c>
      <c r="J334" s="29">
        <v>1.7503797228862202E-2</v>
      </c>
      <c r="L334" s="68"/>
      <c r="M334" s="69"/>
      <c r="N334" s="70"/>
      <c r="O334" s="68"/>
      <c r="P334" s="69"/>
      <c r="Q334" s="70"/>
      <c r="R334" s="68"/>
      <c r="S334" s="69"/>
      <c r="T334" s="70"/>
    </row>
    <row r="335" spans="1:20" x14ac:dyDescent="0.2">
      <c r="A335" s="4">
        <v>329</v>
      </c>
      <c r="B335" s="27"/>
      <c r="C335" s="28"/>
      <c r="D335" s="29"/>
      <c r="E335" s="27"/>
      <c r="F335" s="28"/>
      <c r="G335" s="29"/>
      <c r="H335" s="27">
        <v>1.7503797228862202E-2</v>
      </c>
      <c r="I335" s="28">
        <v>1.7395608968620802E-2</v>
      </c>
      <c r="J335" s="29">
        <v>1.7288087647997101E-2</v>
      </c>
      <c r="L335" s="68"/>
      <c r="M335" s="69"/>
      <c r="N335" s="70"/>
      <c r="O335" s="68"/>
      <c r="P335" s="69"/>
      <c r="Q335" s="70"/>
      <c r="R335" s="68"/>
      <c r="S335" s="69"/>
      <c r="T335" s="70"/>
    </row>
    <row r="336" spans="1:20" x14ac:dyDescent="0.2">
      <c r="A336" s="4">
        <v>330</v>
      </c>
      <c r="B336" s="27"/>
      <c r="C336" s="28"/>
      <c r="D336" s="29"/>
      <c r="E336" s="27"/>
      <c r="F336" s="28"/>
      <c r="G336" s="29"/>
      <c r="H336" s="27">
        <v>1.7288087647997101E-2</v>
      </c>
      <c r="I336" s="28">
        <v>1.7179897199808499E-2</v>
      </c>
      <c r="J336" s="29">
        <v>1.7072378067132001E-2</v>
      </c>
      <c r="L336" s="68"/>
      <c r="M336" s="69"/>
      <c r="N336" s="70"/>
      <c r="O336" s="68"/>
      <c r="P336" s="69"/>
      <c r="Q336" s="70"/>
      <c r="R336" s="68"/>
      <c r="S336" s="69"/>
      <c r="T336" s="70"/>
    </row>
    <row r="337" spans="1:20" x14ac:dyDescent="0.2">
      <c r="A337" s="4">
        <v>331</v>
      </c>
      <c r="B337" s="27"/>
      <c r="C337" s="28"/>
      <c r="D337" s="29"/>
      <c r="E337" s="27"/>
      <c r="F337" s="28"/>
      <c r="G337" s="29"/>
      <c r="H337" s="27">
        <v>1.7072378067132001E-2</v>
      </c>
      <c r="I337" s="28">
        <v>1.6964185306123199E-2</v>
      </c>
      <c r="J337" s="29">
        <v>1.68566684862669E-2</v>
      </c>
      <c r="L337" s="68"/>
      <c r="M337" s="69"/>
      <c r="N337" s="70"/>
      <c r="O337" s="68"/>
      <c r="P337" s="69"/>
      <c r="Q337" s="70"/>
      <c r="R337" s="68"/>
      <c r="S337" s="69"/>
      <c r="T337" s="70"/>
    </row>
    <row r="338" spans="1:20" x14ac:dyDescent="0.2">
      <c r="A338" s="4">
        <v>332</v>
      </c>
      <c r="B338" s="27"/>
      <c r="C338" s="28"/>
      <c r="D338" s="29"/>
      <c r="E338" s="27"/>
      <c r="F338" s="28"/>
      <c r="G338" s="29"/>
      <c r="H338" s="27">
        <v>1.68566684862669E-2</v>
      </c>
      <c r="I338" s="28">
        <v>1.67484732837355E-2</v>
      </c>
      <c r="J338" s="29">
        <v>1.66409589054018E-2</v>
      </c>
      <c r="L338" s="68"/>
      <c r="M338" s="69"/>
      <c r="N338" s="70"/>
      <c r="O338" s="68"/>
      <c r="P338" s="69"/>
      <c r="Q338" s="70"/>
      <c r="R338" s="68"/>
      <c r="S338" s="69"/>
      <c r="T338" s="70"/>
    </row>
    <row r="339" spans="1:20" x14ac:dyDescent="0.2">
      <c r="A339" s="4">
        <v>333</v>
      </c>
      <c r="B339" s="27"/>
      <c r="C339" s="28"/>
      <c r="D339" s="29"/>
      <c r="E339" s="27"/>
      <c r="F339" s="28"/>
      <c r="G339" s="29"/>
      <c r="H339" s="27">
        <v>1.66409589054018E-2</v>
      </c>
      <c r="I339" s="28">
        <v>1.6538103659616402E-2</v>
      </c>
      <c r="J339" s="29">
        <v>1.64358825883179E-2</v>
      </c>
      <c r="L339" s="68"/>
      <c r="M339" s="69"/>
      <c r="N339" s="70"/>
      <c r="O339" s="68"/>
      <c r="P339" s="69"/>
      <c r="Q339" s="70"/>
      <c r="R339" s="68"/>
      <c r="S339" s="69"/>
      <c r="T339" s="70"/>
    </row>
    <row r="340" spans="1:20" x14ac:dyDescent="0.2">
      <c r="A340" s="4">
        <v>334</v>
      </c>
      <c r="B340" s="27"/>
      <c r="C340" s="28"/>
      <c r="D340" s="29"/>
      <c r="E340" s="27"/>
      <c r="F340" s="28"/>
      <c r="G340" s="29"/>
      <c r="H340" s="27">
        <v>1.64358825883179E-2</v>
      </c>
      <c r="I340" s="28">
        <v>1.63330252404453E-2</v>
      </c>
      <c r="J340" s="29">
        <v>1.6230806271234102E-2</v>
      </c>
      <c r="L340" s="68"/>
      <c r="M340" s="69"/>
      <c r="N340" s="70"/>
      <c r="O340" s="68"/>
      <c r="P340" s="69"/>
      <c r="Q340" s="70"/>
      <c r="R340" s="68"/>
      <c r="S340" s="69"/>
      <c r="T340" s="70"/>
    </row>
    <row r="341" spans="1:20" x14ac:dyDescent="0.2">
      <c r="A341" s="4">
        <v>335</v>
      </c>
      <c r="B341" s="27"/>
      <c r="C341" s="28"/>
      <c r="D341" s="29"/>
      <c r="E341" s="27"/>
      <c r="F341" s="28"/>
      <c r="G341" s="29"/>
      <c r="H341" s="27">
        <v>1.6230806271234102E-2</v>
      </c>
      <c r="I341" s="28">
        <v>1.6127946702956399E-2</v>
      </c>
      <c r="J341" s="29">
        <v>1.6025729954150199E-2</v>
      </c>
      <c r="L341" s="68"/>
      <c r="M341" s="69"/>
      <c r="N341" s="70"/>
      <c r="O341" s="68"/>
      <c r="P341" s="69"/>
      <c r="Q341" s="70"/>
      <c r="R341" s="68"/>
      <c r="S341" s="69"/>
      <c r="T341" s="70"/>
    </row>
    <row r="342" spans="1:20" x14ac:dyDescent="0.2">
      <c r="A342" s="4">
        <v>336</v>
      </c>
      <c r="B342" s="27"/>
      <c r="C342" s="28"/>
      <c r="D342" s="29"/>
      <c r="E342" s="27"/>
      <c r="F342" s="28"/>
      <c r="G342" s="29"/>
      <c r="H342" s="27">
        <v>1.6025729954150199E-2</v>
      </c>
      <c r="I342" s="28">
        <v>1.5922868043500099E-2</v>
      </c>
      <c r="J342" s="29">
        <v>1.58206536370664E-2</v>
      </c>
      <c r="L342" s="68"/>
      <c r="M342" s="69"/>
      <c r="N342" s="70"/>
      <c r="O342" s="68"/>
      <c r="P342" s="69"/>
      <c r="Q342" s="70"/>
      <c r="R342" s="68"/>
      <c r="S342" s="69"/>
      <c r="T342" s="70"/>
    </row>
    <row r="343" spans="1:20" x14ac:dyDescent="0.2">
      <c r="A343" s="4">
        <v>337</v>
      </c>
      <c r="B343" s="27"/>
      <c r="C343" s="28"/>
      <c r="D343" s="29"/>
      <c r="E343" s="27"/>
      <c r="F343" s="28"/>
      <c r="G343" s="29"/>
      <c r="H343" s="27">
        <v>1.58206536370664E-2</v>
      </c>
      <c r="I343" s="28">
        <v>1.5722868523265401E-2</v>
      </c>
      <c r="J343" s="29">
        <v>1.5625686423927299E-2</v>
      </c>
      <c r="L343" s="68"/>
      <c r="M343" s="69"/>
      <c r="N343" s="70"/>
      <c r="O343" s="68"/>
      <c r="P343" s="69"/>
      <c r="Q343" s="70"/>
      <c r="R343" s="68"/>
      <c r="S343" s="69"/>
      <c r="T343" s="70"/>
    </row>
    <row r="344" spans="1:20" x14ac:dyDescent="0.2">
      <c r="A344" s="4">
        <v>338</v>
      </c>
      <c r="B344" s="27"/>
      <c r="C344" s="28"/>
      <c r="D344" s="29"/>
      <c r="E344" s="27"/>
      <c r="F344" s="28"/>
      <c r="G344" s="29"/>
      <c r="H344" s="27">
        <v>1.5625686423927299E-2</v>
      </c>
      <c r="I344" s="28">
        <v>1.55278992912198E-2</v>
      </c>
      <c r="J344" s="29">
        <v>1.54307192107881E-2</v>
      </c>
      <c r="L344" s="68"/>
      <c r="M344" s="69"/>
      <c r="N344" s="70"/>
      <c r="O344" s="68"/>
      <c r="P344" s="69"/>
      <c r="Q344" s="70"/>
      <c r="R344" s="68"/>
      <c r="S344" s="69"/>
      <c r="T344" s="70"/>
    </row>
    <row r="345" spans="1:20" x14ac:dyDescent="0.2">
      <c r="A345" s="4">
        <v>339</v>
      </c>
      <c r="B345" s="27"/>
      <c r="C345" s="28"/>
      <c r="D345" s="29"/>
      <c r="E345" s="27"/>
      <c r="F345" s="28"/>
      <c r="G345" s="29"/>
      <c r="H345" s="27">
        <v>1.54307192107881E-2</v>
      </c>
      <c r="I345" s="28">
        <v>1.53329299470557E-2</v>
      </c>
      <c r="J345" s="29">
        <v>1.5235751997649E-2</v>
      </c>
      <c r="L345" s="68"/>
      <c r="M345" s="69"/>
      <c r="N345" s="70"/>
      <c r="O345" s="68"/>
      <c r="P345" s="69"/>
      <c r="Q345" s="70"/>
      <c r="R345" s="68"/>
      <c r="S345" s="69"/>
      <c r="T345" s="70"/>
    </row>
    <row r="346" spans="1:20" x14ac:dyDescent="0.2">
      <c r="A346" s="4">
        <v>340</v>
      </c>
      <c r="B346" s="27"/>
      <c r="C346" s="28"/>
      <c r="D346" s="29"/>
      <c r="E346" s="27"/>
      <c r="F346" s="28"/>
      <c r="G346" s="29"/>
      <c r="H346" s="27">
        <v>1.5235751997649E-2</v>
      </c>
      <c r="I346" s="28">
        <v>1.51379604872953E-2</v>
      </c>
      <c r="J346" s="29">
        <v>1.50407847845099E-2</v>
      </c>
      <c r="L346" s="68"/>
      <c r="M346" s="69"/>
      <c r="N346" s="70"/>
      <c r="O346" s="68"/>
      <c r="P346" s="69"/>
      <c r="Q346" s="70"/>
      <c r="R346" s="68"/>
      <c r="S346" s="69"/>
      <c r="T346" s="70"/>
    </row>
    <row r="347" spans="1:20" x14ac:dyDescent="0.2">
      <c r="A347" s="4">
        <v>341</v>
      </c>
      <c r="B347" s="27"/>
      <c r="C347" s="28"/>
      <c r="D347" s="29"/>
      <c r="E347" s="27"/>
      <c r="F347" s="28"/>
      <c r="G347" s="29"/>
      <c r="H347" s="27">
        <v>1.50407847845099E-2</v>
      </c>
      <c r="I347" s="28">
        <v>1.4947819878373901E-2</v>
      </c>
      <c r="J347" s="29">
        <v>1.48554283535979E-2</v>
      </c>
      <c r="L347" s="68"/>
      <c r="M347" s="69"/>
      <c r="N347" s="70"/>
      <c r="O347" s="68"/>
      <c r="P347" s="69"/>
      <c r="Q347" s="70"/>
      <c r="R347" s="68"/>
      <c r="S347" s="69"/>
      <c r="T347" s="70"/>
    </row>
    <row r="348" spans="1:20" x14ac:dyDescent="0.2">
      <c r="A348" s="4">
        <v>342</v>
      </c>
      <c r="B348" s="27"/>
      <c r="C348" s="28"/>
      <c r="D348" s="29"/>
      <c r="E348" s="27"/>
      <c r="F348" s="28"/>
      <c r="G348" s="29"/>
      <c r="H348" s="27">
        <v>1.48554283535979E-2</v>
      </c>
      <c r="I348" s="28">
        <v>1.4762461509074801E-2</v>
      </c>
      <c r="J348" s="29">
        <v>1.4670071922686E-2</v>
      </c>
      <c r="L348" s="68"/>
      <c r="M348" s="69"/>
      <c r="N348" s="70"/>
      <c r="O348" s="68"/>
      <c r="P348" s="69"/>
      <c r="Q348" s="70"/>
      <c r="R348" s="68"/>
      <c r="S348" s="69"/>
      <c r="T348" s="70"/>
    </row>
    <row r="349" spans="1:20" x14ac:dyDescent="0.2">
      <c r="A349" s="4">
        <v>343</v>
      </c>
      <c r="B349" s="27"/>
      <c r="C349" s="28"/>
      <c r="D349" s="29"/>
      <c r="E349" s="27"/>
      <c r="F349" s="28"/>
      <c r="G349" s="29"/>
      <c r="H349" s="27">
        <v>1.4670071922686E-2</v>
      </c>
      <c r="I349" s="28">
        <v>1.4577103033520901E-2</v>
      </c>
      <c r="J349" s="29">
        <v>1.4484715491774E-2</v>
      </c>
      <c r="L349" s="68"/>
      <c r="M349" s="69"/>
      <c r="N349" s="70"/>
      <c r="O349" s="68"/>
      <c r="P349" s="69"/>
      <c r="Q349" s="70"/>
      <c r="R349" s="68"/>
      <c r="S349" s="69"/>
      <c r="T349" s="70"/>
    </row>
    <row r="350" spans="1:20" x14ac:dyDescent="0.2">
      <c r="A350" s="4">
        <v>344</v>
      </c>
      <c r="B350" s="27"/>
      <c r="C350" s="28"/>
      <c r="D350" s="29"/>
      <c r="E350" s="27"/>
      <c r="F350" s="28"/>
      <c r="G350" s="29"/>
      <c r="H350" s="27">
        <v>1.4484715491774E-2</v>
      </c>
      <c r="I350" s="28">
        <v>1.43917444483985E-2</v>
      </c>
      <c r="J350" s="29">
        <v>1.4299359060862001E-2</v>
      </c>
      <c r="L350" s="68"/>
      <c r="M350" s="69"/>
      <c r="N350" s="70"/>
      <c r="O350" s="68"/>
      <c r="P350" s="69"/>
      <c r="Q350" s="70"/>
      <c r="R350" s="68"/>
      <c r="S350" s="69"/>
      <c r="T350" s="70"/>
    </row>
    <row r="351" spans="1:20" x14ac:dyDescent="0.2">
      <c r="A351" s="4">
        <v>345</v>
      </c>
      <c r="B351" s="27"/>
      <c r="C351" s="28"/>
      <c r="D351" s="29"/>
      <c r="E351" s="27"/>
      <c r="F351" s="28"/>
      <c r="G351" s="29"/>
      <c r="H351" s="27">
        <v>1.4299359060862001E-2</v>
      </c>
      <c r="I351" s="28">
        <v>1.4210976757504899E-2</v>
      </c>
      <c r="J351" s="29">
        <v>1.4123139654905199E-2</v>
      </c>
      <c r="L351" s="68"/>
      <c r="M351" s="69"/>
      <c r="N351" s="70"/>
      <c r="O351" s="68"/>
      <c r="P351" s="69"/>
      <c r="Q351" s="70"/>
      <c r="R351" s="68"/>
      <c r="S351" s="69"/>
      <c r="T351" s="70"/>
    </row>
    <row r="352" spans="1:20" x14ac:dyDescent="0.2">
      <c r="A352" s="4">
        <v>346</v>
      </c>
      <c r="B352" s="27"/>
      <c r="C352" s="28"/>
      <c r="D352" s="29"/>
      <c r="E352" s="27"/>
      <c r="F352" s="28"/>
      <c r="G352" s="29"/>
      <c r="H352" s="27">
        <v>1.4123139654905199E-2</v>
      </c>
      <c r="I352" s="28">
        <v>1.40347554910445E-2</v>
      </c>
      <c r="J352" s="29">
        <v>1.39469202489484E-2</v>
      </c>
      <c r="L352" s="68"/>
      <c r="M352" s="69"/>
      <c r="N352" s="70"/>
      <c r="O352" s="68"/>
      <c r="P352" s="69"/>
      <c r="Q352" s="70"/>
      <c r="R352" s="68"/>
      <c r="S352" s="69"/>
      <c r="T352" s="70"/>
    </row>
    <row r="353" spans="1:20" x14ac:dyDescent="0.2">
      <c r="A353" s="4">
        <v>347</v>
      </c>
      <c r="B353" s="27"/>
      <c r="C353" s="28"/>
      <c r="D353" s="29"/>
      <c r="E353" s="27"/>
      <c r="F353" s="28"/>
      <c r="G353" s="29"/>
      <c r="H353" s="27">
        <v>1.39469202489484E-2</v>
      </c>
      <c r="I353" s="28">
        <v>1.38585341238768E-2</v>
      </c>
      <c r="J353" s="29">
        <v>1.3770700842991699E-2</v>
      </c>
      <c r="L353" s="68"/>
      <c r="M353" s="69"/>
      <c r="N353" s="70"/>
      <c r="O353" s="68"/>
      <c r="P353" s="69"/>
      <c r="Q353" s="70"/>
      <c r="R353" s="68"/>
      <c r="S353" s="69"/>
      <c r="T353" s="70"/>
    </row>
    <row r="354" spans="1:20" x14ac:dyDescent="0.2">
      <c r="A354" s="4">
        <v>348</v>
      </c>
      <c r="B354" s="27"/>
      <c r="C354" s="28"/>
      <c r="D354" s="29"/>
      <c r="E354" s="27"/>
      <c r="F354" s="28"/>
      <c r="G354" s="29"/>
      <c r="H354" s="27">
        <v>1.3770700842991699E-2</v>
      </c>
      <c r="I354" s="28">
        <v>1.36823126528444E-2</v>
      </c>
      <c r="J354" s="29">
        <v>1.35944814370349E-2</v>
      </c>
      <c r="L354" s="68"/>
      <c r="M354" s="69"/>
      <c r="N354" s="70"/>
      <c r="O354" s="68"/>
      <c r="P354" s="69"/>
      <c r="Q354" s="70"/>
      <c r="R354" s="68"/>
      <c r="S354" s="69"/>
      <c r="T354" s="70"/>
    </row>
    <row r="355" spans="1:20" x14ac:dyDescent="0.2">
      <c r="A355" s="4">
        <v>349</v>
      </c>
      <c r="B355" s="27"/>
      <c r="C355" s="28"/>
      <c r="D355" s="29"/>
      <c r="E355" s="27"/>
      <c r="F355" s="28"/>
      <c r="G355" s="29"/>
      <c r="H355" s="27">
        <v>1.35944814370349E-2</v>
      </c>
      <c r="I355" s="28">
        <v>1.3510455843767101E-2</v>
      </c>
      <c r="J355" s="29">
        <v>1.3426948652318599E-2</v>
      </c>
      <c r="L355" s="68"/>
      <c r="M355" s="69"/>
      <c r="N355" s="70"/>
      <c r="O355" s="68"/>
      <c r="P355" s="69"/>
      <c r="Q355" s="70"/>
      <c r="R355" s="68"/>
      <c r="S355" s="69"/>
      <c r="T355" s="70"/>
    </row>
    <row r="356" spans="1:20" x14ac:dyDescent="0.2">
      <c r="A356" s="4">
        <v>350</v>
      </c>
      <c r="B356" s="27"/>
      <c r="C356" s="28"/>
      <c r="D356" s="29"/>
      <c r="E356" s="27"/>
      <c r="F356" s="28"/>
      <c r="G356" s="29"/>
      <c r="H356" s="27">
        <v>1.3426948652318599E-2</v>
      </c>
      <c r="I356" s="28">
        <v>1.3342921273827401E-2</v>
      </c>
      <c r="J356" s="29">
        <v>1.32594158676022E-2</v>
      </c>
      <c r="L356" s="68"/>
      <c r="M356" s="69"/>
      <c r="N356" s="70"/>
      <c r="O356" s="68"/>
      <c r="P356" s="69"/>
      <c r="Q356" s="70"/>
      <c r="R356" s="68"/>
      <c r="S356" s="69"/>
      <c r="T356" s="70"/>
    </row>
    <row r="357" spans="1:20" x14ac:dyDescent="0.2">
      <c r="A357" s="4">
        <v>351</v>
      </c>
      <c r="B357" s="27"/>
      <c r="C357" s="28"/>
      <c r="D357" s="29"/>
      <c r="E357" s="27"/>
      <c r="F357" s="28"/>
      <c r="G357" s="29"/>
      <c r="H357" s="27">
        <v>1.32594158676022E-2</v>
      </c>
      <c r="I357" s="28">
        <v>1.31753866084295E-2</v>
      </c>
      <c r="J357" s="29">
        <v>1.30918830828859E-2</v>
      </c>
      <c r="L357" s="68"/>
      <c r="M357" s="69"/>
      <c r="N357" s="70"/>
      <c r="O357" s="68"/>
      <c r="P357" s="69"/>
      <c r="Q357" s="70"/>
      <c r="R357" s="68"/>
      <c r="S357" s="69"/>
      <c r="T357" s="70"/>
    </row>
    <row r="358" spans="1:20" x14ac:dyDescent="0.2">
      <c r="A358" s="4">
        <v>352</v>
      </c>
      <c r="B358" s="27"/>
      <c r="C358" s="28"/>
      <c r="D358" s="29"/>
      <c r="E358" s="27"/>
      <c r="F358" s="28"/>
      <c r="G358" s="29"/>
      <c r="H358" s="27">
        <v>1.30918830828859E-2</v>
      </c>
      <c r="I358" s="28">
        <v>1.30078518445653E-2</v>
      </c>
      <c r="J358" s="29">
        <v>1.29243502981696E-2</v>
      </c>
      <c r="L358" s="68"/>
      <c r="M358" s="69"/>
      <c r="N358" s="70"/>
      <c r="O358" s="68"/>
      <c r="P358" s="69"/>
      <c r="Q358" s="70"/>
      <c r="R358" s="68"/>
      <c r="S358" s="69"/>
      <c r="T358" s="70"/>
    </row>
    <row r="359" spans="1:20" x14ac:dyDescent="0.2">
      <c r="A359" s="4">
        <v>353</v>
      </c>
      <c r="B359" s="27"/>
      <c r="C359" s="28"/>
      <c r="D359" s="29"/>
      <c r="E359" s="27"/>
      <c r="F359" s="28"/>
      <c r="G359" s="29"/>
      <c r="H359" s="27">
        <v>1.29243502981696E-2</v>
      </c>
      <c r="I359" s="28">
        <v>1.28444666571904E-2</v>
      </c>
      <c r="J359" s="29">
        <v>1.27650759333378E-2</v>
      </c>
      <c r="L359" s="68"/>
      <c r="M359" s="69"/>
      <c r="N359" s="70"/>
      <c r="O359" s="68"/>
      <c r="P359" s="69"/>
      <c r="Q359" s="70"/>
      <c r="R359" s="68"/>
      <c r="S359" s="69"/>
      <c r="T359" s="70"/>
    </row>
    <row r="360" spans="1:20" x14ac:dyDescent="0.2">
      <c r="A360" s="4">
        <v>354</v>
      </c>
      <c r="B360" s="27"/>
      <c r="C360" s="28"/>
      <c r="D360" s="29"/>
      <c r="E360" s="27"/>
      <c r="F360" s="28"/>
      <c r="G360" s="29"/>
      <c r="H360" s="27">
        <v>1.27650759333378E-2</v>
      </c>
      <c r="I360" s="28">
        <v>1.26851905798505E-2</v>
      </c>
      <c r="J360" s="29">
        <v>1.2605801568506001E-2</v>
      </c>
      <c r="L360" s="68"/>
      <c r="M360" s="69"/>
      <c r="N360" s="70"/>
      <c r="O360" s="68"/>
      <c r="P360" s="69"/>
      <c r="Q360" s="70"/>
      <c r="R360" s="68"/>
      <c r="S360" s="69"/>
      <c r="T360" s="70"/>
    </row>
    <row r="361" spans="1:20" x14ac:dyDescent="0.2">
      <c r="A361" s="4">
        <v>355</v>
      </c>
      <c r="B361" s="27"/>
      <c r="C361" s="28"/>
      <c r="D361" s="29"/>
      <c r="E361" s="27"/>
      <c r="F361" s="28"/>
      <c r="G361" s="29"/>
      <c r="H361" s="27">
        <v>1.2605801568506001E-2</v>
      </c>
      <c r="I361" s="28">
        <v>1.25259144120196E-2</v>
      </c>
      <c r="J361" s="29">
        <v>1.24465272036742E-2</v>
      </c>
      <c r="L361" s="68"/>
      <c r="M361" s="69"/>
      <c r="N361" s="70"/>
      <c r="O361" s="68"/>
      <c r="P361" s="69"/>
      <c r="Q361" s="70"/>
      <c r="R361" s="68"/>
      <c r="S361" s="69"/>
      <c r="T361" s="70"/>
    </row>
    <row r="362" spans="1:20" x14ac:dyDescent="0.2">
      <c r="A362" s="4">
        <v>356</v>
      </c>
      <c r="B362" s="27"/>
      <c r="C362" s="28"/>
      <c r="D362" s="29"/>
      <c r="E362" s="27"/>
      <c r="F362" s="28"/>
      <c r="G362" s="29"/>
      <c r="H362" s="27">
        <v>1.24465272036742E-2</v>
      </c>
      <c r="I362" s="28">
        <v>1.2366638150832601E-2</v>
      </c>
      <c r="J362" s="29">
        <v>1.22872528388423E-2</v>
      </c>
      <c r="L362" s="68"/>
      <c r="M362" s="69"/>
      <c r="N362" s="70"/>
      <c r="O362" s="68"/>
      <c r="P362" s="69"/>
      <c r="Q362" s="70"/>
      <c r="R362" s="68"/>
      <c r="S362" s="69"/>
      <c r="T362" s="70"/>
    </row>
    <row r="363" spans="1:20" x14ac:dyDescent="0.2">
      <c r="A363" s="4">
        <v>357</v>
      </c>
      <c r="B363" s="27"/>
      <c r="C363" s="28"/>
      <c r="D363" s="29"/>
      <c r="E363" s="27"/>
      <c r="F363" s="28"/>
      <c r="G363" s="29"/>
      <c r="H363" s="27">
        <v>1.22872528388423E-2</v>
      </c>
      <c r="I363" s="28">
        <v>1.22113069783847E-2</v>
      </c>
      <c r="J363" s="29">
        <v>1.2135829800446999E-2</v>
      </c>
      <c r="L363" s="68"/>
      <c r="M363" s="69"/>
      <c r="N363" s="70"/>
      <c r="O363" s="68"/>
      <c r="P363" s="69"/>
      <c r="Q363" s="70"/>
      <c r="R363" s="68"/>
      <c r="S363" s="69"/>
      <c r="T363" s="70"/>
    </row>
    <row r="364" spans="1:20" x14ac:dyDescent="0.2">
      <c r="A364" s="4">
        <v>358</v>
      </c>
      <c r="B364" s="27"/>
      <c r="C364" s="28"/>
      <c r="D364" s="29"/>
      <c r="E364" s="27"/>
      <c r="F364" s="28"/>
      <c r="G364" s="29"/>
      <c r="H364" s="27">
        <v>1.2135829800446999E-2</v>
      </c>
      <c r="I364" s="28">
        <v>1.20598822976753E-2</v>
      </c>
      <c r="J364" s="29">
        <v>1.1984406762051701E-2</v>
      </c>
      <c r="L364" s="68"/>
      <c r="M364" s="69"/>
      <c r="N364" s="70"/>
      <c r="O364" s="68"/>
      <c r="P364" s="69"/>
      <c r="Q364" s="70"/>
      <c r="R364" s="68"/>
      <c r="S364" s="69"/>
      <c r="T364" s="70"/>
    </row>
    <row r="365" spans="1:20" x14ac:dyDescent="0.2">
      <c r="A365" s="4">
        <v>359</v>
      </c>
      <c r="B365" s="27"/>
      <c r="C365" s="28"/>
      <c r="D365" s="29"/>
      <c r="E365" s="27"/>
      <c r="F365" s="28"/>
      <c r="G365" s="29"/>
      <c r="H365" s="27">
        <v>1.1984406762051701E-2</v>
      </c>
      <c r="I365" s="28">
        <v>1.1908457531176E-2</v>
      </c>
      <c r="J365" s="29">
        <v>1.18329837236563E-2</v>
      </c>
      <c r="L365" s="68"/>
      <c r="M365" s="69"/>
      <c r="N365" s="70"/>
      <c r="O365" s="68"/>
      <c r="P365" s="69"/>
      <c r="Q365" s="70"/>
      <c r="R365" s="68"/>
      <c r="S365" s="69"/>
      <c r="T365" s="70"/>
    </row>
    <row r="366" spans="1:20" x14ac:dyDescent="0.2">
      <c r="A366" s="4">
        <v>360</v>
      </c>
      <c r="B366" s="27"/>
      <c r="C366" s="28"/>
      <c r="D366" s="29"/>
      <c r="E366" s="27"/>
      <c r="F366" s="28"/>
      <c r="G366" s="29"/>
      <c r="H366" s="27">
        <v>1.18329837236563E-2</v>
      </c>
      <c r="I366" s="28">
        <v>1.1757032676158199E-2</v>
      </c>
      <c r="J366" s="29">
        <v>1.1681560685261E-2</v>
      </c>
      <c r="L366" s="68"/>
      <c r="M366" s="69"/>
      <c r="N366" s="70"/>
      <c r="O366" s="68"/>
      <c r="P366" s="69"/>
      <c r="Q366" s="70"/>
      <c r="R366" s="68"/>
      <c r="S366" s="69"/>
      <c r="T366" s="70"/>
    </row>
    <row r="367" spans="1:20" x14ac:dyDescent="0.2">
      <c r="A367" s="4">
        <v>361</v>
      </c>
      <c r="B367" s="27"/>
      <c r="C367" s="28"/>
      <c r="D367" s="29"/>
      <c r="E367" s="27"/>
      <c r="F367" s="28"/>
      <c r="G367" s="29"/>
      <c r="H367" s="27">
        <v>1.1681560685261E-2</v>
      </c>
      <c r="I367" s="28">
        <v>1.1609358497790601E-2</v>
      </c>
      <c r="J367" s="29">
        <v>1.1537601947261399E-2</v>
      </c>
      <c r="L367" s="68"/>
      <c r="M367" s="69"/>
      <c r="N367" s="70"/>
      <c r="O367" s="68"/>
      <c r="P367" s="69"/>
      <c r="Q367" s="70"/>
      <c r="R367" s="68"/>
      <c r="S367" s="69"/>
      <c r="T367" s="70"/>
    </row>
    <row r="368" spans="1:20" x14ac:dyDescent="0.2">
      <c r="A368" s="4">
        <v>362</v>
      </c>
      <c r="B368" s="27"/>
      <c r="C368" s="28"/>
      <c r="D368" s="29"/>
      <c r="E368" s="27"/>
      <c r="F368" s="28"/>
      <c r="G368" s="29"/>
      <c r="H368" s="27">
        <v>1.1537601947261399E-2</v>
      </c>
      <c r="I368" s="28">
        <v>1.14653981851967E-2</v>
      </c>
      <c r="J368" s="29">
        <v>1.1393643209261801E-2</v>
      </c>
      <c r="L368" s="68"/>
      <c r="M368" s="69"/>
      <c r="N368" s="70"/>
      <c r="O368" s="68"/>
      <c r="P368" s="69"/>
      <c r="Q368" s="70"/>
      <c r="R368" s="68"/>
      <c r="S368" s="69"/>
      <c r="T368" s="70"/>
    </row>
    <row r="369" spans="1:20" x14ac:dyDescent="0.2">
      <c r="A369" s="4">
        <v>363</v>
      </c>
      <c r="B369" s="27"/>
      <c r="C369" s="28"/>
      <c r="D369" s="29"/>
      <c r="E369" s="27"/>
      <c r="F369" s="28"/>
      <c r="G369" s="29"/>
      <c r="H369" s="27">
        <v>1.1393643209261801E-2</v>
      </c>
      <c r="I369" s="28">
        <v>1.1321437791263499E-2</v>
      </c>
      <c r="J369" s="29">
        <v>1.1249684471262201E-2</v>
      </c>
      <c r="L369" s="68"/>
      <c r="M369" s="69"/>
      <c r="N369" s="70"/>
      <c r="O369" s="68"/>
      <c r="P369" s="69"/>
      <c r="Q369" s="70"/>
      <c r="R369" s="68"/>
      <c r="S369" s="69"/>
      <c r="T369" s="70"/>
    </row>
    <row r="370" spans="1:20" x14ac:dyDescent="0.2">
      <c r="A370" s="4">
        <v>364</v>
      </c>
      <c r="B370" s="27"/>
      <c r="C370" s="28"/>
      <c r="D370" s="29"/>
      <c r="E370" s="27"/>
      <c r="F370" s="28"/>
      <c r="G370" s="29"/>
      <c r="H370" s="27">
        <v>1.1249684471262201E-2</v>
      </c>
      <c r="I370" s="28">
        <v>1.11774773133921E-2</v>
      </c>
      <c r="J370" s="29">
        <v>1.11057257332626E-2</v>
      </c>
      <c r="L370" s="68"/>
      <c r="M370" s="69"/>
      <c r="N370" s="70"/>
      <c r="O370" s="68"/>
      <c r="P370" s="69"/>
      <c r="Q370" s="70"/>
      <c r="R370" s="68"/>
      <c r="S370" s="69"/>
      <c r="T370" s="70"/>
    </row>
    <row r="371" spans="1:20" x14ac:dyDescent="0.2">
      <c r="A371" s="4">
        <v>365</v>
      </c>
      <c r="B371" s="27"/>
      <c r="C371" s="28"/>
      <c r="D371" s="29"/>
      <c r="E371" s="27"/>
      <c r="F371" s="28"/>
      <c r="G371" s="29"/>
      <c r="H371" s="27">
        <v>1.11057257332626E-2</v>
      </c>
      <c r="I371" s="28">
        <v>1.1037082679394499E-2</v>
      </c>
      <c r="J371" s="29">
        <v>1.0968863347815499E-2</v>
      </c>
      <c r="L371" s="68"/>
      <c r="M371" s="69"/>
      <c r="N371" s="70"/>
      <c r="O371" s="68"/>
      <c r="P371" s="69"/>
      <c r="Q371" s="70"/>
      <c r="R371" s="68"/>
      <c r="S371" s="69"/>
      <c r="T371" s="70"/>
    </row>
    <row r="372" spans="1:20" x14ac:dyDescent="0.2">
      <c r="A372" s="4">
        <v>366</v>
      </c>
      <c r="B372" s="27"/>
      <c r="C372" s="28"/>
      <c r="D372" s="29"/>
      <c r="E372" s="27"/>
      <c r="F372" s="28"/>
      <c r="G372" s="29"/>
      <c r="H372" s="27">
        <v>1.0968863347815499E-2</v>
      </c>
      <c r="I372" s="28">
        <v>1.0900218784649701E-2</v>
      </c>
      <c r="J372" s="29">
        <v>1.08320009623684E-2</v>
      </c>
      <c r="L372" s="68"/>
      <c r="M372" s="69"/>
      <c r="N372" s="70"/>
      <c r="O372" s="68"/>
      <c r="P372" s="69"/>
      <c r="Q372" s="70"/>
      <c r="R372" s="68"/>
      <c r="S372" s="69"/>
      <c r="T372" s="70"/>
    </row>
    <row r="373" spans="1:20" x14ac:dyDescent="0.2">
      <c r="A373" s="4">
        <v>367</v>
      </c>
      <c r="B373" s="27"/>
      <c r="C373" s="28"/>
      <c r="D373" s="29"/>
      <c r="E373" s="27"/>
      <c r="F373" s="28"/>
      <c r="G373" s="29"/>
      <c r="H373" s="27">
        <v>1.08320009623684E-2</v>
      </c>
      <c r="I373" s="28">
        <v>1.07633548127793E-2</v>
      </c>
      <c r="J373" s="29">
        <v>1.06951385769212E-2</v>
      </c>
      <c r="L373" s="68"/>
      <c r="M373" s="69"/>
      <c r="N373" s="70"/>
      <c r="O373" s="68"/>
      <c r="P373" s="69"/>
      <c r="Q373" s="70"/>
      <c r="R373" s="68"/>
      <c r="S373" s="69"/>
      <c r="T373" s="70"/>
    </row>
    <row r="374" spans="1:20" x14ac:dyDescent="0.2">
      <c r="A374" s="4">
        <v>368</v>
      </c>
      <c r="B374" s="27"/>
      <c r="C374" s="28"/>
      <c r="D374" s="29"/>
      <c r="E374" s="27"/>
      <c r="F374" s="28"/>
      <c r="G374" s="29"/>
      <c r="H374" s="27">
        <v>1.06951385769212E-2</v>
      </c>
      <c r="I374" s="28">
        <v>1.0626490761307899E-2</v>
      </c>
      <c r="J374" s="29">
        <v>1.0558276191474101E-2</v>
      </c>
      <c r="L374" s="68"/>
      <c r="M374" s="69"/>
      <c r="N374" s="70"/>
      <c r="O374" s="68"/>
      <c r="P374" s="69"/>
      <c r="Q374" s="70"/>
      <c r="R374" s="68"/>
      <c r="S374" s="69"/>
      <c r="T374" s="70"/>
    </row>
    <row r="375" spans="1:20" x14ac:dyDescent="0.2">
      <c r="A375" s="4">
        <v>369</v>
      </c>
      <c r="B375" s="27"/>
      <c r="C375" s="28"/>
      <c r="D375" s="29"/>
      <c r="E375" s="27"/>
      <c r="F375" s="28"/>
      <c r="G375" s="29"/>
      <c r="H375" s="27">
        <v>1.0558276191474101E-2</v>
      </c>
      <c r="I375" s="28">
        <v>1.04930168283417E-2</v>
      </c>
      <c r="J375" s="29">
        <v>1.0428160348486299E-2</v>
      </c>
      <c r="L375" s="68"/>
      <c r="M375" s="69"/>
      <c r="N375" s="70"/>
      <c r="O375" s="68"/>
      <c r="P375" s="69"/>
      <c r="Q375" s="70"/>
      <c r="R375" s="68"/>
      <c r="S375" s="69"/>
      <c r="T375" s="70"/>
    </row>
    <row r="376" spans="1:20" x14ac:dyDescent="0.2">
      <c r="A376" s="4">
        <v>370</v>
      </c>
      <c r="B376" s="27"/>
      <c r="C376" s="28"/>
      <c r="D376" s="29"/>
      <c r="E376" s="27"/>
      <c r="F376" s="28"/>
      <c r="G376" s="29"/>
      <c r="H376" s="27">
        <v>1.0428160348486299E-2</v>
      </c>
      <c r="I376" s="28">
        <v>1.0362899538983599E-2</v>
      </c>
      <c r="J376" s="29">
        <v>1.02980445054985E-2</v>
      </c>
      <c r="L376" s="68"/>
      <c r="M376" s="69"/>
      <c r="N376" s="70"/>
      <c r="O376" s="68"/>
      <c r="P376" s="69"/>
      <c r="Q376" s="70"/>
      <c r="R376" s="68"/>
      <c r="S376" s="69"/>
      <c r="T376" s="70"/>
    </row>
    <row r="377" spans="1:20" x14ac:dyDescent="0.2">
      <c r="A377" s="4">
        <v>371</v>
      </c>
      <c r="B377" s="27"/>
      <c r="C377" s="28"/>
      <c r="D377" s="29"/>
      <c r="E377" s="27"/>
      <c r="F377" s="28"/>
      <c r="G377" s="29"/>
      <c r="H377" s="27">
        <v>1.02980445054985E-2</v>
      </c>
      <c r="I377" s="28">
        <v>1.02327821764893E-2</v>
      </c>
      <c r="J377" s="29">
        <v>1.0167928662510701E-2</v>
      </c>
      <c r="L377" s="68"/>
      <c r="M377" s="69"/>
      <c r="N377" s="70"/>
      <c r="O377" s="68"/>
      <c r="P377" s="69"/>
      <c r="Q377" s="70"/>
      <c r="R377" s="68"/>
      <c r="S377" s="69"/>
      <c r="T377" s="70"/>
    </row>
    <row r="378" spans="1:20" x14ac:dyDescent="0.2">
      <c r="A378" s="4">
        <v>372</v>
      </c>
      <c r="B378" s="27"/>
      <c r="C378" s="28"/>
      <c r="D378" s="29"/>
      <c r="E378" s="27"/>
      <c r="F378" s="28"/>
      <c r="G378" s="29"/>
      <c r="H378" s="27">
        <v>1.0167928662510701E-2</v>
      </c>
      <c r="I378" s="28">
        <v>1.0102664738502199E-2</v>
      </c>
      <c r="J378" s="29">
        <v>1.0037812819522899E-2</v>
      </c>
      <c r="L378" s="68"/>
      <c r="M378" s="69"/>
      <c r="N378" s="70"/>
      <c r="O378" s="68"/>
      <c r="P378" s="69"/>
      <c r="Q378" s="70"/>
      <c r="R378" s="68"/>
      <c r="S378" s="69"/>
      <c r="T378" s="70"/>
    </row>
    <row r="379" spans="1:20" x14ac:dyDescent="0.2">
      <c r="A379" s="4">
        <v>373</v>
      </c>
      <c r="B379" s="27"/>
      <c r="C379" s="28"/>
      <c r="D379" s="29"/>
      <c r="E379" s="27"/>
      <c r="F379" s="28"/>
      <c r="G379" s="29"/>
      <c r="H379" s="27">
        <v>1.0037812819522899E-2</v>
      </c>
      <c r="I379" s="28">
        <v>9.9757703523920792E-3</v>
      </c>
      <c r="J379" s="29">
        <v>9.9141109525628691E-3</v>
      </c>
      <c r="L379" s="68"/>
      <c r="M379" s="69"/>
      <c r="N379" s="70"/>
      <c r="O379" s="68"/>
      <c r="P379" s="69"/>
      <c r="Q379" s="70"/>
      <c r="R379" s="68"/>
      <c r="S379" s="69"/>
      <c r="T379" s="70"/>
    </row>
    <row r="380" spans="1:20" x14ac:dyDescent="0.2">
      <c r="A380" s="4">
        <v>374</v>
      </c>
      <c r="B380" s="27"/>
      <c r="C380" s="28"/>
      <c r="D380" s="29"/>
      <c r="E380" s="27"/>
      <c r="F380" s="28"/>
      <c r="G380" s="29"/>
      <c r="H380" s="27">
        <v>9.9141109525628691E-3</v>
      </c>
      <c r="I380" s="28">
        <v>9.8520670996758396E-3</v>
      </c>
      <c r="J380" s="29">
        <v>9.7904090856027505E-3</v>
      </c>
      <c r="L380" s="68"/>
      <c r="M380" s="69"/>
      <c r="N380" s="70"/>
      <c r="O380" s="68"/>
      <c r="P380" s="69"/>
      <c r="Q380" s="70"/>
      <c r="R380" s="68"/>
      <c r="S380" s="69"/>
      <c r="T380" s="70"/>
    </row>
    <row r="381" spans="1:20" x14ac:dyDescent="0.2">
      <c r="A381" s="4">
        <v>375</v>
      </c>
      <c r="B381" s="27"/>
      <c r="C381" s="28"/>
      <c r="D381" s="29"/>
      <c r="E381" s="27"/>
      <c r="F381" s="28"/>
      <c r="G381" s="29"/>
      <c r="H381" s="27">
        <v>9.7904090856027505E-3</v>
      </c>
      <c r="I381" s="28">
        <v>9.7283637776015407E-3</v>
      </c>
      <c r="J381" s="29">
        <v>9.6667072186426301E-3</v>
      </c>
      <c r="L381" s="68"/>
      <c r="M381" s="69"/>
      <c r="N381" s="70"/>
      <c r="O381" s="68"/>
      <c r="P381" s="69"/>
      <c r="Q381" s="70"/>
      <c r="R381" s="68"/>
      <c r="S381" s="69"/>
      <c r="T381" s="70"/>
    </row>
    <row r="382" spans="1:20" x14ac:dyDescent="0.2">
      <c r="A382" s="4">
        <v>376</v>
      </c>
      <c r="B382" s="27"/>
      <c r="C382" s="28"/>
      <c r="D382" s="29"/>
      <c r="E382" s="27"/>
      <c r="F382" s="28"/>
      <c r="G382" s="29"/>
      <c r="H382" s="27">
        <v>9.6667072186426301E-3</v>
      </c>
      <c r="I382" s="28">
        <v>9.6046603839249692E-3</v>
      </c>
      <c r="J382" s="29">
        <v>9.5430053516825097E-3</v>
      </c>
      <c r="L382" s="68"/>
      <c r="M382" s="69"/>
      <c r="N382" s="70"/>
      <c r="O382" s="68"/>
      <c r="P382" s="69"/>
      <c r="Q382" s="70"/>
      <c r="R382" s="68"/>
      <c r="S382" s="69"/>
      <c r="T382" s="70"/>
    </row>
    <row r="383" spans="1:20" x14ac:dyDescent="0.2">
      <c r="A383" s="4">
        <v>377</v>
      </c>
      <c r="B383" s="27"/>
      <c r="C383" s="28"/>
      <c r="D383" s="29"/>
      <c r="E383" s="27"/>
      <c r="F383" s="28"/>
      <c r="G383" s="29"/>
      <c r="H383" s="27">
        <v>9.5430053516825097E-3</v>
      </c>
      <c r="I383" s="28">
        <v>9.4840212076678504E-3</v>
      </c>
      <c r="J383" s="29">
        <v>9.4254012879648099E-3</v>
      </c>
      <c r="L383" s="68"/>
      <c r="M383" s="69"/>
      <c r="N383" s="70"/>
      <c r="O383" s="68"/>
      <c r="P383" s="69"/>
      <c r="Q383" s="70"/>
      <c r="R383" s="68"/>
      <c r="S383" s="69"/>
      <c r="T383" s="70"/>
    </row>
    <row r="384" spans="1:20" x14ac:dyDescent="0.2">
      <c r="A384" s="4">
        <v>378</v>
      </c>
      <c r="B384" s="27"/>
      <c r="C384" s="28"/>
      <c r="D384" s="29"/>
      <c r="E384" s="27"/>
      <c r="F384" s="28"/>
      <c r="G384" s="29"/>
      <c r="H384" s="27">
        <v>9.4254012879648099E-3</v>
      </c>
      <c r="I384" s="28">
        <v>9.3664158165522697E-3</v>
      </c>
      <c r="J384" s="29">
        <v>9.3077972242471101E-3</v>
      </c>
      <c r="L384" s="68"/>
      <c r="M384" s="69"/>
      <c r="N384" s="70"/>
      <c r="O384" s="68"/>
      <c r="P384" s="69"/>
      <c r="Q384" s="70"/>
      <c r="R384" s="68"/>
      <c r="S384" s="69"/>
      <c r="T384" s="70"/>
    </row>
    <row r="385" spans="1:20" x14ac:dyDescent="0.2">
      <c r="A385" s="4">
        <v>379</v>
      </c>
      <c r="B385" s="27"/>
      <c r="C385" s="28"/>
      <c r="D385" s="29"/>
      <c r="E385" s="27"/>
      <c r="F385" s="28"/>
      <c r="G385" s="29"/>
      <c r="H385" s="27">
        <v>9.3077972242471101E-3</v>
      </c>
      <c r="I385" s="28">
        <v>9.2488103596572602E-3</v>
      </c>
      <c r="J385" s="29">
        <v>9.1901931605294102E-3</v>
      </c>
      <c r="L385" s="68"/>
      <c r="M385" s="69"/>
      <c r="N385" s="70"/>
      <c r="O385" s="68"/>
      <c r="P385" s="69"/>
      <c r="Q385" s="70"/>
      <c r="R385" s="68"/>
      <c r="S385" s="69"/>
      <c r="T385" s="70"/>
    </row>
    <row r="386" spans="1:20" x14ac:dyDescent="0.2">
      <c r="A386" s="4">
        <v>380</v>
      </c>
      <c r="B386" s="27"/>
      <c r="C386" s="28"/>
      <c r="D386" s="29"/>
      <c r="E386" s="27"/>
      <c r="F386" s="28"/>
      <c r="G386" s="29"/>
      <c r="H386" s="27">
        <v>9.1901931605294102E-3</v>
      </c>
      <c r="I386" s="28">
        <v>9.1312048348458595E-3</v>
      </c>
      <c r="J386" s="29">
        <v>9.0725890968117104E-3</v>
      </c>
      <c r="L386" s="68"/>
      <c r="M386" s="69"/>
      <c r="N386" s="70"/>
      <c r="O386" s="68"/>
      <c r="P386" s="69"/>
      <c r="Q386" s="70"/>
      <c r="R386" s="68"/>
      <c r="S386" s="69"/>
      <c r="T386" s="70"/>
    </row>
    <row r="387" spans="1:20" x14ac:dyDescent="0.2">
      <c r="A387" s="4">
        <v>381</v>
      </c>
      <c r="B387" s="27"/>
      <c r="C387" s="28"/>
      <c r="D387" s="29"/>
      <c r="E387" s="27"/>
      <c r="F387" s="28"/>
      <c r="G387" s="29"/>
      <c r="H387" s="27">
        <v>9.0725890968117104E-3</v>
      </c>
      <c r="I387" s="28">
        <v>9.0165125196030298E-3</v>
      </c>
      <c r="J387" s="29">
        <v>8.9607822490834106E-3</v>
      </c>
      <c r="L387" s="68"/>
      <c r="M387" s="69"/>
      <c r="N387" s="70"/>
      <c r="O387" s="68"/>
      <c r="P387" s="69"/>
      <c r="Q387" s="70"/>
      <c r="R387" s="68"/>
      <c r="S387" s="69"/>
      <c r="T387" s="70"/>
    </row>
    <row r="388" spans="1:20" x14ac:dyDescent="0.2">
      <c r="A388" s="4">
        <v>382</v>
      </c>
      <c r="B388" s="27"/>
      <c r="C388" s="28"/>
      <c r="D388" s="29"/>
      <c r="E388" s="27"/>
      <c r="F388" s="28"/>
      <c r="G388" s="29"/>
      <c r="H388" s="27">
        <v>8.9607822490834106E-3</v>
      </c>
      <c r="I388" s="28">
        <v>8.9047044006390994E-3</v>
      </c>
      <c r="J388" s="29">
        <v>8.8489754013551004E-3</v>
      </c>
      <c r="L388" s="68"/>
      <c r="M388" s="69"/>
      <c r="N388" s="70"/>
      <c r="O388" s="68"/>
      <c r="P388" s="69"/>
      <c r="Q388" s="70"/>
      <c r="R388" s="68"/>
      <c r="S388" s="69"/>
      <c r="T388" s="70"/>
    </row>
    <row r="389" spans="1:20" x14ac:dyDescent="0.2">
      <c r="A389" s="4">
        <v>383</v>
      </c>
      <c r="B389" s="27"/>
      <c r="C389" s="28"/>
      <c r="D389" s="29"/>
      <c r="E389" s="27"/>
      <c r="F389" s="28"/>
      <c r="G389" s="29"/>
      <c r="H389" s="27">
        <v>8.8489754013551004E-3</v>
      </c>
      <c r="I389" s="28">
        <v>8.7928962192849996E-3</v>
      </c>
      <c r="J389" s="29">
        <v>8.7371685536268007E-3</v>
      </c>
      <c r="L389" s="68"/>
      <c r="M389" s="69"/>
      <c r="N389" s="70"/>
      <c r="O389" s="68"/>
      <c r="P389" s="69"/>
      <c r="Q389" s="70"/>
      <c r="R389" s="68"/>
      <c r="S389" s="69"/>
      <c r="T389" s="70"/>
    </row>
    <row r="390" spans="1:20" x14ac:dyDescent="0.2">
      <c r="A390" s="4">
        <v>384</v>
      </c>
      <c r="B390" s="27"/>
      <c r="C390" s="28"/>
      <c r="D390" s="29"/>
      <c r="E390" s="27"/>
      <c r="F390" s="28"/>
      <c r="G390" s="29"/>
      <c r="H390" s="27">
        <v>8.7371685536268007E-3</v>
      </c>
      <c r="I390" s="28">
        <v>8.6810879735063108E-3</v>
      </c>
      <c r="J390" s="29">
        <v>8.6253617058984905E-3</v>
      </c>
      <c r="L390" s="68"/>
      <c r="M390" s="69"/>
      <c r="N390" s="70"/>
      <c r="O390" s="68"/>
      <c r="P390" s="69"/>
      <c r="Q390" s="70"/>
      <c r="R390" s="68"/>
      <c r="S390" s="69"/>
      <c r="T390" s="70"/>
    </row>
    <row r="391" spans="1:20" x14ac:dyDescent="0.2">
      <c r="A391" s="4">
        <v>385</v>
      </c>
      <c r="B391" s="27"/>
      <c r="C391" s="28"/>
      <c r="D391" s="29"/>
      <c r="E391" s="27"/>
      <c r="F391" s="28"/>
      <c r="G391" s="29"/>
      <c r="H391" s="27">
        <v>8.6253617058984905E-3</v>
      </c>
      <c r="I391" s="28">
        <v>8.5720493704642201E-3</v>
      </c>
      <c r="J391" s="29">
        <v>8.5190663041601004E-3</v>
      </c>
      <c r="L391" s="68"/>
      <c r="M391" s="69"/>
      <c r="N391" s="70"/>
      <c r="O391" s="68"/>
      <c r="P391" s="69"/>
      <c r="Q391" s="70"/>
      <c r="R391" s="68"/>
      <c r="S391" s="69"/>
      <c r="T391" s="70"/>
    </row>
    <row r="392" spans="1:20" x14ac:dyDescent="0.2">
      <c r="A392" s="4">
        <v>386</v>
      </c>
      <c r="B392" s="27"/>
      <c r="C392" s="28"/>
      <c r="D392" s="29"/>
      <c r="E392" s="27"/>
      <c r="F392" s="28"/>
      <c r="G392" s="29"/>
      <c r="H392" s="27">
        <v>8.5190663041601004E-3</v>
      </c>
      <c r="I392" s="28">
        <v>8.4657527515160005E-3</v>
      </c>
      <c r="J392" s="29">
        <v>8.4127709024217102E-3</v>
      </c>
      <c r="L392" s="68"/>
      <c r="M392" s="69"/>
      <c r="N392" s="70"/>
      <c r="O392" s="68"/>
      <c r="P392" s="69"/>
      <c r="Q392" s="70"/>
      <c r="R392" s="68"/>
      <c r="S392" s="69"/>
      <c r="T392" s="70"/>
    </row>
    <row r="393" spans="1:20" x14ac:dyDescent="0.2">
      <c r="A393" s="4">
        <v>387</v>
      </c>
      <c r="B393" s="27"/>
      <c r="C393" s="28"/>
      <c r="D393" s="29"/>
      <c r="E393" s="27"/>
      <c r="F393" s="28"/>
      <c r="G393" s="29"/>
      <c r="H393" s="27">
        <v>8.4127709024217102E-3</v>
      </c>
      <c r="I393" s="28">
        <v>8.3594560733886696E-3</v>
      </c>
      <c r="J393" s="29">
        <v>8.3064755006833201E-3</v>
      </c>
      <c r="L393" s="68"/>
      <c r="M393" s="69"/>
      <c r="N393" s="70"/>
      <c r="O393" s="68"/>
      <c r="P393" s="69"/>
      <c r="Q393" s="70"/>
      <c r="R393" s="68"/>
      <c r="S393" s="69"/>
      <c r="T393" s="70"/>
    </row>
    <row r="394" spans="1:20" x14ac:dyDescent="0.2">
      <c r="A394" s="4">
        <v>388</v>
      </c>
      <c r="B394" s="27"/>
      <c r="C394" s="28"/>
      <c r="D394" s="29"/>
      <c r="E394" s="27"/>
      <c r="F394" s="28"/>
      <c r="G394" s="29"/>
      <c r="H394" s="27">
        <v>8.3064755006833201E-3</v>
      </c>
      <c r="I394" s="28">
        <v>8.2531593341451503E-3</v>
      </c>
      <c r="J394" s="29">
        <v>8.20018009894493E-3</v>
      </c>
      <c r="L394" s="68"/>
      <c r="M394" s="69"/>
      <c r="N394" s="70"/>
      <c r="O394" s="68"/>
      <c r="P394" s="69"/>
      <c r="Q394" s="70"/>
      <c r="R394" s="68"/>
      <c r="S394" s="69"/>
      <c r="T394" s="70"/>
    </row>
    <row r="395" spans="1:20" x14ac:dyDescent="0.2">
      <c r="A395" s="4">
        <v>389</v>
      </c>
      <c r="B395" s="27"/>
      <c r="C395" s="28"/>
      <c r="D395" s="29"/>
      <c r="E395" s="27"/>
      <c r="F395" s="28"/>
      <c r="G395" s="29"/>
      <c r="H395" s="27">
        <v>8.20018009894493E-3</v>
      </c>
      <c r="I395" s="28">
        <v>8.1494957452265294E-3</v>
      </c>
      <c r="J395" s="29">
        <v>8.0991244600436205E-3</v>
      </c>
      <c r="L395" s="68"/>
      <c r="M395" s="69"/>
      <c r="N395" s="70"/>
      <c r="O395" s="68"/>
      <c r="P395" s="69"/>
      <c r="Q395" s="70"/>
      <c r="R395" s="68"/>
      <c r="S395" s="69"/>
      <c r="T395" s="70"/>
    </row>
    <row r="396" spans="1:20" x14ac:dyDescent="0.2">
      <c r="A396" s="4">
        <v>390</v>
      </c>
      <c r="B396" s="27"/>
      <c r="C396" s="28"/>
      <c r="D396" s="29"/>
      <c r="E396" s="27"/>
      <c r="F396" s="28"/>
      <c r="G396" s="29"/>
      <c r="H396" s="27">
        <v>8.0991244600436205E-3</v>
      </c>
      <c r="I396" s="28">
        <v>8.0484389410654996E-3</v>
      </c>
      <c r="J396" s="29">
        <v>7.9980688211423005E-3</v>
      </c>
      <c r="L396" s="68"/>
      <c r="M396" s="69"/>
      <c r="N396" s="70"/>
      <c r="O396" s="68"/>
      <c r="P396" s="69"/>
      <c r="Q396" s="70"/>
      <c r="R396" s="68"/>
      <c r="S396" s="69"/>
      <c r="T396" s="70"/>
    </row>
    <row r="397" spans="1:20" x14ac:dyDescent="0.2">
      <c r="A397" s="4">
        <v>391</v>
      </c>
      <c r="B397" s="27"/>
      <c r="C397" s="28"/>
      <c r="D397" s="29"/>
      <c r="E397" s="27"/>
      <c r="F397" s="28"/>
      <c r="G397" s="29"/>
      <c r="H397" s="27">
        <v>7.9980688211423005E-3</v>
      </c>
      <c r="I397" s="28">
        <v>7.9473820807674702E-3</v>
      </c>
      <c r="J397" s="29">
        <v>7.8970131822409893E-3</v>
      </c>
      <c r="L397" s="68"/>
      <c r="M397" s="69"/>
      <c r="N397" s="70"/>
      <c r="O397" s="68"/>
      <c r="P397" s="69"/>
      <c r="Q397" s="70"/>
      <c r="R397" s="68"/>
      <c r="S397" s="69"/>
      <c r="T397" s="70"/>
    </row>
    <row r="398" spans="1:20" x14ac:dyDescent="0.2">
      <c r="A398" s="4">
        <v>392</v>
      </c>
      <c r="B398" s="27"/>
      <c r="C398" s="28"/>
      <c r="D398" s="29"/>
      <c r="E398" s="27"/>
      <c r="F398" s="28"/>
      <c r="G398" s="29"/>
      <c r="H398" s="27">
        <v>7.8970131822409893E-3</v>
      </c>
      <c r="I398" s="28">
        <v>7.8463251624883001E-3</v>
      </c>
      <c r="J398" s="29">
        <v>7.7959575433396702E-3</v>
      </c>
      <c r="L398" s="68"/>
      <c r="M398" s="69"/>
      <c r="N398" s="70"/>
      <c r="O398" s="68"/>
      <c r="P398" s="69"/>
      <c r="Q398" s="70"/>
      <c r="R398" s="68"/>
      <c r="S398" s="69"/>
      <c r="T398" s="70"/>
    </row>
    <row r="399" spans="1:20" x14ac:dyDescent="0.2">
      <c r="A399" s="4">
        <v>393</v>
      </c>
      <c r="B399" s="27"/>
      <c r="C399" s="28"/>
      <c r="D399" s="29"/>
      <c r="E399" s="27"/>
      <c r="F399" s="28"/>
      <c r="G399" s="29"/>
      <c r="H399" s="27">
        <v>7.7959575433396702E-3</v>
      </c>
      <c r="I399" s="28">
        <v>7.7477716280008003E-3</v>
      </c>
      <c r="J399" s="29">
        <v>7.6998833765672802E-3</v>
      </c>
      <c r="L399" s="68"/>
      <c r="M399" s="69"/>
      <c r="N399" s="70"/>
      <c r="O399" s="68"/>
      <c r="P399" s="69"/>
      <c r="Q399" s="70"/>
      <c r="R399" s="68"/>
      <c r="S399" s="69"/>
      <c r="T399" s="70"/>
    </row>
    <row r="400" spans="1:20" x14ac:dyDescent="0.2">
      <c r="A400" s="4">
        <v>394</v>
      </c>
      <c r="B400" s="27"/>
      <c r="C400" s="28"/>
      <c r="D400" s="29"/>
      <c r="E400" s="27"/>
      <c r="F400" s="28"/>
      <c r="G400" s="29"/>
      <c r="H400" s="27">
        <v>7.6998833765672802E-3</v>
      </c>
      <c r="I400" s="28">
        <v>7.6516963459042501E-3</v>
      </c>
      <c r="J400" s="29">
        <v>7.6038092097948798E-3</v>
      </c>
      <c r="L400" s="68"/>
      <c r="M400" s="69"/>
      <c r="N400" s="70"/>
      <c r="O400" s="68"/>
      <c r="P400" s="69"/>
      <c r="Q400" s="70"/>
      <c r="R400" s="68"/>
      <c r="S400" s="69"/>
      <c r="T400" s="70"/>
    </row>
    <row r="401" spans="1:20" x14ac:dyDescent="0.2">
      <c r="A401" s="4">
        <v>395</v>
      </c>
      <c r="B401" s="27"/>
      <c r="C401" s="28"/>
      <c r="D401" s="29"/>
      <c r="E401" s="27"/>
      <c r="F401" s="28"/>
      <c r="G401" s="29"/>
      <c r="H401" s="27">
        <v>7.6038092097948798E-3</v>
      </c>
      <c r="I401" s="28">
        <v>7.5556210105530196E-3</v>
      </c>
      <c r="J401" s="29">
        <v>7.5077350430224898E-3</v>
      </c>
      <c r="L401" s="68"/>
      <c r="M401" s="69"/>
      <c r="N401" s="70"/>
      <c r="O401" s="68"/>
      <c r="P401" s="69"/>
      <c r="Q401" s="70"/>
      <c r="R401" s="68"/>
      <c r="S401" s="69"/>
      <c r="T401" s="70"/>
    </row>
    <row r="402" spans="1:20" x14ac:dyDescent="0.2">
      <c r="A402" s="4">
        <v>396</v>
      </c>
      <c r="B402" s="27"/>
      <c r="C402" s="28"/>
      <c r="D402" s="29"/>
      <c r="E402" s="27"/>
      <c r="F402" s="28"/>
      <c r="G402" s="29"/>
      <c r="H402" s="27">
        <v>7.5077350430224898E-3</v>
      </c>
      <c r="I402" s="28">
        <v>7.4595456201916798E-3</v>
      </c>
      <c r="J402" s="29">
        <v>7.4116608762500903E-3</v>
      </c>
      <c r="L402" s="68"/>
      <c r="M402" s="69"/>
      <c r="N402" s="70"/>
      <c r="O402" s="68"/>
      <c r="P402" s="69"/>
      <c r="Q402" s="70"/>
      <c r="R402" s="68"/>
      <c r="S402" s="69"/>
      <c r="T402" s="70"/>
    </row>
    <row r="403" spans="1:20" x14ac:dyDescent="0.2">
      <c r="A403" s="4">
        <v>397</v>
      </c>
      <c r="B403" s="27"/>
      <c r="C403" s="28"/>
      <c r="D403" s="29"/>
      <c r="E403" s="27"/>
      <c r="F403" s="28"/>
      <c r="G403" s="29"/>
      <c r="H403" s="27">
        <v>7.4116608762500903E-3</v>
      </c>
      <c r="I403" s="28">
        <v>7.3658502415927998E-3</v>
      </c>
      <c r="J403" s="29">
        <v>7.3203226231712704E-3</v>
      </c>
      <c r="L403" s="68"/>
      <c r="M403" s="69"/>
      <c r="N403" s="70"/>
      <c r="O403" s="68"/>
      <c r="P403" s="69"/>
      <c r="Q403" s="70"/>
      <c r="R403" s="68"/>
      <c r="S403" s="69"/>
      <c r="T403" s="70"/>
    </row>
    <row r="404" spans="1:20" x14ac:dyDescent="0.2">
      <c r="A404" s="4">
        <v>398</v>
      </c>
      <c r="B404" s="27"/>
      <c r="C404" s="28"/>
      <c r="D404" s="29"/>
      <c r="E404" s="27"/>
      <c r="F404" s="28"/>
      <c r="G404" s="29"/>
      <c r="H404" s="27">
        <v>7.3203226231712704E-3</v>
      </c>
      <c r="I404" s="28">
        <v>7.2745109211714903E-3</v>
      </c>
      <c r="J404" s="29">
        <v>7.2289843700924497E-3</v>
      </c>
      <c r="L404" s="68"/>
      <c r="M404" s="69"/>
      <c r="N404" s="70"/>
      <c r="O404" s="68"/>
      <c r="P404" s="69"/>
      <c r="Q404" s="70"/>
      <c r="R404" s="68"/>
      <c r="S404" s="69"/>
      <c r="T404" s="70"/>
    </row>
    <row r="405" spans="1:20" x14ac:dyDescent="0.2">
      <c r="A405" s="4">
        <v>399</v>
      </c>
      <c r="B405" s="27"/>
      <c r="C405" s="28"/>
      <c r="D405" s="29"/>
      <c r="E405" s="27"/>
      <c r="F405" s="28"/>
      <c r="G405" s="29"/>
      <c r="H405" s="27">
        <v>7.2289843700924497E-3</v>
      </c>
      <c r="I405" s="28">
        <v>7.1831715502269399E-3</v>
      </c>
      <c r="J405" s="29">
        <v>7.1376461170136402E-3</v>
      </c>
      <c r="L405" s="68"/>
      <c r="M405" s="69"/>
      <c r="N405" s="70"/>
      <c r="O405" s="68"/>
      <c r="P405" s="69"/>
      <c r="Q405" s="70"/>
      <c r="R405" s="68"/>
      <c r="S405" s="69"/>
      <c r="T405" s="70"/>
    </row>
    <row r="406" spans="1:20" ht="12" thickBot="1" x14ac:dyDescent="0.25">
      <c r="A406" s="4">
        <v>400</v>
      </c>
      <c r="B406" s="30"/>
      <c r="C406" s="31"/>
      <c r="D406" s="32"/>
      <c r="E406" s="30"/>
      <c r="F406" s="31"/>
      <c r="G406" s="32"/>
      <c r="H406" s="30">
        <v>7.1376461170136402E-3</v>
      </c>
      <c r="I406" s="31">
        <v>7.0918321270885603E-3</v>
      </c>
      <c r="J406" s="32">
        <v>7.0463078639348203E-3</v>
      </c>
      <c r="L406" s="71"/>
      <c r="M406" s="72"/>
      <c r="N406" s="73"/>
      <c r="O406" s="71"/>
      <c r="P406" s="72"/>
      <c r="Q406" s="73"/>
      <c r="R406" s="71"/>
      <c r="S406" s="72"/>
      <c r="T406" s="73"/>
    </row>
  </sheetData>
  <sheetProtection sheet="1" objects="1" scenarios="1"/>
  <mergeCells count="6">
    <mergeCell ref="R5:T5"/>
    <mergeCell ref="B5:D5"/>
    <mergeCell ref="E5:G5"/>
    <mergeCell ref="H5:J5"/>
    <mergeCell ref="L5:N5"/>
    <mergeCell ref="O5:Q5"/>
  </mergeCells>
  <printOptions horizontalCentered="1"/>
  <pageMargins left="0.3" right="0.3" top="0.61" bottom="0.37" header="0.1" footer="0.1"/>
  <pageSetup paperSize="9" pageOrder="overThenDown" orientation="portrait" useFirstPageNumber="1"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B85B5-4D4D-492C-A3C4-10D7BE43DCED}">
  <sheetPr codeName="Sheet6"/>
  <dimension ref="A1:G36"/>
  <sheetViews>
    <sheetView showGridLines="0" zoomScaleNormal="100" workbookViewId="0"/>
  </sheetViews>
  <sheetFormatPr defaultRowHeight="11.25" x14ac:dyDescent="0.2"/>
  <cols>
    <col min="1" max="2" width="30.83203125" customWidth="1"/>
    <col min="3" max="6" width="12.83203125" style="2" customWidth="1"/>
    <col min="7" max="7" width="55.83203125" customWidth="1"/>
  </cols>
  <sheetData>
    <row r="1" spans="1:7" ht="18" x14ac:dyDescent="0.25">
      <c r="A1" s="15" t="s">
        <v>89</v>
      </c>
      <c r="B1" s="10"/>
      <c r="C1" s="10"/>
      <c r="D1" s="18"/>
      <c r="E1" s="18"/>
      <c r="F1" s="18"/>
      <c r="G1" s="10"/>
    </row>
    <row r="2" spans="1:7" ht="12.75" x14ac:dyDescent="0.2">
      <c r="A2" s="64" t="s">
        <v>177</v>
      </c>
      <c r="D2" s="5"/>
      <c r="E2" s="5"/>
      <c r="F2" s="5"/>
    </row>
    <row r="5" spans="1:7" ht="22.5" x14ac:dyDescent="0.2">
      <c r="C5" s="17" t="s">
        <v>70</v>
      </c>
      <c r="D5" s="17" t="s">
        <v>70</v>
      </c>
      <c r="E5" s="16" t="s">
        <v>53</v>
      </c>
      <c r="F5" s="16" t="s">
        <v>53</v>
      </c>
    </row>
    <row r="6" spans="1:7" x14ac:dyDescent="0.2">
      <c r="A6" s="1" t="s">
        <v>87</v>
      </c>
      <c r="B6" s="1" t="s">
        <v>80</v>
      </c>
      <c r="C6" s="8" t="s">
        <v>86</v>
      </c>
      <c r="D6" s="8" t="s">
        <v>50</v>
      </c>
      <c r="E6" s="8" t="s">
        <v>86</v>
      </c>
      <c r="F6" s="8" t="s">
        <v>50</v>
      </c>
      <c r="G6" s="23" t="s">
        <v>95</v>
      </c>
    </row>
    <row r="7" spans="1:7" x14ac:dyDescent="0.2">
      <c r="A7" t="s">
        <v>43</v>
      </c>
      <c r="B7" t="s">
        <v>38</v>
      </c>
      <c r="C7" s="6">
        <v>29</v>
      </c>
      <c r="D7" s="6">
        <v>57</v>
      </c>
      <c r="E7" s="7">
        <v>10.199999999999999</v>
      </c>
      <c r="F7" s="7">
        <v>13.6</v>
      </c>
      <c r="G7" s="135" t="s">
        <v>105</v>
      </c>
    </row>
    <row r="8" spans="1:7" x14ac:dyDescent="0.2">
      <c r="A8" t="s">
        <v>43</v>
      </c>
      <c r="B8" t="s">
        <v>41</v>
      </c>
      <c r="C8" s="6">
        <v>30</v>
      </c>
      <c r="D8" s="6">
        <v>60</v>
      </c>
      <c r="E8" s="7">
        <v>9.9</v>
      </c>
      <c r="F8" s="7">
        <v>13.2</v>
      </c>
      <c r="G8" s="136"/>
    </row>
    <row r="9" spans="1:7" x14ac:dyDescent="0.2">
      <c r="A9" t="s">
        <v>43</v>
      </c>
      <c r="B9" t="s">
        <v>23</v>
      </c>
      <c r="C9" s="6">
        <v>32</v>
      </c>
      <c r="D9" s="6">
        <v>63</v>
      </c>
      <c r="E9" s="7">
        <v>9.6</v>
      </c>
      <c r="F9" s="7">
        <v>12.8</v>
      </c>
      <c r="G9" s="136"/>
    </row>
    <row r="10" spans="1:7" x14ac:dyDescent="0.2">
      <c r="A10" t="s">
        <v>43</v>
      </c>
      <c r="B10" t="s">
        <v>24</v>
      </c>
      <c r="C10" s="6">
        <v>33</v>
      </c>
      <c r="D10" s="6">
        <v>66</v>
      </c>
      <c r="E10" s="7">
        <v>9.3000000000000007</v>
      </c>
      <c r="F10" s="7">
        <v>12.4</v>
      </c>
      <c r="G10" s="136"/>
    </row>
    <row r="11" spans="1:7" x14ac:dyDescent="0.2">
      <c r="A11" t="s">
        <v>43</v>
      </c>
      <c r="B11" t="s">
        <v>25</v>
      </c>
      <c r="C11" s="6">
        <v>38</v>
      </c>
      <c r="D11" s="6">
        <v>76</v>
      </c>
      <c r="E11" s="7">
        <v>8.6</v>
      </c>
      <c r="F11" s="7">
        <v>11.4</v>
      </c>
      <c r="G11" s="136"/>
    </row>
    <row r="12" spans="1:7" x14ac:dyDescent="0.2">
      <c r="A12" t="s">
        <v>43</v>
      </c>
      <c r="B12" t="s">
        <v>29</v>
      </c>
      <c r="C12" s="6">
        <v>43</v>
      </c>
      <c r="D12" s="6">
        <v>85</v>
      </c>
      <c r="E12" s="7">
        <v>7.7</v>
      </c>
      <c r="F12" s="7">
        <v>10.3</v>
      </c>
      <c r="G12" s="136"/>
    </row>
    <row r="13" spans="1:7" x14ac:dyDescent="0.2">
      <c r="A13" t="s">
        <v>43</v>
      </c>
      <c r="B13" t="s">
        <v>30</v>
      </c>
      <c r="C13" s="6">
        <v>47</v>
      </c>
      <c r="D13" s="6">
        <v>94</v>
      </c>
      <c r="E13" s="7">
        <v>6.9</v>
      </c>
      <c r="F13" s="7">
        <v>9.1999999999999993</v>
      </c>
      <c r="G13" s="136"/>
    </row>
    <row r="14" spans="1:7" x14ac:dyDescent="0.2">
      <c r="A14" t="s">
        <v>43</v>
      </c>
      <c r="B14" t="s">
        <v>31</v>
      </c>
      <c r="C14" s="6">
        <v>54</v>
      </c>
      <c r="D14" s="6">
        <v>107</v>
      </c>
      <c r="E14" s="7">
        <v>6</v>
      </c>
      <c r="F14" s="7">
        <v>8</v>
      </c>
      <c r="G14" s="136"/>
    </row>
    <row r="15" spans="1:7" x14ac:dyDescent="0.2">
      <c r="A15" t="s">
        <v>43</v>
      </c>
      <c r="B15" t="s">
        <v>26</v>
      </c>
      <c r="C15" s="6">
        <v>60</v>
      </c>
      <c r="D15" s="6">
        <v>119</v>
      </c>
      <c r="E15" s="7">
        <v>5.0999999999999996</v>
      </c>
      <c r="F15" s="7">
        <v>6.8</v>
      </c>
      <c r="G15" s="136"/>
    </row>
    <row r="16" spans="1:7" x14ac:dyDescent="0.2">
      <c r="A16" t="s">
        <v>43</v>
      </c>
      <c r="B16" t="s">
        <v>27</v>
      </c>
      <c r="C16" s="6">
        <v>66</v>
      </c>
      <c r="D16" s="6">
        <v>132</v>
      </c>
      <c r="E16" s="7">
        <v>4.2</v>
      </c>
      <c r="F16" s="7">
        <v>5.6</v>
      </c>
      <c r="G16" s="136"/>
    </row>
    <row r="17" spans="1:7" x14ac:dyDescent="0.2">
      <c r="A17" t="s">
        <v>43</v>
      </c>
      <c r="B17" t="s">
        <v>28</v>
      </c>
      <c r="C17" s="6">
        <v>137</v>
      </c>
      <c r="D17" s="6">
        <v>137</v>
      </c>
      <c r="E17" s="7">
        <v>4.5</v>
      </c>
      <c r="F17" s="7">
        <v>4.5</v>
      </c>
      <c r="G17" s="136"/>
    </row>
    <row r="18" spans="1:7" x14ac:dyDescent="0.2">
      <c r="A18" t="s">
        <v>43</v>
      </c>
      <c r="B18" t="s">
        <v>32</v>
      </c>
      <c r="C18" s="6">
        <v>142</v>
      </c>
      <c r="D18" s="6">
        <v>142</v>
      </c>
      <c r="E18" s="7">
        <v>3.4</v>
      </c>
      <c r="F18" s="7">
        <v>3.4</v>
      </c>
      <c r="G18" s="136"/>
    </row>
    <row r="19" spans="1:7" x14ac:dyDescent="0.2">
      <c r="A19" t="s">
        <v>43</v>
      </c>
      <c r="B19" t="s">
        <v>33</v>
      </c>
      <c r="C19" s="6">
        <v>148</v>
      </c>
      <c r="D19" s="6">
        <v>148</v>
      </c>
      <c r="E19" s="7">
        <v>2.2999999999999998</v>
      </c>
      <c r="F19" s="7">
        <v>2.2999999999999998</v>
      </c>
      <c r="G19" s="136"/>
    </row>
    <row r="20" spans="1:7" x14ac:dyDescent="0.2">
      <c r="A20" t="s">
        <v>43</v>
      </c>
      <c r="B20" t="s">
        <v>34</v>
      </c>
      <c r="C20" s="6">
        <v>149</v>
      </c>
      <c r="D20" s="6">
        <v>149</v>
      </c>
      <c r="E20" s="7">
        <v>2.2999999999999998</v>
      </c>
      <c r="F20" s="7">
        <v>2.2999999999999998</v>
      </c>
      <c r="G20" s="136"/>
    </row>
    <row r="21" spans="1:7" x14ac:dyDescent="0.2">
      <c r="A21" t="s">
        <v>43</v>
      </c>
      <c r="B21" t="s">
        <v>35</v>
      </c>
      <c r="C21" s="6">
        <v>151</v>
      </c>
      <c r="D21" s="6">
        <v>151</v>
      </c>
      <c r="E21" s="7">
        <v>2.2000000000000002</v>
      </c>
      <c r="F21" s="7">
        <v>2.2000000000000002</v>
      </c>
      <c r="G21" s="136"/>
    </row>
    <row r="22" spans="1:7" x14ac:dyDescent="0.2">
      <c r="A22" t="s">
        <v>43</v>
      </c>
      <c r="B22" t="s">
        <v>36</v>
      </c>
      <c r="C22" s="6">
        <v>153</v>
      </c>
      <c r="D22" s="6">
        <v>153</v>
      </c>
      <c r="E22" s="7">
        <v>2.1</v>
      </c>
      <c r="F22" s="7">
        <v>2.1</v>
      </c>
      <c r="G22" s="136"/>
    </row>
    <row r="23" spans="1:7" x14ac:dyDescent="0.2">
      <c r="A23" t="s">
        <v>43</v>
      </c>
      <c r="B23" t="s">
        <v>37</v>
      </c>
      <c r="C23" s="6">
        <v>155</v>
      </c>
      <c r="D23" s="6">
        <v>155</v>
      </c>
      <c r="E23" s="7">
        <v>2</v>
      </c>
      <c r="F23" s="7">
        <v>2</v>
      </c>
      <c r="G23" s="136"/>
    </row>
    <row r="24" spans="1:7" x14ac:dyDescent="0.2">
      <c r="A24" s="1" t="s">
        <v>43</v>
      </c>
      <c r="B24" s="1" t="s">
        <v>40</v>
      </c>
      <c r="C24" s="9">
        <v>161</v>
      </c>
      <c r="D24" s="9">
        <v>161</v>
      </c>
      <c r="E24" s="11">
        <v>1.8</v>
      </c>
      <c r="F24" s="11">
        <v>1.8</v>
      </c>
      <c r="G24" s="137"/>
    </row>
    <row r="25" spans="1:7" x14ac:dyDescent="0.2">
      <c r="A25" t="s">
        <v>45</v>
      </c>
      <c r="B25" t="s">
        <v>56</v>
      </c>
      <c r="C25" s="6">
        <v>222</v>
      </c>
      <c r="D25" s="6">
        <v>222</v>
      </c>
      <c r="E25" s="7">
        <v>5</v>
      </c>
      <c r="F25" s="7">
        <v>5</v>
      </c>
      <c r="G25" t="s">
        <v>101</v>
      </c>
    </row>
    <row r="26" spans="1:7" x14ac:dyDescent="0.2">
      <c r="A26" t="s">
        <v>45</v>
      </c>
      <c r="B26" t="s">
        <v>57</v>
      </c>
      <c r="C26" s="6">
        <v>326</v>
      </c>
      <c r="D26" s="6">
        <v>326</v>
      </c>
      <c r="E26" s="7">
        <v>2</v>
      </c>
      <c r="F26" s="7">
        <v>2</v>
      </c>
      <c r="G26" t="s">
        <v>102</v>
      </c>
    </row>
    <row r="27" spans="1:7" x14ac:dyDescent="0.2">
      <c r="A27" t="s">
        <v>45</v>
      </c>
      <c r="B27" t="s">
        <v>58</v>
      </c>
      <c r="C27" s="6">
        <v>480</v>
      </c>
      <c r="D27" s="6">
        <v>480</v>
      </c>
      <c r="E27" s="7">
        <v>1.6</v>
      </c>
      <c r="F27" s="7">
        <v>1.6</v>
      </c>
      <c r="G27" t="s">
        <v>103</v>
      </c>
    </row>
    <row r="28" spans="1:7" x14ac:dyDescent="0.2">
      <c r="A28" s="1" t="s">
        <v>45</v>
      </c>
      <c r="B28" s="1" t="s">
        <v>59</v>
      </c>
      <c r="C28" s="9">
        <v>630</v>
      </c>
      <c r="D28" s="9">
        <v>630</v>
      </c>
      <c r="E28" s="11">
        <v>1.5</v>
      </c>
      <c r="F28" s="11">
        <v>1.5</v>
      </c>
      <c r="G28" s="1" t="s">
        <v>104</v>
      </c>
    </row>
    <row r="29" spans="1:7" x14ac:dyDescent="0.2">
      <c r="A29" t="s">
        <v>44</v>
      </c>
      <c r="B29" t="s">
        <v>56</v>
      </c>
      <c r="C29" s="6">
        <v>144</v>
      </c>
      <c r="D29" s="6">
        <v>144</v>
      </c>
      <c r="E29" s="7">
        <v>9.6</v>
      </c>
      <c r="F29" s="7">
        <v>9.6</v>
      </c>
      <c r="G29" t="s">
        <v>96</v>
      </c>
    </row>
    <row r="30" spans="1:7" x14ac:dyDescent="0.2">
      <c r="A30" t="s">
        <v>44</v>
      </c>
      <c r="B30" t="s">
        <v>57</v>
      </c>
      <c r="C30" s="6">
        <v>182</v>
      </c>
      <c r="D30" s="6">
        <v>182</v>
      </c>
      <c r="E30" s="7">
        <v>6.4499999999999993</v>
      </c>
      <c r="F30" s="7">
        <v>6.4499999999999993</v>
      </c>
      <c r="G30" t="s">
        <v>97</v>
      </c>
    </row>
    <row r="31" spans="1:7" x14ac:dyDescent="0.2">
      <c r="A31" t="s">
        <v>44</v>
      </c>
      <c r="B31" t="s">
        <v>58</v>
      </c>
      <c r="C31" s="6">
        <v>220</v>
      </c>
      <c r="D31" s="6">
        <v>220</v>
      </c>
      <c r="E31" s="7">
        <v>3.3</v>
      </c>
      <c r="F31" s="7">
        <v>3.3</v>
      </c>
      <c r="G31" t="s">
        <v>98</v>
      </c>
    </row>
    <row r="32" spans="1:7" x14ac:dyDescent="0.2">
      <c r="A32" t="s">
        <v>44</v>
      </c>
      <c r="B32" t="s">
        <v>59</v>
      </c>
      <c r="C32" s="6">
        <v>292.5</v>
      </c>
      <c r="D32" s="6">
        <v>292.5</v>
      </c>
      <c r="E32" s="7">
        <v>2.5999999999999996</v>
      </c>
      <c r="F32" s="7">
        <v>2.5999999999999996</v>
      </c>
      <c r="G32" t="s">
        <v>99</v>
      </c>
    </row>
    <row r="33" spans="1:7" x14ac:dyDescent="0.2">
      <c r="A33" s="1" t="s">
        <v>44</v>
      </c>
      <c r="B33" s="1" t="s">
        <v>60</v>
      </c>
      <c r="C33" s="9">
        <v>365</v>
      </c>
      <c r="D33" s="9">
        <v>365</v>
      </c>
      <c r="E33" s="11">
        <v>1.9</v>
      </c>
      <c r="F33" s="11">
        <v>1.9</v>
      </c>
      <c r="G33" s="1" t="s">
        <v>100</v>
      </c>
    </row>
    <row r="34" spans="1:7" x14ac:dyDescent="0.2">
      <c r="A34" t="s">
        <v>42</v>
      </c>
      <c r="B34" t="s">
        <v>57</v>
      </c>
      <c r="C34" s="6">
        <v>40</v>
      </c>
      <c r="D34" s="6">
        <v>40</v>
      </c>
      <c r="E34" s="7" t="s">
        <v>39</v>
      </c>
      <c r="F34" s="7" t="s">
        <v>39</v>
      </c>
      <c r="G34" t="s">
        <v>138</v>
      </c>
    </row>
    <row r="35" spans="1:7" x14ac:dyDescent="0.2">
      <c r="A35" t="s">
        <v>42</v>
      </c>
      <c r="B35" t="s">
        <v>58</v>
      </c>
      <c r="C35" s="6">
        <v>60</v>
      </c>
      <c r="D35" s="6">
        <v>60</v>
      </c>
      <c r="E35" s="7" t="s">
        <v>39</v>
      </c>
      <c r="F35" s="7" t="s">
        <v>39</v>
      </c>
      <c r="G35" t="s">
        <v>139</v>
      </c>
    </row>
    <row r="36" spans="1:7" x14ac:dyDescent="0.2">
      <c r="A36" s="1" t="s">
        <v>42</v>
      </c>
      <c r="B36" s="1" t="s">
        <v>59</v>
      </c>
      <c r="C36" s="9">
        <v>90</v>
      </c>
      <c r="D36" s="9">
        <v>90</v>
      </c>
      <c r="E36" s="11" t="s">
        <v>39</v>
      </c>
      <c r="F36" s="11" t="s">
        <v>39</v>
      </c>
      <c r="G36" s="1" t="s">
        <v>140</v>
      </c>
    </row>
  </sheetData>
  <sheetProtection sheet="1" objects="1" scenarios="1"/>
  <mergeCells count="1">
    <mergeCell ref="G7:G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C383E-128D-4C6C-BD6D-8B6860BD241B}">
  <sheetPr codeName="Sheet7">
    <tabColor theme="3"/>
  </sheetPr>
  <dimension ref="A1:Q410"/>
  <sheetViews>
    <sheetView showGridLines="0" zoomScaleNormal="100" workbookViewId="0"/>
  </sheetViews>
  <sheetFormatPr defaultColWidth="8.83203125" defaultRowHeight="11.25" x14ac:dyDescent="0.2"/>
  <cols>
    <col min="1" max="1" width="25.83203125" style="82" customWidth="1"/>
    <col min="2" max="6" width="12.83203125" style="85" customWidth="1"/>
    <col min="7" max="7" width="20.83203125" style="85" customWidth="1"/>
    <col min="8" max="8" width="12.83203125" style="85" customWidth="1"/>
    <col min="9" max="17" width="12.83203125" style="82" customWidth="1"/>
    <col min="18" max="16384" width="8.83203125" style="82"/>
  </cols>
  <sheetData>
    <row r="1" spans="1:17" ht="18" x14ac:dyDescent="0.25">
      <c r="A1" s="79" t="s">
        <v>66</v>
      </c>
      <c r="B1" s="80"/>
      <c r="C1" s="80"/>
      <c r="D1" s="80"/>
      <c r="E1" s="80"/>
      <c r="F1" s="80"/>
      <c r="G1" s="80"/>
      <c r="H1" s="80"/>
      <c r="I1" s="81"/>
      <c r="J1" s="81"/>
      <c r="K1" s="81"/>
      <c r="L1" s="81"/>
      <c r="M1" s="81"/>
      <c r="N1" s="81"/>
      <c r="O1" s="81"/>
      <c r="P1" s="81"/>
      <c r="Q1" s="81"/>
    </row>
    <row r="2" spans="1:17" ht="12.75" x14ac:dyDescent="0.2">
      <c r="A2" s="83" t="s">
        <v>72</v>
      </c>
      <c r="B2" s="144" t="s">
        <v>132</v>
      </c>
      <c r="C2" s="144"/>
      <c r="D2" s="144"/>
      <c r="E2" s="144"/>
    </row>
    <row r="6" spans="1:17" x14ac:dyDescent="0.2">
      <c r="A6" s="86" t="s">
        <v>161</v>
      </c>
      <c r="B6" s="87"/>
      <c r="C6" s="87"/>
      <c r="D6" s="87"/>
      <c r="E6" s="87"/>
      <c r="F6" s="88"/>
      <c r="H6" s="86" t="s">
        <v>164</v>
      </c>
      <c r="I6" s="89"/>
      <c r="J6" s="89"/>
      <c r="K6" s="89"/>
      <c r="L6" s="89"/>
      <c r="M6" s="89"/>
      <c r="N6" s="89"/>
      <c r="O6" s="89"/>
      <c r="P6" s="89"/>
      <c r="Q6" s="89"/>
    </row>
    <row r="7" spans="1:17" x14ac:dyDescent="0.2">
      <c r="G7" s="82"/>
    </row>
    <row r="8" spans="1:17" ht="33.75" x14ac:dyDescent="0.2">
      <c r="A8" s="85"/>
      <c r="B8" s="90"/>
      <c r="C8" s="82"/>
      <c r="D8" s="82"/>
      <c r="E8" s="82"/>
      <c r="F8" s="82"/>
      <c r="G8" s="91" t="s">
        <v>136</v>
      </c>
      <c r="H8" s="92" t="s">
        <v>90</v>
      </c>
      <c r="I8" s="93" t="s">
        <v>90</v>
      </c>
      <c r="J8" s="93" t="s">
        <v>90</v>
      </c>
      <c r="K8" s="93" t="s">
        <v>91</v>
      </c>
      <c r="L8" s="93" t="s">
        <v>90</v>
      </c>
      <c r="M8" s="93" t="s">
        <v>90</v>
      </c>
      <c r="N8" s="93" t="s">
        <v>91</v>
      </c>
      <c r="O8" s="94" t="s">
        <v>90</v>
      </c>
      <c r="P8" s="93" t="s">
        <v>90</v>
      </c>
      <c r="Q8" s="95" t="s">
        <v>90</v>
      </c>
    </row>
    <row r="9" spans="1:17" ht="22.5" customHeight="1" x14ac:dyDescent="0.2">
      <c r="B9" s="145" t="s">
        <v>22</v>
      </c>
      <c r="C9" s="146"/>
      <c r="D9" s="145" t="s">
        <v>21</v>
      </c>
      <c r="E9" s="146"/>
      <c r="F9" s="90"/>
      <c r="G9" s="82" t="s">
        <v>54</v>
      </c>
      <c r="H9" s="85">
        <f t="shared" ref="H9:Q9" si="0">SUM(H11:H410)</f>
        <v>0</v>
      </c>
      <c r="I9" s="85">
        <f t="shared" si="0"/>
        <v>0</v>
      </c>
      <c r="J9" s="85">
        <f t="shared" si="0"/>
        <v>0</v>
      </c>
      <c r="K9" s="85">
        <f t="shared" si="0"/>
        <v>0</v>
      </c>
      <c r="L9" s="85">
        <f t="shared" si="0"/>
        <v>0</v>
      </c>
      <c r="M9" s="85">
        <f t="shared" si="0"/>
        <v>0</v>
      </c>
      <c r="N9" s="85">
        <f t="shared" si="0"/>
        <v>0</v>
      </c>
      <c r="O9" s="85">
        <f t="shared" si="0"/>
        <v>0</v>
      </c>
      <c r="P9" s="85">
        <f t="shared" si="0"/>
        <v>0</v>
      </c>
      <c r="Q9" s="85">
        <f t="shared" si="0"/>
        <v>0</v>
      </c>
    </row>
    <row r="10" spans="1:17" ht="23.25" thickBot="1" x14ac:dyDescent="0.25">
      <c r="A10" s="96"/>
      <c r="B10" s="97" t="s">
        <v>51</v>
      </c>
      <c r="C10" s="98" t="s">
        <v>52</v>
      </c>
      <c r="D10" s="97" t="s">
        <v>51</v>
      </c>
      <c r="E10" s="98" t="s">
        <v>52</v>
      </c>
      <c r="F10" s="99"/>
      <c r="G10" s="100" t="s">
        <v>6</v>
      </c>
      <c r="H10" s="101" t="s">
        <v>7</v>
      </c>
      <c r="I10" s="101" t="s">
        <v>8</v>
      </c>
      <c r="J10" s="101" t="s">
        <v>9</v>
      </c>
      <c r="K10" s="101" t="s">
        <v>10</v>
      </c>
      <c r="L10" s="101" t="s">
        <v>11</v>
      </c>
      <c r="M10" s="101" t="s">
        <v>16</v>
      </c>
      <c r="N10" s="101" t="s">
        <v>137</v>
      </c>
      <c r="O10" s="101" t="s">
        <v>12</v>
      </c>
      <c r="P10" s="101" t="s">
        <v>133</v>
      </c>
      <c r="Q10" s="101" t="s">
        <v>134</v>
      </c>
    </row>
    <row r="11" spans="1:17" x14ac:dyDescent="0.2">
      <c r="A11" s="85" t="s">
        <v>0</v>
      </c>
      <c r="B11" s="124" cm="1">
        <f t="array" ref="B11">Subsidy(1,B22,B23,B24,B31,B32,DL_cashflows,DL_signs)</f>
        <v>0</v>
      </c>
      <c r="C11" s="125"/>
      <c r="D11" s="124"/>
      <c r="E11" s="125"/>
      <c r="F11" s="102"/>
      <c r="G11" s="103">
        <v>1</v>
      </c>
      <c r="H11" s="104"/>
      <c r="I11" s="105"/>
      <c r="J11" s="105"/>
      <c r="K11" s="105"/>
      <c r="L11" s="105"/>
      <c r="M11" s="105"/>
      <c r="N11" s="105"/>
      <c r="O11" s="105"/>
      <c r="P11" s="105"/>
      <c r="Q11" s="106"/>
    </row>
    <row r="12" spans="1:17" x14ac:dyDescent="0.2">
      <c r="A12" s="85" t="s">
        <v>1</v>
      </c>
      <c r="B12" s="124"/>
      <c r="C12" s="125"/>
      <c r="D12" s="124"/>
      <c r="E12" s="125"/>
      <c r="F12" s="82"/>
      <c r="G12" s="103">
        <v>2</v>
      </c>
      <c r="H12" s="107"/>
      <c r="I12" s="108"/>
      <c r="J12" s="108"/>
      <c r="K12" s="108"/>
      <c r="L12" s="108"/>
      <c r="M12" s="108"/>
      <c r="N12" s="108"/>
      <c r="O12" s="108"/>
      <c r="P12" s="108"/>
      <c r="Q12" s="109"/>
    </row>
    <row r="13" spans="1:17" x14ac:dyDescent="0.2">
      <c r="A13" s="85" t="s">
        <v>2</v>
      </c>
      <c r="B13" s="124"/>
      <c r="C13" s="125"/>
      <c r="D13" s="124"/>
      <c r="E13" s="125"/>
      <c r="F13" s="82"/>
      <c r="G13" s="103">
        <v>3</v>
      </c>
      <c r="H13" s="107"/>
      <c r="I13" s="108"/>
      <c r="J13" s="108"/>
      <c r="K13" s="108"/>
      <c r="L13" s="108"/>
      <c r="M13" s="108"/>
      <c r="N13" s="108"/>
      <c r="O13" s="108"/>
      <c r="P13" s="108"/>
      <c r="Q13" s="109"/>
    </row>
    <row r="14" spans="1:17" x14ac:dyDescent="0.2">
      <c r="A14" s="85" t="s">
        <v>3</v>
      </c>
      <c r="B14" s="124"/>
      <c r="C14" s="125"/>
      <c r="D14" s="124"/>
      <c r="E14" s="125"/>
      <c r="F14" s="82"/>
      <c r="G14" s="103">
        <v>4</v>
      </c>
      <c r="H14" s="107"/>
      <c r="I14" s="108"/>
      <c r="J14" s="108"/>
      <c r="K14" s="108"/>
      <c r="L14" s="108"/>
      <c r="M14" s="108"/>
      <c r="N14" s="108"/>
      <c r="O14" s="108"/>
      <c r="P14" s="108"/>
      <c r="Q14" s="109"/>
    </row>
    <row r="15" spans="1:17" x14ac:dyDescent="0.2">
      <c r="A15" s="85" t="s">
        <v>4</v>
      </c>
      <c r="B15" s="126"/>
      <c r="C15" s="127"/>
      <c r="D15" s="126"/>
      <c r="E15" s="127"/>
      <c r="F15" s="82"/>
      <c r="G15" s="103">
        <v>5</v>
      </c>
      <c r="H15" s="107"/>
      <c r="I15" s="108"/>
      <c r="J15" s="108"/>
      <c r="K15" s="108"/>
      <c r="L15" s="108"/>
      <c r="M15" s="108"/>
      <c r="N15" s="108"/>
      <c r="O15" s="108"/>
      <c r="P15" s="108"/>
      <c r="Q15" s="109"/>
    </row>
    <row r="16" spans="1:17" x14ac:dyDescent="0.2">
      <c r="F16" s="90"/>
      <c r="G16" s="103">
        <v>6</v>
      </c>
      <c r="H16" s="107"/>
      <c r="I16" s="108"/>
      <c r="J16" s="108"/>
      <c r="K16" s="108"/>
      <c r="L16" s="108"/>
      <c r="M16" s="108"/>
      <c r="N16" s="108"/>
      <c r="O16" s="108"/>
      <c r="P16" s="108"/>
      <c r="Q16" s="109"/>
    </row>
    <row r="17" spans="1:17" x14ac:dyDescent="0.2">
      <c r="A17" s="110" t="s">
        <v>79</v>
      </c>
      <c r="B17" s="147" t="str">
        <f>IF(B32="n.a.","No risk parameter specified--&gt;FCRA and fair value are the same","")</f>
        <v/>
      </c>
      <c r="C17" s="148"/>
      <c r="D17" s="148"/>
      <c r="E17" s="148"/>
      <c r="F17" s="82"/>
      <c r="G17" s="103">
        <v>7</v>
      </c>
      <c r="H17" s="107"/>
      <c r="I17" s="108"/>
      <c r="J17" s="108"/>
      <c r="K17" s="108"/>
      <c r="L17" s="108"/>
      <c r="M17" s="108"/>
      <c r="N17" s="108"/>
      <c r="O17" s="108"/>
      <c r="P17" s="108"/>
      <c r="Q17" s="109"/>
    </row>
    <row r="18" spans="1:17" x14ac:dyDescent="0.2">
      <c r="A18" s="111"/>
      <c r="B18" s="148"/>
      <c r="C18" s="148"/>
      <c r="D18" s="148"/>
      <c r="E18" s="148"/>
      <c r="F18" s="82"/>
      <c r="G18" s="103">
        <v>8</v>
      </c>
      <c r="H18" s="107"/>
      <c r="I18" s="108"/>
      <c r="J18" s="108"/>
      <c r="K18" s="108"/>
      <c r="L18" s="108"/>
      <c r="M18" s="108"/>
      <c r="N18" s="108"/>
      <c r="O18" s="108"/>
      <c r="P18" s="108"/>
      <c r="Q18" s="109"/>
    </row>
    <row r="19" spans="1:17" x14ac:dyDescent="0.2">
      <c r="D19" s="82"/>
      <c r="E19" s="82"/>
      <c r="F19" s="82"/>
      <c r="G19" s="103">
        <v>9</v>
      </c>
      <c r="H19" s="107"/>
      <c r="I19" s="108"/>
      <c r="J19" s="108"/>
      <c r="K19" s="108"/>
      <c r="L19" s="108"/>
      <c r="M19" s="108"/>
      <c r="N19" s="108"/>
      <c r="O19" s="108"/>
      <c r="P19" s="108"/>
      <c r="Q19" s="109"/>
    </row>
    <row r="20" spans="1:17" x14ac:dyDescent="0.2">
      <c r="G20" s="103">
        <v>10</v>
      </c>
      <c r="H20" s="107"/>
      <c r="I20" s="108"/>
      <c r="J20" s="108"/>
      <c r="K20" s="108"/>
      <c r="L20" s="108"/>
      <c r="M20" s="108"/>
      <c r="N20" s="108"/>
      <c r="O20" s="108"/>
      <c r="P20" s="108"/>
      <c r="Q20" s="109"/>
    </row>
    <row r="21" spans="1:17" x14ac:dyDescent="0.2">
      <c r="A21" s="86" t="s">
        <v>63</v>
      </c>
      <c r="B21" s="112"/>
      <c r="C21" s="81"/>
      <c r="D21" s="82"/>
      <c r="G21" s="103">
        <v>11</v>
      </c>
      <c r="H21" s="107"/>
      <c r="I21" s="108"/>
      <c r="J21" s="108"/>
      <c r="K21" s="108"/>
      <c r="L21" s="108"/>
      <c r="M21" s="108"/>
      <c r="N21" s="108"/>
      <c r="O21" s="108"/>
      <c r="P21" s="108"/>
      <c r="Q21" s="109"/>
    </row>
    <row r="22" spans="1:17" x14ac:dyDescent="0.2">
      <c r="A22" s="113" t="s">
        <v>62</v>
      </c>
      <c r="B22" s="143" t="s">
        <v>94</v>
      </c>
      <c r="C22" s="139"/>
      <c r="G22" s="103">
        <v>12</v>
      </c>
      <c r="H22" s="107"/>
      <c r="I22" s="108"/>
      <c r="J22" s="108"/>
      <c r="K22" s="108"/>
      <c r="L22" s="108"/>
      <c r="M22" s="108"/>
      <c r="N22" s="108"/>
      <c r="O22" s="108"/>
      <c r="P22" s="108"/>
      <c r="Q22" s="109"/>
    </row>
    <row r="23" spans="1:17" x14ac:dyDescent="0.2">
      <c r="A23" s="113" t="s">
        <v>47</v>
      </c>
      <c r="B23" s="142" t="s">
        <v>15</v>
      </c>
      <c r="C23" s="139"/>
      <c r="G23" s="103">
        <v>13</v>
      </c>
      <c r="H23" s="107"/>
      <c r="I23" s="108"/>
      <c r="J23" s="108"/>
      <c r="K23" s="108"/>
      <c r="L23" s="108"/>
      <c r="M23" s="108"/>
      <c r="N23" s="108"/>
      <c r="O23" s="108"/>
      <c r="P23" s="108"/>
      <c r="Q23" s="109"/>
    </row>
    <row r="24" spans="1:17" x14ac:dyDescent="0.2">
      <c r="A24" s="113" t="s">
        <v>48</v>
      </c>
      <c r="B24" s="143" t="s">
        <v>14</v>
      </c>
      <c r="C24" s="139"/>
      <c r="G24" s="103">
        <v>14</v>
      </c>
      <c r="H24" s="107"/>
      <c r="I24" s="108"/>
      <c r="J24" s="108"/>
      <c r="K24" s="108"/>
      <c r="L24" s="108"/>
      <c r="M24" s="108"/>
      <c r="N24" s="108"/>
      <c r="O24" s="108"/>
      <c r="P24" s="108"/>
      <c r="Q24" s="109"/>
    </row>
    <row r="25" spans="1:17" x14ac:dyDescent="0.2">
      <c r="E25" s="82"/>
      <c r="G25" s="103">
        <v>15</v>
      </c>
      <c r="H25" s="107"/>
      <c r="I25" s="108"/>
      <c r="J25" s="108"/>
      <c r="K25" s="108"/>
      <c r="L25" s="108"/>
      <c r="M25" s="108"/>
      <c r="N25" s="108"/>
      <c r="O25" s="108"/>
      <c r="P25" s="108"/>
      <c r="Q25" s="109"/>
    </row>
    <row r="26" spans="1:17" x14ac:dyDescent="0.2">
      <c r="E26" s="82"/>
      <c r="F26" s="82"/>
      <c r="G26" s="103">
        <v>16</v>
      </c>
      <c r="H26" s="107"/>
      <c r="I26" s="108"/>
      <c r="J26" s="108"/>
      <c r="K26" s="108"/>
      <c r="L26" s="108"/>
      <c r="M26" s="108"/>
      <c r="N26" s="108"/>
      <c r="O26" s="108"/>
      <c r="P26" s="108"/>
      <c r="Q26" s="109"/>
    </row>
    <row r="27" spans="1:17" x14ac:dyDescent="0.2">
      <c r="A27" s="86" t="s">
        <v>64</v>
      </c>
      <c r="B27" s="87"/>
      <c r="C27" s="81"/>
      <c r="F27" s="82"/>
      <c r="G27" s="103">
        <v>17</v>
      </c>
      <c r="H27" s="107"/>
      <c r="I27" s="108"/>
      <c r="J27" s="108"/>
      <c r="K27" s="108"/>
      <c r="L27" s="108"/>
      <c r="M27" s="108"/>
      <c r="N27" s="108"/>
      <c r="O27" s="108"/>
      <c r="P27" s="108"/>
      <c r="Q27" s="109"/>
    </row>
    <row r="28" spans="1:17" x14ac:dyDescent="0.2">
      <c r="A28" s="114" t="s">
        <v>88</v>
      </c>
      <c r="B28" s="143" t="s">
        <v>43</v>
      </c>
      <c r="C28" s="139"/>
      <c r="F28" s="82"/>
      <c r="G28" s="103">
        <v>18</v>
      </c>
      <c r="H28" s="107"/>
      <c r="I28" s="108"/>
      <c r="J28" s="108"/>
      <c r="K28" s="108"/>
      <c r="L28" s="108"/>
      <c r="M28" s="108"/>
      <c r="N28" s="108"/>
      <c r="O28" s="108"/>
      <c r="P28" s="108"/>
      <c r="Q28" s="109"/>
    </row>
    <row r="29" spans="1:17" x14ac:dyDescent="0.2">
      <c r="A29" s="114" t="s">
        <v>81</v>
      </c>
      <c r="B29" s="143" t="s">
        <v>38</v>
      </c>
      <c r="C29" s="139"/>
      <c r="F29" s="82"/>
      <c r="G29" s="103">
        <v>19</v>
      </c>
      <c r="H29" s="107"/>
      <c r="I29" s="108"/>
      <c r="J29" s="108"/>
      <c r="K29" s="108"/>
      <c r="L29" s="108"/>
      <c r="M29" s="108"/>
      <c r="N29" s="108"/>
      <c r="O29" s="108"/>
      <c r="P29" s="108"/>
      <c r="Q29" s="109"/>
    </row>
    <row r="30" spans="1:17" x14ac:dyDescent="0.2">
      <c r="A30" s="113" t="s">
        <v>49</v>
      </c>
      <c r="B30" s="143" t="s">
        <v>50</v>
      </c>
      <c r="C30" s="139"/>
      <c r="F30" s="82"/>
      <c r="G30" s="103">
        <v>20</v>
      </c>
      <c r="H30" s="107"/>
      <c r="I30" s="108"/>
      <c r="J30" s="108"/>
      <c r="K30" s="108"/>
      <c r="L30" s="108"/>
      <c r="M30" s="108"/>
      <c r="N30" s="108"/>
      <c r="O30" s="108"/>
      <c r="P30" s="108"/>
      <c r="Q30" s="109"/>
    </row>
    <row r="31" spans="1:17" x14ac:dyDescent="0.2">
      <c r="A31" s="113" t="s">
        <v>46</v>
      </c>
      <c r="B31" s="138" t="s">
        <v>53</v>
      </c>
      <c r="C31" s="139"/>
      <c r="F31" s="82"/>
      <c r="G31" s="103">
        <v>21</v>
      </c>
      <c r="H31" s="107"/>
      <c r="I31" s="108"/>
      <c r="J31" s="108"/>
      <c r="K31" s="108"/>
      <c r="L31" s="108"/>
      <c r="M31" s="108"/>
      <c r="N31" s="108"/>
      <c r="O31" s="108"/>
      <c r="P31" s="108"/>
      <c r="Q31" s="109"/>
    </row>
    <row r="32" spans="1:17" x14ac:dyDescent="0.2">
      <c r="A32" s="113" t="s">
        <v>55</v>
      </c>
      <c r="B32" s="140" cm="1">
        <f t="array" ref="B32">INDEX(Risk_Parameters,MATCH(B28&amp;B29,Lending_Category&amp;Risk_Subcategory,0),MATCH(B30&amp;B31,Maturity&amp;Approach,0))</f>
        <v>13.6</v>
      </c>
      <c r="C32" s="141"/>
      <c r="F32" s="82"/>
      <c r="G32" s="103">
        <v>22</v>
      </c>
      <c r="H32" s="107"/>
      <c r="I32" s="108"/>
      <c r="J32" s="108"/>
      <c r="K32" s="108"/>
      <c r="L32" s="108"/>
      <c r="M32" s="108"/>
      <c r="N32" s="108"/>
      <c r="O32" s="108"/>
      <c r="P32" s="108"/>
      <c r="Q32" s="109"/>
    </row>
    <row r="33" spans="7:17" x14ac:dyDescent="0.2">
      <c r="G33" s="103">
        <v>23</v>
      </c>
      <c r="H33" s="107"/>
      <c r="I33" s="108"/>
      <c r="J33" s="108"/>
      <c r="K33" s="108"/>
      <c r="L33" s="108"/>
      <c r="M33" s="108"/>
      <c r="N33" s="108"/>
      <c r="O33" s="108"/>
      <c r="P33" s="108"/>
      <c r="Q33" s="109"/>
    </row>
    <row r="34" spans="7:17" x14ac:dyDescent="0.2">
      <c r="G34" s="103">
        <v>24</v>
      </c>
      <c r="H34" s="107"/>
      <c r="I34" s="108"/>
      <c r="J34" s="108"/>
      <c r="K34" s="108"/>
      <c r="L34" s="108"/>
      <c r="M34" s="108"/>
      <c r="N34" s="108"/>
      <c r="O34" s="108"/>
      <c r="P34" s="108"/>
      <c r="Q34" s="109"/>
    </row>
    <row r="35" spans="7:17" x14ac:dyDescent="0.2">
      <c r="G35" s="103">
        <v>25</v>
      </c>
      <c r="H35" s="107"/>
      <c r="I35" s="108"/>
      <c r="J35" s="108"/>
      <c r="K35" s="108"/>
      <c r="L35" s="108"/>
      <c r="M35" s="108"/>
      <c r="N35" s="108"/>
      <c r="O35" s="108"/>
      <c r="P35" s="108"/>
      <c r="Q35" s="109"/>
    </row>
    <row r="36" spans="7:17" x14ac:dyDescent="0.2">
      <c r="G36" s="103">
        <v>26</v>
      </c>
      <c r="H36" s="107"/>
      <c r="I36" s="108"/>
      <c r="J36" s="108"/>
      <c r="K36" s="108"/>
      <c r="L36" s="108"/>
      <c r="M36" s="108"/>
      <c r="N36" s="108"/>
      <c r="O36" s="108"/>
      <c r="P36" s="108"/>
      <c r="Q36" s="109"/>
    </row>
    <row r="37" spans="7:17" x14ac:dyDescent="0.2">
      <c r="G37" s="103">
        <v>27</v>
      </c>
      <c r="H37" s="107"/>
      <c r="I37" s="108"/>
      <c r="J37" s="108"/>
      <c r="K37" s="108"/>
      <c r="L37" s="108"/>
      <c r="M37" s="108"/>
      <c r="N37" s="108"/>
      <c r="O37" s="108"/>
      <c r="P37" s="108"/>
      <c r="Q37" s="109"/>
    </row>
    <row r="38" spans="7:17" x14ac:dyDescent="0.2">
      <c r="G38" s="103">
        <v>28</v>
      </c>
      <c r="H38" s="107"/>
      <c r="I38" s="108"/>
      <c r="J38" s="108"/>
      <c r="K38" s="108"/>
      <c r="L38" s="108"/>
      <c r="M38" s="108"/>
      <c r="N38" s="108"/>
      <c r="O38" s="108"/>
      <c r="P38" s="108"/>
      <c r="Q38" s="109"/>
    </row>
    <row r="39" spans="7:17" x14ac:dyDescent="0.2">
      <c r="G39" s="103">
        <v>29</v>
      </c>
      <c r="H39" s="107"/>
      <c r="I39" s="108"/>
      <c r="J39" s="108"/>
      <c r="K39" s="108"/>
      <c r="L39" s="108"/>
      <c r="M39" s="108"/>
      <c r="N39" s="108"/>
      <c r="O39" s="108"/>
      <c r="P39" s="108"/>
      <c r="Q39" s="109"/>
    </row>
    <row r="40" spans="7:17" x14ac:dyDescent="0.2">
      <c r="G40" s="103">
        <v>30</v>
      </c>
      <c r="H40" s="107"/>
      <c r="I40" s="108"/>
      <c r="J40" s="108"/>
      <c r="K40" s="108"/>
      <c r="L40" s="108"/>
      <c r="M40" s="108"/>
      <c r="N40" s="108"/>
      <c r="O40" s="108"/>
      <c r="P40" s="108"/>
      <c r="Q40" s="109"/>
    </row>
    <row r="41" spans="7:17" x14ac:dyDescent="0.2">
      <c r="G41" s="103">
        <v>31</v>
      </c>
      <c r="H41" s="107"/>
      <c r="I41" s="108"/>
      <c r="J41" s="108"/>
      <c r="K41" s="108"/>
      <c r="L41" s="108"/>
      <c r="M41" s="108"/>
      <c r="N41" s="108"/>
      <c r="O41" s="108"/>
      <c r="P41" s="108"/>
      <c r="Q41" s="109"/>
    </row>
    <row r="42" spans="7:17" x14ac:dyDescent="0.2">
      <c r="G42" s="103">
        <v>32</v>
      </c>
      <c r="H42" s="107"/>
      <c r="I42" s="108"/>
      <c r="J42" s="108"/>
      <c r="K42" s="108"/>
      <c r="L42" s="108"/>
      <c r="M42" s="108"/>
      <c r="N42" s="108"/>
      <c r="O42" s="108"/>
      <c r="P42" s="108"/>
      <c r="Q42" s="109"/>
    </row>
    <row r="43" spans="7:17" x14ac:dyDescent="0.2">
      <c r="G43" s="103">
        <v>33</v>
      </c>
      <c r="H43" s="107"/>
      <c r="I43" s="108"/>
      <c r="J43" s="108"/>
      <c r="K43" s="108"/>
      <c r="L43" s="108"/>
      <c r="M43" s="108"/>
      <c r="N43" s="108"/>
      <c r="O43" s="108"/>
      <c r="P43" s="108"/>
      <c r="Q43" s="109"/>
    </row>
    <row r="44" spans="7:17" x14ac:dyDescent="0.2">
      <c r="G44" s="103">
        <v>34</v>
      </c>
      <c r="H44" s="107"/>
      <c r="I44" s="108"/>
      <c r="J44" s="108"/>
      <c r="K44" s="108"/>
      <c r="L44" s="108"/>
      <c r="M44" s="108"/>
      <c r="N44" s="108"/>
      <c r="O44" s="108"/>
      <c r="P44" s="108"/>
      <c r="Q44" s="109"/>
    </row>
    <row r="45" spans="7:17" x14ac:dyDescent="0.2">
      <c r="G45" s="103">
        <v>35</v>
      </c>
      <c r="H45" s="107"/>
      <c r="I45" s="108"/>
      <c r="J45" s="108"/>
      <c r="K45" s="108"/>
      <c r="L45" s="108"/>
      <c r="M45" s="108"/>
      <c r="N45" s="108"/>
      <c r="O45" s="108"/>
      <c r="P45" s="108"/>
      <c r="Q45" s="109"/>
    </row>
    <row r="46" spans="7:17" x14ac:dyDescent="0.2">
      <c r="G46" s="103">
        <v>36</v>
      </c>
      <c r="H46" s="107"/>
      <c r="I46" s="108"/>
      <c r="J46" s="108"/>
      <c r="K46" s="108"/>
      <c r="L46" s="108"/>
      <c r="M46" s="108"/>
      <c r="N46" s="108"/>
      <c r="O46" s="108"/>
      <c r="P46" s="108"/>
      <c r="Q46" s="109"/>
    </row>
    <row r="47" spans="7:17" x14ac:dyDescent="0.2">
      <c r="G47" s="103">
        <v>37</v>
      </c>
      <c r="H47" s="107"/>
      <c r="I47" s="108"/>
      <c r="J47" s="108"/>
      <c r="K47" s="108"/>
      <c r="L47" s="108"/>
      <c r="M47" s="108"/>
      <c r="N47" s="108"/>
      <c r="O47" s="108"/>
      <c r="P47" s="108"/>
      <c r="Q47" s="109"/>
    </row>
    <row r="48" spans="7:17" x14ac:dyDescent="0.2">
      <c r="G48" s="103">
        <v>38</v>
      </c>
      <c r="H48" s="107"/>
      <c r="I48" s="108"/>
      <c r="J48" s="108"/>
      <c r="K48" s="108"/>
      <c r="L48" s="108"/>
      <c r="M48" s="108"/>
      <c r="N48" s="108"/>
      <c r="O48" s="108"/>
      <c r="P48" s="108"/>
      <c r="Q48" s="109"/>
    </row>
    <row r="49" spans="7:17" x14ac:dyDescent="0.2">
      <c r="G49" s="103">
        <v>39</v>
      </c>
      <c r="H49" s="107"/>
      <c r="I49" s="108"/>
      <c r="J49" s="108"/>
      <c r="K49" s="108"/>
      <c r="L49" s="108"/>
      <c r="M49" s="108"/>
      <c r="N49" s="108"/>
      <c r="O49" s="108"/>
      <c r="P49" s="108"/>
      <c r="Q49" s="109"/>
    </row>
    <row r="50" spans="7:17" x14ac:dyDescent="0.2">
      <c r="G50" s="103">
        <v>40</v>
      </c>
      <c r="H50" s="107"/>
      <c r="I50" s="108"/>
      <c r="J50" s="108"/>
      <c r="K50" s="108"/>
      <c r="L50" s="108"/>
      <c r="M50" s="108"/>
      <c r="N50" s="108"/>
      <c r="O50" s="108"/>
      <c r="P50" s="108"/>
      <c r="Q50" s="109"/>
    </row>
    <row r="51" spans="7:17" x14ac:dyDescent="0.2">
      <c r="G51" s="103">
        <v>41</v>
      </c>
      <c r="H51" s="107"/>
      <c r="I51" s="108"/>
      <c r="J51" s="108"/>
      <c r="K51" s="108"/>
      <c r="L51" s="108"/>
      <c r="M51" s="108"/>
      <c r="N51" s="108"/>
      <c r="O51" s="108"/>
      <c r="P51" s="108"/>
      <c r="Q51" s="109"/>
    </row>
    <row r="52" spans="7:17" x14ac:dyDescent="0.2">
      <c r="G52" s="103">
        <v>42</v>
      </c>
      <c r="H52" s="107"/>
      <c r="I52" s="108"/>
      <c r="J52" s="108"/>
      <c r="K52" s="108"/>
      <c r="L52" s="108"/>
      <c r="M52" s="108"/>
      <c r="N52" s="108"/>
      <c r="O52" s="108"/>
      <c r="P52" s="108"/>
      <c r="Q52" s="109"/>
    </row>
    <row r="53" spans="7:17" x14ac:dyDescent="0.2">
      <c r="G53" s="103">
        <v>43</v>
      </c>
      <c r="H53" s="107"/>
      <c r="I53" s="108"/>
      <c r="J53" s="108"/>
      <c r="K53" s="108"/>
      <c r="L53" s="108"/>
      <c r="M53" s="108"/>
      <c r="N53" s="108"/>
      <c r="O53" s="108"/>
      <c r="P53" s="108"/>
      <c r="Q53" s="109"/>
    </row>
    <row r="54" spans="7:17" x14ac:dyDescent="0.2">
      <c r="G54" s="103">
        <v>44</v>
      </c>
      <c r="H54" s="107"/>
      <c r="I54" s="108"/>
      <c r="J54" s="108"/>
      <c r="K54" s="108"/>
      <c r="L54" s="108"/>
      <c r="M54" s="108"/>
      <c r="N54" s="108"/>
      <c r="O54" s="108"/>
      <c r="P54" s="108"/>
      <c r="Q54" s="109"/>
    </row>
    <row r="55" spans="7:17" x14ac:dyDescent="0.2">
      <c r="G55" s="103">
        <v>45</v>
      </c>
      <c r="H55" s="107"/>
      <c r="I55" s="108"/>
      <c r="J55" s="108"/>
      <c r="K55" s="108"/>
      <c r="L55" s="108"/>
      <c r="M55" s="108"/>
      <c r="N55" s="108"/>
      <c r="O55" s="108"/>
      <c r="P55" s="108"/>
      <c r="Q55" s="109"/>
    </row>
    <row r="56" spans="7:17" x14ac:dyDescent="0.2">
      <c r="G56" s="103">
        <v>46</v>
      </c>
      <c r="H56" s="107"/>
      <c r="I56" s="108"/>
      <c r="J56" s="108"/>
      <c r="K56" s="108"/>
      <c r="L56" s="108"/>
      <c r="M56" s="108"/>
      <c r="N56" s="108"/>
      <c r="O56" s="108"/>
      <c r="P56" s="108"/>
      <c r="Q56" s="109"/>
    </row>
    <row r="57" spans="7:17" x14ac:dyDescent="0.2">
      <c r="G57" s="103">
        <v>47</v>
      </c>
      <c r="H57" s="107"/>
      <c r="I57" s="108"/>
      <c r="J57" s="108"/>
      <c r="K57" s="108"/>
      <c r="L57" s="108"/>
      <c r="M57" s="108"/>
      <c r="N57" s="108"/>
      <c r="O57" s="108"/>
      <c r="P57" s="108"/>
      <c r="Q57" s="109"/>
    </row>
    <row r="58" spans="7:17" x14ac:dyDescent="0.2">
      <c r="G58" s="103">
        <v>48</v>
      </c>
      <c r="H58" s="107"/>
      <c r="I58" s="108"/>
      <c r="J58" s="108"/>
      <c r="K58" s="108"/>
      <c r="L58" s="108"/>
      <c r="M58" s="108"/>
      <c r="N58" s="108"/>
      <c r="O58" s="108"/>
      <c r="P58" s="108"/>
      <c r="Q58" s="109"/>
    </row>
    <row r="59" spans="7:17" x14ac:dyDescent="0.2">
      <c r="G59" s="103">
        <v>49</v>
      </c>
      <c r="H59" s="107"/>
      <c r="I59" s="108"/>
      <c r="J59" s="108"/>
      <c r="K59" s="108"/>
      <c r="L59" s="108"/>
      <c r="M59" s="108"/>
      <c r="N59" s="108"/>
      <c r="O59" s="108"/>
      <c r="P59" s="108"/>
      <c r="Q59" s="109"/>
    </row>
    <row r="60" spans="7:17" x14ac:dyDescent="0.2">
      <c r="G60" s="103">
        <v>50</v>
      </c>
      <c r="H60" s="107"/>
      <c r="I60" s="108"/>
      <c r="J60" s="108"/>
      <c r="K60" s="108"/>
      <c r="L60" s="108"/>
      <c r="M60" s="108"/>
      <c r="N60" s="108"/>
      <c r="O60" s="108"/>
      <c r="P60" s="108"/>
      <c r="Q60" s="109"/>
    </row>
    <row r="61" spans="7:17" x14ac:dyDescent="0.2">
      <c r="G61" s="103">
        <v>51</v>
      </c>
      <c r="H61" s="107"/>
      <c r="I61" s="108"/>
      <c r="J61" s="108"/>
      <c r="K61" s="108"/>
      <c r="L61" s="108"/>
      <c r="M61" s="108"/>
      <c r="N61" s="108"/>
      <c r="O61" s="108"/>
      <c r="P61" s="108"/>
      <c r="Q61" s="109"/>
    </row>
    <row r="62" spans="7:17" x14ac:dyDescent="0.2">
      <c r="G62" s="103">
        <v>52</v>
      </c>
      <c r="H62" s="107"/>
      <c r="I62" s="108"/>
      <c r="J62" s="108"/>
      <c r="K62" s="108"/>
      <c r="L62" s="108"/>
      <c r="M62" s="108"/>
      <c r="N62" s="108"/>
      <c r="O62" s="108"/>
      <c r="P62" s="108"/>
      <c r="Q62" s="109"/>
    </row>
    <row r="63" spans="7:17" x14ac:dyDescent="0.2">
      <c r="G63" s="103">
        <v>53</v>
      </c>
      <c r="H63" s="107"/>
      <c r="I63" s="108"/>
      <c r="J63" s="108"/>
      <c r="K63" s="108"/>
      <c r="L63" s="108"/>
      <c r="M63" s="108"/>
      <c r="N63" s="108"/>
      <c r="O63" s="108"/>
      <c r="P63" s="108"/>
      <c r="Q63" s="109"/>
    </row>
    <row r="64" spans="7:17" x14ac:dyDescent="0.2">
      <c r="G64" s="103">
        <v>54</v>
      </c>
      <c r="H64" s="107"/>
      <c r="I64" s="108"/>
      <c r="J64" s="108"/>
      <c r="K64" s="108"/>
      <c r="L64" s="108"/>
      <c r="M64" s="108"/>
      <c r="N64" s="108"/>
      <c r="O64" s="108"/>
      <c r="P64" s="108"/>
      <c r="Q64" s="109"/>
    </row>
    <row r="65" spans="7:17" x14ac:dyDescent="0.2">
      <c r="G65" s="103">
        <v>55</v>
      </c>
      <c r="H65" s="107"/>
      <c r="I65" s="108"/>
      <c r="J65" s="108"/>
      <c r="K65" s="108"/>
      <c r="L65" s="108"/>
      <c r="M65" s="108"/>
      <c r="N65" s="108"/>
      <c r="O65" s="108"/>
      <c r="P65" s="108"/>
      <c r="Q65" s="109"/>
    </row>
    <row r="66" spans="7:17" x14ac:dyDescent="0.2">
      <c r="G66" s="103">
        <v>56</v>
      </c>
      <c r="H66" s="107"/>
      <c r="I66" s="108"/>
      <c r="J66" s="108"/>
      <c r="K66" s="108"/>
      <c r="L66" s="108"/>
      <c r="M66" s="108"/>
      <c r="N66" s="108"/>
      <c r="O66" s="108"/>
      <c r="P66" s="108"/>
      <c r="Q66" s="109"/>
    </row>
    <row r="67" spans="7:17" x14ac:dyDescent="0.2">
      <c r="G67" s="103">
        <v>57</v>
      </c>
      <c r="H67" s="107"/>
      <c r="I67" s="108"/>
      <c r="J67" s="108"/>
      <c r="K67" s="108"/>
      <c r="L67" s="108"/>
      <c r="M67" s="108"/>
      <c r="N67" s="108"/>
      <c r="O67" s="108"/>
      <c r="P67" s="108"/>
      <c r="Q67" s="109"/>
    </row>
    <row r="68" spans="7:17" x14ac:dyDescent="0.2">
      <c r="G68" s="103">
        <v>58</v>
      </c>
      <c r="H68" s="107"/>
      <c r="I68" s="108"/>
      <c r="J68" s="108"/>
      <c r="K68" s="108"/>
      <c r="L68" s="108"/>
      <c r="M68" s="108"/>
      <c r="N68" s="108"/>
      <c r="O68" s="108"/>
      <c r="P68" s="108"/>
      <c r="Q68" s="109"/>
    </row>
    <row r="69" spans="7:17" x14ac:dyDescent="0.2">
      <c r="G69" s="103">
        <v>59</v>
      </c>
      <c r="H69" s="107"/>
      <c r="I69" s="108"/>
      <c r="J69" s="108"/>
      <c r="K69" s="108"/>
      <c r="L69" s="108"/>
      <c r="M69" s="108"/>
      <c r="N69" s="108"/>
      <c r="O69" s="108"/>
      <c r="P69" s="108"/>
      <c r="Q69" s="109"/>
    </row>
    <row r="70" spans="7:17" x14ac:dyDescent="0.2">
      <c r="G70" s="103">
        <v>60</v>
      </c>
      <c r="H70" s="107"/>
      <c r="I70" s="108"/>
      <c r="J70" s="108"/>
      <c r="K70" s="108"/>
      <c r="L70" s="108"/>
      <c r="M70" s="108"/>
      <c r="N70" s="108"/>
      <c r="O70" s="108"/>
      <c r="P70" s="108"/>
      <c r="Q70" s="109"/>
    </row>
    <row r="71" spans="7:17" x14ac:dyDescent="0.2">
      <c r="G71" s="103">
        <v>61</v>
      </c>
      <c r="H71" s="107"/>
      <c r="I71" s="108"/>
      <c r="J71" s="108"/>
      <c r="K71" s="108"/>
      <c r="L71" s="108"/>
      <c r="M71" s="108"/>
      <c r="N71" s="108"/>
      <c r="O71" s="108"/>
      <c r="P71" s="108"/>
      <c r="Q71" s="109"/>
    </row>
    <row r="72" spans="7:17" x14ac:dyDescent="0.2">
      <c r="G72" s="103">
        <v>62</v>
      </c>
      <c r="H72" s="107"/>
      <c r="I72" s="108"/>
      <c r="J72" s="108"/>
      <c r="K72" s="108"/>
      <c r="L72" s="108"/>
      <c r="M72" s="108"/>
      <c r="N72" s="108"/>
      <c r="O72" s="108"/>
      <c r="P72" s="108"/>
      <c r="Q72" s="109"/>
    </row>
    <row r="73" spans="7:17" x14ac:dyDescent="0.2">
      <c r="G73" s="103">
        <v>63</v>
      </c>
      <c r="H73" s="107"/>
      <c r="I73" s="108"/>
      <c r="J73" s="108"/>
      <c r="K73" s="108"/>
      <c r="L73" s="108"/>
      <c r="M73" s="108"/>
      <c r="N73" s="108"/>
      <c r="O73" s="108"/>
      <c r="P73" s="108"/>
      <c r="Q73" s="109"/>
    </row>
    <row r="74" spans="7:17" x14ac:dyDescent="0.2">
      <c r="G74" s="103">
        <v>64</v>
      </c>
      <c r="H74" s="107"/>
      <c r="I74" s="108"/>
      <c r="J74" s="108"/>
      <c r="K74" s="108"/>
      <c r="L74" s="108"/>
      <c r="M74" s="108"/>
      <c r="N74" s="108"/>
      <c r="O74" s="108"/>
      <c r="P74" s="108"/>
      <c r="Q74" s="109"/>
    </row>
    <row r="75" spans="7:17" x14ac:dyDescent="0.2">
      <c r="G75" s="103">
        <v>65</v>
      </c>
      <c r="H75" s="107"/>
      <c r="I75" s="108"/>
      <c r="J75" s="108"/>
      <c r="K75" s="108"/>
      <c r="L75" s="108"/>
      <c r="M75" s="108"/>
      <c r="N75" s="108"/>
      <c r="O75" s="108"/>
      <c r="P75" s="108"/>
      <c r="Q75" s="109"/>
    </row>
    <row r="76" spans="7:17" x14ac:dyDescent="0.2">
      <c r="G76" s="103">
        <v>66</v>
      </c>
      <c r="H76" s="107"/>
      <c r="I76" s="108"/>
      <c r="J76" s="108"/>
      <c r="K76" s="108"/>
      <c r="L76" s="108"/>
      <c r="M76" s="108"/>
      <c r="N76" s="108"/>
      <c r="O76" s="108"/>
      <c r="P76" s="108"/>
      <c r="Q76" s="109"/>
    </row>
    <row r="77" spans="7:17" x14ac:dyDescent="0.2">
      <c r="G77" s="103">
        <v>67</v>
      </c>
      <c r="H77" s="107"/>
      <c r="I77" s="108"/>
      <c r="J77" s="108"/>
      <c r="K77" s="108"/>
      <c r="L77" s="108"/>
      <c r="M77" s="108"/>
      <c r="N77" s="108"/>
      <c r="O77" s="108"/>
      <c r="P77" s="108"/>
      <c r="Q77" s="109"/>
    </row>
    <row r="78" spans="7:17" x14ac:dyDescent="0.2">
      <c r="G78" s="103">
        <v>68</v>
      </c>
      <c r="H78" s="107"/>
      <c r="I78" s="108"/>
      <c r="J78" s="108"/>
      <c r="K78" s="108"/>
      <c r="L78" s="108"/>
      <c r="M78" s="108"/>
      <c r="N78" s="108"/>
      <c r="O78" s="108"/>
      <c r="P78" s="108"/>
      <c r="Q78" s="109"/>
    </row>
    <row r="79" spans="7:17" x14ac:dyDescent="0.2">
      <c r="G79" s="103">
        <v>69</v>
      </c>
      <c r="H79" s="107"/>
      <c r="I79" s="108"/>
      <c r="J79" s="108"/>
      <c r="K79" s="108"/>
      <c r="L79" s="108"/>
      <c r="M79" s="108"/>
      <c r="N79" s="108"/>
      <c r="O79" s="108"/>
      <c r="P79" s="108"/>
      <c r="Q79" s="109"/>
    </row>
    <row r="80" spans="7:17" x14ac:dyDescent="0.2">
      <c r="G80" s="103">
        <v>70</v>
      </c>
      <c r="H80" s="107"/>
      <c r="I80" s="108"/>
      <c r="J80" s="108"/>
      <c r="K80" s="108"/>
      <c r="L80" s="108"/>
      <c r="M80" s="108"/>
      <c r="N80" s="108"/>
      <c r="O80" s="108"/>
      <c r="P80" s="108"/>
      <c r="Q80" s="109"/>
    </row>
    <row r="81" spans="7:17" x14ac:dyDescent="0.2">
      <c r="G81" s="103">
        <v>71</v>
      </c>
      <c r="H81" s="107"/>
      <c r="I81" s="108"/>
      <c r="J81" s="108"/>
      <c r="K81" s="108"/>
      <c r="L81" s="108"/>
      <c r="M81" s="108"/>
      <c r="N81" s="108"/>
      <c r="O81" s="108"/>
      <c r="P81" s="108"/>
      <c r="Q81" s="109"/>
    </row>
    <row r="82" spans="7:17" x14ac:dyDescent="0.2">
      <c r="G82" s="103">
        <v>72</v>
      </c>
      <c r="H82" s="107"/>
      <c r="I82" s="108"/>
      <c r="J82" s="108"/>
      <c r="K82" s="108"/>
      <c r="L82" s="108"/>
      <c r="M82" s="108"/>
      <c r="N82" s="108"/>
      <c r="O82" s="108"/>
      <c r="P82" s="108"/>
      <c r="Q82" s="109"/>
    </row>
    <row r="83" spans="7:17" x14ac:dyDescent="0.2">
      <c r="G83" s="103">
        <v>73</v>
      </c>
      <c r="H83" s="107"/>
      <c r="I83" s="108"/>
      <c r="J83" s="108"/>
      <c r="K83" s="108"/>
      <c r="L83" s="108"/>
      <c r="M83" s="108"/>
      <c r="N83" s="108"/>
      <c r="O83" s="108"/>
      <c r="P83" s="108"/>
      <c r="Q83" s="109"/>
    </row>
    <row r="84" spans="7:17" x14ac:dyDescent="0.2">
      <c r="G84" s="103">
        <v>74</v>
      </c>
      <c r="H84" s="107"/>
      <c r="I84" s="108"/>
      <c r="J84" s="108"/>
      <c r="K84" s="108"/>
      <c r="L84" s="108"/>
      <c r="M84" s="108"/>
      <c r="N84" s="108"/>
      <c r="O84" s="108"/>
      <c r="P84" s="108"/>
      <c r="Q84" s="109"/>
    </row>
    <row r="85" spans="7:17" x14ac:dyDescent="0.2">
      <c r="G85" s="103">
        <v>75</v>
      </c>
      <c r="H85" s="107"/>
      <c r="I85" s="108"/>
      <c r="J85" s="108"/>
      <c r="K85" s="108"/>
      <c r="L85" s="108"/>
      <c r="M85" s="108"/>
      <c r="N85" s="108"/>
      <c r="O85" s="108"/>
      <c r="P85" s="108"/>
      <c r="Q85" s="109"/>
    </row>
    <row r="86" spans="7:17" x14ac:dyDescent="0.2">
      <c r="G86" s="103">
        <v>76</v>
      </c>
      <c r="H86" s="107"/>
      <c r="I86" s="108"/>
      <c r="J86" s="108"/>
      <c r="K86" s="108"/>
      <c r="L86" s="108"/>
      <c r="M86" s="108"/>
      <c r="N86" s="108"/>
      <c r="O86" s="108"/>
      <c r="P86" s="108"/>
      <c r="Q86" s="109"/>
    </row>
    <row r="87" spans="7:17" x14ac:dyDescent="0.2">
      <c r="G87" s="103">
        <v>77</v>
      </c>
      <c r="H87" s="107"/>
      <c r="I87" s="108"/>
      <c r="J87" s="108"/>
      <c r="K87" s="108"/>
      <c r="L87" s="108"/>
      <c r="M87" s="108"/>
      <c r="N87" s="108"/>
      <c r="O87" s="108"/>
      <c r="P87" s="108"/>
      <c r="Q87" s="109"/>
    </row>
    <row r="88" spans="7:17" x14ac:dyDescent="0.2">
      <c r="G88" s="103">
        <v>78</v>
      </c>
      <c r="H88" s="107"/>
      <c r="I88" s="108"/>
      <c r="J88" s="108"/>
      <c r="K88" s="108"/>
      <c r="L88" s="108"/>
      <c r="M88" s="108"/>
      <c r="N88" s="108"/>
      <c r="O88" s="108"/>
      <c r="P88" s="108"/>
      <c r="Q88" s="109"/>
    </row>
    <row r="89" spans="7:17" x14ac:dyDescent="0.2">
      <c r="G89" s="103">
        <v>79</v>
      </c>
      <c r="H89" s="107"/>
      <c r="I89" s="108"/>
      <c r="J89" s="108"/>
      <c r="K89" s="108"/>
      <c r="L89" s="108"/>
      <c r="M89" s="108"/>
      <c r="N89" s="108"/>
      <c r="O89" s="108"/>
      <c r="P89" s="108"/>
      <c r="Q89" s="109"/>
    </row>
    <row r="90" spans="7:17" x14ac:dyDescent="0.2">
      <c r="G90" s="103">
        <v>80</v>
      </c>
      <c r="H90" s="107"/>
      <c r="I90" s="108"/>
      <c r="J90" s="108"/>
      <c r="K90" s="108"/>
      <c r="L90" s="108"/>
      <c r="M90" s="108"/>
      <c r="N90" s="108"/>
      <c r="O90" s="108"/>
      <c r="P90" s="108"/>
      <c r="Q90" s="109"/>
    </row>
    <row r="91" spans="7:17" x14ac:dyDescent="0.2">
      <c r="G91" s="103">
        <v>81</v>
      </c>
      <c r="H91" s="107"/>
      <c r="I91" s="108"/>
      <c r="J91" s="108"/>
      <c r="K91" s="108"/>
      <c r="L91" s="108"/>
      <c r="M91" s="108"/>
      <c r="N91" s="108"/>
      <c r="O91" s="108"/>
      <c r="P91" s="108"/>
      <c r="Q91" s="109"/>
    </row>
    <row r="92" spans="7:17" x14ac:dyDescent="0.2">
      <c r="G92" s="103">
        <v>82</v>
      </c>
      <c r="H92" s="107"/>
      <c r="I92" s="108"/>
      <c r="J92" s="108"/>
      <c r="K92" s="108"/>
      <c r="L92" s="108"/>
      <c r="M92" s="108"/>
      <c r="N92" s="108"/>
      <c r="O92" s="108"/>
      <c r="P92" s="108"/>
      <c r="Q92" s="109"/>
    </row>
    <row r="93" spans="7:17" x14ac:dyDescent="0.2">
      <c r="G93" s="103">
        <v>83</v>
      </c>
      <c r="H93" s="107"/>
      <c r="I93" s="108"/>
      <c r="J93" s="108"/>
      <c r="K93" s="108"/>
      <c r="L93" s="108"/>
      <c r="M93" s="108"/>
      <c r="N93" s="108"/>
      <c r="O93" s="108"/>
      <c r="P93" s="108"/>
      <c r="Q93" s="109"/>
    </row>
    <row r="94" spans="7:17" x14ac:dyDescent="0.2">
      <c r="G94" s="103">
        <v>84</v>
      </c>
      <c r="H94" s="107"/>
      <c r="I94" s="108"/>
      <c r="J94" s="108"/>
      <c r="K94" s="108"/>
      <c r="L94" s="108"/>
      <c r="M94" s="108"/>
      <c r="N94" s="108"/>
      <c r="O94" s="108"/>
      <c r="P94" s="108"/>
      <c r="Q94" s="109"/>
    </row>
    <row r="95" spans="7:17" x14ac:dyDescent="0.2">
      <c r="G95" s="103">
        <v>85</v>
      </c>
      <c r="H95" s="107"/>
      <c r="I95" s="108"/>
      <c r="J95" s="108"/>
      <c r="K95" s="108"/>
      <c r="L95" s="108"/>
      <c r="M95" s="108"/>
      <c r="N95" s="108"/>
      <c r="O95" s="108"/>
      <c r="P95" s="108"/>
      <c r="Q95" s="109"/>
    </row>
    <row r="96" spans="7:17" x14ac:dyDescent="0.2">
      <c r="G96" s="103">
        <v>86</v>
      </c>
      <c r="H96" s="107"/>
      <c r="I96" s="108"/>
      <c r="J96" s="108"/>
      <c r="K96" s="108"/>
      <c r="L96" s="108"/>
      <c r="M96" s="108"/>
      <c r="N96" s="108"/>
      <c r="O96" s="108"/>
      <c r="P96" s="108"/>
      <c r="Q96" s="109"/>
    </row>
    <row r="97" spans="7:17" x14ac:dyDescent="0.2">
      <c r="G97" s="103">
        <v>87</v>
      </c>
      <c r="H97" s="107"/>
      <c r="I97" s="108"/>
      <c r="J97" s="108"/>
      <c r="K97" s="108"/>
      <c r="L97" s="108"/>
      <c r="M97" s="108"/>
      <c r="N97" s="108"/>
      <c r="O97" s="108"/>
      <c r="P97" s="108"/>
      <c r="Q97" s="109"/>
    </row>
    <row r="98" spans="7:17" x14ac:dyDescent="0.2">
      <c r="G98" s="103">
        <v>88</v>
      </c>
      <c r="H98" s="107"/>
      <c r="I98" s="108"/>
      <c r="J98" s="108"/>
      <c r="K98" s="108"/>
      <c r="L98" s="108"/>
      <c r="M98" s="108"/>
      <c r="N98" s="108"/>
      <c r="O98" s="108"/>
      <c r="P98" s="108"/>
      <c r="Q98" s="109"/>
    </row>
    <row r="99" spans="7:17" x14ac:dyDescent="0.2">
      <c r="G99" s="103">
        <v>89</v>
      </c>
      <c r="H99" s="107"/>
      <c r="I99" s="108"/>
      <c r="J99" s="108"/>
      <c r="K99" s="108"/>
      <c r="L99" s="108"/>
      <c r="M99" s="108"/>
      <c r="N99" s="108"/>
      <c r="O99" s="108"/>
      <c r="P99" s="108"/>
      <c r="Q99" s="109"/>
    </row>
    <row r="100" spans="7:17" x14ac:dyDescent="0.2">
      <c r="G100" s="103">
        <v>90</v>
      </c>
      <c r="H100" s="107"/>
      <c r="I100" s="108"/>
      <c r="J100" s="108"/>
      <c r="K100" s="108"/>
      <c r="L100" s="108"/>
      <c r="M100" s="108"/>
      <c r="N100" s="108"/>
      <c r="O100" s="108"/>
      <c r="P100" s="108"/>
      <c r="Q100" s="109"/>
    </row>
    <row r="101" spans="7:17" x14ac:dyDescent="0.2">
      <c r="G101" s="103">
        <v>91</v>
      </c>
      <c r="H101" s="107"/>
      <c r="I101" s="108"/>
      <c r="J101" s="108"/>
      <c r="K101" s="108"/>
      <c r="L101" s="108"/>
      <c r="M101" s="108"/>
      <c r="N101" s="108"/>
      <c r="O101" s="108"/>
      <c r="P101" s="108"/>
      <c r="Q101" s="109"/>
    </row>
    <row r="102" spans="7:17" x14ac:dyDescent="0.2">
      <c r="G102" s="103">
        <v>92</v>
      </c>
      <c r="H102" s="107"/>
      <c r="I102" s="108"/>
      <c r="J102" s="108"/>
      <c r="K102" s="108"/>
      <c r="L102" s="108"/>
      <c r="M102" s="108"/>
      <c r="N102" s="108"/>
      <c r="O102" s="108"/>
      <c r="P102" s="108"/>
      <c r="Q102" s="109"/>
    </row>
    <row r="103" spans="7:17" x14ac:dyDescent="0.2">
      <c r="G103" s="103">
        <v>93</v>
      </c>
      <c r="H103" s="107"/>
      <c r="I103" s="108"/>
      <c r="J103" s="108"/>
      <c r="K103" s="108"/>
      <c r="L103" s="108"/>
      <c r="M103" s="108"/>
      <c r="N103" s="108"/>
      <c r="O103" s="108"/>
      <c r="P103" s="108"/>
      <c r="Q103" s="109"/>
    </row>
    <row r="104" spans="7:17" x14ac:dyDescent="0.2">
      <c r="G104" s="103">
        <v>94</v>
      </c>
      <c r="H104" s="107"/>
      <c r="I104" s="108"/>
      <c r="J104" s="108"/>
      <c r="K104" s="108"/>
      <c r="L104" s="108"/>
      <c r="M104" s="108"/>
      <c r="N104" s="108"/>
      <c r="O104" s="108"/>
      <c r="P104" s="108"/>
      <c r="Q104" s="109"/>
    </row>
    <row r="105" spans="7:17" x14ac:dyDescent="0.2">
      <c r="G105" s="103">
        <v>95</v>
      </c>
      <c r="H105" s="107"/>
      <c r="I105" s="108"/>
      <c r="J105" s="108"/>
      <c r="K105" s="108"/>
      <c r="L105" s="108"/>
      <c r="M105" s="108"/>
      <c r="N105" s="108"/>
      <c r="O105" s="108"/>
      <c r="P105" s="108"/>
      <c r="Q105" s="109"/>
    </row>
    <row r="106" spans="7:17" x14ac:dyDescent="0.2">
      <c r="G106" s="103">
        <v>96</v>
      </c>
      <c r="H106" s="107"/>
      <c r="I106" s="108"/>
      <c r="J106" s="108"/>
      <c r="K106" s="108"/>
      <c r="L106" s="108"/>
      <c r="M106" s="108"/>
      <c r="N106" s="108"/>
      <c r="O106" s="108"/>
      <c r="P106" s="108"/>
      <c r="Q106" s="109"/>
    </row>
    <row r="107" spans="7:17" x14ac:dyDescent="0.2">
      <c r="G107" s="103">
        <v>97</v>
      </c>
      <c r="H107" s="107"/>
      <c r="I107" s="108"/>
      <c r="J107" s="108"/>
      <c r="K107" s="108"/>
      <c r="L107" s="108"/>
      <c r="M107" s="108"/>
      <c r="N107" s="108"/>
      <c r="O107" s="108"/>
      <c r="P107" s="108"/>
      <c r="Q107" s="109"/>
    </row>
    <row r="108" spans="7:17" x14ac:dyDescent="0.2">
      <c r="G108" s="103">
        <v>98</v>
      </c>
      <c r="H108" s="107"/>
      <c r="I108" s="108"/>
      <c r="J108" s="108"/>
      <c r="K108" s="108"/>
      <c r="L108" s="108"/>
      <c r="M108" s="108"/>
      <c r="N108" s="108"/>
      <c r="O108" s="108"/>
      <c r="P108" s="108"/>
      <c r="Q108" s="109"/>
    </row>
    <row r="109" spans="7:17" x14ac:dyDescent="0.2">
      <c r="G109" s="103">
        <v>99</v>
      </c>
      <c r="H109" s="107"/>
      <c r="I109" s="108"/>
      <c r="J109" s="108"/>
      <c r="K109" s="108"/>
      <c r="L109" s="108"/>
      <c r="M109" s="108"/>
      <c r="N109" s="108"/>
      <c r="O109" s="108"/>
      <c r="P109" s="108"/>
      <c r="Q109" s="109"/>
    </row>
    <row r="110" spans="7:17" x14ac:dyDescent="0.2">
      <c r="G110" s="103">
        <v>100</v>
      </c>
      <c r="H110" s="107"/>
      <c r="I110" s="108"/>
      <c r="J110" s="108"/>
      <c r="K110" s="108"/>
      <c r="L110" s="108"/>
      <c r="M110" s="108"/>
      <c r="N110" s="108"/>
      <c r="O110" s="108"/>
      <c r="P110" s="108"/>
      <c r="Q110" s="109"/>
    </row>
    <row r="111" spans="7:17" x14ac:dyDescent="0.2">
      <c r="G111" s="103">
        <v>101</v>
      </c>
      <c r="H111" s="107"/>
      <c r="I111" s="108"/>
      <c r="J111" s="108"/>
      <c r="K111" s="108"/>
      <c r="L111" s="108"/>
      <c r="M111" s="108"/>
      <c r="N111" s="108"/>
      <c r="O111" s="108"/>
      <c r="P111" s="108"/>
      <c r="Q111" s="109"/>
    </row>
    <row r="112" spans="7:17" x14ac:dyDescent="0.2">
      <c r="G112" s="103">
        <v>102</v>
      </c>
      <c r="H112" s="107"/>
      <c r="I112" s="108"/>
      <c r="J112" s="108"/>
      <c r="K112" s="108"/>
      <c r="L112" s="108"/>
      <c r="M112" s="108"/>
      <c r="N112" s="108"/>
      <c r="O112" s="108"/>
      <c r="P112" s="108"/>
      <c r="Q112" s="109"/>
    </row>
    <row r="113" spans="7:17" x14ac:dyDescent="0.2">
      <c r="G113" s="103">
        <v>103</v>
      </c>
      <c r="H113" s="107"/>
      <c r="I113" s="108"/>
      <c r="J113" s="108"/>
      <c r="K113" s="108"/>
      <c r="L113" s="108"/>
      <c r="M113" s="108"/>
      <c r="N113" s="108"/>
      <c r="O113" s="108"/>
      <c r="P113" s="108"/>
      <c r="Q113" s="109"/>
    </row>
    <row r="114" spans="7:17" x14ac:dyDescent="0.2">
      <c r="G114" s="103">
        <v>104</v>
      </c>
      <c r="H114" s="107"/>
      <c r="I114" s="108"/>
      <c r="J114" s="108"/>
      <c r="K114" s="108"/>
      <c r="L114" s="108"/>
      <c r="M114" s="108"/>
      <c r="N114" s="108"/>
      <c r="O114" s="108"/>
      <c r="P114" s="108"/>
      <c r="Q114" s="109"/>
    </row>
    <row r="115" spans="7:17" x14ac:dyDescent="0.2">
      <c r="G115" s="103">
        <v>105</v>
      </c>
      <c r="H115" s="107"/>
      <c r="I115" s="108"/>
      <c r="J115" s="108"/>
      <c r="K115" s="108"/>
      <c r="L115" s="108"/>
      <c r="M115" s="108"/>
      <c r="N115" s="108"/>
      <c r="O115" s="108"/>
      <c r="P115" s="108"/>
      <c r="Q115" s="109"/>
    </row>
    <row r="116" spans="7:17" x14ac:dyDescent="0.2">
      <c r="G116" s="103">
        <v>106</v>
      </c>
      <c r="H116" s="107"/>
      <c r="I116" s="108"/>
      <c r="J116" s="108"/>
      <c r="K116" s="108"/>
      <c r="L116" s="108"/>
      <c r="M116" s="108"/>
      <c r="N116" s="108"/>
      <c r="O116" s="108"/>
      <c r="P116" s="108"/>
      <c r="Q116" s="109"/>
    </row>
    <row r="117" spans="7:17" x14ac:dyDescent="0.2">
      <c r="G117" s="103">
        <v>107</v>
      </c>
      <c r="H117" s="107"/>
      <c r="I117" s="108"/>
      <c r="J117" s="108"/>
      <c r="K117" s="108"/>
      <c r="L117" s="108"/>
      <c r="M117" s="108"/>
      <c r="N117" s="108"/>
      <c r="O117" s="108"/>
      <c r="P117" s="108"/>
      <c r="Q117" s="109"/>
    </row>
    <row r="118" spans="7:17" x14ac:dyDescent="0.2">
      <c r="G118" s="103">
        <v>108</v>
      </c>
      <c r="H118" s="107"/>
      <c r="I118" s="108"/>
      <c r="J118" s="108"/>
      <c r="K118" s="108"/>
      <c r="L118" s="108"/>
      <c r="M118" s="108"/>
      <c r="N118" s="108"/>
      <c r="O118" s="108"/>
      <c r="P118" s="108"/>
      <c r="Q118" s="109"/>
    </row>
    <row r="119" spans="7:17" x14ac:dyDescent="0.2">
      <c r="G119" s="103">
        <v>109</v>
      </c>
      <c r="H119" s="107"/>
      <c r="I119" s="108"/>
      <c r="J119" s="108"/>
      <c r="K119" s="108"/>
      <c r="L119" s="108"/>
      <c r="M119" s="108"/>
      <c r="N119" s="108"/>
      <c r="O119" s="108"/>
      <c r="P119" s="108"/>
      <c r="Q119" s="109"/>
    </row>
    <row r="120" spans="7:17" x14ac:dyDescent="0.2">
      <c r="G120" s="103">
        <v>110</v>
      </c>
      <c r="H120" s="107"/>
      <c r="I120" s="108"/>
      <c r="J120" s="108"/>
      <c r="K120" s="108"/>
      <c r="L120" s="108"/>
      <c r="M120" s="108"/>
      <c r="N120" s="108"/>
      <c r="O120" s="108"/>
      <c r="P120" s="108"/>
      <c r="Q120" s="109"/>
    </row>
    <row r="121" spans="7:17" x14ac:dyDescent="0.2">
      <c r="G121" s="103">
        <v>111</v>
      </c>
      <c r="H121" s="107"/>
      <c r="I121" s="108"/>
      <c r="J121" s="108"/>
      <c r="K121" s="108"/>
      <c r="L121" s="108"/>
      <c r="M121" s="108"/>
      <c r="N121" s="108"/>
      <c r="O121" s="108"/>
      <c r="P121" s="108"/>
      <c r="Q121" s="109"/>
    </row>
    <row r="122" spans="7:17" x14ac:dyDescent="0.2">
      <c r="G122" s="103">
        <v>112</v>
      </c>
      <c r="H122" s="107"/>
      <c r="I122" s="108"/>
      <c r="J122" s="108"/>
      <c r="K122" s="108"/>
      <c r="L122" s="108"/>
      <c r="M122" s="108"/>
      <c r="N122" s="108"/>
      <c r="O122" s="108"/>
      <c r="P122" s="108"/>
      <c r="Q122" s="109"/>
    </row>
    <row r="123" spans="7:17" x14ac:dyDescent="0.2">
      <c r="G123" s="103">
        <v>113</v>
      </c>
      <c r="H123" s="107"/>
      <c r="I123" s="108"/>
      <c r="J123" s="108"/>
      <c r="K123" s="108"/>
      <c r="L123" s="108"/>
      <c r="M123" s="108"/>
      <c r="N123" s="108"/>
      <c r="O123" s="108"/>
      <c r="P123" s="108"/>
      <c r="Q123" s="109"/>
    </row>
    <row r="124" spans="7:17" x14ac:dyDescent="0.2">
      <c r="G124" s="103">
        <v>114</v>
      </c>
      <c r="H124" s="107"/>
      <c r="I124" s="108"/>
      <c r="J124" s="108"/>
      <c r="K124" s="108"/>
      <c r="L124" s="108"/>
      <c r="M124" s="108"/>
      <c r="N124" s="108"/>
      <c r="O124" s="108"/>
      <c r="P124" s="108"/>
      <c r="Q124" s="109"/>
    </row>
    <row r="125" spans="7:17" x14ac:dyDescent="0.2">
      <c r="G125" s="103">
        <v>115</v>
      </c>
      <c r="H125" s="107"/>
      <c r="I125" s="108"/>
      <c r="J125" s="108"/>
      <c r="K125" s="108"/>
      <c r="L125" s="108"/>
      <c r="M125" s="108"/>
      <c r="N125" s="108"/>
      <c r="O125" s="108"/>
      <c r="P125" s="108"/>
      <c r="Q125" s="109"/>
    </row>
    <row r="126" spans="7:17" x14ac:dyDescent="0.2">
      <c r="G126" s="103">
        <v>116</v>
      </c>
      <c r="H126" s="107"/>
      <c r="I126" s="108"/>
      <c r="J126" s="108"/>
      <c r="K126" s="108"/>
      <c r="L126" s="108"/>
      <c r="M126" s="108"/>
      <c r="N126" s="108"/>
      <c r="O126" s="108"/>
      <c r="P126" s="108"/>
      <c r="Q126" s="109"/>
    </row>
    <row r="127" spans="7:17" x14ac:dyDescent="0.2">
      <c r="G127" s="103">
        <v>117</v>
      </c>
      <c r="H127" s="107"/>
      <c r="I127" s="108"/>
      <c r="J127" s="108"/>
      <c r="K127" s="108"/>
      <c r="L127" s="108"/>
      <c r="M127" s="108"/>
      <c r="N127" s="108"/>
      <c r="O127" s="108"/>
      <c r="P127" s="108"/>
      <c r="Q127" s="109"/>
    </row>
    <row r="128" spans="7:17" x14ac:dyDescent="0.2">
      <c r="G128" s="103">
        <v>118</v>
      </c>
      <c r="H128" s="107"/>
      <c r="I128" s="108"/>
      <c r="J128" s="108"/>
      <c r="K128" s="108"/>
      <c r="L128" s="108"/>
      <c r="M128" s="108"/>
      <c r="N128" s="108"/>
      <c r="O128" s="108"/>
      <c r="P128" s="108"/>
      <c r="Q128" s="109"/>
    </row>
    <row r="129" spans="7:17" x14ac:dyDescent="0.2">
      <c r="G129" s="103">
        <v>119</v>
      </c>
      <c r="H129" s="107"/>
      <c r="I129" s="108"/>
      <c r="J129" s="108"/>
      <c r="K129" s="108"/>
      <c r="L129" s="108"/>
      <c r="M129" s="108"/>
      <c r="N129" s="108"/>
      <c r="O129" s="108"/>
      <c r="P129" s="108"/>
      <c r="Q129" s="109"/>
    </row>
    <row r="130" spans="7:17" x14ac:dyDescent="0.2">
      <c r="G130" s="103">
        <v>120</v>
      </c>
      <c r="H130" s="107"/>
      <c r="I130" s="108"/>
      <c r="J130" s="108"/>
      <c r="K130" s="108"/>
      <c r="L130" s="108"/>
      <c r="M130" s="108"/>
      <c r="N130" s="108"/>
      <c r="O130" s="108"/>
      <c r="P130" s="108"/>
      <c r="Q130" s="109"/>
    </row>
    <row r="131" spans="7:17" x14ac:dyDescent="0.2">
      <c r="G131" s="103">
        <v>121</v>
      </c>
      <c r="H131" s="107"/>
      <c r="I131" s="108"/>
      <c r="J131" s="108"/>
      <c r="K131" s="108"/>
      <c r="L131" s="108"/>
      <c r="M131" s="108"/>
      <c r="N131" s="108"/>
      <c r="O131" s="108"/>
      <c r="P131" s="108"/>
      <c r="Q131" s="109"/>
    </row>
    <row r="132" spans="7:17" x14ac:dyDescent="0.2">
      <c r="G132" s="103">
        <v>122</v>
      </c>
      <c r="H132" s="107"/>
      <c r="I132" s="108"/>
      <c r="J132" s="108"/>
      <c r="K132" s="108"/>
      <c r="L132" s="108"/>
      <c r="M132" s="108"/>
      <c r="N132" s="108"/>
      <c r="O132" s="108"/>
      <c r="P132" s="108"/>
      <c r="Q132" s="109"/>
    </row>
    <row r="133" spans="7:17" x14ac:dyDescent="0.2">
      <c r="G133" s="103">
        <v>123</v>
      </c>
      <c r="H133" s="107"/>
      <c r="I133" s="108"/>
      <c r="J133" s="108"/>
      <c r="K133" s="108"/>
      <c r="L133" s="108"/>
      <c r="M133" s="108"/>
      <c r="N133" s="108"/>
      <c r="O133" s="108"/>
      <c r="P133" s="108"/>
      <c r="Q133" s="109"/>
    </row>
    <row r="134" spans="7:17" x14ac:dyDescent="0.2">
      <c r="G134" s="103">
        <v>124</v>
      </c>
      <c r="H134" s="107"/>
      <c r="I134" s="108"/>
      <c r="J134" s="108"/>
      <c r="K134" s="108"/>
      <c r="L134" s="108"/>
      <c r="M134" s="108"/>
      <c r="N134" s="108"/>
      <c r="O134" s="108"/>
      <c r="P134" s="108"/>
      <c r="Q134" s="109"/>
    </row>
    <row r="135" spans="7:17" x14ac:dyDescent="0.2">
      <c r="G135" s="103">
        <v>125</v>
      </c>
      <c r="H135" s="107"/>
      <c r="I135" s="108"/>
      <c r="J135" s="108"/>
      <c r="K135" s="108"/>
      <c r="L135" s="108"/>
      <c r="M135" s="108"/>
      <c r="N135" s="108"/>
      <c r="O135" s="108"/>
      <c r="P135" s="108"/>
      <c r="Q135" s="109"/>
    </row>
    <row r="136" spans="7:17" x14ac:dyDescent="0.2">
      <c r="G136" s="103">
        <v>126</v>
      </c>
      <c r="H136" s="107"/>
      <c r="I136" s="108"/>
      <c r="J136" s="108"/>
      <c r="K136" s="108"/>
      <c r="L136" s="108"/>
      <c r="M136" s="108"/>
      <c r="N136" s="108"/>
      <c r="O136" s="108"/>
      <c r="P136" s="108"/>
      <c r="Q136" s="109"/>
    </row>
    <row r="137" spans="7:17" x14ac:dyDescent="0.2">
      <c r="G137" s="103">
        <v>127</v>
      </c>
      <c r="H137" s="107"/>
      <c r="I137" s="108"/>
      <c r="J137" s="108"/>
      <c r="K137" s="108"/>
      <c r="L137" s="108"/>
      <c r="M137" s="108"/>
      <c r="N137" s="108"/>
      <c r="O137" s="108"/>
      <c r="P137" s="108"/>
      <c r="Q137" s="109"/>
    </row>
    <row r="138" spans="7:17" x14ac:dyDescent="0.2">
      <c r="G138" s="103">
        <v>128</v>
      </c>
      <c r="H138" s="107"/>
      <c r="I138" s="108"/>
      <c r="J138" s="108"/>
      <c r="K138" s="108"/>
      <c r="L138" s="108"/>
      <c r="M138" s="108"/>
      <c r="N138" s="108"/>
      <c r="O138" s="108"/>
      <c r="P138" s="108"/>
      <c r="Q138" s="109"/>
    </row>
    <row r="139" spans="7:17" x14ac:dyDescent="0.2">
      <c r="G139" s="103">
        <v>129</v>
      </c>
      <c r="H139" s="107"/>
      <c r="I139" s="108"/>
      <c r="J139" s="108"/>
      <c r="K139" s="108"/>
      <c r="L139" s="108"/>
      <c r="M139" s="108"/>
      <c r="N139" s="108"/>
      <c r="O139" s="108"/>
      <c r="P139" s="108"/>
      <c r="Q139" s="109"/>
    </row>
    <row r="140" spans="7:17" x14ac:dyDescent="0.2">
      <c r="G140" s="103">
        <v>130</v>
      </c>
      <c r="H140" s="107"/>
      <c r="I140" s="108"/>
      <c r="J140" s="108"/>
      <c r="K140" s="108"/>
      <c r="L140" s="108"/>
      <c r="M140" s="108"/>
      <c r="N140" s="108"/>
      <c r="O140" s="108"/>
      <c r="P140" s="108"/>
      <c r="Q140" s="109"/>
    </row>
    <row r="141" spans="7:17" x14ac:dyDescent="0.2">
      <c r="G141" s="103">
        <v>131</v>
      </c>
      <c r="H141" s="107"/>
      <c r="I141" s="108"/>
      <c r="J141" s="108"/>
      <c r="K141" s="108"/>
      <c r="L141" s="108"/>
      <c r="M141" s="108"/>
      <c r="N141" s="108"/>
      <c r="O141" s="108"/>
      <c r="P141" s="108"/>
      <c r="Q141" s="109"/>
    </row>
    <row r="142" spans="7:17" x14ac:dyDescent="0.2">
      <c r="G142" s="103">
        <v>132</v>
      </c>
      <c r="H142" s="107"/>
      <c r="I142" s="108"/>
      <c r="J142" s="108"/>
      <c r="K142" s="108"/>
      <c r="L142" s="108"/>
      <c r="M142" s="108"/>
      <c r="N142" s="108"/>
      <c r="O142" s="108"/>
      <c r="P142" s="108"/>
      <c r="Q142" s="109"/>
    </row>
    <row r="143" spans="7:17" x14ac:dyDescent="0.2">
      <c r="G143" s="103">
        <v>133</v>
      </c>
      <c r="H143" s="107"/>
      <c r="I143" s="108"/>
      <c r="J143" s="108"/>
      <c r="K143" s="108"/>
      <c r="L143" s="108"/>
      <c r="M143" s="108"/>
      <c r="N143" s="108"/>
      <c r="O143" s="108"/>
      <c r="P143" s="108"/>
      <c r="Q143" s="109"/>
    </row>
    <row r="144" spans="7:17" x14ac:dyDescent="0.2">
      <c r="G144" s="103">
        <v>134</v>
      </c>
      <c r="H144" s="107"/>
      <c r="I144" s="108"/>
      <c r="J144" s="108"/>
      <c r="K144" s="108"/>
      <c r="L144" s="108"/>
      <c r="M144" s="108"/>
      <c r="N144" s="108"/>
      <c r="O144" s="108"/>
      <c r="P144" s="108"/>
      <c r="Q144" s="109"/>
    </row>
    <row r="145" spans="7:17" x14ac:dyDescent="0.2">
      <c r="G145" s="103">
        <v>135</v>
      </c>
      <c r="H145" s="107"/>
      <c r="I145" s="108"/>
      <c r="J145" s="108"/>
      <c r="K145" s="108"/>
      <c r="L145" s="108"/>
      <c r="M145" s="108"/>
      <c r="N145" s="108"/>
      <c r="O145" s="108"/>
      <c r="P145" s="108"/>
      <c r="Q145" s="109"/>
    </row>
    <row r="146" spans="7:17" x14ac:dyDescent="0.2">
      <c r="G146" s="103">
        <v>136</v>
      </c>
      <c r="H146" s="107"/>
      <c r="I146" s="108"/>
      <c r="J146" s="108"/>
      <c r="K146" s="108"/>
      <c r="L146" s="108"/>
      <c r="M146" s="108"/>
      <c r="N146" s="108"/>
      <c r="O146" s="108"/>
      <c r="P146" s="108"/>
      <c r="Q146" s="109"/>
    </row>
    <row r="147" spans="7:17" x14ac:dyDescent="0.2">
      <c r="G147" s="103">
        <v>137</v>
      </c>
      <c r="H147" s="107"/>
      <c r="I147" s="108"/>
      <c r="J147" s="108"/>
      <c r="K147" s="108"/>
      <c r="L147" s="108"/>
      <c r="M147" s="108"/>
      <c r="N147" s="108"/>
      <c r="O147" s="108"/>
      <c r="P147" s="108"/>
      <c r="Q147" s="109"/>
    </row>
    <row r="148" spans="7:17" x14ac:dyDescent="0.2">
      <c r="G148" s="103">
        <v>138</v>
      </c>
      <c r="H148" s="107"/>
      <c r="I148" s="108"/>
      <c r="J148" s="108"/>
      <c r="K148" s="108"/>
      <c r="L148" s="108"/>
      <c r="M148" s="108"/>
      <c r="N148" s="108"/>
      <c r="O148" s="108"/>
      <c r="P148" s="108"/>
      <c r="Q148" s="109"/>
    </row>
    <row r="149" spans="7:17" x14ac:dyDescent="0.2">
      <c r="G149" s="103">
        <v>139</v>
      </c>
      <c r="H149" s="107"/>
      <c r="I149" s="108"/>
      <c r="J149" s="108"/>
      <c r="K149" s="108"/>
      <c r="L149" s="108"/>
      <c r="M149" s="108"/>
      <c r="N149" s="108"/>
      <c r="O149" s="108"/>
      <c r="P149" s="108"/>
      <c r="Q149" s="109"/>
    </row>
    <row r="150" spans="7:17" x14ac:dyDescent="0.2">
      <c r="G150" s="103">
        <v>140</v>
      </c>
      <c r="H150" s="107"/>
      <c r="I150" s="108"/>
      <c r="J150" s="108"/>
      <c r="K150" s="108"/>
      <c r="L150" s="108"/>
      <c r="M150" s="108"/>
      <c r="N150" s="108"/>
      <c r="O150" s="108"/>
      <c r="P150" s="108"/>
      <c r="Q150" s="109"/>
    </row>
    <row r="151" spans="7:17" x14ac:dyDescent="0.2">
      <c r="G151" s="103">
        <v>141</v>
      </c>
      <c r="H151" s="107"/>
      <c r="I151" s="108"/>
      <c r="J151" s="108"/>
      <c r="K151" s="108"/>
      <c r="L151" s="108"/>
      <c r="M151" s="108"/>
      <c r="N151" s="108"/>
      <c r="O151" s="108"/>
      <c r="P151" s="108"/>
      <c r="Q151" s="109"/>
    </row>
    <row r="152" spans="7:17" x14ac:dyDescent="0.2">
      <c r="G152" s="103">
        <v>142</v>
      </c>
      <c r="H152" s="107"/>
      <c r="I152" s="108"/>
      <c r="J152" s="108"/>
      <c r="K152" s="108"/>
      <c r="L152" s="108"/>
      <c r="M152" s="108"/>
      <c r="N152" s="108"/>
      <c r="O152" s="108"/>
      <c r="P152" s="108"/>
      <c r="Q152" s="109"/>
    </row>
    <row r="153" spans="7:17" x14ac:dyDescent="0.2">
      <c r="G153" s="103">
        <v>143</v>
      </c>
      <c r="H153" s="107"/>
      <c r="I153" s="108"/>
      <c r="J153" s="108"/>
      <c r="K153" s="108"/>
      <c r="L153" s="108"/>
      <c r="M153" s="108"/>
      <c r="N153" s="108"/>
      <c r="O153" s="108"/>
      <c r="P153" s="108"/>
      <c r="Q153" s="109"/>
    </row>
    <row r="154" spans="7:17" x14ac:dyDescent="0.2">
      <c r="G154" s="103">
        <v>144</v>
      </c>
      <c r="H154" s="107"/>
      <c r="I154" s="108"/>
      <c r="J154" s="108"/>
      <c r="K154" s="108"/>
      <c r="L154" s="108"/>
      <c r="M154" s="108"/>
      <c r="N154" s="108"/>
      <c r="O154" s="108"/>
      <c r="P154" s="108"/>
      <c r="Q154" s="109"/>
    </row>
    <row r="155" spans="7:17" x14ac:dyDescent="0.2">
      <c r="G155" s="103">
        <v>145</v>
      </c>
      <c r="H155" s="107"/>
      <c r="I155" s="108"/>
      <c r="J155" s="108"/>
      <c r="K155" s="108"/>
      <c r="L155" s="108"/>
      <c r="M155" s="108"/>
      <c r="N155" s="108"/>
      <c r="O155" s="108"/>
      <c r="P155" s="108"/>
      <c r="Q155" s="109"/>
    </row>
    <row r="156" spans="7:17" x14ac:dyDescent="0.2">
      <c r="G156" s="103">
        <v>146</v>
      </c>
      <c r="H156" s="107"/>
      <c r="I156" s="108"/>
      <c r="J156" s="108"/>
      <c r="K156" s="108"/>
      <c r="L156" s="108"/>
      <c r="M156" s="108"/>
      <c r="N156" s="108"/>
      <c r="O156" s="108"/>
      <c r="P156" s="108"/>
      <c r="Q156" s="109"/>
    </row>
    <row r="157" spans="7:17" x14ac:dyDescent="0.2">
      <c r="G157" s="103">
        <v>147</v>
      </c>
      <c r="H157" s="107"/>
      <c r="I157" s="108"/>
      <c r="J157" s="108"/>
      <c r="K157" s="108"/>
      <c r="L157" s="108"/>
      <c r="M157" s="108"/>
      <c r="N157" s="108"/>
      <c r="O157" s="108"/>
      <c r="P157" s="108"/>
      <c r="Q157" s="109"/>
    </row>
    <row r="158" spans="7:17" x14ac:dyDescent="0.2">
      <c r="G158" s="103">
        <v>148</v>
      </c>
      <c r="H158" s="107"/>
      <c r="I158" s="108"/>
      <c r="J158" s="108"/>
      <c r="K158" s="108"/>
      <c r="L158" s="108"/>
      <c r="M158" s="108"/>
      <c r="N158" s="108"/>
      <c r="O158" s="108"/>
      <c r="P158" s="108"/>
      <c r="Q158" s="109"/>
    </row>
    <row r="159" spans="7:17" x14ac:dyDescent="0.2">
      <c r="G159" s="103">
        <v>149</v>
      </c>
      <c r="H159" s="107"/>
      <c r="I159" s="108"/>
      <c r="J159" s="108"/>
      <c r="K159" s="108"/>
      <c r="L159" s="108"/>
      <c r="M159" s="108"/>
      <c r="N159" s="108"/>
      <c r="O159" s="108"/>
      <c r="P159" s="108"/>
      <c r="Q159" s="109"/>
    </row>
    <row r="160" spans="7:17" x14ac:dyDescent="0.2">
      <c r="G160" s="103">
        <v>150</v>
      </c>
      <c r="H160" s="107"/>
      <c r="I160" s="108"/>
      <c r="J160" s="108"/>
      <c r="K160" s="108"/>
      <c r="L160" s="108"/>
      <c r="M160" s="108"/>
      <c r="N160" s="108"/>
      <c r="O160" s="108"/>
      <c r="P160" s="108"/>
      <c r="Q160" s="109"/>
    </row>
    <row r="161" spans="7:17" x14ac:dyDescent="0.2">
      <c r="G161" s="103">
        <v>151</v>
      </c>
      <c r="H161" s="107"/>
      <c r="I161" s="108"/>
      <c r="J161" s="108"/>
      <c r="K161" s="108"/>
      <c r="L161" s="108"/>
      <c r="M161" s="108"/>
      <c r="N161" s="108"/>
      <c r="O161" s="108"/>
      <c r="P161" s="108"/>
      <c r="Q161" s="109"/>
    </row>
    <row r="162" spans="7:17" x14ac:dyDescent="0.2">
      <c r="G162" s="103">
        <v>152</v>
      </c>
      <c r="H162" s="107"/>
      <c r="I162" s="108"/>
      <c r="J162" s="108"/>
      <c r="K162" s="108"/>
      <c r="L162" s="108"/>
      <c r="M162" s="108"/>
      <c r="N162" s="108"/>
      <c r="O162" s="108"/>
      <c r="P162" s="108"/>
      <c r="Q162" s="109"/>
    </row>
    <row r="163" spans="7:17" x14ac:dyDescent="0.2">
      <c r="G163" s="103">
        <v>153</v>
      </c>
      <c r="H163" s="107"/>
      <c r="I163" s="108"/>
      <c r="J163" s="108"/>
      <c r="K163" s="108"/>
      <c r="L163" s="108"/>
      <c r="M163" s="108"/>
      <c r="N163" s="108"/>
      <c r="O163" s="108"/>
      <c r="P163" s="108"/>
      <c r="Q163" s="109"/>
    </row>
    <row r="164" spans="7:17" x14ac:dyDescent="0.2">
      <c r="G164" s="103">
        <v>154</v>
      </c>
      <c r="H164" s="107"/>
      <c r="I164" s="108"/>
      <c r="J164" s="108"/>
      <c r="K164" s="108"/>
      <c r="L164" s="108"/>
      <c r="M164" s="108"/>
      <c r="N164" s="108"/>
      <c r="O164" s="108"/>
      <c r="P164" s="108"/>
      <c r="Q164" s="109"/>
    </row>
    <row r="165" spans="7:17" x14ac:dyDescent="0.2">
      <c r="G165" s="103">
        <v>155</v>
      </c>
      <c r="H165" s="107"/>
      <c r="I165" s="108"/>
      <c r="J165" s="108"/>
      <c r="K165" s="108"/>
      <c r="L165" s="108"/>
      <c r="M165" s="108"/>
      <c r="N165" s="108"/>
      <c r="O165" s="108"/>
      <c r="P165" s="108"/>
      <c r="Q165" s="109"/>
    </row>
    <row r="166" spans="7:17" x14ac:dyDescent="0.2">
      <c r="G166" s="103">
        <v>156</v>
      </c>
      <c r="H166" s="107"/>
      <c r="I166" s="108"/>
      <c r="J166" s="108"/>
      <c r="K166" s="108"/>
      <c r="L166" s="108"/>
      <c r="M166" s="108"/>
      <c r="N166" s="108"/>
      <c r="O166" s="108"/>
      <c r="P166" s="108"/>
      <c r="Q166" s="109"/>
    </row>
    <row r="167" spans="7:17" x14ac:dyDescent="0.2">
      <c r="G167" s="103">
        <v>157</v>
      </c>
      <c r="H167" s="107"/>
      <c r="I167" s="108"/>
      <c r="J167" s="108"/>
      <c r="K167" s="108"/>
      <c r="L167" s="108"/>
      <c r="M167" s="108"/>
      <c r="N167" s="108"/>
      <c r="O167" s="108"/>
      <c r="P167" s="108"/>
      <c r="Q167" s="109"/>
    </row>
    <row r="168" spans="7:17" x14ac:dyDescent="0.2">
      <c r="G168" s="103">
        <v>158</v>
      </c>
      <c r="H168" s="107"/>
      <c r="I168" s="108"/>
      <c r="J168" s="108"/>
      <c r="K168" s="108"/>
      <c r="L168" s="108"/>
      <c r="M168" s="108"/>
      <c r="N168" s="108"/>
      <c r="O168" s="108"/>
      <c r="P168" s="108"/>
      <c r="Q168" s="109"/>
    </row>
    <row r="169" spans="7:17" x14ac:dyDescent="0.2">
      <c r="G169" s="103">
        <v>159</v>
      </c>
      <c r="H169" s="107"/>
      <c r="I169" s="108"/>
      <c r="J169" s="108"/>
      <c r="K169" s="108"/>
      <c r="L169" s="108"/>
      <c r="M169" s="108"/>
      <c r="N169" s="108"/>
      <c r="O169" s="108"/>
      <c r="P169" s="108"/>
      <c r="Q169" s="109"/>
    </row>
    <row r="170" spans="7:17" x14ac:dyDescent="0.2">
      <c r="G170" s="103">
        <v>160</v>
      </c>
      <c r="H170" s="107"/>
      <c r="I170" s="108"/>
      <c r="J170" s="108"/>
      <c r="K170" s="108"/>
      <c r="L170" s="108"/>
      <c r="M170" s="108"/>
      <c r="N170" s="108"/>
      <c r="O170" s="108"/>
      <c r="P170" s="108"/>
      <c r="Q170" s="109"/>
    </row>
    <row r="171" spans="7:17" x14ac:dyDescent="0.2">
      <c r="G171" s="103">
        <v>161</v>
      </c>
      <c r="H171" s="107"/>
      <c r="I171" s="108"/>
      <c r="J171" s="108"/>
      <c r="K171" s="108"/>
      <c r="L171" s="108"/>
      <c r="M171" s="108"/>
      <c r="N171" s="108"/>
      <c r="O171" s="108"/>
      <c r="P171" s="108"/>
      <c r="Q171" s="109"/>
    </row>
    <row r="172" spans="7:17" x14ac:dyDescent="0.2">
      <c r="G172" s="103">
        <v>162</v>
      </c>
      <c r="H172" s="107"/>
      <c r="I172" s="108"/>
      <c r="J172" s="108"/>
      <c r="K172" s="108"/>
      <c r="L172" s="108"/>
      <c r="M172" s="108"/>
      <c r="N172" s="108"/>
      <c r="O172" s="108"/>
      <c r="P172" s="108"/>
      <c r="Q172" s="109"/>
    </row>
    <row r="173" spans="7:17" x14ac:dyDescent="0.2">
      <c r="G173" s="103">
        <v>163</v>
      </c>
      <c r="H173" s="107"/>
      <c r="I173" s="108"/>
      <c r="J173" s="108"/>
      <c r="K173" s="108"/>
      <c r="L173" s="108"/>
      <c r="M173" s="108"/>
      <c r="N173" s="108"/>
      <c r="O173" s="108"/>
      <c r="P173" s="108"/>
      <c r="Q173" s="109"/>
    </row>
    <row r="174" spans="7:17" x14ac:dyDescent="0.2">
      <c r="G174" s="103">
        <v>164</v>
      </c>
      <c r="H174" s="107"/>
      <c r="I174" s="108"/>
      <c r="J174" s="108"/>
      <c r="K174" s="108"/>
      <c r="L174" s="108"/>
      <c r="M174" s="108"/>
      <c r="N174" s="108"/>
      <c r="O174" s="108"/>
      <c r="P174" s="108"/>
      <c r="Q174" s="109"/>
    </row>
    <row r="175" spans="7:17" x14ac:dyDescent="0.2">
      <c r="G175" s="103">
        <v>165</v>
      </c>
      <c r="H175" s="107"/>
      <c r="I175" s="108"/>
      <c r="J175" s="108"/>
      <c r="K175" s="108"/>
      <c r="L175" s="108"/>
      <c r="M175" s="108"/>
      <c r="N175" s="108"/>
      <c r="O175" s="108"/>
      <c r="P175" s="108"/>
      <c r="Q175" s="109"/>
    </row>
    <row r="176" spans="7:17" x14ac:dyDescent="0.2">
      <c r="G176" s="103">
        <v>166</v>
      </c>
      <c r="H176" s="107"/>
      <c r="I176" s="108"/>
      <c r="J176" s="108"/>
      <c r="K176" s="108"/>
      <c r="L176" s="108"/>
      <c r="M176" s="108"/>
      <c r="N176" s="108"/>
      <c r="O176" s="108"/>
      <c r="P176" s="108"/>
      <c r="Q176" s="109"/>
    </row>
    <row r="177" spans="7:17" x14ac:dyDescent="0.2">
      <c r="G177" s="103">
        <v>167</v>
      </c>
      <c r="H177" s="107"/>
      <c r="I177" s="108"/>
      <c r="J177" s="108"/>
      <c r="K177" s="108"/>
      <c r="L177" s="108"/>
      <c r="M177" s="108"/>
      <c r="N177" s="108"/>
      <c r="O177" s="108"/>
      <c r="P177" s="108"/>
      <c r="Q177" s="109"/>
    </row>
    <row r="178" spans="7:17" x14ac:dyDescent="0.2">
      <c r="G178" s="103">
        <v>168</v>
      </c>
      <c r="H178" s="107"/>
      <c r="I178" s="108"/>
      <c r="J178" s="108"/>
      <c r="K178" s="108"/>
      <c r="L178" s="108"/>
      <c r="M178" s="108"/>
      <c r="N178" s="108"/>
      <c r="O178" s="108"/>
      <c r="P178" s="108"/>
      <c r="Q178" s="109"/>
    </row>
    <row r="179" spans="7:17" x14ac:dyDescent="0.2">
      <c r="G179" s="103">
        <v>169</v>
      </c>
      <c r="H179" s="107"/>
      <c r="I179" s="108"/>
      <c r="J179" s="108"/>
      <c r="K179" s="108"/>
      <c r="L179" s="108"/>
      <c r="M179" s="108"/>
      <c r="N179" s="108"/>
      <c r="O179" s="108"/>
      <c r="P179" s="108"/>
      <c r="Q179" s="109"/>
    </row>
    <row r="180" spans="7:17" x14ac:dyDescent="0.2">
      <c r="G180" s="103">
        <v>170</v>
      </c>
      <c r="H180" s="107"/>
      <c r="I180" s="108"/>
      <c r="J180" s="108"/>
      <c r="K180" s="108"/>
      <c r="L180" s="108"/>
      <c r="M180" s="108"/>
      <c r="N180" s="108"/>
      <c r="O180" s="108"/>
      <c r="P180" s="108"/>
      <c r="Q180" s="109"/>
    </row>
    <row r="181" spans="7:17" x14ac:dyDescent="0.2">
      <c r="G181" s="103">
        <v>171</v>
      </c>
      <c r="H181" s="107"/>
      <c r="I181" s="108"/>
      <c r="J181" s="108"/>
      <c r="K181" s="108"/>
      <c r="L181" s="108"/>
      <c r="M181" s="108"/>
      <c r="N181" s="108"/>
      <c r="O181" s="108"/>
      <c r="P181" s="108"/>
      <c r="Q181" s="109"/>
    </row>
    <row r="182" spans="7:17" x14ac:dyDescent="0.2">
      <c r="G182" s="103">
        <v>172</v>
      </c>
      <c r="H182" s="107"/>
      <c r="I182" s="108"/>
      <c r="J182" s="108"/>
      <c r="K182" s="108"/>
      <c r="L182" s="108"/>
      <c r="M182" s="108"/>
      <c r="N182" s="108"/>
      <c r="O182" s="108"/>
      <c r="P182" s="108"/>
      <c r="Q182" s="109"/>
    </row>
    <row r="183" spans="7:17" x14ac:dyDescent="0.2">
      <c r="G183" s="103">
        <v>173</v>
      </c>
      <c r="H183" s="107"/>
      <c r="I183" s="108"/>
      <c r="J183" s="108"/>
      <c r="K183" s="108"/>
      <c r="L183" s="108"/>
      <c r="M183" s="108"/>
      <c r="N183" s="108"/>
      <c r="O183" s="108"/>
      <c r="P183" s="108"/>
      <c r="Q183" s="109"/>
    </row>
    <row r="184" spans="7:17" x14ac:dyDescent="0.2">
      <c r="G184" s="103">
        <v>174</v>
      </c>
      <c r="H184" s="107"/>
      <c r="I184" s="108"/>
      <c r="J184" s="108"/>
      <c r="K184" s="108"/>
      <c r="L184" s="108"/>
      <c r="M184" s="108"/>
      <c r="N184" s="108"/>
      <c r="O184" s="108"/>
      <c r="P184" s="108"/>
      <c r="Q184" s="109"/>
    </row>
    <row r="185" spans="7:17" x14ac:dyDescent="0.2">
      <c r="G185" s="103">
        <v>175</v>
      </c>
      <c r="H185" s="107"/>
      <c r="I185" s="108"/>
      <c r="J185" s="108"/>
      <c r="K185" s="108"/>
      <c r="L185" s="108"/>
      <c r="M185" s="108"/>
      <c r="N185" s="108"/>
      <c r="O185" s="108"/>
      <c r="P185" s="108"/>
      <c r="Q185" s="109"/>
    </row>
    <row r="186" spans="7:17" x14ac:dyDescent="0.2">
      <c r="G186" s="103">
        <v>176</v>
      </c>
      <c r="H186" s="107"/>
      <c r="I186" s="108"/>
      <c r="J186" s="108"/>
      <c r="K186" s="108"/>
      <c r="L186" s="108"/>
      <c r="M186" s="108"/>
      <c r="N186" s="108"/>
      <c r="O186" s="108"/>
      <c r="P186" s="108"/>
      <c r="Q186" s="109"/>
    </row>
    <row r="187" spans="7:17" x14ac:dyDescent="0.2">
      <c r="G187" s="103">
        <v>177</v>
      </c>
      <c r="H187" s="107"/>
      <c r="I187" s="108"/>
      <c r="J187" s="108"/>
      <c r="K187" s="108"/>
      <c r="L187" s="108"/>
      <c r="M187" s="108"/>
      <c r="N187" s="108"/>
      <c r="O187" s="108"/>
      <c r="P187" s="108"/>
      <c r="Q187" s="109"/>
    </row>
    <row r="188" spans="7:17" x14ac:dyDescent="0.2">
      <c r="G188" s="103">
        <v>178</v>
      </c>
      <c r="H188" s="107"/>
      <c r="I188" s="108"/>
      <c r="J188" s="108"/>
      <c r="K188" s="108"/>
      <c r="L188" s="108"/>
      <c r="M188" s="108"/>
      <c r="N188" s="108"/>
      <c r="O188" s="108"/>
      <c r="P188" s="108"/>
      <c r="Q188" s="109"/>
    </row>
    <row r="189" spans="7:17" x14ac:dyDescent="0.2">
      <c r="G189" s="103">
        <v>179</v>
      </c>
      <c r="H189" s="107"/>
      <c r="I189" s="108"/>
      <c r="J189" s="108"/>
      <c r="K189" s="108"/>
      <c r="L189" s="108"/>
      <c r="M189" s="108"/>
      <c r="N189" s="108"/>
      <c r="O189" s="108"/>
      <c r="P189" s="108"/>
      <c r="Q189" s="109"/>
    </row>
    <row r="190" spans="7:17" x14ac:dyDescent="0.2">
      <c r="G190" s="103">
        <v>180</v>
      </c>
      <c r="H190" s="107"/>
      <c r="I190" s="108"/>
      <c r="J190" s="108"/>
      <c r="K190" s="108"/>
      <c r="L190" s="108"/>
      <c r="M190" s="108"/>
      <c r="N190" s="108"/>
      <c r="O190" s="108"/>
      <c r="P190" s="108"/>
      <c r="Q190" s="109"/>
    </row>
    <row r="191" spans="7:17" x14ac:dyDescent="0.2">
      <c r="G191" s="103">
        <v>181</v>
      </c>
      <c r="H191" s="107"/>
      <c r="I191" s="108"/>
      <c r="J191" s="108"/>
      <c r="K191" s="108"/>
      <c r="L191" s="108"/>
      <c r="M191" s="108"/>
      <c r="N191" s="108"/>
      <c r="O191" s="108"/>
      <c r="P191" s="108"/>
      <c r="Q191" s="109"/>
    </row>
    <row r="192" spans="7:17" x14ac:dyDescent="0.2">
      <c r="G192" s="103">
        <v>182</v>
      </c>
      <c r="H192" s="107"/>
      <c r="I192" s="108"/>
      <c r="J192" s="108"/>
      <c r="K192" s="108"/>
      <c r="L192" s="108"/>
      <c r="M192" s="108"/>
      <c r="N192" s="108"/>
      <c r="O192" s="108"/>
      <c r="P192" s="108"/>
      <c r="Q192" s="109"/>
    </row>
    <row r="193" spans="7:17" x14ac:dyDescent="0.2">
      <c r="G193" s="103">
        <v>183</v>
      </c>
      <c r="H193" s="107"/>
      <c r="I193" s="108"/>
      <c r="J193" s="108"/>
      <c r="K193" s="108"/>
      <c r="L193" s="108"/>
      <c r="M193" s="108"/>
      <c r="N193" s="108"/>
      <c r="O193" s="108"/>
      <c r="P193" s="108"/>
      <c r="Q193" s="109"/>
    </row>
    <row r="194" spans="7:17" x14ac:dyDescent="0.2">
      <c r="G194" s="103">
        <v>184</v>
      </c>
      <c r="H194" s="107"/>
      <c r="I194" s="108"/>
      <c r="J194" s="108"/>
      <c r="K194" s="108"/>
      <c r="L194" s="108"/>
      <c r="M194" s="108"/>
      <c r="N194" s="108"/>
      <c r="O194" s="108"/>
      <c r="P194" s="108"/>
      <c r="Q194" s="109"/>
    </row>
    <row r="195" spans="7:17" x14ac:dyDescent="0.2">
      <c r="G195" s="103">
        <v>185</v>
      </c>
      <c r="H195" s="107"/>
      <c r="I195" s="108"/>
      <c r="J195" s="108"/>
      <c r="K195" s="108"/>
      <c r="L195" s="108"/>
      <c r="M195" s="108"/>
      <c r="N195" s="108"/>
      <c r="O195" s="108"/>
      <c r="P195" s="108"/>
      <c r="Q195" s="109"/>
    </row>
    <row r="196" spans="7:17" x14ac:dyDescent="0.2">
      <c r="G196" s="103">
        <v>186</v>
      </c>
      <c r="H196" s="107"/>
      <c r="I196" s="108"/>
      <c r="J196" s="108"/>
      <c r="K196" s="108"/>
      <c r="L196" s="108"/>
      <c r="M196" s="108"/>
      <c r="N196" s="108"/>
      <c r="O196" s="108"/>
      <c r="P196" s="108"/>
      <c r="Q196" s="109"/>
    </row>
    <row r="197" spans="7:17" x14ac:dyDescent="0.2">
      <c r="G197" s="103">
        <v>187</v>
      </c>
      <c r="H197" s="107"/>
      <c r="I197" s="108"/>
      <c r="J197" s="108"/>
      <c r="K197" s="108"/>
      <c r="L197" s="108"/>
      <c r="M197" s="108"/>
      <c r="N197" s="108"/>
      <c r="O197" s="108"/>
      <c r="P197" s="108"/>
      <c r="Q197" s="109"/>
    </row>
    <row r="198" spans="7:17" x14ac:dyDescent="0.2">
      <c r="G198" s="103">
        <v>188</v>
      </c>
      <c r="H198" s="107"/>
      <c r="I198" s="108"/>
      <c r="J198" s="108"/>
      <c r="K198" s="108"/>
      <c r="L198" s="108"/>
      <c r="M198" s="108"/>
      <c r="N198" s="108"/>
      <c r="O198" s="108"/>
      <c r="P198" s="108"/>
      <c r="Q198" s="109"/>
    </row>
    <row r="199" spans="7:17" x14ac:dyDescent="0.2">
      <c r="G199" s="103">
        <v>189</v>
      </c>
      <c r="H199" s="107"/>
      <c r="I199" s="108"/>
      <c r="J199" s="108"/>
      <c r="K199" s="108"/>
      <c r="L199" s="108"/>
      <c r="M199" s="108"/>
      <c r="N199" s="108"/>
      <c r="O199" s="108"/>
      <c r="P199" s="108"/>
      <c r="Q199" s="109"/>
    </row>
    <row r="200" spans="7:17" x14ac:dyDescent="0.2">
      <c r="G200" s="103">
        <v>190</v>
      </c>
      <c r="H200" s="107"/>
      <c r="I200" s="108"/>
      <c r="J200" s="108"/>
      <c r="K200" s="108"/>
      <c r="L200" s="108"/>
      <c r="M200" s="108"/>
      <c r="N200" s="108"/>
      <c r="O200" s="108"/>
      <c r="P200" s="108"/>
      <c r="Q200" s="109"/>
    </row>
    <row r="201" spans="7:17" x14ac:dyDescent="0.2">
      <c r="G201" s="103">
        <v>191</v>
      </c>
      <c r="H201" s="107"/>
      <c r="I201" s="108"/>
      <c r="J201" s="108"/>
      <c r="K201" s="108"/>
      <c r="L201" s="108"/>
      <c r="M201" s="108"/>
      <c r="N201" s="108"/>
      <c r="O201" s="108"/>
      <c r="P201" s="108"/>
      <c r="Q201" s="109"/>
    </row>
    <row r="202" spans="7:17" x14ac:dyDescent="0.2">
      <c r="G202" s="103">
        <v>192</v>
      </c>
      <c r="H202" s="107"/>
      <c r="I202" s="108"/>
      <c r="J202" s="108"/>
      <c r="K202" s="108"/>
      <c r="L202" s="108"/>
      <c r="M202" s="108"/>
      <c r="N202" s="108"/>
      <c r="O202" s="108"/>
      <c r="P202" s="108"/>
      <c r="Q202" s="109"/>
    </row>
    <row r="203" spans="7:17" x14ac:dyDescent="0.2">
      <c r="G203" s="103">
        <v>193</v>
      </c>
      <c r="H203" s="107"/>
      <c r="I203" s="108"/>
      <c r="J203" s="108"/>
      <c r="K203" s="108"/>
      <c r="L203" s="108"/>
      <c r="M203" s="108"/>
      <c r="N203" s="108"/>
      <c r="O203" s="108"/>
      <c r="P203" s="108"/>
      <c r="Q203" s="109"/>
    </row>
    <row r="204" spans="7:17" x14ac:dyDescent="0.2">
      <c r="G204" s="103">
        <v>194</v>
      </c>
      <c r="H204" s="107"/>
      <c r="I204" s="108"/>
      <c r="J204" s="108"/>
      <c r="K204" s="108"/>
      <c r="L204" s="108"/>
      <c r="M204" s="108"/>
      <c r="N204" s="108"/>
      <c r="O204" s="108"/>
      <c r="P204" s="108"/>
      <c r="Q204" s="109"/>
    </row>
    <row r="205" spans="7:17" x14ac:dyDescent="0.2">
      <c r="G205" s="103">
        <v>195</v>
      </c>
      <c r="H205" s="107"/>
      <c r="I205" s="108"/>
      <c r="J205" s="108"/>
      <c r="K205" s="108"/>
      <c r="L205" s="108"/>
      <c r="M205" s="108"/>
      <c r="N205" s="108"/>
      <c r="O205" s="108"/>
      <c r="P205" s="108"/>
      <c r="Q205" s="109"/>
    </row>
    <row r="206" spans="7:17" x14ac:dyDescent="0.2">
      <c r="G206" s="103">
        <v>196</v>
      </c>
      <c r="H206" s="107"/>
      <c r="I206" s="108"/>
      <c r="J206" s="108"/>
      <c r="K206" s="108"/>
      <c r="L206" s="108"/>
      <c r="M206" s="108"/>
      <c r="N206" s="108"/>
      <c r="O206" s="108"/>
      <c r="P206" s="108"/>
      <c r="Q206" s="109"/>
    </row>
    <row r="207" spans="7:17" x14ac:dyDescent="0.2">
      <c r="G207" s="103">
        <v>197</v>
      </c>
      <c r="H207" s="107"/>
      <c r="I207" s="108"/>
      <c r="J207" s="108"/>
      <c r="K207" s="108"/>
      <c r="L207" s="108"/>
      <c r="M207" s="108"/>
      <c r="N207" s="108"/>
      <c r="O207" s="108"/>
      <c r="P207" s="108"/>
      <c r="Q207" s="109"/>
    </row>
    <row r="208" spans="7:17" x14ac:dyDescent="0.2">
      <c r="G208" s="103">
        <v>198</v>
      </c>
      <c r="H208" s="107"/>
      <c r="I208" s="108"/>
      <c r="J208" s="108"/>
      <c r="K208" s="108"/>
      <c r="L208" s="108"/>
      <c r="M208" s="108"/>
      <c r="N208" s="108"/>
      <c r="O208" s="108"/>
      <c r="P208" s="108"/>
      <c r="Q208" s="109"/>
    </row>
    <row r="209" spans="7:17" x14ac:dyDescent="0.2">
      <c r="G209" s="103">
        <v>199</v>
      </c>
      <c r="H209" s="107"/>
      <c r="I209" s="108"/>
      <c r="J209" s="108"/>
      <c r="K209" s="108"/>
      <c r="L209" s="108"/>
      <c r="M209" s="108"/>
      <c r="N209" s="108"/>
      <c r="O209" s="108"/>
      <c r="P209" s="108"/>
      <c r="Q209" s="109"/>
    </row>
    <row r="210" spans="7:17" x14ac:dyDescent="0.2">
      <c r="G210" s="103">
        <v>200</v>
      </c>
      <c r="H210" s="107"/>
      <c r="I210" s="108"/>
      <c r="J210" s="108"/>
      <c r="K210" s="108"/>
      <c r="L210" s="108"/>
      <c r="M210" s="108"/>
      <c r="N210" s="108"/>
      <c r="O210" s="108"/>
      <c r="P210" s="108"/>
      <c r="Q210" s="109"/>
    </row>
    <row r="211" spans="7:17" x14ac:dyDescent="0.2">
      <c r="G211" s="103">
        <v>201</v>
      </c>
      <c r="H211" s="107"/>
      <c r="I211" s="108"/>
      <c r="J211" s="108"/>
      <c r="K211" s="108"/>
      <c r="L211" s="108"/>
      <c r="M211" s="108"/>
      <c r="N211" s="108"/>
      <c r="O211" s="108"/>
      <c r="P211" s="108"/>
      <c r="Q211" s="109"/>
    </row>
    <row r="212" spans="7:17" x14ac:dyDescent="0.2">
      <c r="G212" s="103">
        <v>202</v>
      </c>
      <c r="H212" s="107"/>
      <c r="I212" s="108"/>
      <c r="J212" s="108"/>
      <c r="K212" s="108"/>
      <c r="L212" s="108"/>
      <c r="M212" s="108"/>
      <c r="N212" s="108"/>
      <c r="O212" s="108"/>
      <c r="P212" s="108"/>
      <c r="Q212" s="109"/>
    </row>
    <row r="213" spans="7:17" x14ac:dyDescent="0.2">
      <c r="G213" s="103">
        <v>203</v>
      </c>
      <c r="H213" s="107"/>
      <c r="I213" s="108"/>
      <c r="J213" s="108"/>
      <c r="K213" s="108"/>
      <c r="L213" s="108"/>
      <c r="M213" s="108"/>
      <c r="N213" s="108"/>
      <c r="O213" s="108"/>
      <c r="P213" s="108"/>
      <c r="Q213" s="109"/>
    </row>
    <row r="214" spans="7:17" x14ac:dyDescent="0.2">
      <c r="G214" s="103">
        <v>204</v>
      </c>
      <c r="H214" s="107"/>
      <c r="I214" s="108"/>
      <c r="J214" s="108"/>
      <c r="K214" s="108"/>
      <c r="L214" s="108"/>
      <c r="M214" s="108"/>
      <c r="N214" s="108"/>
      <c r="O214" s="108"/>
      <c r="P214" s="108"/>
      <c r="Q214" s="109"/>
    </row>
    <row r="215" spans="7:17" x14ac:dyDescent="0.2">
      <c r="G215" s="103">
        <v>205</v>
      </c>
      <c r="H215" s="107"/>
      <c r="I215" s="108"/>
      <c r="J215" s="108"/>
      <c r="K215" s="108"/>
      <c r="L215" s="108"/>
      <c r="M215" s="108"/>
      <c r="N215" s="108"/>
      <c r="O215" s="108"/>
      <c r="P215" s="108"/>
      <c r="Q215" s="109"/>
    </row>
    <row r="216" spans="7:17" x14ac:dyDescent="0.2">
      <c r="G216" s="103">
        <v>206</v>
      </c>
      <c r="H216" s="107"/>
      <c r="I216" s="108"/>
      <c r="J216" s="108"/>
      <c r="K216" s="108"/>
      <c r="L216" s="108"/>
      <c r="M216" s="108"/>
      <c r="N216" s="108"/>
      <c r="O216" s="108"/>
      <c r="P216" s="108"/>
      <c r="Q216" s="109"/>
    </row>
    <row r="217" spans="7:17" x14ac:dyDescent="0.2">
      <c r="G217" s="103">
        <v>207</v>
      </c>
      <c r="H217" s="107"/>
      <c r="I217" s="108"/>
      <c r="J217" s="108"/>
      <c r="K217" s="108"/>
      <c r="L217" s="108"/>
      <c r="M217" s="108"/>
      <c r="N217" s="108"/>
      <c r="O217" s="108"/>
      <c r="P217" s="108"/>
      <c r="Q217" s="109"/>
    </row>
    <row r="218" spans="7:17" x14ac:dyDescent="0.2">
      <c r="G218" s="103">
        <v>208</v>
      </c>
      <c r="H218" s="107"/>
      <c r="I218" s="108"/>
      <c r="J218" s="108"/>
      <c r="K218" s="108"/>
      <c r="L218" s="108"/>
      <c r="M218" s="108"/>
      <c r="N218" s="108"/>
      <c r="O218" s="108"/>
      <c r="P218" s="108"/>
      <c r="Q218" s="109"/>
    </row>
    <row r="219" spans="7:17" x14ac:dyDescent="0.2">
      <c r="G219" s="103">
        <v>209</v>
      </c>
      <c r="H219" s="107"/>
      <c r="I219" s="108"/>
      <c r="J219" s="108"/>
      <c r="K219" s="108"/>
      <c r="L219" s="108"/>
      <c r="M219" s="108"/>
      <c r="N219" s="108"/>
      <c r="O219" s="108"/>
      <c r="P219" s="108"/>
      <c r="Q219" s="109"/>
    </row>
    <row r="220" spans="7:17" x14ac:dyDescent="0.2">
      <c r="G220" s="103">
        <v>210</v>
      </c>
      <c r="H220" s="107"/>
      <c r="I220" s="108"/>
      <c r="J220" s="108"/>
      <c r="K220" s="108"/>
      <c r="L220" s="108"/>
      <c r="M220" s="108"/>
      <c r="N220" s="108"/>
      <c r="O220" s="108"/>
      <c r="P220" s="108"/>
      <c r="Q220" s="109"/>
    </row>
    <row r="221" spans="7:17" x14ac:dyDescent="0.2">
      <c r="G221" s="103">
        <v>211</v>
      </c>
      <c r="H221" s="107"/>
      <c r="I221" s="108"/>
      <c r="J221" s="108"/>
      <c r="K221" s="108"/>
      <c r="L221" s="108"/>
      <c r="M221" s="108"/>
      <c r="N221" s="108"/>
      <c r="O221" s="108"/>
      <c r="P221" s="108"/>
      <c r="Q221" s="109"/>
    </row>
    <row r="222" spans="7:17" x14ac:dyDescent="0.2">
      <c r="G222" s="103">
        <v>212</v>
      </c>
      <c r="H222" s="107"/>
      <c r="I222" s="108"/>
      <c r="J222" s="108"/>
      <c r="K222" s="108"/>
      <c r="L222" s="108"/>
      <c r="M222" s="108"/>
      <c r="N222" s="108"/>
      <c r="O222" s="108"/>
      <c r="P222" s="108"/>
      <c r="Q222" s="109"/>
    </row>
    <row r="223" spans="7:17" x14ac:dyDescent="0.2">
      <c r="G223" s="103">
        <v>213</v>
      </c>
      <c r="H223" s="107"/>
      <c r="I223" s="108"/>
      <c r="J223" s="108"/>
      <c r="K223" s="108"/>
      <c r="L223" s="108"/>
      <c r="M223" s="108"/>
      <c r="N223" s="108"/>
      <c r="O223" s="108"/>
      <c r="P223" s="108"/>
      <c r="Q223" s="109"/>
    </row>
    <row r="224" spans="7:17" x14ac:dyDescent="0.2">
      <c r="G224" s="103">
        <v>214</v>
      </c>
      <c r="H224" s="107"/>
      <c r="I224" s="108"/>
      <c r="J224" s="108"/>
      <c r="K224" s="108"/>
      <c r="L224" s="108"/>
      <c r="M224" s="108"/>
      <c r="N224" s="108"/>
      <c r="O224" s="108"/>
      <c r="P224" s="108"/>
      <c r="Q224" s="109"/>
    </row>
    <row r="225" spans="7:17" x14ac:dyDescent="0.2">
      <c r="G225" s="103">
        <v>215</v>
      </c>
      <c r="H225" s="107"/>
      <c r="I225" s="108"/>
      <c r="J225" s="108"/>
      <c r="K225" s="108"/>
      <c r="L225" s="108"/>
      <c r="M225" s="108"/>
      <c r="N225" s="108"/>
      <c r="O225" s="108"/>
      <c r="P225" s="108"/>
      <c r="Q225" s="109"/>
    </row>
    <row r="226" spans="7:17" x14ac:dyDescent="0.2">
      <c r="G226" s="103">
        <v>216</v>
      </c>
      <c r="H226" s="107"/>
      <c r="I226" s="108"/>
      <c r="J226" s="108"/>
      <c r="K226" s="108"/>
      <c r="L226" s="108"/>
      <c r="M226" s="108"/>
      <c r="N226" s="108"/>
      <c r="O226" s="108"/>
      <c r="P226" s="108"/>
      <c r="Q226" s="109"/>
    </row>
    <row r="227" spans="7:17" x14ac:dyDescent="0.2">
      <c r="G227" s="103">
        <v>217</v>
      </c>
      <c r="H227" s="107"/>
      <c r="I227" s="108"/>
      <c r="J227" s="108"/>
      <c r="K227" s="108"/>
      <c r="L227" s="108"/>
      <c r="M227" s="108"/>
      <c r="N227" s="108"/>
      <c r="O227" s="108"/>
      <c r="P227" s="108"/>
      <c r="Q227" s="109"/>
    </row>
    <row r="228" spans="7:17" x14ac:dyDescent="0.2">
      <c r="G228" s="103">
        <v>218</v>
      </c>
      <c r="H228" s="107"/>
      <c r="I228" s="108"/>
      <c r="J228" s="108"/>
      <c r="K228" s="108"/>
      <c r="L228" s="108"/>
      <c r="M228" s="108"/>
      <c r="N228" s="108"/>
      <c r="O228" s="108"/>
      <c r="P228" s="108"/>
      <c r="Q228" s="109"/>
    </row>
    <row r="229" spans="7:17" x14ac:dyDescent="0.2">
      <c r="G229" s="103">
        <v>219</v>
      </c>
      <c r="H229" s="107"/>
      <c r="I229" s="108"/>
      <c r="J229" s="108"/>
      <c r="K229" s="108"/>
      <c r="L229" s="108"/>
      <c r="M229" s="108"/>
      <c r="N229" s="108"/>
      <c r="O229" s="108"/>
      <c r="P229" s="108"/>
      <c r="Q229" s="109"/>
    </row>
    <row r="230" spans="7:17" x14ac:dyDescent="0.2">
      <c r="G230" s="103">
        <v>220</v>
      </c>
      <c r="H230" s="107"/>
      <c r="I230" s="108"/>
      <c r="J230" s="108"/>
      <c r="K230" s="108"/>
      <c r="L230" s="108"/>
      <c r="M230" s="108"/>
      <c r="N230" s="108"/>
      <c r="O230" s="108"/>
      <c r="P230" s="108"/>
      <c r="Q230" s="109"/>
    </row>
    <row r="231" spans="7:17" x14ac:dyDescent="0.2">
      <c r="G231" s="103">
        <v>221</v>
      </c>
      <c r="H231" s="107"/>
      <c r="I231" s="108"/>
      <c r="J231" s="108"/>
      <c r="K231" s="108"/>
      <c r="L231" s="108"/>
      <c r="M231" s="108"/>
      <c r="N231" s="108"/>
      <c r="O231" s="108"/>
      <c r="P231" s="108"/>
      <c r="Q231" s="109"/>
    </row>
    <row r="232" spans="7:17" x14ac:dyDescent="0.2">
      <c r="G232" s="103">
        <v>222</v>
      </c>
      <c r="H232" s="107"/>
      <c r="I232" s="108"/>
      <c r="J232" s="108"/>
      <c r="K232" s="108"/>
      <c r="L232" s="108"/>
      <c r="M232" s="108"/>
      <c r="N232" s="108"/>
      <c r="O232" s="108"/>
      <c r="P232" s="108"/>
      <c r="Q232" s="109"/>
    </row>
    <row r="233" spans="7:17" x14ac:dyDescent="0.2">
      <c r="G233" s="103">
        <v>223</v>
      </c>
      <c r="H233" s="107"/>
      <c r="I233" s="108"/>
      <c r="J233" s="108"/>
      <c r="K233" s="108"/>
      <c r="L233" s="108"/>
      <c r="M233" s="108"/>
      <c r="N233" s="108"/>
      <c r="O233" s="108"/>
      <c r="P233" s="108"/>
      <c r="Q233" s="109"/>
    </row>
    <row r="234" spans="7:17" x14ac:dyDescent="0.2">
      <c r="G234" s="103">
        <v>224</v>
      </c>
      <c r="H234" s="107"/>
      <c r="I234" s="108"/>
      <c r="J234" s="108"/>
      <c r="K234" s="108"/>
      <c r="L234" s="108"/>
      <c r="M234" s="108"/>
      <c r="N234" s="108"/>
      <c r="O234" s="108"/>
      <c r="P234" s="108"/>
      <c r="Q234" s="109"/>
    </row>
    <row r="235" spans="7:17" x14ac:dyDescent="0.2">
      <c r="G235" s="103">
        <v>225</v>
      </c>
      <c r="H235" s="107"/>
      <c r="I235" s="108"/>
      <c r="J235" s="108"/>
      <c r="K235" s="108"/>
      <c r="L235" s="108"/>
      <c r="M235" s="108"/>
      <c r="N235" s="108"/>
      <c r="O235" s="108"/>
      <c r="P235" s="108"/>
      <c r="Q235" s="109"/>
    </row>
    <row r="236" spans="7:17" x14ac:dyDescent="0.2">
      <c r="G236" s="103">
        <v>226</v>
      </c>
      <c r="H236" s="107"/>
      <c r="I236" s="108"/>
      <c r="J236" s="108"/>
      <c r="K236" s="108"/>
      <c r="L236" s="108"/>
      <c r="M236" s="108"/>
      <c r="N236" s="108"/>
      <c r="O236" s="108"/>
      <c r="P236" s="108"/>
      <c r="Q236" s="109"/>
    </row>
    <row r="237" spans="7:17" x14ac:dyDescent="0.2">
      <c r="G237" s="103">
        <v>227</v>
      </c>
      <c r="H237" s="107"/>
      <c r="I237" s="108"/>
      <c r="J237" s="108"/>
      <c r="K237" s="108"/>
      <c r="L237" s="108"/>
      <c r="M237" s="108"/>
      <c r="N237" s="108"/>
      <c r="O237" s="108"/>
      <c r="P237" s="108"/>
      <c r="Q237" s="109"/>
    </row>
    <row r="238" spans="7:17" x14ac:dyDescent="0.2">
      <c r="G238" s="103">
        <v>228</v>
      </c>
      <c r="H238" s="107"/>
      <c r="I238" s="108"/>
      <c r="J238" s="108"/>
      <c r="K238" s="108"/>
      <c r="L238" s="108"/>
      <c r="M238" s="108"/>
      <c r="N238" s="108"/>
      <c r="O238" s="108"/>
      <c r="P238" s="108"/>
      <c r="Q238" s="109"/>
    </row>
    <row r="239" spans="7:17" x14ac:dyDescent="0.2">
      <c r="G239" s="103">
        <v>229</v>
      </c>
      <c r="H239" s="107"/>
      <c r="I239" s="108"/>
      <c r="J239" s="108"/>
      <c r="K239" s="108"/>
      <c r="L239" s="108"/>
      <c r="M239" s="108"/>
      <c r="N239" s="108"/>
      <c r="O239" s="108"/>
      <c r="P239" s="108"/>
      <c r="Q239" s="109"/>
    </row>
    <row r="240" spans="7:17" x14ac:dyDescent="0.2">
      <c r="G240" s="103">
        <v>230</v>
      </c>
      <c r="H240" s="107"/>
      <c r="I240" s="108"/>
      <c r="J240" s="108"/>
      <c r="K240" s="108"/>
      <c r="L240" s="108"/>
      <c r="M240" s="108"/>
      <c r="N240" s="108"/>
      <c r="O240" s="108"/>
      <c r="P240" s="108"/>
      <c r="Q240" s="109"/>
    </row>
    <row r="241" spans="7:17" x14ac:dyDescent="0.2">
      <c r="G241" s="103">
        <v>231</v>
      </c>
      <c r="H241" s="107"/>
      <c r="I241" s="108"/>
      <c r="J241" s="108"/>
      <c r="K241" s="108"/>
      <c r="L241" s="108"/>
      <c r="M241" s="108"/>
      <c r="N241" s="108"/>
      <c r="O241" s="108"/>
      <c r="P241" s="108"/>
      <c r="Q241" s="109"/>
    </row>
    <row r="242" spans="7:17" x14ac:dyDescent="0.2">
      <c r="G242" s="103">
        <v>232</v>
      </c>
      <c r="H242" s="107"/>
      <c r="I242" s="108"/>
      <c r="J242" s="108"/>
      <c r="K242" s="108"/>
      <c r="L242" s="108"/>
      <c r="M242" s="108"/>
      <c r="N242" s="108"/>
      <c r="O242" s="108"/>
      <c r="P242" s="108"/>
      <c r="Q242" s="109"/>
    </row>
    <row r="243" spans="7:17" x14ac:dyDescent="0.2">
      <c r="G243" s="103">
        <v>233</v>
      </c>
      <c r="H243" s="107"/>
      <c r="I243" s="108"/>
      <c r="J243" s="108"/>
      <c r="K243" s="108"/>
      <c r="L243" s="108"/>
      <c r="M243" s="108"/>
      <c r="N243" s="108"/>
      <c r="O243" s="108"/>
      <c r="P243" s="108"/>
      <c r="Q243" s="109"/>
    </row>
    <row r="244" spans="7:17" x14ac:dyDescent="0.2">
      <c r="G244" s="103">
        <v>234</v>
      </c>
      <c r="H244" s="107"/>
      <c r="I244" s="108"/>
      <c r="J244" s="108"/>
      <c r="K244" s="108"/>
      <c r="L244" s="108"/>
      <c r="M244" s="108"/>
      <c r="N244" s="108"/>
      <c r="O244" s="108"/>
      <c r="P244" s="108"/>
      <c r="Q244" s="109"/>
    </row>
    <row r="245" spans="7:17" x14ac:dyDescent="0.2">
      <c r="G245" s="103">
        <v>235</v>
      </c>
      <c r="H245" s="107"/>
      <c r="I245" s="108"/>
      <c r="J245" s="108"/>
      <c r="K245" s="108"/>
      <c r="L245" s="108"/>
      <c r="M245" s="108"/>
      <c r="N245" s="108"/>
      <c r="O245" s="108"/>
      <c r="P245" s="108"/>
      <c r="Q245" s="109"/>
    </row>
    <row r="246" spans="7:17" x14ac:dyDescent="0.2">
      <c r="G246" s="103">
        <v>236</v>
      </c>
      <c r="H246" s="107"/>
      <c r="I246" s="108"/>
      <c r="J246" s="108"/>
      <c r="K246" s="108"/>
      <c r="L246" s="108"/>
      <c r="M246" s="108"/>
      <c r="N246" s="108"/>
      <c r="O246" s="108"/>
      <c r="P246" s="108"/>
      <c r="Q246" s="109"/>
    </row>
    <row r="247" spans="7:17" x14ac:dyDescent="0.2">
      <c r="G247" s="103">
        <v>237</v>
      </c>
      <c r="H247" s="107"/>
      <c r="I247" s="108"/>
      <c r="J247" s="108"/>
      <c r="K247" s="108"/>
      <c r="L247" s="108"/>
      <c r="M247" s="108"/>
      <c r="N247" s="108"/>
      <c r="O247" s="108"/>
      <c r="P247" s="108"/>
      <c r="Q247" s="109"/>
    </row>
    <row r="248" spans="7:17" x14ac:dyDescent="0.2">
      <c r="G248" s="103">
        <v>238</v>
      </c>
      <c r="H248" s="107"/>
      <c r="I248" s="108"/>
      <c r="J248" s="108"/>
      <c r="K248" s="108"/>
      <c r="L248" s="108"/>
      <c r="M248" s="108"/>
      <c r="N248" s="108"/>
      <c r="O248" s="108"/>
      <c r="P248" s="108"/>
      <c r="Q248" s="109"/>
    </row>
    <row r="249" spans="7:17" x14ac:dyDescent="0.2">
      <c r="G249" s="103">
        <v>239</v>
      </c>
      <c r="H249" s="107"/>
      <c r="I249" s="108"/>
      <c r="J249" s="108"/>
      <c r="K249" s="108"/>
      <c r="L249" s="108"/>
      <c r="M249" s="108"/>
      <c r="N249" s="108"/>
      <c r="O249" s="108"/>
      <c r="P249" s="108"/>
      <c r="Q249" s="109"/>
    </row>
    <row r="250" spans="7:17" x14ac:dyDescent="0.2">
      <c r="G250" s="103">
        <v>240</v>
      </c>
      <c r="H250" s="107"/>
      <c r="I250" s="108"/>
      <c r="J250" s="108"/>
      <c r="K250" s="108"/>
      <c r="L250" s="108"/>
      <c r="M250" s="108"/>
      <c r="N250" s="108"/>
      <c r="O250" s="108"/>
      <c r="P250" s="108"/>
      <c r="Q250" s="109"/>
    </row>
    <row r="251" spans="7:17" x14ac:dyDescent="0.2">
      <c r="G251" s="103">
        <v>241</v>
      </c>
      <c r="H251" s="107"/>
      <c r="I251" s="108"/>
      <c r="J251" s="108"/>
      <c r="K251" s="108"/>
      <c r="L251" s="108"/>
      <c r="M251" s="108"/>
      <c r="N251" s="108"/>
      <c r="O251" s="108"/>
      <c r="P251" s="108"/>
      <c r="Q251" s="109"/>
    </row>
    <row r="252" spans="7:17" x14ac:dyDescent="0.2">
      <c r="G252" s="103">
        <v>242</v>
      </c>
      <c r="H252" s="107"/>
      <c r="I252" s="108"/>
      <c r="J252" s="108"/>
      <c r="K252" s="108"/>
      <c r="L252" s="108"/>
      <c r="M252" s="108"/>
      <c r="N252" s="108"/>
      <c r="O252" s="108"/>
      <c r="P252" s="108"/>
      <c r="Q252" s="109"/>
    </row>
    <row r="253" spans="7:17" x14ac:dyDescent="0.2">
      <c r="G253" s="103">
        <v>243</v>
      </c>
      <c r="H253" s="107"/>
      <c r="I253" s="108"/>
      <c r="J253" s="108"/>
      <c r="K253" s="108"/>
      <c r="L253" s="108"/>
      <c r="M253" s="108"/>
      <c r="N253" s="108"/>
      <c r="O253" s="108"/>
      <c r="P253" s="108"/>
      <c r="Q253" s="109"/>
    </row>
    <row r="254" spans="7:17" x14ac:dyDescent="0.2">
      <c r="G254" s="103">
        <v>244</v>
      </c>
      <c r="H254" s="107"/>
      <c r="I254" s="108"/>
      <c r="J254" s="108"/>
      <c r="K254" s="108"/>
      <c r="L254" s="108"/>
      <c r="M254" s="108"/>
      <c r="N254" s="108"/>
      <c r="O254" s="108"/>
      <c r="P254" s="108"/>
      <c r="Q254" s="109"/>
    </row>
    <row r="255" spans="7:17" x14ac:dyDescent="0.2">
      <c r="G255" s="103">
        <v>245</v>
      </c>
      <c r="H255" s="107"/>
      <c r="I255" s="108"/>
      <c r="J255" s="108"/>
      <c r="K255" s="108"/>
      <c r="L255" s="108"/>
      <c r="M255" s="108"/>
      <c r="N255" s="108"/>
      <c r="O255" s="108"/>
      <c r="P255" s="108"/>
      <c r="Q255" s="109"/>
    </row>
    <row r="256" spans="7:17" x14ac:dyDescent="0.2">
      <c r="G256" s="103">
        <v>246</v>
      </c>
      <c r="H256" s="107"/>
      <c r="I256" s="108"/>
      <c r="J256" s="108"/>
      <c r="K256" s="108"/>
      <c r="L256" s="108"/>
      <c r="M256" s="108"/>
      <c r="N256" s="108"/>
      <c r="O256" s="108"/>
      <c r="P256" s="108"/>
      <c r="Q256" s="109"/>
    </row>
    <row r="257" spans="7:17" x14ac:dyDescent="0.2">
      <c r="G257" s="103">
        <v>247</v>
      </c>
      <c r="H257" s="107"/>
      <c r="I257" s="108"/>
      <c r="J257" s="108"/>
      <c r="K257" s="108"/>
      <c r="L257" s="108"/>
      <c r="M257" s="108"/>
      <c r="N257" s="108"/>
      <c r="O257" s="108"/>
      <c r="P257" s="108"/>
      <c r="Q257" s="109"/>
    </row>
    <row r="258" spans="7:17" x14ac:dyDescent="0.2">
      <c r="G258" s="103">
        <v>248</v>
      </c>
      <c r="H258" s="107"/>
      <c r="I258" s="108"/>
      <c r="J258" s="108"/>
      <c r="K258" s="108"/>
      <c r="L258" s="108"/>
      <c r="M258" s="108"/>
      <c r="N258" s="108"/>
      <c r="O258" s="108"/>
      <c r="P258" s="108"/>
      <c r="Q258" s="109"/>
    </row>
    <row r="259" spans="7:17" x14ac:dyDescent="0.2">
      <c r="G259" s="103">
        <v>249</v>
      </c>
      <c r="H259" s="107"/>
      <c r="I259" s="108"/>
      <c r="J259" s="108"/>
      <c r="K259" s="108"/>
      <c r="L259" s="108"/>
      <c r="M259" s="108"/>
      <c r="N259" s="108"/>
      <c r="O259" s="108"/>
      <c r="P259" s="108"/>
      <c r="Q259" s="109"/>
    </row>
    <row r="260" spans="7:17" x14ac:dyDescent="0.2">
      <c r="G260" s="103">
        <v>250</v>
      </c>
      <c r="H260" s="107"/>
      <c r="I260" s="108"/>
      <c r="J260" s="108"/>
      <c r="K260" s="108"/>
      <c r="L260" s="108"/>
      <c r="M260" s="108"/>
      <c r="N260" s="108"/>
      <c r="O260" s="108"/>
      <c r="P260" s="108"/>
      <c r="Q260" s="109"/>
    </row>
    <row r="261" spans="7:17" x14ac:dyDescent="0.2">
      <c r="G261" s="103">
        <v>251</v>
      </c>
      <c r="H261" s="107"/>
      <c r="I261" s="108"/>
      <c r="J261" s="108"/>
      <c r="K261" s="108"/>
      <c r="L261" s="108"/>
      <c r="M261" s="108"/>
      <c r="N261" s="108"/>
      <c r="O261" s="108"/>
      <c r="P261" s="108"/>
      <c r="Q261" s="109"/>
    </row>
    <row r="262" spans="7:17" x14ac:dyDescent="0.2">
      <c r="G262" s="103">
        <v>252</v>
      </c>
      <c r="H262" s="107"/>
      <c r="I262" s="108"/>
      <c r="J262" s="108"/>
      <c r="K262" s="108"/>
      <c r="L262" s="108"/>
      <c r="M262" s="108"/>
      <c r="N262" s="108"/>
      <c r="O262" s="108"/>
      <c r="P262" s="108"/>
      <c r="Q262" s="109"/>
    </row>
    <row r="263" spans="7:17" x14ac:dyDescent="0.2">
      <c r="G263" s="103">
        <v>253</v>
      </c>
      <c r="H263" s="107"/>
      <c r="I263" s="108"/>
      <c r="J263" s="108"/>
      <c r="K263" s="108"/>
      <c r="L263" s="108"/>
      <c r="M263" s="108"/>
      <c r="N263" s="108"/>
      <c r="O263" s="108"/>
      <c r="P263" s="108"/>
      <c r="Q263" s="109"/>
    </row>
    <row r="264" spans="7:17" x14ac:dyDescent="0.2">
      <c r="G264" s="103">
        <v>254</v>
      </c>
      <c r="H264" s="107"/>
      <c r="I264" s="108"/>
      <c r="J264" s="108"/>
      <c r="K264" s="108"/>
      <c r="L264" s="108"/>
      <c r="M264" s="108"/>
      <c r="N264" s="108"/>
      <c r="O264" s="108"/>
      <c r="P264" s="108"/>
      <c r="Q264" s="109"/>
    </row>
    <row r="265" spans="7:17" x14ac:dyDescent="0.2">
      <c r="G265" s="103">
        <v>255</v>
      </c>
      <c r="H265" s="107"/>
      <c r="I265" s="108"/>
      <c r="J265" s="108"/>
      <c r="K265" s="108"/>
      <c r="L265" s="108"/>
      <c r="M265" s="108"/>
      <c r="N265" s="108"/>
      <c r="O265" s="108"/>
      <c r="P265" s="108"/>
      <c r="Q265" s="109"/>
    </row>
    <row r="266" spans="7:17" x14ac:dyDescent="0.2">
      <c r="G266" s="103">
        <v>256</v>
      </c>
      <c r="H266" s="107"/>
      <c r="I266" s="108"/>
      <c r="J266" s="108"/>
      <c r="K266" s="108"/>
      <c r="L266" s="108"/>
      <c r="M266" s="108"/>
      <c r="N266" s="108"/>
      <c r="O266" s="108"/>
      <c r="P266" s="108"/>
      <c r="Q266" s="109"/>
    </row>
    <row r="267" spans="7:17" x14ac:dyDescent="0.2">
      <c r="G267" s="103">
        <v>257</v>
      </c>
      <c r="H267" s="107"/>
      <c r="I267" s="108"/>
      <c r="J267" s="108"/>
      <c r="K267" s="108"/>
      <c r="L267" s="108"/>
      <c r="M267" s="108"/>
      <c r="N267" s="108"/>
      <c r="O267" s="108"/>
      <c r="P267" s="108"/>
      <c r="Q267" s="109"/>
    </row>
    <row r="268" spans="7:17" x14ac:dyDescent="0.2">
      <c r="G268" s="103">
        <v>258</v>
      </c>
      <c r="H268" s="107"/>
      <c r="I268" s="108"/>
      <c r="J268" s="108"/>
      <c r="K268" s="108"/>
      <c r="L268" s="108"/>
      <c r="M268" s="108"/>
      <c r="N268" s="108"/>
      <c r="O268" s="108"/>
      <c r="P268" s="108"/>
      <c r="Q268" s="109"/>
    </row>
    <row r="269" spans="7:17" x14ac:dyDescent="0.2">
      <c r="G269" s="103">
        <v>259</v>
      </c>
      <c r="H269" s="107"/>
      <c r="I269" s="108"/>
      <c r="J269" s="108"/>
      <c r="K269" s="108"/>
      <c r="L269" s="108"/>
      <c r="M269" s="108"/>
      <c r="N269" s="108"/>
      <c r="O269" s="108"/>
      <c r="P269" s="108"/>
      <c r="Q269" s="109"/>
    </row>
    <row r="270" spans="7:17" x14ac:dyDescent="0.2">
      <c r="G270" s="103">
        <v>260</v>
      </c>
      <c r="H270" s="107"/>
      <c r="I270" s="108"/>
      <c r="J270" s="108"/>
      <c r="K270" s="108"/>
      <c r="L270" s="108"/>
      <c r="M270" s="108"/>
      <c r="N270" s="108"/>
      <c r="O270" s="108"/>
      <c r="P270" s="108"/>
      <c r="Q270" s="109"/>
    </row>
    <row r="271" spans="7:17" x14ac:dyDescent="0.2">
      <c r="G271" s="103">
        <v>261</v>
      </c>
      <c r="H271" s="107"/>
      <c r="I271" s="108"/>
      <c r="J271" s="108"/>
      <c r="K271" s="108"/>
      <c r="L271" s="108"/>
      <c r="M271" s="108"/>
      <c r="N271" s="108"/>
      <c r="O271" s="108"/>
      <c r="P271" s="108"/>
      <c r="Q271" s="109"/>
    </row>
    <row r="272" spans="7:17" x14ac:dyDescent="0.2">
      <c r="G272" s="103">
        <v>262</v>
      </c>
      <c r="H272" s="107"/>
      <c r="I272" s="108"/>
      <c r="J272" s="108"/>
      <c r="K272" s="108"/>
      <c r="L272" s="108"/>
      <c r="M272" s="108"/>
      <c r="N272" s="108"/>
      <c r="O272" s="108"/>
      <c r="P272" s="108"/>
      <c r="Q272" s="109"/>
    </row>
    <row r="273" spans="7:17" x14ac:dyDescent="0.2">
      <c r="G273" s="103">
        <v>263</v>
      </c>
      <c r="H273" s="107"/>
      <c r="I273" s="108"/>
      <c r="J273" s="108"/>
      <c r="K273" s="108"/>
      <c r="L273" s="108"/>
      <c r="M273" s="108"/>
      <c r="N273" s="108"/>
      <c r="O273" s="108"/>
      <c r="P273" s="108"/>
      <c r="Q273" s="109"/>
    </row>
    <row r="274" spans="7:17" x14ac:dyDescent="0.2">
      <c r="G274" s="103">
        <v>264</v>
      </c>
      <c r="H274" s="107"/>
      <c r="I274" s="108"/>
      <c r="J274" s="108"/>
      <c r="K274" s="108"/>
      <c r="L274" s="108"/>
      <c r="M274" s="108"/>
      <c r="N274" s="108"/>
      <c r="O274" s="108"/>
      <c r="P274" s="108"/>
      <c r="Q274" s="109"/>
    </row>
    <row r="275" spans="7:17" x14ac:dyDescent="0.2">
      <c r="G275" s="103">
        <v>265</v>
      </c>
      <c r="H275" s="107"/>
      <c r="I275" s="108"/>
      <c r="J275" s="108"/>
      <c r="K275" s="108"/>
      <c r="L275" s="108"/>
      <c r="M275" s="108"/>
      <c r="N275" s="108"/>
      <c r="O275" s="108"/>
      <c r="P275" s="108"/>
      <c r="Q275" s="109"/>
    </row>
    <row r="276" spans="7:17" x14ac:dyDescent="0.2">
      <c r="G276" s="103">
        <v>266</v>
      </c>
      <c r="H276" s="107"/>
      <c r="I276" s="108"/>
      <c r="J276" s="108"/>
      <c r="K276" s="108"/>
      <c r="L276" s="108"/>
      <c r="M276" s="108"/>
      <c r="N276" s="108"/>
      <c r="O276" s="108"/>
      <c r="P276" s="108"/>
      <c r="Q276" s="109"/>
    </row>
    <row r="277" spans="7:17" x14ac:dyDescent="0.2">
      <c r="G277" s="103">
        <v>267</v>
      </c>
      <c r="H277" s="107"/>
      <c r="I277" s="108"/>
      <c r="J277" s="108"/>
      <c r="K277" s="108"/>
      <c r="L277" s="108"/>
      <c r="M277" s="108"/>
      <c r="N277" s="108"/>
      <c r="O277" s="108"/>
      <c r="P277" s="108"/>
      <c r="Q277" s="109"/>
    </row>
    <row r="278" spans="7:17" x14ac:dyDescent="0.2">
      <c r="G278" s="103">
        <v>268</v>
      </c>
      <c r="H278" s="107"/>
      <c r="I278" s="108"/>
      <c r="J278" s="108"/>
      <c r="K278" s="108"/>
      <c r="L278" s="108"/>
      <c r="M278" s="108"/>
      <c r="N278" s="108"/>
      <c r="O278" s="108"/>
      <c r="P278" s="108"/>
      <c r="Q278" s="109"/>
    </row>
    <row r="279" spans="7:17" x14ac:dyDescent="0.2">
      <c r="G279" s="103">
        <v>269</v>
      </c>
      <c r="H279" s="107"/>
      <c r="I279" s="108"/>
      <c r="J279" s="108"/>
      <c r="K279" s="108"/>
      <c r="L279" s="108"/>
      <c r="M279" s="108"/>
      <c r="N279" s="108"/>
      <c r="O279" s="108"/>
      <c r="P279" s="108"/>
      <c r="Q279" s="109"/>
    </row>
    <row r="280" spans="7:17" x14ac:dyDescent="0.2">
      <c r="G280" s="103">
        <v>270</v>
      </c>
      <c r="H280" s="107"/>
      <c r="I280" s="108"/>
      <c r="J280" s="108"/>
      <c r="K280" s="108"/>
      <c r="L280" s="108"/>
      <c r="M280" s="108"/>
      <c r="N280" s="108"/>
      <c r="O280" s="108"/>
      <c r="P280" s="108"/>
      <c r="Q280" s="109"/>
    </row>
    <row r="281" spans="7:17" x14ac:dyDescent="0.2">
      <c r="G281" s="103">
        <v>271</v>
      </c>
      <c r="H281" s="107"/>
      <c r="I281" s="108"/>
      <c r="J281" s="108"/>
      <c r="K281" s="108"/>
      <c r="L281" s="108"/>
      <c r="M281" s="108"/>
      <c r="N281" s="108"/>
      <c r="O281" s="108"/>
      <c r="P281" s="108"/>
      <c r="Q281" s="109"/>
    </row>
    <row r="282" spans="7:17" x14ac:dyDescent="0.2">
      <c r="G282" s="103">
        <v>272</v>
      </c>
      <c r="H282" s="107"/>
      <c r="I282" s="108"/>
      <c r="J282" s="108"/>
      <c r="K282" s="108"/>
      <c r="L282" s="108"/>
      <c r="M282" s="108"/>
      <c r="N282" s="108"/>
      <c r="O282" s="108"/>
      <c r="P282" s="108"/>
      <c r="Q282" s="109"/>
    </row>
    <row r="283" spans="7:17" x14ac:dyDescent="0.2">
      <c r="G283" s="103">
        <v>273</v>
      </c>
      <c r="H283" s="107"/>
      <c r="I283" s="108"/>
      <c r="J283" s="108"/>
      <c r="K283" s="108"/>
      <c r="L283" s="108"/>
      <c r="M283" s="108"/>
      <c r="N283" s="108"/>
      <c r="O283" s="108"/>
      <c r="P283" s="108"/>
      <c r="Q283" s="109"/>
    </row>
    <row r="284" spans="7:17" x14ac:dyDescent="0.2">
      <c r="G284" s="103">
        <v>274</v>
      </c>
      <c r="H284" s="107"/>
      <c r="I284" s="108"/>
      <c r="J284" s="108"/>
      <c r="K284" s="108"/>
      <c r="L284" s="108"/>
      <c r="M284" s="108"/>
      <c r="N284" s="108"/>
      <c r="O284" s="108"/>
      <c r="P284" s="108"/>
      <c r="Q284" s="109"/>
    </row>
    <row r="285" spans="7:17" x14ac:dyDescent="0.2">
      <c r="G285" s="103">
        <v>275</v>
      </c>
      <c r="H285" s="107"/>
      <c r="I285" s="108"/>
      <c r="J285" s="108"/>
      <c r="K285" s="108"/>
      <c r="L285" s="108"/>
      <c r="M285" s="108"/>
      <c r="N285" s="108"/>
      <c r="O285" s="108"/>
      <c r="P285" s="108"/>
      <c r="Q285" s="109"/>
    </row>
    <row r="286" spans="7:17" x14ac:dyDescent="0.2">
      <c r="G286" s="103">
        <v>276</v>
      </c>
      <c r="H286" s="107"/>
      <c r="I286" s="108"/>
      <c r="J286" s="108"/>
      <c r="K286" s="108"/>
      <c r="L286" s="108"/>
      <c r="M286" s="108"/>
      <c r="N286" s="108"/>
      <c r="O286" s="108"/>
      <c r="P286" s="108"/>
      <c r="Q286" s="109"/>
    </row>
    <row r="287" spans="7:17" x14ac:dyDescent="0.2">
      <c r="G287" s="103">
        <v>277</v>
      </c>
      <c r="H287" s="107"/>
      <c r="I287" s="108"/>
      <c r="J287" s="108"/>
      <c r="K287" s="108"/>
      <c r="L287" s="108"/>
      <c r="M287" s="108"/>
      <c r="N287" s="108"/>
      <c r="O287" s="108"/>
      <c r="P287" s="108"/>
      <c r="Q287" s="109"/>
    </row>
    <row r="288" spans="7:17" x14ac:dyDescent="0.2">
      <c r="G288" s="103">
        <v>278</v>
      </c>
      <c r="H288" s="107"/>
      <c r="I288" s="108"/>
      <c r="J288" s="108"/>
      <c r="K288" s="108"/>
      <c r="L288" s="108"/>
      <c r="M288" s="108"/>
      <c r="N288" s="108"/>
      <c r="O288" s="108"/>
      <c r="P288" s="108"/>
      <c r="Q288" s="109"/>
    </row>
    <row r="289" spans="7:17" x14ac:dyDescent="0.2">
      <c r="G289" s="103">
        <v>279</v>
      </c>
      <c r="H289" s="107"/>
      <c r="I289" s="108"/>
      <c r="J289" s="108"/>
      <c r="K289" s="108"/>
      <c r="L289" s="108"/>
      <c r="M289" s="108"/>
      <c r="N289" s="108"/>
      <c r="O289" s="108"/>
      <c r="P289" s="108"/>
      <c r="Q289" s="109"/>
    </row>
    <row r="290" spans="7:17" x14ac:dyDescent="0.2">
      <c r="G290" s="103">
        <v>280</v>
      </c>
      <c r="H290" s="107"/>
      <c r="I290" s="108"/>
      <c r="J290" s="108"/>
      <c r="K290" s="108"/>
      <c r="L290" s="108"/>
      <c r="M290" s="108"/>
      <c r="N290" s="108"/>
      <c r="O290" s="108"/>
      <c r="P290" s="108"/>
      <c r="Q290" s="109"/>
    </row>
    <row r="291" spans="7:17" x14ac:dyDescent="0.2">
      <c r="G291" s="103">
        <v>281</v>
      </c>
      <c r="H291" s="107"/>
      <c r="I291" s="108"/>
      <c r="J291" s="108"/>
      <c r="K291" s="108"/>
      <c r="L291" s="108"/>
      <c r="M291" s="108"/>
      <c r="N291" s="108"/>
      <c r="O291" s="108"/>
      <c r="P291" s="108"/>
      <c r="Q291" s="109"/>
    </row>
    <row r="292" spans="7:17" x14ac:dyDescent="0.2">
      <c r="G292" s="103">
        <v>282</v>
      </c>
      <c r="H292" s="107"/>
      <c r="I292" s="108"/>
      <c r="J292" s="108"/>
      <c r="K292" s="108"/>
      <c r="L292" s="108"/>
      <c r="M292" s="108"/>
      <c r="N292" s="108"/>
      <c r="O292" s="108"/>
      <c r="P292" s="108"/>
      <c r="Q292" s="109"/>
    </row>
    <row r="293" spans="7:17" x14ac:dyDescent="0.2">
      <c r="G293" s="103">
        <v>283</v>
      </c>
      <c r="H293" s="107"/>
      <c r="I293" s="108"/>
      <c r="J293" s="108"/>
      <c r="K293" s="108"/>
      <c r="L293" s="108"/>
      <c r="M293" s="108"/>
      <c r="N293" s="108"/>
      <c r="O293" s="108"/>
      <c r="P293" s="108"/>
      <c r="Q293" s="109"/>
    </row>
    <row r="294" spans="7:17" x14ac:dyDescent="0.2">
      <c r="G294" s="103">
        <v>284</v>
      </c>
      <c r="H294" s="107"/>
      <c r="I294" s="108"/>
      <c r="J294" s="108"/>
      <c r="K294" s="108"/>
      <c r="L294" s="108"/>
      <c r="M294" s="108"/>
      <c r="N294" s="108"/>
      <c r="O294" s="108"/>
      <c r="P294" s="108"/>
      <c r="Q294" s="109"/>
    </row>
    <row r="295" spans="7:17" x14ac:dyDescent="0.2">
      <c r="G295" s="103">
        <v>285</v>
      </c>
      <c r="H295" s="107"/>
      <c r="I295" s="108"/>
      <c r="J295" s="108"/>
      <c r="K295" s="108"/>
      <c r="L295" s="108"/>
      <c r="M295" s="108"/>
      <c r="N295" s="108"/>
      <c r="O295" s="108"/>
      <c r="P295" s="108"/>
      <c r="Q295" s="109"/>
    </row>
    <row r="296" spans="7:17" x14ac:dyDescent="0.2">
      <c r="G296" s="103">
        <v>286</v>
      </c>
      <c r="H296" s="107"/>
      <c r="I296" s="108"/>
      <c r="J296" s="108"/>
      <c r="K296" s="108"/>
      <c r="L296" s="108"/>
      <c r="M296" s="108"/>
      <c r="N296" s="108"/>
      <c r="O296" s="108"/>
      <c r="P296" s="108"/>
      <c r="Q296" s="109"/>
    </row>
    <row r="297" spans="7:17" x14ac:dyDescent="0.2">
      <c r="G297" s="103">
        <v>287</v>
      </c>
      <c r="H297" s="107"/>
      <c r="I297" s="108"/>
      <c r="J297" s="108"/>
      <c r="K297" s="108"/>
      <c r="L297" s="108"/>
      <c r="M297" s="108"/>
      <c r="N297" s="108"/>
      <c r="O297" s="108"/>
      <c r="P297" s="108"/>
      <c r="Q297" s="109"/>
    </row>
    <row r="298" spans="7:17" x14ac:dyDescent="0.2">
      <c r="G298" s="103">
        <v>288</v>
      </c>
      <c r="H298" s="107"/>
      <c r="I298" s="108"/>
      <c r="J298" s="108"/>
      <c r="K298" s="108"/>
      <c r="L298" s="108"/>
      <c r="M298" s="108"/>
      <c r="N298" s="108"/>
      <c r="O298" s="108"/>
      <c r="P298" s="108"/>
      <c r="Q298" s="109"/>
    </row>
    <row r="299" spans="7:17" x14ac:dyDescent="0.2">
      <c r="G299" s="103">
        <v>289</v>
      </c>
      <c r="H299" s="107"/>
      <c r="I299" s="108"/>
      <c r="J299" s="108"/>
      <c r="K299" s="108"/>
      <c r="L299" s="108"/>
      <c r="M299" s="108"/>
      <c r="N299" s="108"/>
      <c r="O299" s="108"/>
      <c r="P299" s="108"/>
      <c r="Q299" s="109"/>
    </row>
    <row r="300" spans="7:17" x14ac:dyDescent="0.2">
      <c r="G300" s="103">
        <v>290</v>
      </c>
      <c r="H300" s="107"/>
      <c r="I300" s="108"/>
      <c r="J300" s="108"/>
      <c r="K300" s="108"/>
      <c r="L300" s="108"/>
      <c r="M300" s="108"/>
      <c r="N300" s="108"/>
      <c r="O300" s="108"/>
      <c r="P300" s="108"/>
      <c r="Q300" s="109"/>
    </row>
    <row r="301" spans="7:17" x14ac:dyDescent="0.2">
      <c r="G301" s="103">
        <v>291</v>
      </c>
      <c r="H301" s="107"/>
      <c r="I301" s="108"/>
      <c r="J301" s="108"/>
      <c r="K301" s="108"/>
      <c r="L301" s="108"/>
      <c r="M301" s="108"/>
      <c r="N301" s="108"/>
      <c r="O301" s="108"/>
      <c r="P301" s="108"/>
      <c r="Q301" s="109"/>
    </row>
    <row r="302" spans="7:17" x14ac:dyDescent="0.2">
      <c r="G302" s="103">
        <v>292</v>
      </c>
      <c r="H302" s="107"/>
      <c r="I302" s="108"/>
      <c r="J302" s="108"/>
      <c r="K302" s="108"/>
      <c r="L302" s="108"/>
      <c r="M302" s="108"/>
      <c r="N302" s="108"/>
      <c r="O302" s="108"/>
      <c r="P302" s="108"/>
      <c r="Q302" s="109"/>
    </row>
    <row r="303" spans="7:17" x14ac:dyDescent="0.2">
      <c r="G303" s="103">
        <v>293</v>
      </c>
      <c r="H303" s="107"/>
      <c r="I303" s="108"/>
      <c r="J303" s="108"/>
      <c r="K303" s="108"/>
      <c r="L303" s="108"/>
      <c r="M303" s="108"/>
      <c r="N303" s="108"/>
      <c r="O303" s="108"/>
      <c r="P303" s="108"/>
      <c r="Q303" s="109"/>
    </row>
    <row r="304" spans="7:17" x14ac:dyDescent="0.2">
      <c r="G304" s="103">
        <v>294</v>
      </c>
      <c r="H304" s="107"/>
      <c r="I304" s="108"/>
      <c r="J304" s="108"/>
      <c r="K304" s="108"/>
      <c r="L304" s="108"/>
      <c r="M304" s="108"/>
      <c r="N304" s="108"/>
      <c r="O304" s="108"/>
      <c r="P304" s="108"/>
      <c r="Q304" s="109"/>
    </row>
    <row r="305" spans="7:17" x14ac:dyDescent="0.2">
      <c r="G305" s="103">
        <v>295</v>
      </c>
      <c r="H305" s="107"/>
      <c r="I305" s="108"/>
      <c r="J305" s="108"/>
      <c r="K305" s="108"/>
      <c r="L305" s="108"/>
      <c r="M305" s="108"/>
      <c r="N305" s="108"/>
      <c r="O305" s="108"/>
      <c r="P305" s="108"/>
      <c r="Q305" s="109"/>
    </row>
    <row r="306" spans="7:17" x14ac:dyDescent="0.2">
      <c r="G306" s="103">
        <v>296</v>
      </c>
      <c r="H306" s="107"/>
      <c r="I306" s="108"/>
      <c r="J306" s="108"/>
      <c r="K306" s="108"/>
      <c r="L306" s="108"/>
      <c r="M306" s="108"/>
      <c r="N306" s="108"/>
      <c r="O306" s="108"/>
      <c r="P306" s="108"/>
      <c r="Q306" s="109"/>
    </row>
    <row r="307" spans="7:17" x14ac:dyDescent="0.2">
      <c r="G307" s="103">
        <v>297</v>
      </c>
      <c r="H307" s="107"/>
      <c r="I307" s="108"/>
      <c r="J307" s="108"/>
      <c r="K307" s="108"/>
      <c r="L307" s="108"/>
      <c r="M307" s="108"/>
      <c r="N307" s="108"/>
      <c r="O307" s="108"/>
      <c r="P307" s="108"/>
      <c r="Q307" s="109"/>
    </row>
    <row r="308" spans="7:17" x14ac:dyDescent="0.2">
      <c r="G308" s="103">
        <v>298</v>
      </c>
      <c r="H308" s="107"/>
      <c r="I308" s="108"/>
      <c r="J308" s="108"/>
      <c r="K308" s="108"/>
      <c r="L308" s="108"/>
      <c r="M308" s="108"/>
      <c r="N308" s="108"/>
      <c r="O308" s="108"/>
      <c r="P308" s="108"/>
      <c r="Q308" s="109"/>
    </row>
    <row r="309" spans="7:17" x14ac:dyDescent="0.2">
      <c r="G309" s="103">
        <v>299</v>
      </c>
      <c r="H309" s="107"/>
      <c r="I309" s="108"/>
      <c r="J309" s="108"/>
      <c r="K309" s="108"/>
      <c r="L309" s="108"/>
      <c r="M309" s="108"/>
      <c r="N309" s="108"/>
      <c r="O309" s="108"/>
      <c r="P309" s="108"/>
      <c r="Q309" s="109"/>
    </row>
    <row r="310" spans="7:17" x14ac:dyDescent="0.2">
      <c r="G310" s="103">
        <v>300</v>
      </c>
      <c r="H310" s="107"/>
      <c r="I310" s="108"/>
      <c r="J310" s="108"/>
      <c r="K310" s="108"/>
      <c r="L310" s="108"/>
      <c r="M310" s="108"/>
      <c r="N310" s="108"/>
      <c r="O310" s="108"/>
      <c r="P310" s="108"/>
      <c r="Q310" s="109"/>
    </row>
    <row r="311" spans="7:17" x14ac:dyDescent="0.2">
      <c r="G311" s="103">
        <v>301</v>
      </c>
      <c r="H311" s="107"/>
      <c r="I311" s="108"/>
      <c r="J311" s="108"/>
      <c r="K311" s="108"/>
      <c r="L311" s="108"/>
      <c r="M311" s="108"/>
      <c r="N311" s="108"/>
      <c r="O311" s="108"/>
      <c r="P311" s="108"/>
      <c r="Q311" s="109"/>
    </row>
    <row r="312" spans="7:17" x14ac:dyDescent="0.2">
      <c r="G312" s="103">
        <v>302</v>
      </c>
      <c r="H312" s="107"/>
      <c r="I312" s="108"/>
      <c r="J312" s="108"/>
      <c r="K312" s="108"/>
      <c r="L312" s="108"/>
      <c r="M312" s="108"/>
      <c r="N312" s="108"/>
      <c r="O312" s="108"/>
      <c r="P312" s="108"/>
      <c r="Q312" s="109"/>
    </row>
    <row r="313" spans="7:17" x14ac:dyDescent="0.2">
      <c r="G313" s="103">
        <v>303</v>
      </c>
      <c r="H313" s="107"/>
      <c r="I313" s="108"/>
      <c r="J313" s="108"/>
      <c r="K313" s="108"/>
      <c r="L313" s="108"/>
      <c r="M313" s="108"/>
      <c r="N313" s="108"/>
      <c r="O313" s="108"/>
      <c r="P313" s="108"/>
      <c r="Q313" s="109"/>
    </row>
    <row r="314" spans="7:17" x14ac:dyDescent="0.2">
      <c r="G314" s="103">
        <v>304</v>
      </c>
      <c r="H314" s="107"/>
      <c r="I314" s="108"/>
      <c r="J314" s="108"/>
      <c r="K314" s="108"/>
      <c r="L314" s="108"/>
      <c r="M314" s="108"/>
      <c r="N314" s="108"/>
      <c r="O314" s="108"/>
      <c r="P314" s="108"/>
      <c r="Q314" s="109"/>
    </row>
    <row r="315" spans="7:17" x14ac:dyDescent="0.2">
      <c r="G315" s="103">
        <v>305</v>
      </c>
      <c r="H315" s="107"/>
      <c r="I315" s="108"/>
      <c r="J315" s="108"/>
      <c r="K315" s="108"/>
      <c r="L315" s="108"/>
      <c r="M315" s="108"/>
      <c r="N315" s="108"/>
      <c r="O315" s="108"/>
      <c r="P315" s="108"/>
      <c r="Q315" s="109"/>
    </row>
    <row r="316" spans="7:17" x14ac:dyDescent="0.2">
      <c r="G316" s="103">
        <v>306</v>
      </c>
      <c r="H316" s="107"/>
      <c r="I316" s="108"/>
      <c r="J316" s="108"/>
      <c r="K316" s="108"/>
      <c r="L316" s="108"/>
      <c r="M316" s="108"/>
      <c r="N316" s="108"/>
      <c r="O316" s="108"/>
      <c r="P316" s="108"/>
      <c r="Q316" s="109"/>
    </row>
    <row r="317" spans="7:17" x14ac:dyDescent="0.2">
      <c r="G317" s="103">
        <v>307</v>
      </c>
      <c r="H317" s="107"/>
      <c r="I317" s="108"/>
      <c r="J317" s="108"/>
      <c r="K317" s="108"/>
      <c r="L317" s="108"/>
      <c r="M317" s="108"/>
      <c r="N317" s="108"/>
      <c r="O317" s="108"/>
      <c r="P317" s="108"/>
      <c r="Q317" s="109"/>
    </row>
    <row r="318" spans="7:17" x14ac:dyDescent="0.2">
      <c r="G318" s="103">
        <v>308</v>
      </c>
      <c r="H318" s="107"/>
      <c r="I318" s="108"/>
      <c r="J318" s="108"/>
      <c r="K318" s="108"/>
      <c r="L318" s="108"/>
      <c r="M318" s="108"/>
      <c r="N318" s="108"/>
      <c r="O318" s="108"/>
      <c r="P318" s="108"/>
      <c r="Q318" s="109"/>
    </row>
    <row r="319" spans="7:17" x14ac:dyDescent="0.2">
      <c r="G319" s="103">
        <v>309</v>
      </c>
      <c r="H319" s="107"/>
      <c r="I319" s="108"/>
      <c r="J319" s="108"/>
      <c r="K319" s="108"/>
      <c r="L319" s="108"/>
      <c r="M319" s="108"/>
      <c r="N319" s="108"/>
      <c r="O319" s="108"/>
      <c r="P319" s="108"/>
      <c r="Q319" s="109"/>
    </row>
    <row r="320" spans="7:17" x14ac:dyDescent="0.2">
      <c r="G320" s="103">
        <v>310</v>
      </c>
      <c r="H320" s="107"/>
      <c r="I320" s="108"/>
      <c r="J320" s="108"/>
      <c r="K320" s="108"/>
      <c r="L320" s="108"/>
      <c r="M320" s="108"/>
      <c r="N320" s="108"/>
      <c r="O320" s="108"/>
      <c r="P320" s="108"/>
      <c r="Q320" s="109"/>
    </row>
    <row r="321" spans="7:17" x14ac:dyDescent="0.2">
      <c r="G321" s="103">
        <v>311</v>
      </c>
      <c r="H321" s="107"/>
      <c r="I321" s="108"/>
      <c r="J321" s="108"/>
      <c r="K321" s="108"/>
      <c r="L321" s="108"/>
      <c r="M321" s="108"/>
      <c r="N321" s="108"/>
      <c r="O321" s="108"/>
      <c r="P321" s="108"/>
      <c r="Q321" s="109"/>
    </row>
    <row r="322" spans="7:17" x14ac:dyDescent="0.2">
      <c r="G322" s="103">
        <v>312</v>
      </c>
      <c r="H322" s="107"/>
      <c r="I322" s="108"/>
      <c r="J322" s="108"/>
      <c r="K322" s="108"/>
      <c r="L322" s="108"/>
      <c r="M322" s="108"/>
      <c r="N322" s="108"/>
      <c r="O322" s="108"/>
      <c r="P322" s="108"/>
      <c r="Q322" s="109"/>
    </row>
    <row r="323" spans="7:17" x14ac:dyDescent="0.2">
      <c r="G323" s="103">
        <v>313</v>
      </c>
      <c r="H323" s="107"/>
      <c r="I323" s="108"/>
      <c r="J323" s="108"/>
      <c r="K323" s="108"/>
      <c r="L323" s="108"/>
      <c r="M323" s="108"/>
      <c r="N323" s="108"/>
      <c r="O323" s="108"/>
      <c r="P323" s="108"/>
      <c r="Q323" s="109"/>
    </row>
    <row r="324" spans="7:17" x14ac:dyDescent="0.2">
      <c r="G324" s="103">
        <v>314</v>
      </c>
      <c r="H324" s="107"/>
      <c r="I324" s="108"/>
      <c r="J324" s="108"/>
      <c r="K324" s="108"/>
      <c r="L324" s="108"/>
      <c r="M324" s="108"/>
      <c r="N324" s="108"/>
      <c r="O324" s="108"/>
      <c r="P324" s="108"/>
      <c r="Q324" s="109"/>
    </row>
    <row r="325" spans="7:17" x14ac:dyDescent="0.2">
      <c r="G325" s="103">
        <v>315</v>
      </c>
      <c r="H325" s="107"/>
      <c r="I325" s="108"/>
      <c r="J325" s="108"/>
      <c r="K325" s="108"/>
      <c r="L325" s="108"/>
      <c r="M325" s="108"/>
      <c r="N325" s="108"/>
      <c r="O325" s="108"/>
      <c r="P325" s="108"/>
      <c r="Q325" s="109"/>
    </row>
    <row r="326" spans="7:17" x14ac:dyDescent="0.2">
      <c r="G326" s="103">
        <v>316</v>
      </c>
      <c r="H326" s="107"/>
      <c r="I326" s="108"/>
      <c r="J326" s="108"/>
      <c r="K326" s="108"/>
      <c r="L326" s="108"/>
      <c r="M326" s="108"/>
      <c r="N326" s="108"/>
      <c r="O326" s="108"/>
      <c r="P326" s="108"/>
      <c r="Q326" s="109"/>
    </row>
    <row r="327" spans="7:17" x14ac:dyDescent="0.2">
      <c r="G327" s="103">
        <v>317</v>
      </c>
      <c r="H327" s="107"/>
      <c r="I327" s="108"/>
      <c r="J327" s="108"/>
      <c r="K327" s="108"/>
      <c r="L327" s="108"/>
      <c r="M327" s="108"/>
      <c r="N327" s="108"/>
      <c r="O327" s="108"/>
      <c r="P327" s="108"/>
      <c r="Q327" s="109"/>
    </row>
    <row r="328" spans="7:17" x14ac:dyDescent="0.2">
      <c r="G328" s="103">
        <v>318</v>
      </c>
      <c r="H328" s="107"/>
      <c r="I328" s="108"/>
      <c r="J328" s="108"/>
      <c r="K328" s="108"/>
      <c r="L328" s="108"/>
      <c r="M328" s="108"/>
      <c r="N328" s="108"/>
      <c r="O328" s="108"/>
      <c r="P328" s="108"/>
      <c r="Q328" s="109"/>
    </row>
    <row r="329" spans="7:17" x14ac:dyDescent="0.2">
      <c r="G329" s="103">
        <v>319</v>
      </c>
      <c r="H329" s="107"/>
      <c r="I329" s="108"/>
      <c r="J329" s="108"/>
      <c r="K329" s="108"/>
      <c r="L329" s="108"/>
      <c r="M329" s="108"/>
      <c r="N329" s="108"/>
      <c r="O329" s="108"/>
      <c r="P329" s="108"/>
      <c r="Q329" s="109"/>
    </row>
    <row r="330" spans="7:17" x14ac:dyDescent="0.2">
      <c r="G330" s="103">
        <v>320</v>
      </c>
      <c r="H330" s="107"/>
      <c r="I330" s="108"/>
      <c r="J330" s="108"/>
      <c r="K330" s="108"/>
      <c r="L330" s="108"/>
      <c r="M330" s="108"/>
      <c r="N330" s="108"/>
      <c r="O330" s="108"/>
      <c r="P330" s="108"/>
      <c r="Q330" s="109"/>
    </row>
    <row r="331" spans="7:17" x14ac:dyDescent="0.2">
      <c r="G331" s="103">
        <v>321</v>
      </c>
      <c r="H331" s="107"/>
      <c r="I331" s="108"/>
      <c r="J331" s="108"/>
      <c r="K331" s="108"/>
      <c r="L331" s="108"/>
      <c r="M331" s="108"/>
      <c r="N331" s="108"/>
      <c r="O331" s="108"/>
      <c r="P331" s="108"/>
      <c r="Q331" s="109"/>
    </row>
    <row r="332" spans="7:17" x14ac:dyDescent="0.2">
      <c r="G332" s="103">
        <v>322</v>
      </c>
      <c r="H332" s="107"/>
      <c r="I332" s="108"/>
      <c r="J332" s="108"/>
      <c r="K332" s="108"/>
      <c r="L332" s="108"/>
      <c r="M332" s="108"/>
      <c r="N332" s="108"/>
      <c r="O332" s="108"/>
      <c r="P332" s="108"/>
      <c r="Q332" s="109"/>
    </row>
    <row r="333" spans="7:17" x14ac:dyDescent="0.2">
      <c r="G333" s="103">
        <v>323</v>
      </c>
      <c r="H333" s="107"/>
      <c r="I333" s="108"/>
      <c r="J333" s="108"/>
      <c r="K333" s="108"/>
      <c r="L333" s="108"/>
      <c r="M333" s="108"/>
      <c r="N333" s="108"/>
      <c r="O333" s="108"/>
      <c r="P333" s="108"/>
      <c r="Q333" s="109"/>
    </row>
    <row r="334" spans="7:17" x14ac:dyDescent="0.2">
      <c r="G334" s="103">
        <v>324</v>
      </c>
      <c r="H334" s="107"/>
      <c r="I334" s="108"/>
      <c r="J334" s="108"/>
      <c r="K334" s="108"/>
      <c r="L334" s="108"/>
      <c r="M334" s="108"/>
      <c r="N334" s="108"/>
      <c r="O334" s="108"/>
      <c r="P334" s="108"/>
      <c r="Q334" s="109"/>
    </row>
    <row r="335" spans="7:17" x14ac:dyDescent="0.2">
      <c r="G335" s="103">
        <v>325</v>
      </c>
      <c r="H335" s="107"/>
      <c r="I335" s="108"/>
      <c r="J335" s="108"/>
      <c r="K335" s="108"/>
      <c r="L335" s="108"/>
      <c r="M335" s="108"/>
      <c r="N335" s="108"/>
      <c r="O335" s="108"/>
      <c r="P335" s="108"/>
      <c r="Q335" s="109"/>
    </row>
    <row r="336" spans="7:17" x14ac:dyDescent="0.2">
      <c r="G336" s="103">
        <v>326</v>
      </c>
      <c r="H336" s="107"/>
      <c r="I336" s="108"/>
      <c r="J336" s="108"/>
      <c r="K336" s="108"/>
      <c r="L336" s="108"/>
      <c r="M336" s="108"/>
      <c r="N336" s="108"/>
      <c r="O336" s="108"/>
      <c r="P336" s="108"/>
      <c r="Q336" s="109"/>
    </row>
    <row r="337" spans="7:17" x14ac:dyDescent="0.2">
      <c r="G337" s="103">
        <v>327</v>
      </c>
      <c r="H337" s="107"/>
      <c r="I337" s="108"/>
      <c r="J337" s="108"/>
      <c r="K337" s="108"/>
      <c r="L337" s="108"/>
      <c r="M337" s="108"/>
      <c r="N337" s="108"/>
      <c r="O337" s="108"/>
      <c r="P337" s="108"/>
      <c r="Q337" s="109"/>
    </row>
    <row r="338" spans="7:17" x14ac:dyDescent="0.2">
      <c r="G338" s="103">
        <v>328</v>
      </c>
      <c r="H338" s="107"/>
      <c r="I338" s="108"/>
      <c r="J338" s="108"/>
      <c r="K338" s="108"/>
      <c r="L338" s="108"/>
      <c r="M338" s="108"/>
      <c r="N338" s="108"/>
      <c r="O338" s="108"/>
      <c r="P338" s="108"/>
      <c r="Q338" s="109"/>
    </row>
    <row r="339" spans="7:17" x14ac:dyDescent="0.2">
      <c r="G339" s="103">
        <v>329</v>
      </c>
      <c r="H339" s="107"/>
      <c r="I339" s="108"/>
      <c r="J339" s="108"/>
      <c r="K339" s="108"/>
      <c r="L339" s="108"/>
      <c r="M339" s="108"/>
      <c r="N339" s="108"/>
      <c r="O339" s="108"/>
      <c r="P339" s="108"/>
      <c r="Q339" s="109"/>
    </row>
    <row r="340" spans="7:17" x14ac:dyDescent="0.2">
      <c r="G340" s="103">
        <v>330</v>
      </c>
      <c r="H340" s="107"/>
      <c r="I340" s="108"/>
      <c r="J340" s="108"/>
      <c r="K340" s="108"/>
      <c r="L340" s="108"/>
      <c r="M340" s="108"/>
      <c r="N340" s="108"/>
      <c r="O340" s="108"/>
      <c r="P340" s="108"/>
      <c r="Q340" s="109"/>
    </row>
    <row r="341" spans="7:17" x14ac:dyDescent="0.2">
      <c r="G341" s="103">
        <v>331</v>
      </c>
      <c r="H341" s="107"/>
      <c r="I341" s="108"/>
      <c r="J341" s="108"/>
      <c r="K341" s="108"/>
      <c r="L341" s="108"/>
      <c r="M341" s="108"/>
      <c r="N341" s="108"/>
      <c r="O341" s="108"/>
      <c r="P341" s="108"/>
      <c r="Q341" s="109"/>
    </row>
    <row r="342" spans="7:17" x14ac:dyDescent="0.2">
      <c r="G342" s="103">
        <v>332</v>
      </c>
      <c r="H342" s="107"/>
      <c r="I342" s="108"/>
      <c r="J342" s="108"/>
      <c r="K342" s="108"/>
      <c r="L342" s="108"/>
      <c r="M342" s="108"/>
      <c r="N342" s="108"/>
      <c r="O342" s="108"/>
      <c r="P342" s="108"/>
      <c r="Q342" s="109"/>
    </row>
    <row r="343" spans="7:17" x14ac:dyDescent="0.2">
      <c r="G343" s="103">
        <v>333</v>
      </c>
      <c r="H343" s="107"/>
      <c r="I343" s="108"/>
      <c r="J343" s="108"/>
      <c r="K343" s="108"/>
      <c r="L343" s="108"/>
      <c r="M343" s="108"/>
      <c r="N343" s="108"/>
      <c r="O343" s="108"/>
      <c r="P343" s="108"/>
      <c r="Q343" s="109"/>
    </row>
    <row r="344" spans="7:17" x14ac:dyDescent="0.2">
      <c r="G344" s="103">
        <v>334</v>
      </c>
      <c r="H344" s="107"/>
      <c r="I344" s="108"/>
      <c r="J344" s="108"/>
      <c r="K344" s="108"/>
      <c r="L344" s="108"/>
      <c r="M344" s="108"/>
      <c r="N344" s="108"/>
      <c r="O344" s="108"/>
      <c r="P344" s="108"/>
      <c r="Q344" s="109"/>
    </row>
    <row r="345" spans="7:17" x14ac:dyDescent="0.2">
      <c r="G345" s="103">
        <v>335</v>
      </c>
      <c r="H345" s="107"/>
      <c r="I345" s="108"/>
      <c r="J345" s="108"/>
      <c r="K345" s="108"/>
      <c r="L345" s="108"/>
      <c r="M345" s="108"/>
      <c r="N345" s="108"/>
      <c r="O345" s="108"/>
      <c r="P345" s="108"/>
      <c r="Q345" s="109"/>
    </row>
    <row r="346" spans="7:17" x14ac:dyDescent="0.2">
      <c r="G346" s="103">
        <v>336</v>
      </c>
      <c r="H346" s="107"/>
      <c r="I346" s="108"/>
      <c r="J346" s="108"/>
      <c r="K346" s="108"/>
      <c r="L346" s="108"/>
      <c r="M346" s="108"/>
      <c r="N346" s="108"/>
      <c r="O346" s="108"/>
      <c r="P346" s="108"/>
      <c r="Q346" s="109"/>
    </row>
    <row r="347" spans="7:17" x14ac:dyDescent="0.2">
      <c r="G347" s="103">
        <v>337</v>
      </c>
      <c r="H347" s="107"/>
      <c r="I347" s="108"/>
      <c r="J347" s="108"/>
      <c r="K347" s="108"/>
      <c r="L347" s="108"/>
      <c r="M347" s="108"/>
      <c r="N347" s="108"/>
      <c r="O347" s="108"/>
      <c r="P347" s="108"/>
      <c r="Q347" s="109"/>
    </row>
    <row r="348" spans="7:17" x14ac:dyDescent="0.2">
      <c r="G348" s="103">
        <v>338</v>
      </c>
      <c r="H348" s="107"/>
      <c r="I348" s="108"/>
      <c r="J348" s="108"/>
      <c r="K348" s="108"/>
      <c r="L348" s="108"/>
      <c r="M348" s="108"/>
      <c r="N348" s="108"/>
      <c r="O348" s="108"/>
      <c r="P348" s="108"/>
      <c r="Q348" s="109"/>
    </row>
    <row r="349" spans="7:17" x14ac:dyDescent="0.2">
      <c r="G349" s="103">
        <v>339</v>
      </c>
      <c r="H349" s="107"/>
      <c r="I349" s="108"/>
      <c r="J349" s="108"/>
      <c r="K349" s="108"/>
      <c r="L349" s="108"/>
      <c r="M349" s="108"/>
      <c r="N349" s="108"/>
      <c r="O349" s="108"/>
      <c r="P349" s="108"/>
      <c r="Q349" s="109"/>
    </row>
    <row r="350" spans="7:17" x14ac:dyDescent="0.2">
      <c r="G350" s="103">
        <v>340</v>
      </c>
      <c r="H350" s="107"/>
      <c r="I350" s="108"/>
      <c r="J350" s="108"/>
      <c r="K350" s="108"/>
      <c r="L350" s="108"/>
      <c r="M350" s="108"/>
      <c r="N350" s="108"/>
      <c r="O350" s="108"/>
      <c r="P350" s="108"/>
      <c r="Q350" s="109"/>
    </row>
    <row r="351" spans="7:17" x14ac:dyDescent="0.2">
      <c r="G351" s="103">
        <v>341</v>
      </c>
      <c r="H351" s="107"/>
      <c r="I351" s="108"/>
      <c r="J351" s="108"/>
      <c r="K351" s="108"/>
      <c r="L351" s="108"/>
      <c r="M351" s="108"/>
      <c r="N351" s="108"/>
      <c r="O351" s="108"/>
      <c r="P351" s="108"/>
      <c r="Q351" s="109"/>
    </row>
    <row r="352" spans="7:17" x14ac:dyDescent="0.2">
      <c r="G352" s="103">
        <v>342</v>
      </c>
      <c r="H352" s="107"/>
      <c r="I352" s="108"/>
      <c r="J352" s="108"/>
      <c r="K352" s="108"/>
      <c r="L352" s="108"/>
      <c r="M352" s="108"/>
      <c r="N352" s="108"/>
      <c r="O352" s="108"/>
      <c r="P352" s="108"/>
      <c r="Q352" s="109"/>
    </row>
    <row r="353" spans="7:17" x14ac:dyDescent="0.2">
      <c r="G353" s="103">
        <v>343</v>
      </c>
      <c r="H353" s="107"/>
      <c r="I353" s="108"/>
      <c r="J353" s="108"/>
      <c r="K353" s="108"/>
      <c r="L353" s="108"/>
      <c r="M353" s="108"/>
      <c r="N353" s="108"/>
      <c r="O353" s="108"/>
      <c r="P353" s="108"/>
      <c r="Q353" s="109"/>
    </row>
    <row r="354" spans="7:17" x14ac:dyDescent="0.2">
      <c r="G354" s="103">
        <v>344</v>
      </c>
      <c r="H354" s="107"/>
      <c r="I354" s="108"/>
      <c r="J354" s="108"/>
      <c r="K354" s="108"/>
      <c r="L354" s="108"/>
      <c r="M354" s="108"/>
      <c r="N354" s="108"/>
      <c r="O354" s="108"/>
      <c r="P354" s="108"/>
      <c r="Q354" s="109"/>
    </row>
    <row r="355" spans="7:17" x14ac:dyDescent="0.2">
      <c r="G355" s="103">
        <v>345</v>
      </c>
      <c r="H355" s="107"/>
      <c r="I355" s="108"/>
      <c r="J355" s="108"/>
      <c r="K355" s="108"/>
      <c r="L355" s="108"/>
      <c r="M355" s="108"/>
      <c r="N355" s="108"/>
      <c r="O355" s="108"/>
      <c r="P355" s="108"/>
      <c r="Q355" s="109"/>
    </row>
    <row r="356" spans="7:17" x14ac:dyDescent="0.2">
      <c r="G356" s="103">
        <v>346</v>
      </c>
      <c r="H356" s="107"/>
      <c r="I356" s="108"/>
      <c r="J356" s="108"/>
      <c r="K356" s="108"/>
      <c r="L356" s="108"/>
      <c r="M356" s="108"/>
      <c r="N356" s="108"/>
      <c r="O356" s="108"/>
      <c r="P356" s="108"/>
      <c r="Q356" s="109"/>
    </row>
    <row r="357" spans="7:17" x14ac:dyDescent="0.2">
      <c r="G357" s="103">
        <v>347</v>
      </c>
      <c r="H357" s="107"/>
      <c r="I357" s="108"/>
      <c r="J357" s="108"/>
      <c r="K357" s="108"/>
      <c r="L357" s="108"/>
      <c r="M357" s="108"/>
      <c r="N357" s="108"/>
      <c r="O357" s="108"/>
      <c r="P357" s="108"/>
      <c r="Q357" s="109"/>
    </row>
    <row r="358" spans="7:17" x14ac:dyDescent="0.2">
      <c r="G358" s="103">
        <v>348</v>
      </c>
      <c r="H358" s="107"/>
      <c r="I358" s="108"/>
      <c r="J358" s="108"/>
      <c r="K358" s="108"/>
      <c r="L358" s="108"/>
      <c r="M358" s="108"/>
      <c r="N358" s="108"/>
      <c r="O358" s="108"/>
      <c r="P358" s="108"/>
      <c r="Q358" s="109"/>
    </row>
    <row r="359" spans="7:17" x14ac:dyDescent="0.2">
      <c r="G359" s="103">
        <v>349</v>
      </c>
      <c r="H359" s="107"/>
      <c r="I359" s="108"/>
      <c r="J359" s="108"/>
      <c r="K359" s="108"/>
      <c r="L359" s="108"/>
      <c r="M359" s="108"/>
      <c r="N359" s="108"/>
      <c r="O359" s="108"/>
      <c r="P359" s="108"/>
      <c r="Q359" s="109"/>
    </row>
    <row r="360" spans="7:17" x14ac:dyDescent="0.2">
      <c r="G360" s="103">
        <v>350</v>
      </c>
      <c r="H360" s="107"/>
      <c r="I360" s="108"/>
      <c r="J360" s="108"/>
      <c r="K360" s="108"/>
      <c r="L360" s="108"/>
      <c r="M360" s="108"/>
      <c r="N360" s="108"/>
      <c r="O360" s="108"/>
      <c r="P360" s="108"/>
      <c r="Q360" s="109"/>
    </row>
    <row r="361" spans="7:17" x14ac:dyDescent="0.2">
      <c r="G361" s="103">
        <v>351</v>
      </c>
      <c r="H361" s="107"/>
      <c r="I361" s="108"/>
      <c r="J361" s="108"/>
      <c r="K361" s="108"/>
      <c r="L361" s="108"/>
      <c r="M361" s="108"/>
      <c r="N361" s="108"/>
      <c r="O361" s="108"/>
      <c r="P361" s="108"/>
      <c r="Q361" s="109"/>
    </row>
    <row r="362" spans="7:17" x14ac:dyDescent="0.2">
      <c r="G362" s="103">
        <v>352</v>
      </c>
      <c r="H362" s="107"/>
      <c r="I362" s="108"/>
      <c r="J362" s="108"/>
      <c r="K362" s="108"/>
      <c r="L362" s="108"/>
      <c r="M362" s="108"/>
      <c r="N362" s="108"/>
      <c r="O362" s="108"/>
      <c r="P362" s="108"/>
      <c r="Q362" s="109"/>
    </row>
    <row r="363" spans="7:17" x14ac:dyDescent="0.2">
      <c r="G363" s="103">
        <v>353</v>
      </c>
      <c r="H363" s="107"/>
      <c r="I363" s="108"/>
      <c r="J363" s="108"/>
      <c r="K363" s="108"/>
      <c r="L363" s="108"/>
      <c r="M363" s="108"/>
      <c r="N363" s="108"/>
      <c r="O363" s="108"/>
      <c r="P363" s="108"/>
      <c r="Q363" s="109"/>
    </row>
    <row r="364" spans="7:17" x14ac:dyDescent="0.2">
      <c r="G364" s="103">
        <v>354</v>
      </c>
      <c r="H364" s="107"/>
      <c r="I364" s="108"/>
      <c r="J364" s="108"/>
      <c r="K364" s="108"/>
      <c r="L364" s="108"/>
      <c r="M364" s="108"/>
      <c r="N364" s="108"/>
      <c r="O364" s="108"/>
      <c r="P364" s="108"/>
      <c r="Q364" s="109"/>
    </row>
    <row r="365" spans="7:17" x14ac:dyDescent="0.2">
      <c r="G365" s="103">
        <v>355</v>
      </c>
      <c r="H365" s="107"/>
      <c r="I365" s="108"/>
      <c r="J365" s="108"/>
      <c r="K365" s="108"/>
      <c r="L365" s="108"/>
      <c r="M365" s="108"/>
      <c r="N365" s="108"/>
      <c r="O365" s="108"/>
      <c r="P365" s="108"/>
      <c r="Q365" s="109"/>
    </row>
    <row r="366" spans="7:17" x14ac:dyDescent="0.2">
      <c r="G366" s="103">
        <v>356</v>
      </c>
      <c r="H366" s="107"/>
      <c r="I366" s="108"/>
      <c r="J366" s="108"/>
      <c r="K366" s="108"/>
      <c r="L366" s="108"/>
      <c r="M366" s="108"/>
      <c r="N366" s="108"/>
      <c r="O366" s="108"/>
      <c r="P366" s="108"/>
      <c r="Q366" s="109"/>
    </row>
    <row r="367" spans="7:17" x14ac:dyDescent="0.2">
      <c r="G367" s="103">
        <v>357</v>
      </c>
      <c r="H367" s="107"/>
      <c r="I367" s="108"/>
      <c r="J367" s="108"/>
      <c r="K367" s="108"/>
      <c r="L367" s="108"/>
      <c r="M367" s="108"/>
      <c r="N367" s="108"/>
      <c r="O367" s="108"/>
      <c r="P367" s="108"/>
      <c r="Q367" s="109"/>
    </row>
    <row r="368" spans="7:17" x14ac:dyDescent="0.2">
      <c r="G368" s="103">
        <v>358</v>
      </c>
      <c r="H368" s="107"/>
      <c r="I368" s="108"/>
      <c r="J368" s="108"/>
      <c r="K368" s="108"/>
      <c r="L368" s="108"/>
      <c r="M368" s="108"/>
      <c r="N368" s="108"/>
      <c r="O368" s="108"/>
      <c r="P368" s="108"/>
      <c r="Q368" s="109"/>
    </row>
    <row r="369" spans="7:17" x14ac:dyDescent="0.2">
      <c r="G369" s="103">
        <v>359</v>
      </c>
      <c r="H369" s="107"/>
      <c r="I369" s="108"/>
      <c r="J369" s="108"/>
      <c r="K369" s="108"/>
      <c r="L369" s="108"/>
      <c r="M369" s="108"/>
      <c r="N369" s="108"/>
      <c r="O369" s="108"/>
      <c r="P369" s="108"/>
      <c r="Q369" s="109"/>
    </row>
    <row r="370" spans="7:17" x14ac:dyDescent="0.2">
      <c r="G370" s="103">
        <v>360</v>
      </c>
      <c r="H370" s="107"/>
      <c r="I370" s="108"/>
      <c r="J370" s="108"/>
      <c r="K370" s="108"/>
      <c r="L370" s="108"/>
      <c r="M370" s="108"/>
      <c r="N370" s="108"/>
      <c r="O370" s="108"/>
      <c r="P370" s="108"/>
      <c r="Q370" s="109"/>
    </row>
    <row r="371" spans="7:17" x14ac:dyDescent="0.2">
      <c r="G371" s="103">
        <v>361</v>
      </c>
      <c r="H371" s="107"/>
      <c r="I371" s="108"/>
      <c r="J371" s="108"/>
      <c r="K371" s="108"/>
      <c r="L371" s="108"/>
      <c r="M371" s="108"/>
      <c r="N371" s="108"/>
      <c r="O371" s="108"/>
      <c r="P371" s="108"/>
      <c r="Q371" s="109"/>
    </row>
    <row r="372" spans="7:17" x14ac:dyDescent="0.2">
      <c r="G372" s="103">
        <v>362</v>
      </c>
      <c r="H372" s="107"/>
      <c r="I372" s="108"/>
      <c r="J372" s="108"/>
      <c r="K372" s="108"/>
      <c r="L372" s="108"/>
      <c r="M372" s="108"/>
      <c r="N372" s="108"/>
      <c r="O372" s="108"/>
      <c r="P372" s="108"/>
      <c r="Q372" s="109"/>
    </row>
    <row r="373" spans="7:17" x14ac:dyDescent="0.2">
      <c r="G373" s="103">
        <v>363</v>
      </c>
      <c r="H373" s="107"/>
      <c r="I373" s="108"/>
      <c r="J373" s="108"/>
      <c r="K373" s="108"/>
      <c r="L373" s="108"/>
      <c r="M373" s="108"/>
      <c r="N373" s="108"/>
      <c r="O373" s="108"/>
      <c r="P373" s="108"/>
      <c r="Q373" s="109"/>
    </row>
    <row r="374" spans="7:17" x14ac:dyDescent="0.2">
      <c r="G374" s="103">
        <v>364</v>
      </c>
      <c r="H374" s="107"/>
      <c r="I374" s="108"/>
      <c r="J374" s="108"/>
      <c r="K374" s="108"/>
      <c r="L374" s="108"/>
      <c r="M374" s="108"/>
      <c r="N374" s="108"/>
      <c r="O374" s="108"/>
      <c r="P374" s="108"/>
      <c r="Q374" s="109"/>
    </row>
    <row r="375" spans="7:17" x14ac:dyDescent="0.2">
      <c r="G375" s="103">
        <v>365</v>
      </c>
      <c r="H375" s="107"/>
      <c r="I375" s="108"/>
      <c r="J375" s="108"/>
      <c r="K375" s="108"/>
      <c r="L375" s="108"/>
      <c r="M375" s="108"/>
      <c r="N375" s="108"/>
      <c r="O375" s="108"/>
      <c r="P375" s="108"/>
      <c r="Q375" s="109"/>
    </row>
    <row r="376" spans="7:17" x14ac:dyDescent="0.2">
      <c r="G376" s="103">
        <v>366</v>
      </c>
      <c r="H376" s="107"/>
      <c r="I376" s="108"/>
      <c r="J376" s="108"/>
      <c r="K376" s="108"/>
      <c r="L376" s="108"/>
      <c r="M376" s="108"/>
      <c r="N376" s="108"/>
      <c r="O376" s="108"/>
      <c r="P376" s="108"/>
      <c r="Q376" s="109"/>
    </row>
    <row r="377" spans="7:17" x14ac:dyDescent="0.2">
      <c r="G377" s="103">
        <v>367</v>
      </c>
      <c r="H377" s="107"/>
      <c r="I377" s="108"/>
      <c r="J377" s="108"/>
      <c r="K377" s="108"/>
      <c r="L377" s="108"/>
      <c r="M377" s="108"/>
      <c r="N377" s="108"/>
      <c r="O377" s="108"/>
      <c r="P377" s="108"/>
      <c r="Q377" s="109"/>
    </row>
    <row r="378" spans="7:17" x14ac:dyDescent="0.2">
      <c r="G378" s="103">
        <v>368</v>
      </c>
      <c r="H378" s="107"/>
      <c r="I378" s="108"/>
      <c r="J378" s="108"/>
      <c r="K378" s="108"/>
      <c r="L378" s="108"/>
      <c r="M378" s="108"/>
      <c r="N378" s="108"/>
      <c r="O378" s="108"/>
      <c r="P378" s="108"/>
      <c r="Q378" s="109"/>
    </row>
    <row r="379" spans="7:17" x14ac:dyDescent="0.2">
      <c r="G379" s="103">
        <v>369</v>
      </c>
      <c r="H379" s="107"/>
      <c r="I379" s="108"/>
      <c r="J379" s="108"/>
      <c r="K379" s="108"/>
      <c r="L379" s="108"/>
      <c r="M379" s="108"/>
      <c r="N379" s="108"/>
      <c r="O379" s="108"/>
      <c r="P379" s="108"/>
      <c r="Q379" s="109"/>
    </row>
    <row r="380" spans="7:17" x14ac:dyDescent="0.2">
      <c r="G380" s="103">
        <v>370</v>
      </c>
      <c r="H380" s="107"/>
      <c r="I380" s="108"/>
      <c r="J380" s="108"/>
      <c r="K380" s="108"/>
      <c r="L380" s="108"/>
      <c r="M380" s="108"/>
      <c r="N380" s="108"/>
      <c r="O380" s="108"/>
      <c r="P380" s="108"/>
      <c r="Q380" s="109"/>
    </row>
    <row r="381" spans="7:17" x14ac:dyDescent="0.2">
      <c r="G381" s="103">
        <v>371</v>
      </c>
      <c r="H381" s="107"/>
      <c r="I381" s="108"/>
      <c r="J381" s="108"/>
      <c r="K381" s="108"/>
      <c r="L381" s="108"/>
      <c r="M381" s="108"/>
      <c r="N381" s="108"/>
      <c r="O381" s="108"/>
      <c r="P381" s="108"/>
      <c r="Q381" s="109"/>
    </row>
    <row r="382" spans="7:17" x14ac:dyDescent="0.2">
      <c r="G382" s="103">
        <v>372</v>
      </c>
      <c r="H382" s="107"/>
      <c r="I382" s="108"/>
      <c r="J382" s="108"/>
      <c r="K382" s="108"/>
      <c r="L382" s="108"/>
      <c r="M382" s="108"/>
      <c r="N382" s="108"/>
      <c r="O382" s="108"/>
      <c r="P382" s="108"/>
      <c r="Q382" s="109"/>
    </row>
    <row r="383" spans="7:17" x14ac:dyDescent="0.2">
      <c r="G383" s="103">
        <v>373</v>
      </c>
      <c r="H383" s="107"/>
      <c r="I383" s="108"/>
      <c r="J383" s="108"/>
      <c r="K383" s="108"/>
      <c r="L383" s="108"/>
      <c r="M383" s="108"/>
      <c r="N383" s="108"/>
      <c r="O383" s="108"/>
      <c r="P383" s="108"/>
      <c r="Q383" s="109"/>
    </row>
    <row r="384" spans="7:17" x14ac:dyDescent="0.2">
      <c r="G384" s="103">
        <v>374</v>
      </c>
      <c r="H384" s="107"/>
      <c r="I384" s="108"/>
      <c r="J384" s="108"/>
      <c r="K384" s="108"/>
      <c r="L384" s="108"/>
      <c r="M384" s="108"/>
      <c r="N384" s="108"/>
      <c r="O384" s="108"/>
      <c r="P384" s="108"/>
      <c r="Q384" s="109"/>
    </row>
    <row r="385" spans="7:17" x14ac:dyDescent="0.2">
      <c r="G385" s="103">
        <v>375</v>
      </c>
      <c r="H385" s="107"/>
      <c r="I385" s="108"/>
      <c r="J385" s="108"/>
      <c r="K385" s="108"/>
      <c r="L385" s="108"/>
      <c r="M385" s="108"/>
      <c r="N385" s="108"/>
      <c r="O385" s="108"/>
      <c r="P385" s="108"/>
      <c r="Q385" s="109"/>
    </row>
    <row r="386" spans="7:17" x14ac:dyDescent="0.2">
      <c r="G386" s="103">
        <v>376</v>
      </c>
      <c r="H386" s="107"/>
      <c r="I386" s="108"/>
      <c r="J386" s="108"/>
      <c r="K386" s="108"/>
      <c r="L386" s="108"/>
      <c r="M386" s="108"/>
      <c r="N386" s="108"/>
      <c r="O386" s="108"/>
      <c r="P386" s="108"/>
      <c r="Q386" s="109"/>
    </row>
    <row r="387" spans="7:17" x14ac:dyDescent="0.2">
      <c r="G387" s="103">
        <v>377</v>
      </c>
      <c r="H387" s="107"/>
      <c r="I387" s="108"/>
      <c r="J387" s="108"/>
      <c r="K387" s="108"/>
      <c r="L387" s="108"/>
      <c r="M387" s="108"/>
      <c r="N387" s="108"/>
      <c r="O387" s="108"/>
      <c r="P387" s="108"/>
      <c r="Q387" s="109"/>
    </row>
    <row r="388" spans="7:17" x14ac:dyDescent="0.2">
      <c r="G388" s="103">
        <v>378</v>
      </c>
      <c r="H388" s="107"/>
      <c r="I388" s="108"/>
      <c r="J388" s="108"/>
      <c r="K388" s="108"/>
      <c r="L388" s="108"/>
      <c r="M388" s="108"/>
      <c r="N388" s="108"/>
      <c r="O388" s="108"/>
      <c r="P388" s="108"/>
      <c r="Q388" s="109"/>
    </row>
    <row r="389" spans="7:17" x14ac:dyDescent="0.2">
      <c r="G389" s="103">
        <v>379</v>
      </c>
      <c r="H389" s="107"/>
      <c r="I389" s="108"/>
      <c r="J389" s="108"/>
      <c r="K389" s="108"/>
      <c r="L389" s="108"/>
      <c r="M389" s="108"/>
      <c r="N389" s="108"/>
      <c r="O389" s="108"/>
      <c r="P389" s="108"/>
      <c r="Q389" s="109"/>
    </row>
    <row r="390" spans="7:17" x14ac:dyDescent="0.2">
      <c r="G390" s="103">
        <v>380</v>
      </c>
      <c r="H390" s="107"/>
      <c r="I390" s="108"/>
      <c r="J390" s="108"/>
      <c r="K390" s="108"/>
      <c r="L390" s="108"/>
      <c r="M390" s="108"/>
      <c r="N390" s="108"/>
      <c r="O390" s="108"/>
      <c r="P390" s="108"/>
      <c r="Q390" s="109"/>
    </row>
    <row r="391" spans="7:17" x14ac:dyDescent="0.2">
      <c r="G391" s="103">
        <v>381</v>
      </c>
      <c r="H391" s="107"/>
      <c r="I391" s="108"/>
      <c r="J391" s="108"/>
      <c r="K391" s="108"/>
      <c r="L391" s="108"/>
      <c r="M391" s="108"/>
      <c r="N391" s="108"/>
      <c r="O391" s="108"/>
      <c r="P391" s="108"/>
      <c r="Q391" s="109"/>
    </row>
    <row r="392" spans="7:17" x14ac:dyDescent="0.2">
      <c r="G392" s="103">
        <v>382</v>
      </c>
      <c r="H392" s="107"/>
      <c r="I392" s="108"/>
      <c r="J392" s="108"/>
      <c r="K392" s="108"/>
      <c r="L392" s="108"/>
      <c r="M392" s="108"/>
      <c r="N392" s="108"/>
      <c r="O392" s="108"/>
      <c r="P392" s="108"/>
      <c r="Q392" s="109"/>
    </row>
    <row r="393" spans="7:17" x14ac:dyDescent="0.2">
      <c r="G393" s="103">
        <v>383</v>
      </c>
      <c r="H393" s="107"/>
      <c r="I393" s="108"/>
      <c r="J393" s="108"/>
      <c r="K393" s="108"/>
      <c r="L393" s="108"/>
      <c r="M393" s="108"/>
      <c r="N393" s="108"/>
      <c r="O393" s="108"/>
      <c r="P393" s="108"/>
      <c r="Q393" s="109"/>
    </row>
    <row r="394" spans="7:17" x14ac:dyDescent="0.2">
      <c r="G394" s="103">
        <v>384</v>
      </c>
      <c r="H394" s="107"/>
      <c r="I394" s="108"/>
      <c r="J394" s="108"/>
      <c r="K394" s="108"/>
      <c r="L394" s="108"/>
      <c r="M394" s="108"/>
      <c r="N394" s="108"/>
      <c r="O394" s="108"/>
      <c r="P394" s="108"/>
      <c r="Q394" s="109"/>
    </row>
    <row r="395" spans="7:17" x14ac:dyDescent="0.2">
      <c r="G395" s="103">
        <v>385</v>
      </c>
      <c r="H395" s="107"/>
      <c r="I395" s="108"/>
      <c r="J395" s="108"/>
      <c r="K395" s="108"/>
      <c r="L395" s="108"/>
      <c r="M395" s="108"/>
      <c r="N395" s="108"/>
      <c r="O395" s="108"/>
      <c r="P395" s="108"/>
      <c r="Q395" s="109"/>
    </row>
    <row r="396" spans="7:17" x14ac:dyDescent="0.2">
      <c r="G396" s="103">
        <v>386</v>
      </c>
      <c r="H396" s="107"/>
      <c r="I396" s="108"/>
      <c r="J396" s="108"/>
      <c r="K396" s="108"/>
      <c r="L396" s="108"/>
      <c r="M396" s="108"/>
      <c r="N396" s="108"/>
      <c r="O396" s="108"/>
      <c r="P396" s="108"/>
      <c r="Q396" s="109"/>
    </row>
    <row r="397" spans="7:17" x14ac:dyDescent="0.2">
      <c r="G397" s="103">
        <v>387</v>
      </c>
      <c r="H397" s="107"/>
      <c r="I397" s="108"/>
      <c r="J397" s="108"/>
      <c r="K397" s="108"/>
      <c r="L397" s="108"/>
      <c r="M397" s="108"/>
      <c r="N397" s="108"/>
      <c r="O397" s="108"/>
      <c r="P397" s="108"/>
      <c r="Q397" s="109"/>
    </row>
    <row r="398" spans="7:17" x14ac:dyDescent="0.2">
      <c r="G398" s="103">
        <v>388</v>
      </c>
      <c r="H398" s="107"/>
      <c r="I398" s="108"/>
      <c r="J398" s="108"/>
      <c r="K398" s="108"/>
      <c r="L398" s="108"/>
      <c r="M398" s="108"/>
      <c r="N398" s="108"/>
      <c r="O398" s="108"/>
      <c r="P398" s="108"/>
      <c r="Q398" s="109"/>
    </row>
    <row r="399" spans="7:17" x14ac:dyDescent="0.2">
      <c r="G399" s="103">
        <v>389</v>
      </c>
      <c r="H399" s="107"/>
      <c r="I399" s="108"/>
      <c r="J399" s="108"/>
      <c r="K399" s="108"/>
      <c r="L399" s="108"/>
      <c r="M399" s="108"/>
      <c r="N399" s="108"/>
      <c r="O399" s="108"/>
      <c r="P399" s="108"/>
      <c r="Q399" s="109"/>
    </row>
    <row r="400" spans="7:17" x14ac:dyDescent="0.2">
      <c r="G400" s="103">
        <v>390</v>
      </c>
      <c r="H400" s="107"/>
      <c r="I400" s="108"/>
      <c r="J400" s="108"/>
      <c r="K400" s="108"/>
      <c r="L400" s="108"/>
      <c r="M400" s="108"/>
      <c r="N400" s="108"/>
      <c r="O400" s="108"/>
      <c r="P400" s="108"/>
      <c r="Q400" s="109"/>
    </row>
    <row r="401" spans="7:17" x14ac:dyDescent="0.2">
      <c r="G401" s="103">
        <v>391</v>
      </c>
      <c r="H401" s="107"/>
      <c r="I401" s="108"/>
      <c r="J401" s="108"/>
      <c r="K401" s="108"/>
      <c r="L401" s="108"/>
      <c r="M401" s="108"/>
      <c r="N401" s="108"/>
      <c r="O401" s="108"/>
      <c r="P401" s="108"/>
      <c r="Q401" s="109"/>
    </row>
    <row r="402" spans="7:17" x14ac:dyDescent="0.2">
      <c r="G402" s="103">
        <v>392</v>
      </c>
      <c r="H402" s="107"/>
      <c r="I402" s="108"/>
      <c r="J402" s="108"/>
      <c r="K402" s="108"/>
      <c r="L402" s="108"/>
      <c r="M402" s="108"/>
      <c r="N402" s="108"/>
      <c r="O402" s="108"/>
      <c r="P402" s="108"/>
      <c r="Q402" s="109"/>
    </row>
    <row r="403" spans="7:17" x14ac:dyDescent="0.2">
      <c r="G403" s="103">
        <v>393</v>
      </c>
      <c r="H403" s="107"/>
      <c r="I403" s="108"/>
      <c r="J403" s="108"/>
      <c r="K403" s="108"/>
      <c r="L403" s="108"/>
      <c r="M403" s="108"/>
      <c r="N403" s="108"/>
      <c r="O403" s="108"/>
      <c r="P403" s="108"/>
      <c r="Q403" s="109"/>
    </row>
    <row r="404" spans="7:17" x14ac:dyDescent="0.2">
      <c r="G404" s="103">
        <v>394</v>
      </c>
      <c r="H404" s="107"/>
      <c r="I404" s="108"/>
      <c r="J404" s="108"/>
      <c r="K404" s="108"/>
      <c r="L404" s="108"/>
      <c r="M404" s="108"/>
      <c r="N404" s="108"/>
      <c r="O404" s="108"/>
      <c r="P404" s="108"/>
      <c r="Q404" s="109"/>
    </row>
    <row r="405" spans="7:17" x14ac:dyDescent="0.2">
      <c r="G405" s="103">
        <v>395</v>
      </c>
      <c r="H405" s="107"/>
      <c r="I405" s="108"/>
      <c r="J405" s="108"/>
      <c r="K405" s="108"/>
      <c r="L405" s="108"/>
      <c r="M405" s="108"/>
      <c r="N405" s="108"/>
      <c r="O405" s="108"/>
      <c r="P405" s="108"/>
      <c r="Q405" s="109"/>
    </row>
    <row r="406" spans="7:17" x14ac:dyDescent="0.2">
      <c r="G406" s="103">
        <v>396</v>
      </c>
      <c r="H406" s="107"/>
      <c r="I406" s="108"/>
      <c r="J406" s="108"/>
      <c r="K406" s="108"/>
      <c r="L406" s="108"/>
      <c r="M406" s="108"/>
      <c r="N406" s="108"/>
      <c r="O406" s="108"/>
      <c r="P406" s="108"/>
      <c r="Q406" s="109"/>
    </row>
    <row r="407" spans="7:17" x14ac:dyDescent="0.2">
      <c r="G407" s="103">
        <v>397</v>
      </c>
      <c r="H407" s="107"/>
      <c r="I407" s="108"/>
      <c r="J407" s="108"/>
      <c r="K407" s="108"/>
      <c r="L407" s="108"/>
      <c r="M407" s="108"/>
      <c r="N407" s="108"/>
      <c r="O407" s="108"/>
      <c r="P407" s="108"/>
      <c r="Q407" s="109"/>
    </row>
    <row r="408" spans="7:17" x14ac:dyDescent="0.2">
      <c r="G408" s="103">
        <v>398</v>
      </c>
      <c r="H408" s="107"/>
      <c r="I408" s="108"/>
      <c r="J408" s="108"/>
      <c r="K408" s="108"/>
      <c r="L408" s="108"/>
      <c r="M408" s="108"/>
      <c r="N408" s="108"/>
      <c r="O408" s="108"/>
      <c r="P408" s="108"/>
      <c r="Q408" s="109"/>
    </row>
    <row r="409" spans="7:17" x14ac:dyDescent="0.2">
      <c r="G409" s="103">
        <v>399</v>
      </c>
      <c r="H409" s="107"/>
      <c r="I409" s="108"/>
      <c r="J409" s="108"/>
      <c r="K409" s="108"/>
      <c r="L409" s="108"/>
      <c r="M409" s="108"/>
      <c r="N409" s="108"/>
      <c r="O409" s="108"/>
      <c r="P409" s="108"/>
      <c r="Q409" s="109"/>
    </row>
    <row r="410" spans="7:17" ht="12" thickBot="1" x14ac:dyDescent="0.25">
      <c r="G410" s="103">
        <v>400</v>
      </c>
      <c r="H410" s="115"/>
      <c r="I410" s="116"/>
      <c r="J410" s="116"/>
      <c r="K410" s="116"/>
      <c r="L410" s="116"/>
      <c r="M410" s="116"/>
      <c r="N410" s="116"/>
      <c r="O410" s="116"/>
      <c r="P410" s="116"/>
      <c r="Q410" s="117"/>
    </row>
  </sheetData>
  <sheetProtection sheet="1" objects="1" scenarios="1" autoFilter="0"/>
  <mergeCells count="12">
    <mergeCell ref="B2:E2"/>
    <mergeCell ref="B9:C9"/>
    <mergeCell ref="D9:E9"/>
    <mergeCell ref="B17:E18"/>
    <mergeCell ref="B22:C22"/>
    <mergeCell ref="B31:C31"/>
    <mergeCell ref="B32:C32"/>
    <mergeCell ref="B23:C23"/>
    <mergeCell ref="B24:C24"/>
    <mergeCell ref="B28:C28"/>
    <mergeCell ref="B29:C29"/>
    <mergeCell ref="B30:C30"/>
  </mergeCells>
  <dataValidations count="8">
    <dataValidation type="list" allowBlank="1" showInputMessage="1" showErrorMessage="1" sqref="B24" xr:uid="{C5CD0517-80F1-45E0-A46A-459F7CD86B95}">
      <formula1>"Beginning,Middle,End"</formula1>
    </dataValidation>
    <dataValidation type="list" allowBlank="1" showInputMessage="1" showErrorMessage="1" sqref="B23" xr:uid="{3E2B49F6-58E7-4142-AA48-35DC8D940821}">
      <formula1>"Annual,Semiannual,Quarterly"</formula1>
    </dataValidation>
    <dataValidation type="list" allowBlank="1" showInputMessage="1" showErrorMessage="1" sqref="B31" xr:uid="{E7A222CB-709C-46BA-ABA0-7C894FD94F60}">
      <formula1>"Risk-adjusted discount rate,Loss multiple"</formula1>
    </dataValidation>
    <dataValidation type="list" allowBlank="1" showInputMessage="1" showErrorMessage="1" sqref="B28" xr:uid="{47DBFA7C-7227-4E60-BE29-6DEFFB27E85C}">
      <formula1>"Commercial loans,Consumer loans,Student loans,Housing and real estate loans"</formula1>
    </dataValidation>
    <dataValidation type="list" allowBlank="1" showInputMessage="1" showErrorMessage="1" sqref="B30" xr:uid="{6AADE982-03CD-492D-95E0-53C633F872E5}">
      <formula1>"&lt; 5 years,&gt;= 5 years"</formula1>
    </dataValidation>
    <dataValidation type="list" allowBlank="1" showInputMessage="1" showErrorMessage="1" sqref="B22" xr:uid="{ADDF7209-40FC-400B-847A-DCEB47BE36EA}">
      <formula1>"CBO,User-defined"</formula1>
    </dataValidation>
    <dataValidation type="list" allowBlank="1" showInputMessage="1" showErrorMessage="1" sqref="H8:Q8" xr:uid="{523DA330-DBBA-4331-8732-B670378BD84E}">
      <formula1>"Positive,Negative"</formula1>
    </dataValidation>
    <dataValidation type="list" allowBlank="1" showInputMessage="1" showErrorMessage="1" sqref="B29" xr:uid="{A84A7ADA-05DD-4882-AFE1-4508929F397F}">
      <formula1>"AAA,AAA-,AA+,AA,AA-,A+,A,A-,BBB+,BBB,BBB-,BB+,BB,BB-,B+,B,B-,Below B-"</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6AA21-101C-4A96-94CB-943BF02BD635}">
  <sheetPr codeName="Sheet8">
    <tabColor theme="3"/>
  </sheetPr>
  <dimension ref="A1:T410"/>
  <sheetViews>
    <sheetView showGridLines="0" zoomScaleNormal="100" workbookViewId="0"/>
  </sheetViews>
  <sheetFormatPr defaultColWidth="8.83203125" defaultRowHeight="11.25" x14ac:dyDescent="0.2"/>
  <cols>
    <col min="1" max="1" width="25.83203125" style="82" customWidth="1"/>
    <col min="2" max="6" width="12.83203125" style="85" customWidth="1"/>
    <col min="7" max="7" width="20.83203125" style="85" customWidth="1"/>
    <col min="8" max="8" width="12.83203125" style="85" customWidth="1"/>
    <col min="9" max="20" width="12.83203125" style="82" customWidth="1"/>
    <col min="21" max="16384" width="8.83203125" style="82"/>
  </cols>
  <sheetData>
    <row r="1" spans="1:20" ht="18" x14ac:dyDescent="0.4">
      <c r="A1" s="79" t="s">
        <v>67</v>
      </c>
      <c r="B1" s="80"/>
      <c r="C1" s="80"/>
      <c r="D1" s="80"/>
      <c r="E1" s="80"/>
      <c r="F1" s="80"/>
      <c r="G1" s="80"/>
      <c r="H1" s="80"/>
      <c r="I1" s="81"/>
      <c r="J1" s="81"/>
      <c r="K1" s="81"/>
      <c r="L1" s="81"/>
      <c r="M1" s="81"/>
      <c r="N1" s="81"/>
      <c r="O1" s="81"/>
      <c r="P1" s="81"/>
      <c r="Q1" s="81"/>
      <c r="R1" s="81"/>
      <c r="S1" s="81"/>
      <c r="T1" s="81"/>
    </row>
    <row r="2" spans="1:20" ht="12.95" x14ac:dyDescent="0.3">
      <c r="A2" s="83" t="s">
        <v>72</v>
      </c>
      <c r="B2" s="84" t="s">
        <v>132</v>
      </c>
      <c r="C2" s="84"/>
      <c r="D2" s="84"/>
      <c r="E2" s="84"/>
    </row>
    <row r="6" spans="1:20" ht="10.5" x14ac:dyDescent="0.25">
      <c r="A6" s="86" t="s">
        <v>161</v>
      </c>
      <c r="B6" s="87"/>
      <c r="C6" s="87"/>
      <c r="D6" s="87"/>
      <c r="E6" s="87"/>
      <c r="F6" s="88"/>
      <c r="G6" s="82"/>
      <c r="H6" s="86" t="s">
        <v>162</v>
      </c>
      <c r="I6" s="89"/>
      <c r="J6" s="89"/>
      <c r="K6" s="89"/>
      <c r="L6" s="89"/>
      <c r="M6" s="89"/>
      <c r="N6" s="89"/>
      <c r="O6" s="89"/>
      <c r="P6" s="118" t="s">
        <v>163</v>
      </c>
      <c r="Q6" s="119"/>
      <c r="R6" s="119"/>
      <c r="S6" s="119"/>
      <c r="T6" s="119"/>
    </row>
    <row r="8" spans="1:20" ht="30" x14ac:dyDescent="0.2">
      <c r="A8" s="85"/>
      <c r="B8" s="90"/>
      <c r="C8" s="82"/>
      <c r="D8" s="82"/>
      <c r="E8" s="82"/>
      <c r="F8" s="82"/>
      <c r="G8" s="91" t="s">
        <v>136</v>
      </c>
      <c r="H8" s="120" t="s">
        <v>90</v>
      </c>
      <c r="I8" s="94" t="s">
        <v>90</v>
      </c>
      <c r="J8" s="94" t="s">
        <v>91</v>
      </c>
      <c r="K8" s="94" t="s">
        <v>90</v>
      </c>
      <c r="L8" s="94" t="s">
        <v>90</v>
      </c>
      <c r="M8" s="94" t="s">
        <v>90</v>
      </c>
      <c r="N8" s="94" t="s">
        <v>90</v>
      </c>
      <c r="O8" s="121" t="s">
        <v>90</v>
      </c>
      <c r="T8" s="85"/>
    </row>
    <row r="9" spans="1:20" ht="22.5" customHeight="1" x14ac:dyDescent="0.2">
      <c r="B9" s="145" t="s">
        <v>22</v>
      </c>
      <c r="C9" s="146"/>
      <c r="D9" s="145" t="s">
        <v>21</v>
      </c>
      <c r="E9" s="146"/>
      <c r="F9" s="90"/>
      <c r="G9" s="82" t="s">
        <v>54</v>
      </c>
      <c r="H9" s="85">
        <f t="shared" ref="H9:O9" si="0">SUM(H11:H410)</f>
        <v>0</v>
      </c>
      <c r="I9" s="85">
        <f t="shared" si="0"/>
        <v>0</v>
      </c>
      <c r="J9" s="85">
        <f t="shared" si="0"/>
        <v>0</v>
      </c>
      <c r="K9" s="85">
        <f t="shared" si="0"/>
        <v>0</v>
      </c>
      <c r="L9" s="85">
        <f t="shared" si="0"/>
        <v>0</v>
      </c>
      <c r="M9" s="85">
        <f t="shared" si="0"/>
        <v>0</v>
      </c>
      <c r="N9" s="85">
        <f t="shared" si="0"/>
        <v>0</v>
      </c>
      <c r="O9" s="85">
        <f t="shared" si="0"/>
        <v>0</v>
      </c>
      <c r="P9" s="85"/>
      <c r="Q9" s="85">
        <f>SUM(Q11:Q410)</f>
        <v>0</v>
      </c>
      <c r="R9" s="85">
        <f>SUM(R11:R410)</f>
        <v>0</v>
      </c>
      <c r="S9" s="85">
        <f>SUM(S11:S410)</f>
        <v>0</v>
      </c>
      <c r="T9" s="85"/>
    </row>
    <row r="10" spans="1:20" ht="20.45" thickBot="1" x14ac:dyDescent="0.25">
      <c r="A10" s="96"/>
      <c r="B10" s="97" t="s">
        <v>51</v>
      </c>
      <c r="C10" s="98" t="s">
        <v>52</v>
      </c>
      <c r="D10" s="97" t="s">
        <v>51</v>
      </c>
      <c r="E10" s="98" t="s">
        <v>52</v>
      </c>
      <c r="F10" s="99"/>
      <c r="G10" s="100" t="s">
        <v>6</v>
      </c>
      <c r="H10" s="101" t="s">
        <v>7</v>
      </c>
      <c r="I10" s="101" t="s">
        <v>10</v>
      </c>
      <c r="J10" s="101" t="s">
        <v>11</v>
      </c>
      <c r="K10" s="101" t="s">
        <v>19</v>
      </c>
      <c r="L10" s="101" t="s">
        <v>18</v>
      </c>
      <c r="M10" s="101" t="s">
        <v>17</v>
      </c>
      <c r="N10" s="101" t="s">
        <v>133</v>
      </c>
      <c r="O10" s="101" t="s">
        <v>134</v>
      </c>
      <c r="P10" s="101" t="s">
        <v>76</v>
      </c>
      <c r="Q10" s="101" t="s">
        <v>8</v>
      </c>
      <c r="R10" s="101" t="s">
        <v>9</v>
      </c>
      <c r="S10" s="101" t="s">
        <v>12</v>
      </c>
      <c r="T10" s="101" t="s">
        <v>128</v>
      </c>
    </row>
    <row r="11" spans="1:20" ht="9.9499999999999993" x14ac:dyDescent="0.2">
      <c r="A11" s="85" t="s">
        <v>0</v>
      </c>
      <c r="B11" s="124" cm="1">
        <f t="array" ref="B11">Subsidy(0,B22,B23,B24,B31,B32,LG_cashflows,LG_signs,B37)</f>
        <v>0</v>
      </c>
      <c r="C11" s="125"/>
      <c r="D11" s="124"/>
      <c r="E11" s="125"/>
      <c r="F11" s="102"/>
      <c r="G11" s="103">
        <v>1</v>
      </c>
      <c r="H11" s="104"/>
      <c r="I11" s="105"/>
      <c r="J11" s="105"/>
      <c r="K11" s="105"/>
      <c r="L11" s="105"/>
      <c r="M11" s="105"/>
      <c r="N11" s="105"/>
      <c r="O11" s="105"/>
      <c r="P11" s="104"/>
      <c r="Q11" s="105"/>
      <c r="R11" s="105"/>
      <c r="S11" s="105"/>
      <c r="T11" s="128"/>
    </row>
    <row r="12" spans="1:20" ht="9.9499999999999993" x14ac:dyDescent="0.2">
      <c r="A12" s="85" t="s">
        <v>1</v>
      </c>
      <c r="B12" s="124"/>
      <c r="C12" s="125"/>
      <c r="D12" s="124"/>
      <c r="E12" s="125"/>
      <c r="F12" s="82"/>
      <c r="G12" s="103">
        <v>2</v>
      </c>
      <c r="H12" s="107"/>
      <c r="I12" s="108"/>
      <c r="J12" s="108"/>
      <c r="K12" s="108"/>
      <c r="L12" s="108"/>
      <c r="M12" s="108"/>
      <c r="N12" s="108"/>
      <c r="O12" s="108"/>
      <c r="P12" s="107"/>
      <c r="Q12" s="108"/>
      <c r="R12" s="108"/>
      <c r="S12" s="108"/>
      <c r="T12" s="129"/>
    </row>
    <row r="13" spans="1:20" ht="9.9499999999999993" x14ac:dyDescent="0.2">
      <c r="A13" s="85" t="s">
        <v>2</v>
      </c>
      <c r="B13" s="124"/>
      <c r="C13" s="125"/>
      <c r="D13" s="124"/>
      <c r="E13" s="125"/>
      <c r="F13" s="82"/>
      <c r="G13" s="103">
        <v>3</v>
      </c>
      <c r="H13" s="107"/>
      <c r="I13" s="108"/>
      <c r="J13" s="108"/>
      <c r="K13" s="108"/>
      <c r="L13" s="108"/>
      <c r="M13" s="108"/>
      <c r="N13" s="108"/>
      <c r="O13" s="108"/>
      <c r="P13" s="107"/>
      <c r="Q13" s="108"/>
      <c r="R13" s="108"/>
      <c r="S13" s="108"/>
      <c r="T13" s="129"/>
    </row>
    <row r="14" spans="1:20" ht="9.9499999999999993" x14ac:dyDescent="0.2">
      <c r="A14" s="85" t="s">
        <v>3</v>
      </c>
      <c r="B14" s="124"/>
      <c r="C14" s="125"/>
      <c r="D14" s="124"/>
      <c r="E14" s="125"/>
      <c r="F14" s="82"/>
      <c r="G14" s="103">
        <v>4</v>
      </c>
      <c r="H14" s="107"/>
      <c r="I14" s="108"/>
      <c r="J14" s="108"/>
      <c r="K14" s="108"/>
      <c r="L14" s="108"/>
      <c r="M14" s="108"/>
      <c r="N14" s="108"/>
      <c r="O14" s="108"/>
      <c r="P14" s="107"/>
      <c r="Q14" s="108"/>
      <c r="R14" s="108"/>
      <c r="S14" s="108"/>
      <c r="T14" s="129"/>
    </row>
    <row r="15" spans="1:20" ht="9.9499999999999993" x14ac:dyDescent="0.2">
      <c r="A15" s="85" t="s">
        <v>4</v>
      </c>
      <c r="B15" s="126"/>
      <c r="C15" s="127"/>
      <c r="D15" s="126"/>
      <c r="E15" s="127"/>
      <c r="F15" s="82"/>
      <c r="G15" s="103">
        <v>5</v>
      </c>
      <c r="H15" s="107"/>
      <c r="I15" s="108"/>
      <c r="J15" s="108"/>
      <c r="K15" s="108"/>
      <c r="L15" s="108"/>
      <c r="M15" s="108"/>
      <c r="N15" s="108"/>
      <c r="O15" s="108"/>
      <c r="P15" s="107"/>
      <c r="Q15" s="108"/>
      <c r="R15" s="108"/>
      <c r="S15" s="108"/>
      <c r="T15" s="129"/>
    </row>
    <row r="16" spans="1:20" ht="9.9499999999999993" x14ac:dyDescent="0.2">
      <c r="F16" s="90"/>
      <c r="G16" s="103">
        <v>6</v>
      </c>
      <c r="H16" s="107"/>
      <c r="I16" s="108"/>
      <c r="J16" s="108"/>
      <c r="K16" s="108"/>
      <c r="L16" s="108"/>
      <c r="M16" s="108"/>
      <c r="N16" s="108"/>
      <c r="O16" s="108"/>
      <c r="P16" s="107"/>
      <c r="Q16" s="108"/>
      <c r="R16" s="108"/>
      <c r="S16" s="108"/>
      <c r="T16" s="129"/>
    </row>
    <row r="17" spans="1:20" x14ac:dyDescent="0.2">
      <c r="A17" s="110" t="s">
        <v>79</v>
      </c>
      <c r="B17" s="147" t="str">
        <f>IF(B32="n.a.","No risk parameter specified--&gt;FCRA and fair value are the same",IF(AND(B31="Risk-adjusted discount rate",Q9=0),"A full amortization schedule for the underlying loan is required for fair value when using risk-adjusted discount rate method",""))</f>
        <v/>
      </c>
      <c r="C17" s="148"/>
      <c r="D17" s="148"/>
      <c r="E17" s="148"/>
      <c r="F17" s="82"/>
      <c r="G17" s="103">
        <v>7</v>
      </c>
      <c r="H17" s="107"/>
      <c r="I17" s="108"/>
      <c r="J17" s="108"/>
      <c r="K17" s="108"/>
      <c r="L17" s="108"/>
      <c r="M17" s="108"/>
      <c r="N17" s="108"/>
      <c r="O17" s="108"/>
      <c r="P17" s="107"/>
      <c r="Q17" s="108"/>
      <c r="R17" s="108"/>
      <c r="S17" s="108"/>
      <c r="T17" s="129"/>
    </row>
    <row r="18" spans="1:20" x14ac:dyDescent="0.2">
      <c r="A18" s="111"/>
      <c r="B18" s="148"/>
      <c r="C18" s="148"/>
      <c r="D18" s="148"/>
      <c r="E18" s="148"/>
      <c r="F18" s="82"/>
      <c r="G18" s="103">
        <v>8</v>
      </c>
      <c r="H18" s="107"/>
      <c r="I18" s="108"/>
      <c r="J18" s="108"/>
      <c r="K18" s="108"/>
      <c r="L18" s="108"/>
      <c r="M18" s="108"/>
      <c r="N18" s="108"/>
      <c r="O18" s="108"/>
      <c r="P18" s="107"/>
      <c r="Q18" s="108"/>
      <c r="R18" s="108"/>
      <c r="S18" s="108"/>
      <c r="T18" s="129"/>
    </row>
    <row r="19" spans="1:20" ht="9.9499999999999993" x14ac:dyDescent="0.2">
      <c r="D19" s="82"/>
      <c r="E19" s="82"/>
      <c r="F19" s="82"/>
      <c r="G19" s="103">
        <v>9</v>
      </c>
      <c r="H19" s="107"/>
      <c r="I19" s="108"/>
      <c r="J19" s="108"/>
      <c r="K19" s="108"/>
      <c r="L19" s="108"/>
      <c r="M19" s="108"/>
      <c r="N19" s="108"/>
      <c r="O19" s="108"/>
      <c r="P19" s="107"/>
      <c r="Q19" s="108"/>
      <c r="R19" s="108"/>
      <c r="S19" s="108"/>
      <c r="T19" s="129"/>
    </row>
    <row r="20" spans="1:20" ht="9.9499999999999993" x14ac:dyDescent="0.2">
      <c r="G20" s="103">
        <v>10</v>
      </c>
      <c r="H20" s="107"/>
      <c r="I20" s="108"/>
      <c r="J20" s="108"/>
      <c r="K20" s="108"/>
      <c r="L20" s="108"/>
      <c r="M20" s="108"/>
      <c r="N20" s="108"/>
      <c r="O20" s="108"/>
      <c r="P20" s="107"/>
      <c r="Q20" s="108"/>
      <c r="R20" s="108"/>
      <c r="S20" s="108"/>
      <c r="T20" s="129"/>
    </row>
    <row r="21" spans="1:20" ht="10.5" x14ac:dyDescent="0.25">
      <c r="A21" s="86" t="s">
        <v>63</v>
      </c>
      <c r="B21" s="87"/>
      <c r="C21" s="81"/>
      <c r="D21" s="81"/>
      <c r="E21" s="80"/>
      <c r="G21" s="103">
        <v>11</v>
      </c>
      <c r="H21" s="107"/>
      <c r="I21" s="108"/>
      <c r="J21" s="108"/>
      <c r="K21" s="108"/>
      <c r="L21" s="108"/>
      <c r="M21" s="108"/>
      <c r="N21" s="108"/>
      <c r="O21" s="108"/>
      <c r="P21" s="107"/>
      <c r="Q21" s="108"/>
      <c r="R21" s="108"/>
      <c r="S21" s="108"/>
      <c r="T21" s="129"/>
    </row>
    <row r="22" spans="1:20" ht="10.5" x14ac:dyDescent="0.25">
      <c r="A22" s="113" t="s">
        <v>62</v>
      </c>
      <c r="B22" s="143" t="s">
        <v>94</v>
      </c>
      <c r="C22" s="139"/>
      <c r="D22" s="82"/>
      <c r="G22" s="103">
        <v>12</v>
      </c>
      <c r="H22" s="107"/>
      <c r="I22" s="108"/>
      <c r="J22" s="108"/>
      <c r="K22" s="108"/>
      <c r="L22" s="108"/>
      <c r="M22" s="108"/>
      <c r="N22" s="108"/>
      <c r="O22" s="108"/>
      <c r="P22" s="107"/>
      <c r="Q22" s="108"/>
      <c r="R22" s="108"/>
      <c r="S22" s="108"/>
      <c r="T22" s="129"/>
    </row>
    <row r="23" spans="1:20" ht="10.5" x14ac:dyDescent="0.25">
      <c r="A23" s="113" t="s">
        <v>47</v>
      </c>
      <c r="B23" s="142" t="s">
        <v>15</v>
      </c>
      <c r="C23" s="139"/>
      <c r="G23" s="103">
        <v>13</v>
      </c>
      <c r="H23" s="107"/>
      <c r="I23" s="108"/>
      <c r="J23" s="108"/>
      <c r="K23" s="108"/>
      <c r="L23" s="108"/>
      <c r="M23" s="108"/>
      <c r="N23" s="108"/>
      <c r="O23" s="108"/>
      <c r="P23" s="107"/>
      <c r="Q23" s="108"/>
      <c r="R23" s="108"/>
      <c r="S23" s="108"/>
      <c r="T23" s="129"/>
    </row>
    <row r="24" spans="1:20" ht="10.5" x14ac:dyDescent="0.25">
      <c r="A24" s="113" t="s">
        <v>48</v>
      </c>
      <c r="B24" s="143" t="s">
        <v>14</v>
      </c>
      <c r="C24" s="139"/>
      <c r="G24" s="103">
        <v>14</v>
      </c>
      <c r="H24" s="107"/>
      <c r="I24" s="108"/>
      <c r="J24" s="108"/>
      <c r="K24" s="108"/>
      <c r="L24" s="108"/>
      <c r="M24" s="108"/>
      <c r="N24" s="108"/>
      <c r="O24" s="108"/>
      <c r="P24" s="107"/>
      <c r="Q24" s="108"/>
      <c r="R24" s="108"/>
      <c r="S24" s="108"/>
      <c r="T24" s="129"/>
    </row>
    <row r="25" spans="1:20" ht="9.9499999999999993" x14ac:dyDescent="0.2">
      <c r="G25" s="103">
        <v>15</v>
      </c>
      <c r="H25" s="107"/>
      <c r="I25" s="108"/>
      <c r="J25" s="108"/>
      <c r="K25" s="108"/>
      <c r="L25" s="108"/>
      <c r="M25" s="108"/>
      <c r="N25" s="108"/>
      <c r="O25" s="108"/>
      <c r="P25" s="107"/>
      <c r="Q25" s="108"/>
      <c r="R25" s="108"/>
      <c r="S25" s="108"/>
      <c r="T25" s="129"/>
    </row>
    <row r="26" spans="1:20" ht="9.9499999999999993" x14ac:dyDescent="0.2">
      <c r="G26" s="103">
        <v>16</v>
      </c>
      <c r="H26" s="107"/>
      <c r="I26" s="108"/>
      <c r="J26" s="108"/>
      <c r="K26" s="108"/>
      <c r="L26" s="108"/>
      <c r="M26" s="108"/>
      <c r="N26" s="108"/>
      <c r="O26" s="108"/>
      <c r="P26" s="107"/>
      <c r="Q26" s="108"/>
      <c r="R26" s="108"/>
      <c r="S26" s="108"/>
      <c r="T26" s="129"/>
    </row>
    <row r="27" spans="1:20" x14ac:dyDescent="0.2">
      <c r="A27" s="86" t="s">
        <v>64</v>
      </c>
      <c r="B27" s="87"/>
      <c r="C27" s="81"/>
      <c r="D27" s="81"/>
      <c r="E27" s="80"/>
      <c r="G27" s="103">
        <v>17</v>
      </c>
      <c r="H27" s="107"/>
      <c r="I27" s="108"/>
      <c r="J27" s="108"/>
      <c r="K27" s="108"/>
      <c r="L27" s="108"/>
      <c r="M27" s="108"/>
      <c r="N27" s="108"/>
      <c r="O27" s="108"/>
      <c r="P27" s="107"/>
      <c r="Q27" s="108"/>
      <c r="R27" s="108"/>
      <c r="S27" s="108"/>
      <c r="T27" s="129"/>
    </row>
    <row r="28" spans="1:20" x14ac:dyDescent="0.2">
      <c r="A28" s="114" t="s">
        <v>88</v>
      </c>
      <c r="B28" s="143" t="s">
        <v>43</v>
      </c>
      <c r="C28" s="139"/>
      <c r="D28" s="82"/>
      <c r="G28" s="103">
        <v>18</v>
      </c>
      <c r="H28" s="107"/>
      <c r="I28" s="108"/>
      <c r="J28" s="108"/>
      <c r="K28" s="108"/>
      <c r="L28" s="108"/>
      <c r="M28" s="108"/>
      <c r="N28" s="108"/>
      <c r="O28" s="108"/>
      <c r="P28" s="107"/>
      <c r="Q28" s="108"/>
      <c r="R28" s="108"/>
      <c r="S28" s="108"/>
      <c r="T28" s="129"/>
    </row>
    <row r="29" spans="1:20" x14ac:dyDescent="0.2">
      <c r="A29" s="114" t="s">
        <v>81</v>
      </c>
      <c r="B29" s="143" t="s">
        <v>38</v>
      </c>
      <c r="C29" s="139"/>
      <c r="G29" s="103">
        <v>19</v>
      </c>
      <c r="H29" s="107"/>
      <c r="I29" s="108"/>
      <c r="J29" s="108"/>
      <c r="K29" s="108"/>
      <c r="L29" s="108"/>
      <c r="M29" s="108"/>
      <c r="N29" s="108"/>
      <c r="O29" s="108"/>
      <c r="P29" s="107"/>
      <c r="Q29" s="108"/>
      <c r="R29" s="108"/>
      <c r="S29" s="108"/>
      <c r="T29" s="129"/>
    </row>
    <row r="30" spans="1:20" x14ac:dyDescent="0.2">
      <c r="A30" s="113" t="s">
        <v>49</v>
      </c>
      <c r="B30" s="143" t="s">
        <v>50</v>
      </c>
      <c r="C30" s="139"/>
      <c r="G30" s="103">
        <v>20</v>
      </c>
      <c r="H30" s="107"/>
      <c r="I30" s="108"/>
      <c r="J30" s="108"/>
      <c r="K30" s="108"/>
      <c r="L30" s="108"/>
      <c r="M30" s="108"/>
      <c r="N30" s="108"/>
      <c r="O30" s="108"/>
      <c r="P30" s="107"/>
      <c r="Q30" s="108"/>
      <c r="R30" s="108"/>
      <c r="S30" s="108"/>
      <c r="T30" s="129"/>
    </row>
    <row r="31" spans="1:20" x14ac:dyDescent="0.2">
      <c r="A31" s="113" t="s">
        <v>46</v>
      </c>
      <c r="B31" s="138" t="s">
        <v>53</v>
      </c>
      <c r="C31" s="139"/>
      <c r="G31" s="103">
        <v>21</v>
      </c>
      <c r="H31" s="107"/>
      <c r="I31" s="108"/>
      <c r="J31" s="108"/>
      <c r="K31" s="108"/>
      <c r="L31" s="108"/>
      <c r="M31" s="108"/>
      <c r="N31" s="108"/>
      <c r="O31" s="108"/>
      <c r="P31" s="107"/>
      <c r="Q31" s="108"/>
      <c r="R31" s="108"/>
      <c r="S31" s="108"/>
      <c r="T31" s="129"/>
    </row>
    <row r="32" spans="1:20" x14ac:dyDescent="0.2">
      <c r="A32" s="113" t="s">
        <v>55</v>
      </c>
      <c r="B32" s="140" cm="1">
        <f t="array" ref="B32">INDEX(Risk_Parameters,MATCH(B28&amp;B29,Lending_Category&amp;Risk_Subcategory,0),MATCH(B30&amp;B31,Maturity&amp;Approach,0))</f>
        <v>13.6</v>
      </c>
      <c r="C32" s="141"/>
      <c r="E32" s="82"/>
      <c r="F32" s="82"/>
      <c r="G32" s="103">
        <v>22</v>
      </c>
      <c r="H32" s="107"/>
      <c r="I32" s="108"/>
      <c r="J32" s="108"/>
      <c r="K32" s="108"/>
      <c r="L32" s="108"/>
      <c r="M32" s="108"/>
      <c r="N32" s="108"/>
      <c r="O32" s="108"/>
      <c r="P32" s="107"/>
      <c r="Q32" s="108"/>
      <c r="R32" s="108"/>
      <c r="S32" s="108"/>
      <c r="T32" s="129"/>
    </row>
    <row r="33" spans="1:20" x14ac:dyDescent="0.2">
      <c r="E33" s="82"/>
      <c r="F33" s="82"/>
      <c r="G33" s="103">
        <v>23</v>
      </c>
      <c r="H33" s="107"/>
      <c r="I33" s="108"/>
      <c r="J33" s="108"/>
      <c r="K33" s="108"/>
      <c r="L33" s="108"/>
      <c r="M33" s="108"/>
      <c r="N33" s="108"/>
      <c r="O33" s="108"/>
      <c r="P33" s="107"/>
      <c r="Q33" s="108"/>
      <c r="R33" s="108"/>
      <c r="S33" s="108"/>
      <c r="T33" s="129"/>
    </row>
    <row r="34" spans="1:20" x14ac:dyDescent="0.2">
      <c r="E34" s="82"/>
      <c r="F34" s="82"/>
      <c r="G34" s="103">
        <v>24</v>
      </c>
      <c r="H34" s="107"/>
      <c r="I34" s="108"/>
      <c r="J34" s="108"/>
      <c r="K34" s="108"/>
      <c r="L34" s="108"/>
      <c r="M34" s="108"/>
      <c r="N34" s="108"/>
      <c r="O34" s="108"/>
      <c r="P34" s="107"/>
      <c r="Q34" s="108"/>
      <c r="R34" s="108"/>
      <c r="S34" s="108"/>
      <c r="T34" s="129"/>
    </row>
    <row r="35" spans="1:20" x14ac:dyDescent="0.2">
      <c r="A35" s="86" t="s">
        <v>68</v>
      </c>
      <c r="B35" s="80"/>
      <c r="C35" s="80"/>
      <c r="D35" s="80"/>
      <c r="E35" s="81"/>
      <c r="F35" s="82"/>
      <c r="G35" s="103">
        <v>25</v>
      </c>
      <c r="H35" s="107"/>
      <c r="I35" s="108"/>
      <c r="J35" s="108"/>
      <c r="K35" s="108"/>
      <c r="L35" s="108"/>
      <c r="M35" s="108"/>
      <c r="N35" s="108"/>
      <c r="O35" s="108"/>
      <c r="P35" s="107"/>
      <c r="Q35" s="108"/>
      <c r="R35" s="108"/>
      <c r="S35" s="108"/>
      <c r="T35" s="129"/>
    </row>
    <row r="36" spans="1:20" x14ac:dyDescent="0.2">
      <c r="A36" s="86" t="s">
        <v>141</v>
      </c>
      <c r="B36" s="80"/>
      <c r="C36" s="80"/>
      <c r="D36" s="80"/>
      <c r="E36" s="81"/>
      <c r="F36" s="82"/>
      <c r="G36" s="103">
        <v>26</v>
      </c>
      <c r="H36" s="107"/>
      <c r="I36" s="108"/>
      <c r="J36" s="108"/>
      <c r="K36" s="108"/>
      <c r="L36" s="108"/>
      <c r="M36" s="108"/>
      <c r="N36" s="108"/>
      <c r="O36" s="108"/>
      <c r="P36" s="107"/>
      <c r="Q36" s="108"/>
      <c r="R36" s="108"/>
      <c r="S36" s="108"/>
      <c r="T36" s="129"/>
    </row>
    <row r="37" spans="1:20" x14ac:dyDescent="0.2">
      <c r="A37" s="114" t="s">
        <v>65</v>
      </c>
      <c r="B37" s="122"/>
      <c r="E37" s="82"/>
      <c r="F37" s="82"/>
      <c r="G37" s="103">
        <v>27</v>
      </c>
      <c r="H37" s="107"/>
      <c r="I37" s="108"/>
      <c r="J37" s="108"/>
      <c r="K37" s="108"/>
      <c r="L37" s="108"/>
      <c r="M37" s="108"/>
      <c r="N37" s="108"/>
      <c r="O37" s="108"/>
      <c r="P37" s="107"/>
      <c r="Q37" s="108"/>
      <c r="R37" s="108"/>
      <c r="S37" s="108"/>
      <c r="T37" s="129"/>
    </row>
    <row r="38" spans="1:20" x14ac:dyDescent="0.2">
      <c r="A38" s="114" t="s">
        <v>73</v>
      </c>
      <c r="B38" s="122"/>
      <c r="E38" s="82"/>
      <c r="F38" s="82"/>
      <c r="G38" s="103">
        <v>28</v>
      </c>
      <c r="H38" s="107"/>
      <c r="I38" s="108"/>
      <c r="J38" s="108"/>
      <c r="K38" s="108"/>
      <c r="L38" s="108"/>
      <c r="M38" s="108"/>
      <c r="N38" s="108"/>
      <c r="O38" s="108"/>
      <c r="P38" s="107"/>
      <c r="Q38" s="108"/>
      <c r="R38" s="108"/>
      <c r="S38" s="108"/>
      <c r="T38" s="129"/>
    </row>
    <row r="39" spans="1:20" x14ac:dyDescent="0.2">
      <c r="A39" s="114" t="s">
        <v>69</v>
      </c>
      <c r="B39" s="108"/>
      <c r="E39" s="82"/>
      <c r="F39" s="82"/>
      <c r="G39" s="103">
        <v>29</v>
      </c>
      <c r="H39" s="107"/>
      <c r="I39" s="108"/>
      <c r="J39" s="108"/>
      <c r="K39" s="108"/>
      <c r="L39" s="108"/>
      <c r="M39" s="108"/>
      <c r="N39" s="108"/>
      <c r="O39" s="108"/>
      <c r="P39" s="107"/>
      <c r="Q39" s="108"/>
      <c r="R39" s="108"/>
      <c r="S39" s="108"/>
      <c r="T39" s="129"/>
    </row>
    <row r="40" spans="1:20" x14ac:dyDescent="0.2">
      <c r="A40" s="114" t="s">
        <v>75</v>
      </c>
      <c r="B40" s="108"/>
      <c r="F40" s="102"/>
      <c r="G40" s="103">
        <v>30</v>
      </c>
      <c r="H40" s="107"/>
      <c r="I40" s="108"/>
      <c r="J40" s="108"/>
      <c r="K40" s="108"/>
      <c r="L40" s="108"/>
      <c r="M40" s="108"/>
      <c r="N40" s="108"/>
      <c r="O40" s="108"/>
      <c r="P40" s="107"/>
      <c r="Q40" s="108"/>
      <c r="R40" s="108"/>
      <c r="S40" s="108"/>
      <c r="T40" s="129"/>
    </row>
    <row r="41" spans="1:20" x14ac:dyDescent="0.2">
      <c r="A41" s="114" t="s">
        <v>77</v>
      </c>
      <c r="B41" s="108"/>
      <c r="F41" s="102"/>
      <c r="G41" s="103">
        <v>31</v>
      </c>
      <c r="H41" s="107"/>
      <c r="I41" s="108"/>
      <c r="J41" s="108"/>
      <c r="K41" s="108"/>
      <c r="L41" s="108"/>
      <c r="M41" s="108"/>
      <c r="N41" s="108"/>
      <c r="O41" s="108"/>
      <c r="P41" s="107"/>
      <c r="Q41" s="108"/>
      <c r="R41" s="108"/>
      <c r="S41" s="108"/>
      <c r="T41" s="129"/>
    </row>
    <row r="42" spans="1:20" x14ac:dyDescent="0.2">
      <c r="A42" s="114" t="s">
        <v>74</v>
      </c>
      <c r="B42" s="122"/>
      <c r="G42" s="103">
        <v>32</v>
      </c>
      <c r="H42" s="107"/>
      <c r="I42" s="108"/>
      <c r="J42" s="108"/>
      <c r="K42" s="108"/>
      <c r="L42" s="108"/>
      <c r="M42" s="108"/>
      <c r="N42" s="108"/>
      <c r="O42" s="108"/>
      <c r="P42" s="107"/>
      <c r="Q42" s="108"/>
      <c r="R42" s="108"/>
      <c r="S42" s="108"/>
      <c r="T42" s="129"/>
    </row>
    <row r="43" spans="1:20" x14ac:dyDescent="0.2">
      <c r="G43" s="103">
        <v>33</v>
      </c>
      <c r="H43" s="107"/>
      <c r="I43" s="108"/>
      <c r="J43" s="108"/>
      <c r="K43" s="108"/>
      <c r="L43" s="108"/>
      <c r="M43" s="108"/>
      <c r="N43" s="108"/>
      <c r="O43" s="108"/>
      <c r="P43" s="107"/>
      <c r="Q43" s="108"/>
      <c r="R43" s="108"/>
      <c r="S43" s="108"/>
      <c r="T43" s="129"/>
    </row>
    <row r="44" spans="1:20" x14ac:dyDescent="0.2">
      <c r="G44" s="103">
        <v>34</v>
      </c>
      <c r="H44" s="107"/>
      <c r="I44" s="108"/>
      <c r="J44" s="108"/>
      <c r="K44" s="108"/>
      <c r="L44" s="108"/>
      <c r="M44" s="108"/>
      <c r="N44" s="108"/>
      <c r="O44" s="108"/>
      <c r="P44" s="107"/>
      <c r="Q44" s="108"/>
      <c r="R44" s="108"/>
      <c r="S44" s="108"/>
      <c r="T44" s="129"/>
    </row>
    <row r="45" spans="1:20" x14ac:dyDescent="0.2">
      <c r="A45" s="113"/>
      <c r="C45" s="123"/>
      <c r="G45" s="103">
        <v>35</v>
      </c>
      <c r="H45" s="107"/>
      <c r="I45" s="108"/>
      <c r="J45" s="108"/>
      <c r="K45" s="108"/>
      <c r="L45" s="108"/>
      <c r="M45" s="108"/>
      <c r="N45" s="108"/>
      <c r="O45" s="108"/>
      <c r="P45" s="107"/>
      <c r="Q45" s="108"/>
      <c r="R45" s="108"/>
      <c r="S45" s="108"/>
      <c r="T45" s="129"/>
    </row>
    <row r="46" spans="1:20" x14ac:dyDescent="0.2">
      <c r="G46" s="103">
        <v>36</v>
      </c>
      <c r="H46" s="107"/>
      <c r="I46" s="108"/>
      <c r="J46" s="108"/>
      <c r="K46" s="108"/>
      <c r="L46" s="108"/>
      <c r="M46" s="108"/>
      <c r="N46" s="108"/>
      <c r="O46" s="108"/>
      <c r="P46" s="107"/>
      <c r="Q46" s="108"/>
      <c r="R46" s="108"/>
      <c r="S46" s="108"/>
      <c r="T46" s="129"/>
    </row>
    <row r="47" spans="1:20" x14ac:dyDescent="0.2">
      <c r="G47" s="103">
        <v>37</v>
      </c>
      <c r="H47" s="107"/>
      <c r="I47" s="108"/>
      <c r="J47" s="108"/>
      <c r="K47" s="108"/>
      <c r="L47" s="108"/>
      <c r="M47" s="108"/>
      <c r="N47" s="108"/>
      <c r="O47" s="108"/>
      <c r="P47" s="107"/>
      <c r="Q47" s="108"/>
      <c r="R47" s="108"/>
      <c r="S47" s="108"/>
      <c r="T47" s="129"/>
    </row>
    <row r="48" spans="1:20" x14ac:dyDescent="0.2">
      <c r="C48" s="82"/>
      <c r="G48" s="103">
        <v>38</v>
      </c>
      <c r="H48" s="107"/>
      <c r="I48" s="108"/>
      <c r="J48" s="108"/>
      <c r="K48" s="108"/>
      <c r="L48" s="108"/>
      <c r="M48" s="108"/>
      <c r="N48" s="108"/>
      <c r="O48" s="108"/>
      <c r="P48" s="107"/>
      <c r="Q48" s="108"/>
      <c r="R48" s="108"/>
      <c r="S48" s="108"/>
      <c r="T48" s="129"/>
    </row>
    <row r="49" spans="7:20" x14ac:dyDescent="0.2">
      <c r="G49" s="103">
        <v>39</v>
      </c>
      <c r="H49" s="107"/>
      <c r="I49" s="108"/>
      <c r="J49" s="108"/>
      <c r="K49" s="108"/>
      <c r="L49" s="108"/>
      <c r="M49" s="108"/>
      <c r="N49" s="108"/>
      <c r="O49" s="108"/>
      <c r="P49" s="107"/>
      <c r="Q49" s="108"/>
      <c r="R49" s="108"/>
      <c r="S49" s="108"/>
      <c r="T49" s="129"/>
    </row>
    <row r="50" spans="7:20" x14ac:dyDescent="0.2">
      <c r="G50" s="103">
        <v>40</v>
      </c>
      <c r="H50" s="107"/>
      <c r="I50" s="108"/>
      <c r="J50" s="108"/>
      <c r="K50" s="108"/>
      <c r="L50" s="108"/>
      <c r="M50" s="108"/>
      <c r="N50" s="108"/>
      <c r="O50" s="108"/>
      <c r="P50" s="107"/>
      <c r="Q50" s="108"/>
      <c r="R50" s="108"/>
      <c r="S50" s="108"/>
      <c r="T50" s="129"/>
    </row>
    <row r="51" spans="7:20" x14ac:dyDescent="0.2">
      <c r="G51" s="103">
        <v>41</v>
      </c>
      <c r="H51" s="107"/>
      <c r="I51" s="108"/>
      <c r="J51" s="108"/>
      <c r="K51" s="108"/>
      <c r="L51" s="108"/>
      <c r="M51" s="108"/>
      <c r="N51" s="108"/>
      <c r="O51" s="108"/>
      <c r="P51" s="107"/>
      <c r="Q51" s="108"/>
      <c r="R51" s="108"/>
      <c r="S51" s="108"/>
      <c r="T51" s="129"/>
    </row>
    <row r="52" spans="7:20" x14ac:dyDescent="0.2">
      <c r="G52" s="103">
        <v>42</v>
      </c>
      <c r="H52" s="107"/>
      <c r="I52" s="108"/>
      <c r="J52" s="108"/>
      <c r="K52" s="108"/>
      <c r="L52" s="108"/>
      <c r="M52" s="108"/>
      <c r="N52" s="108"/>
      <c r="O52" s="108"/>
      <c r="P52" s="107"/>
      <c r="Q52" s="108"/>
      <c r="R52" s="108"/>
      <c r="S52" s="108"/>
      <c r="T52" s="129"/>
    </row>
    <row r="53" spans="7:20" x14ac:dyDescent="0.2">
      <c r="G53" s="103">
        <v>43</v>
      </c>
      <c r="H53" s="107"/>
      <c r="I53" s="108"/>
      <c r="J53" s="108"/>
      <c r="K53" s="108"/>
      <c r="L53" s="108"/>
      <c r="M53" s="108"/>
      <c r="N53" s="108"/>
      <c r="O53" s="108"/>
      <c r="P53" s="107"/>
      <c r="Q53" s="108"/>
      <c r="R53" s="108"/>
      <c r="S53" s="108"/>
      <c r="T53" s="129"/>
    </row>
    <row r="54" spans="7:20" x14ac:dyDescent="0.2">
      <c r="G54" s="103">
        <v>44</v>
      </c>
      <c r="H54" s="107"/>
      <c r="I54" s="108"/>
      <c r="J54" s="108"/>
      <c r="K54" s="108"/>
      <c r="L54" s="108"/>
      <c r="M54" s="108"/>
      <c r="N54" s="108"/>
      <c r="O54" s="108"/>
      <c r="P54" s="107"/>
      <c r="Q54" s="108"/>
      <c r="R54" s="108"/>
      <c r="S54" s="108"/>
      <c r="T54" s="129"/>
    </row>
    <row r="55" spans="7:20" x14ac:dyDescent="0.2">
      <c r="G55" s="103">
        <v>45</v>
      </c>
      <c r="H55" s="107"/>
      <c r="I55" s="108"/>
      <c r="J55" s="108"/>
      <c r="K55" s="108"/>
      <c r="L55" s="108"/>
      <c r="M55" s="108"/>
      <c r="N55" s="108"/>
      <c r="O55" s="108"/>
      <c r="P55" s="107"/>
      <c r="Q55" s="108"/>
      <c r="R55" s="108"/>
      <c r="S55" s="108"/>
      <c r="T55" s="129"/>
    </row>
    <row r="56" spans="7:20" x14ac:dyDescent="0.2">
      <c r="G56" s="103">
        <v>46</v>
      </c>
      <c r="H56" s="107"/>
      <c r="I56" s="108"/>
      <c r="J56" s="108"/>
      <c r="K56" s="108"/>
      <c r="L56" s="108"/>
      <c r="M56" s="108"/>
      <c r="N56" s="108"/>
      <c r="O56" s="108"/>
      <c r="P56" s="107"/>
      <c r="Q56" s="108"/>
      <c r="R56" s="108"/>
      <c r="S56" s="108"/>
      <c r="T56" s="129"/>
    </row>
    <row r="57" spans="7:20" x14ac:dyDescent="0.2">
      <c r="G57" s="103">
        <v>47</v>
      </c>
      <c r="H57" s="107"/>
      <c r="I57" s="108"/>
      <c r="J57" s="108"/>
      <c r="K57" s="108"/>
      <c r="L57" s="108"/>
      <c r="M57" s="108"/>
      <c r="N57" s="108"/>
      <c r="O57" s="108"/>
      <c r="P57" s="107"/>
      <c r="Q57" s="108"/>
      <c r="R57" s="108"/>
      <c r="S57" s="108"/>
      <c r="T57" s="129"/>
    </row>
    <row r="58" spans="7:20" x14ac:dyDescent="0.2">
      <c r="G58" s="103">
        <v>48</v>
      </c>
      <c r="H58" s="107"/>
      <c r="I58" s="108"/>
      <c r="J58" s="108"/>
      <c r="K58" s="108"/>
      <c r="L58" s="108"/>
      <c r="M58" s="108"/>
      <c r="N58" s="108"/>
      <c r="O58" s="108"/>
      <c r="P58" s="107"/>
      <c r="Q58" s="108"/>
      <c r="R58" s="108"/>
      <c r="S58" s="108"/>
      <c r="T58" s="129"/>
    </row>
    <row r="59" spans="7:20" x14ac:dyDescent="0.2">
      <c r="G59" s="103">
        <v>49</v>
      </c>
      <c r="H59" s="107"/>
      <c r="I59" s="108"/>
      <c r="J59" s="108"/>
      <c r="K59" s="108"/>
      <c r="L59" s="108"/>
      <c r="M59" s="108"/>
      <c r="N59" s="108"/>
      <c r="O59" s="108"/>
      <c r="P59" s="107"/>
      <c r="Q59" s="108"/>
      <c r="R59" s="108"/>
      <c r="S59" s="108"/>
      <c r="T59" s="129"/>
    </row>
    <row r="60" spans="7:20" x14ac:dyDescent="0.2">
      <c r="G60" s="103">
        <v>50</v>
      </c>
      <c r="H60" s="107"/>
      <c r="I60" s="108"/>
      <c r="J60" s="108"/>
      <c r="K60" s="108"/>
      <c r="L60" s="108"/>
      <c r="M60" s="108"/>
      <c r="N60" s="108"/>
      <c r="O60" s="108"/>
      <c r="P60" s="107"/>
      <c r="Q60" s="108"/>
      <c r="R60" s="108"/>
      <c r="S60" s="108"/>
      <c r="T60" s="129"/>
    </row>
    <row r="61" spans="7:20" x14ac:dyDescent="0.2">
      <c r="G61" s="103">
        <v>51</v>
      </c>
      <c r="H61" s="107"/>
      <c r="I61" s="108"/>
      <c r="J61" s="108"/>
      <c r="K61" s="108"/>
      <c r="L61" s="108"/>
      <c r="M61" s="108"/>
      <c r="N61" s="108"/>
      <c r="O61" s="108"/>
      <c r="P61" s="107"/>
      <c r="Q61" s="108"/>
      <c r="R61" s="108"/>
      <c r="S61" s="108"/>
      <c r="T61" s="129"/>
    </row>
    <row r="62" spans="7:20" x14ac:dyDescent="0.2">
      <c r="G62" s="103">
        <v>52</v>
      </c>
      <c r="H62" s="107"/>
      <c r="I62" s="108"/>
      <c r="J62" s="108"/>
      <c r="K62" s="108"/>
      <c r="L62" s="108"/>
      <c r="M62" s="108"/>
      <c r="N62" s="108"/>
      <c r="O62" s="108"/>
      <c r="P62" s="107"/>
      <c r="Q62" s="108"/>
      <c r="R62" s="108"/>
      <c r="S62" s="108"/>
      <c r="T62" s="129"/>
    </row>
    <row r="63" spans="7:20" x14ac:dyDescent="0.2">
      <c r="G63" s="103">
        <v>53</v>
      </c>
      <c r="H63" s="107"/>
      <c r="I63" s="108"/>
      <c r="J63" s="108"/>
      <c r="K63" s="108"/>
      <c r="L63" s="108"/>
      <c r="M63" s="108"/>
      <c r="N63" s="108"/>
      <c r="O63" s="108"/>
      <c r="P63" s="107"/>
      <c r="Q63" s="108"/>
      <c r="R63" s="108"/>
      <c r="S63" s="108"/>
      <c r="T63" s="129"/>
    </row>
    <row r="64" spans="7:20" x14ac:dyDescent="0.2">
      <c r="G64" s="103">
        <v>54</v>
      </c>
      <c r="H64" s="107"/>
      <c r="I64" s="108"/>
      <c r="J64" s="108"/>
      <c r="K64" s="108"/>
      <c r="L64" s="108"/>
      <c r="M64" s="108"/>
      <c r="N64" s="108"/>
      <c r="O64" s="108"/>
      <c r="P64" s="107"/>
      <c r="Q64" s="108"/>
      <c r="R64" s="108"/>
      <c r="S64" s="108"/>
      <c r="T64" s="129"/>
    </row>
    <row r="65" spans="7:20" x14ac:dyDescent="0.2">
      <c r="G65" s="103">
        <v>55</v>
      </c>
      <c r="H65" s="107"/>
      <c r="I65" s="108"/>
      <c r="J65" s="108"/>
      <c r="K65" s="108"/>
      <c r="L65" s="108"/>
      <c r="M65" s="108"/>
      <c r="N65" s="108"/>
      <c r="O65" s="108"/>
      <c r="P65" s="107"/>
      <c r="Q65" s="108"/>
      <c r="R65" s="108"/>
      <c r="S65" s="108"/>
      <c r="T65" s="129"/>
    </row>
    <row r="66" spans="7:20" x14ac:dyDescent="0.2">
      <c r="G66" s="103">
        <v>56</v>
      </c>
      <c r="H66" s="107"/>
      <c r="I66" s="108"/>
      <c r="J66" s="108"/>
      <c r="K66" s="108"/>
      <c r="L66" s="108"/>
      <c r="M66" s="108"/>
      <c r="N66" s="108"/>
      <c r="O66" s="108"/>
      <c r="P66" s="107"/>
      <c r="Q66" s="108"/>
      <c r="R66" s="108"/>
      <c r="S66" s="108"/>
      <c r="T66" s="129"/>
    </row>
    <row r="67" spans="7:20" x14ac:dyDescent="0.2">
      <c r="G67" s="103">
        <v>57</v>
      </c>
      <c r="H67" s="107"/>
      <c r="I67" s="108"/>
      <c r="J67" s="108"/>
      <c r="K67" s="108"/>
      <c r="L67" s="108"/>
      <c r="M67" s="108"/>
      <c r="N67" s="108"/>
      <c r="O67" s="108"/>
      <c r="P67" s="107"/>
      <c r="Q67" s="108"/>
      <c r="R67" s="108"/>
      <c r="S67" s="108"/>
      <c r="T67" s="129"/>
    </row>
    <row r="68" spans="7:20" x14ac:dyDescent="0.2">
      <c r="G68" s="103">
        <v>58</v>
      </c>
      <c r="H68" s="107"/>
      <c r="I68" s="108"/>
      <c r="J68" s="108"/>
      <c r="K68" s="108"/>
      <c r="L68" s="108"/>
      <c r="M68" s="108"/>
      <c r="N68" s="108"/>
      <c r="O68" s="108"/>
      <c r="P68" s="107"/>
      <c r="Q68" s="108"/>
      <c r="R68" s="108"/>
      <c r="S68" s="108"/>
      <c r="T68" s="129"/>
    </row>
    <row r="69" spans="7:20" x14ac:dyDescent="0.2">
      <c r="G69" s="103">
        <v>59</v>
      </c>
      <c r="H69" s="107"/>
      <c r="I69" s="108"/>
      <c r="J69" s="108"/>
      <c r="K69" s="108"/>
      <c r="L69" s="108"/>
      <c r="M69" s="108"/>
      <c r="N69" s="108"/>
      <c r="O69" s="108"/>
      <c r="P69" s="107"/>
      <c r="Q69" s="108"/>
      <c r="R69" s="108"/>
      <c r="S69" s="108"/>
      <c r="T69" s="129"/>
    </row>
    <row r="70" spans="7:20" x14ac:dyDescent="0.2">
      <c r="G70" s="103">
        <v>60</v>
      </c>
      <c r="H70" s="107"/>
      <c r="I70" s="108"/>
      <c r="J70" s="108"/>
      <c r="K70" s="108"/>
      <c r="L70" s="108"/>
      <c r="M70" s="108"/>
      <c r="N70" s="108"/>
      <c r="O70" s="108"/>
      <c r="P70" s="107"/>
      <c r="Q70" s="108"/>
      <c r="R70" s="108"/>
      <c r="S70" s="108"/>
      <c r="T70" s="129"/>
    </row>
    <row r="71" spans="7:20" x14ac:dyDescent="0.2">
      <c r="G71" s="103">
        <v>61</v>
      </c>
      <c r="H71" s="107"/>
      <c r="I71" s="108"/>
      <c r="J71" s="108"/>
      <c r="K71" s="108"/>
      <c r="L71" s="108"/>
      <c r="M71" s="108"/>
      <c r="N71" s="108"/>
      <c r="O71" s="108"/>
      <c r="P71" s="107"/>
      <c r="Q71" s="108"/>
      <c r="R71" s="108"/>
      <c r="S71" s="108"/>
      <c r="T71" s="129"/>
    </row>
    <row r="72" spans="7:20" x14ac:dyDescent="0.2">
      <c r="G72" s="103">
        <v>62</v>
      </c>
      <c r="H72" s="107"/>
      <c r="I72" s="108"/>
      <c r="J72" s="108"/>
      <c r="K72" s="108"/>
      <c r="L72" s="108"/>
      <c r="M72" s="108"/>
      <c r="N72" s="108"/>
      <c r="O72" s="108"/>
      <c r="P72" s="107"/>
      <c r="Q72" s="108"/>
      <c r="R72" s="108"/>
      <c r="S72" s="108"/>
      <c r="T72" s="129"/>
    </row>
    <row r="73" spans="7:20" x14ac:dyDescent="0.2">
      <c r="G73" s="103">
        <v>63</v>
      </c>
      <c r="H73" s="107"/>
      <c r="I73" s="108"/>
      <c r="J73" s="108"/>
      <c r="K73" s="108"/>
      <c r="L73" s="108"/>
      <c r="M73" s="108"/>
      <c r="N73" s="108"/>
      <c r="O73" s="108"/>
      <c r="P73" s="107"/>
      <c r="Q73" s="108"/>
      <c r="R73" s="108"/>
      <c r="S73" s="108"/>
      <c r="T73" s="129"/>
    </row>
    <row r="74" spans="7:20" x14ac:dyDescent="0.2">
      <c r="G74" s="103">
        <v>64</v>
      </c>
      <c r="H74" s="107"/>
      <c r="I74" s="108"/>
      <c r="J74" s="108"/>
      <c r="K74" s="108"/>
      <c r="L74" s="108"/>
      <c r="M74" s="108"/>
      <c r="N74" s="108"/>
      <c r="O74" s="108"/>
      <c r="P74" s="107"/>
      <c r="Q74" s="108"/>
      <c r="R74" s="108"/>
      <c r="S74" s="108"/>
      <c r="T74" s="129"/>
    </row>
    <row r="75" spans="7:20" x14ac:dyDescent="0.2">
      <c r="G75" s="103">
        <v>65</v>
      </c>
      <c r="H75" s="107"/>
      <c r="I75" s="108"/>
      <c r="J75" s="108"/>
      <c r="K75" s="108"/>
      <c r="L75" s="108"/>
      <c r="M75" s="108"/>
      <c r="N75" s="108"/>
      <c r="O75" s="108"/>
      <c r="P75" s="107"/>
      <c r="Q75" s="108"/>
      <c r="R75" s="108"/>
      <c r="S75" s="108"/>
      <c r="T75" s="129"/>
    </row>
    <row r="76" spans="7:20" x14ac:dyDescent="0.2">
      <c r="G76" s="103">
        <v>66</v>
      </c>
      <c r="H76" s="107"/>
      <c r="I76" s="108"/>
      <c r="J76" s="108"/>
      <c r="K76" s="108"/>
      <c r="L76" s="108"/>
      <c r="M76" s="108"/>
      <c r="N76" s="108"/>
      <c r="O76" s="108"/>
      <c r="P76" s="107"/>
      <c r="Q76" s="108"/>
      <c r="R76" s="108"/>
      <c r="S76" s="108"/>
      <c r="T76" s="129"/>
    </row>
    <row r="77" spans="7:20" x14ac:dyDescent="0.2">
      <c r="G77" s="103">
        <v>67</v>
      </c>
      <c r="H77" s="107"/>
      <c r="I77" s="108"/>
      <c r="J77" s="108"/>
      <c r="K77" s="108"/>
      <c r="L77" s="108"/>
      <c r="M77" s="108"/>
      <c r="N77" s="108"/>
      <c r="O77" s="108"/>
      <c r="P77" s="107"/>
      <c r="Q77" s="108"/>
      <c r="R77" s="108"/>
      <c r="S77" s="108"/>
      <c r="T77" s="129"/>
    </row>
    <row r="78" spans="7:20" x14ac:dyDescent="0.2">
      <c r="G78" s="103">
        <v>68</v>
      </c>
      <c r="H78" s="107"/>
      <c r="I78" s="108"/>
      <c r="J78" s="108"/>
      <c r="K78" s="108"/>
      <c r="L78" s="108"/>
      <c r="M78" s="108"/>
      <c r="N78" s="108"/>
      <c r="O78" s="108"/>
      <c r="P78" s="107"/>
      <c r="Q78" s="108"/>
      <c r="R78" s="108"/>
      <c r="S78" s="108"/>
      <c r="T78" s="129"/>
    </row>
    <row r="79" spans="7:20" x14ac:dyDescent="0.2">
      <c r="G79" s="103">
        <v>69</v>
      </c>
      <c r="H79" s="107"/>
      <c r="I79" s="108"/>
      <c r="J79" s="108"/>
      <c r="K79" s="108"/>
      <c r="L79" s="108"/>
      <c r="M79" s="108"/>
      <c r="N79" s="108"/>
      <c r="O79" s="108"/>
      <c r="P79" s="107"/>
      <c r="Q79" s="108"/>
      <c r="R79" s="108"/>
      <c r="S79" s="108"/>
      <c r="T79" s="129"/>
    </row>
    <row r="80" spans="7:20" x14ac:dyDescent="0.2">
      <c r="G80" s="103">
        <v>70</v>
      </c>
      <c r="H80" s="107"/>
      <c r="I80" s="108"/>
      <c r="J80" s="108"/>
      <c r="K80" s="108"/>
      <c r="L80" s="108"/>
      <c r="M80" s="108"/>
      <c r="N80" s="108"/>
      <c r="O80" s="108"/>
      <c r="P80" s="107"/>
      <c r="Q80" s="108"/>
      <c r="R80" s="108"/>
      <c r="S80" s="108"/>
      <c r="T80" s="129"/>
    </row>
    <row r="81" spans="7:20" x14ac:dyDescent="0.2">
      <c r="G81" s="103">
        <v>71</v>
      </c>
      <c r="H81" s="107"/>
      <c r="I81" s="108"/>
      <c r="J81" s="108"/>
      <c r="K81" s="108"/>
      <c r="L81" s="108"/>
      <c r="M81" s="108"/>
      <c r="N81" s="108"/>
      <c r="O81" s="108"/>
      <c r="P81" s="107"/>
      <c r="Q81" s="108"/>
      <c r="R81" s="108"/>
      <c r="S81" s="108"/>
      <c r="T81" s="129"/>
    </row>
    <row r="82" spans="7:20" x14ac:dyDescent="0.2">
      <c r="G82" s="103">
        <v>72</v>
      </c>
      <c r="H82" s="107"/>
      <c r="I82" s="108"/>
      <c r="J82" s="108"/>
      <c r="K82" s="108"/>
      <c r="L82" s="108"/>
      <c r="M82" s="108"/>
      <c r="N82" s="108"/>
      <c r="O82" s="108"/>
      <c r="P82" s="107"/>
      <c r="Q82" s="108"/>
      <c r="R82" s="108"/>
      <c r="S82" s="108"/>
      <c r="T82" s="129"/>
    </row>
    <row r="83" spans="7:20" x14ac:dyDescent="0.2">
      <c r="G83" s="103">
        <v>73</v>
      </c>
      <c r="H83" s="107"/>
      <c r="I83" s="108"/>
      <c r="J83" s="108"/>
      <c r="K83" s="108"/>
      <c r="L83" s="108"/>
      <c r="M83" s="108"/>
      <c r="N83" s="108"/>
      <c r="O83" s="108"/>
      <c r="P83" s="107"/>
      <c r="Q83" s="108"/>
      <c r="R83" s="108"/>
      <c r="S83" s="108"/>
      <c r="T83" s="129"/>
    </row>
    <row r="84" spans="7:20" x14ac:dyDescent="0.2">
      <c r="G84" s="103">
        <v>74</v>
      </c>
      <c r="H84" s="107"/>
      <c r="I84" s="108"/>
      <c r="J84" s="108"/>
      <c r="K84" s="108"/>
      <c r="L84" s="108"/>
      <c r="M84" s="108"/>
      <c r="N84" s="108"/>
      <c r="O84" s="108"/>
      <c r="P84" s="107"/>
      <c r="Q84" s="108"/>
      <c r="R84" s="108"/>
      <c r="S84" s="108"/>
      <c r="T84" s="129"/>
    </row>
    <row r="85" spans="7:20" x14ac:dyDescent="0.2">
      <c r="G85" s="103">
        <v>75</v>
      </c>
      <c r="H85" s="107"/>
      <c r="I85" s="108"/>
      <c r="J85" s="108"/>
      <c r="K85" s="108"/>
      <c r="L85" s="108"/>
      <c r="M85" s="108"/>
      <c r="N85" s="108"/>
      <c r="O85" s="108"/>
      <c r="P85" s="107"/>
      <c r="Q85" s="108"/>
      <c r="R85" s="108"/>
      <c r="S85" s="108"/>
      <c r="T85" s="129"/>
    </row>
    <row r="86" spans="7:20" x14ac:dyDescent="0.2">
      <c r="G86" s="103">
        <v>76</v>
      </c>
      <c r="H86" s="107"/>
      <c r="I86" s="108"/>
      <c r="J86" s="108"/>
      <c r="K86" s="108"/>
      <c r="L86" s="108"/>
      <c r="M86" s="108"/>
      <c r="N86" s="108"/>
      <c r="O86" s="108"/>
      <c r="P86" s="107"/>
      <c r="Q86" s="108"/>
      <c r="R86" s="108"/>
      <c r="S86" s="108"/>
      <c r="T86" s="129"/>
    </row>
    <row r="87" spans="7:20" x14ac:dyDescent="0.2">
      <c r="G87" s="103">
        <v>77</v>
      </c>
      <c r="H87" s="107"/>
      <c r="I87" s="108"/>
      <c r="J87" s="108"/>
      <c r="K87" s="108"/>
      <c r="L87" s="108"/>
      <c r="M87" s="108"/>
      <c r="N87" s="108"/>
      <c r="O87" s="108"/>
      <c r="P87" s="107"/>
      <c r="Q87" s="108"/>
      <c r="R87" s="108"/>
      <c r="S87" s="108"/>
      <c r="T87" s="129"/>
    </row>
    <row r="88" spans="7:20" x14ac:dyDescent="0.2">
      <c r="G88" s="103">
        <v>78</v>
      </c>
      <c r="H88" s="107"/>
      <c r="I88" s="108"/>
      <c r="J88" s="108"/>
      <c r="K88" s="108"/>
      <c r="L88" s="108"/>
      <c r="M88" s="108"/>
      <c r="N88" s="108"/>
      <c r="O88" s="108"/>
      <c r="P88" s="107"/>
      <c r="Q88" s="108"/>
      <c r="R88" s="108"/>
      <c r="S88" s="108"/>
      <c r="T88" s="129"/>
    </row>
    <row r="89" spans="7:20" x14ac:dyDescent="0.2">
      <c r="G89" s="103">
        <v>79</v>
      </c>
      <c r="H89" s="107"/>
      <c r="I89" s="108"/>
      <c r="J89" s="108"/>
      <c r="K89" s="108"/>
      <c r="L89" s="108"/>
      <c r="M89" s="108"/>
      <c r="N89" s="108"/>
      <c r="O89" s="108"/>
      <c r="P89" s="107"/>
      <c r="Q89" s="108"/>
      <c r="R89" s="108"/>
      <c r="S89" s="108"/>
      <c r="T89" s="129"/>
    </row>
    <row r="90" spans="7:20" x14ac:dyDescent="0.2">
      <c r="G90" s="103">
        <v>80</v>
      </c>
      <c r="H90" s="107"/>
      <c r="I90" s="108"/>
      <c r="J90" s="108"/>
      <c r="K90" s="108"/>
      <c r="L90" s="108"/>
      <c r="M90" s="108"/>
      <c r="N90" s="108"/>
      <c r="O90" s="108"/>
      <c r="P90" s="107"/>
      <c r="Q90" s="108"/>
      <c r="R90" s="108"/>
      <c r="S90" s="108"/>
      <c r="T90" s="129"/>
    </row>
    <row r="91" spans="7:20" x14ac:dyDescent="0.2">
      <c r="G91" s="103">
        <v>81</v>
      </c>
      <c r="H91" s="107"/>
      <c r="I91" s="108"/>
      <c r="J91" s="108"/>
      <c r="K91" s="108"/>
      <c r="L91" s="108"/>
      <c r="M91" s="108"/>
      <c r="N91" s="108"/>
      <c r="O91" s="108"/>
      <c r="P91" s="107"/>
      <c r="Q91" s="108"/>
      <c r="R91" s="108"/>
      <c r="S91" s="108"/>
      <c r="T91" s="129"/>
    </row>
    <row r="92" spans="7:20" x14ac:dyDescent="0.2">
      <c r="G92" s="103">
        <v>82</v>
      </c>
      <c r="H92" s="107"/>
      <c r="I92" s="108"/>
      <c r="J92" s="108"/>
      <c r="K92" s="108"/>
      <c r="L92" s="108"/>
      <c r="M92" s="108"/>
      <c r="N92" s="108"/>
      <c r="O92" s="108"/>
      <c r="P92" s="107"/>
      <c r="Q92" s="108"/>
      <c r="R92" s="108"/>
      <c r="S92" s="108"/>
      <c r="T92" s="129"/>
    </row>
    <row r="93" spans="7:20" x14ac:dyDescent="0.2">
      <c r="G93" s="103">
        <v>83</v>
      </c>
      <c r="H93" s="107"/>
      <c r="I93" s="108"/>
      <c r="J93" s="108"/>
      <c r="K93" s="108"/>
      <c r="L93" s="108"/>
      <c r="M93" s="108"/>
      <c r="N93" s="108"/>
      <c r="O93" s="108"/>
      <c r="P93" s="107"/>
      <c r="Q93" s="108"/>
      <c r="R93" s="108"/>
      <c r="S93" s="108"/>
      <c r="T93" s="129"/>
    </row>
    <row r="94" spans="7:20" x14ac:dyDescent="0.2">
      <c r="G94" s="103">
        <v>84</v>
      </c>
      <c r="H94" s="107"/>
      <c r="I94" s="108"/>
      <c r="J94" s="108"/>
      <c r="K94" s="108"/>
      <c r="L94" s="108"/>
      <c r="M94" s="108"/>
      <c r="N94" s="108"/>
      <c r="O94" s="108"/>
      <c r="P94" s="107"/>
      <c r="Q94" s="108"/>
      <c r="R94" s="108"/>
      <c r="S94" s="108"/>
      <c r="T94" s="129"/>
    </row>
    <row r="95" spans="7:20" x14ac:dyDescent="0.2">
      <c r="G95" s="103">
        <v>85</v>
      </c>
      <c r="H95" s="107"/>
      <c r="I95" s="108"/>
      <c r="J95" s="108"/>
      <c r="K95" s="108"/>
      <c r="L95" s="108"/>
      <c r="M95" s="108"/>
      <c r="N95" s="108"/>
      <c r="O95" s="108"/>
      <c r="P95" s="107"/>
      <c r="Q95" s="108"/>
      <c r="R95" s="108"/>
      <c r="S95" s="108"/>
      <c r="T95" s="129"/>
    </row>
    <row r="96" spans="7:20" x14ac:dyDescent="0.2">
      <c r="G96" s="103">
        <v>86</v>
      </c>
      <c r="H96" s="107"/>
      <c r="I96" s="108"/>
      <c r="J96" s="108"/>
      <c r="K96" s="108"/>
      <c r="L96" s="108"/>
      <c r="M96" s="108"/>
      <c r="N96" s="108"/>
      <c r="O96" s="108"/>
      <c r="P96" s="107"/>
      <c r="Q96" s="108"/>
      <c r="R96" s="108"/>
      <c r="S96" s="108"/>
      <c r="T96" s="129"/>
    </row>
    <row r="97" spans="7:20" x14ac:dyDescent="0.2">
      <c r="G97" s="103">
        <v>87</v>
      </c>
      <c r="H97" s="107"/>
      <c r="I97" s="108"/>
      <c r="J97" s="108"/>
      <c r="K97" s="108"/>
      <c r="L97" s="108"/>
      <c r="M97" s="108"/>
      <c r="N97" s="108"/>
      <c r="O97" s="108"/>
      <c r="P97" s="107"/>
      <c r="Q97" s="108"/>
      <c r="R97" s="108"/>
      <c r="S97" s="108"/>
      <c r="T97" s="129"/>
    </row>
    <row r="98" spans="7:20" x14ac:dyDescent="0.2">
      <c r="G98" s="103">
        <v>88</v>
      </c>
      <c r="H98" s="107"/>
      <c r="I98" s="108"/>
      <c r="J98" s="108"/>
      <c r="K98" s="108"/>
      <c r="L98" s="108"/>
      <c r="M98" s="108"/>
      <c r="N98" s="108"/>
      <c r="O98" s="108"/>
      <c r="P98" s="107"/>
      <c r="Q98" s="108"/>
      <c r="R98" s="108"/>
      <c r="S98" s="108"/>
      <c r="T98" s="129"/>
    </row>
    <row r="99" spans="7:20" x14ac:dyDescent="0.2">
      <c r="G99" s="103">
        <v>89</v>
      </c>
      <c r="H99" s="107"/>
      <c r="I99" s="108"/>
      <c r="J99" s="108"/>
      <c r="K99" s="108"/>
      <c r="L99" s="108"/>
      <c r="M99" s="108"/>
      <c r="N99" s="108"/>
      <c r="O99" s="108"/>
      <c r="P99" s="107"/>
      <c r="Q99" s="108"/>
      <c r="R99" s="108"/>
      <c r="S99" s="108"/>
      <c r="T99" s="129"/>
    </row>
    <row r="100" spans="7:20" x14ac:dyDescent="0.2">
      <c r="G100" s="103">
        <v>90</v>
      </c>
      <c r="H100" s="107"/>
      <c r="I100" s="108"/>
      <c r="J100" s="108"/>
      <c r="K100" s="108"/>
      <c r="L100" s="108"/>
      <c r="M100" s="108"/>
      <c r="N100" s="108"/>
      <c r="O100" s="108"/>
      <c r="P100" s="107"/>
      <c r="Q100" s="108"/>
      <c r="R100" s="108"/>
      <c r="S100" s="108"/>
      <c r="T100" s="129"/>
    </row>
    <row r="101" spans="7:20" x14ac:dyDescent="0.2">
      <c r="G101" s="103">
        <v>91</v>
      </c>
      <c r="H101" s="107"/>
      <c r="I101" s="108"/>
      <c r="J101" s="108"/>
      <c r="K101" s="108"/>
      <c r="L101" s="108"/>
      <c r="M101" s="108"/>
      <c r="N101" s="108"/>
      <c r="O101" s="108"/>
      <c r="P101" s="107"/>
      <c r="Q101" s="108"/>
      <c r="R101" s="108"/>
      <c r="S101" s="108"/>
      <c r="T101" s="129"/>
    </row>
    <row r="102" spans="7:20" x14ac:dyDescent="0.2">
      <c r="G102" s="103">
        <v>92</v>
      </c>
      <c r="H102" s="107"/>
      <c r="I102" s="108"/>
      <c r="J102" s="108"/>
      <c r="K102" s="108"/>
      <c r="L102" s="108"/>
      <c r="M102" s="108"/>
      <c r="N102" s="108"/>
      <c r="O102" s="108"/>
      <c r="P102" s="107"/>
      <c r="Q102" s="108"/>
      <c r="R102" s="108"/>
      <c r="S102" s="108"/>
      <c r="T102" s="129"/>
    </row>
    <row r="103" spans="7:20" x14ac:dyDescent="0.2">
      <c r="G103" s="103">
        <v>93</v>
      </c>
      <c r="H103" s="107"/>
      <c r="I103" s="108"/>
      <c r="J103" s="108"/>
      <c r="K103" s="108"/>
      <c r="L103" s="108"/>
      <c r="M103" s="108"/>
      <c r="N103" s="108"/>
      <c r="O103" s="108"/>
      <c r="P103" s="107"/>
      <c r="Q103" s="108"/>
      <c r="R103" s="108"/>
      <c r="S103" s="108"/>
      <c r="T103" s="129"/>
    </row>
    <row r="104" spans="7:20" x14ac:dyDescent="0.2">
      <c r="G104" s="103">
        <v>94</v>
      </c>
      <c r="H104" s="107"/>
      <c r="I104" s="108"/>
      <c r="J104" s="108"/>
      <c r="K104" s="108"/>
      <c r="L104" s="108"/>
      <c r="M104" s="108"/>
      <c r="N104" s="108"/>
      <c r="O104" s="108"/>
      <c r="P104" s="107"/>
      <c r="Q104" s="108"/>
      <c r="R104" s="108"/>
      <c r="S104" s="108"/>
      <c r="T104" s="129"/>
    </row>
    <row r="105" spans="7:20" x14ac:dyDescent="0.2">
      <c r="G105" s="103">
        <v>95</v>
      </c>
      <c r="H105" s="107"/>
      <c r="I105" s="108"/>
      <c r="J105" s="108"/>
      <c r="K105" s="108"/>
      <c r="L105" s="108"/>
      <c r="M105" s="108"/>
      <c r="N105" s="108"/>
      <c r="O105" s="108"/>
      <c r="P105" s="107"/>
      <c r="Q105" s="108"/>
      <c r="R105" s="108"/>
      <c r="S105" s="108"/>
      <c r="T105" s="129"/>
    </row>
    <row r="106" spans="7:20" x14ac:dyDescent="0.2">
      <c r="G106" s="103">
        <v>96</v>
      </c>
      <c r="H106" s="107"/>
      <c r="I106" s="108"/>
      <c r="J106" s="108"/>
      <c r="K106" s="108"/>
      <c r="L106" s="108"/>
      <c r="M106" s="108"/>
      <c r="N106" s="108"/>
      <c r="O106" s="108"/>
      <c r="P106" s="107"/>
      <c r="Q106" s="108"/>
      <c r="R106" s="108"/>
      <c r="S106" s="108"/>
      <c r="T106" s="129"/>
    </row>
    <row r="107" spans="7:20" x14ac:dyDescent="0.2">
      <c r="G107" s="103">
        <v>97</v>
      </c>
      <c r="H107" s="107"/>
      <c r="I107" s="108"/>
      <c r="J107" s="108"/>
      <c r="K107" s="108"/>
      <c r="L107" s="108"/>
      <c r="M107" s="108"/>
      <c r="N107" s="108"/>
      <c r="O107" s="108"/>
      <c r="P107" s="107"/>
      <c r="Q107" s="108"/>
      <c r="R107" s="108"/>
      <c r="S107" s="108"/>
      <c r="T107" s="129"/>
    </row>
    <row r="108" spans="7:20" x14ac:dyDescent="0.2">
      <c r="G108" s="103">
        <v>98</v>
      </c>
      <c r="H108" s="107"/>
      <c r="I108" s="108"/>
      <c r="J108" s="108"/>
      <c r="K108" s="108"/>
      <c r="L108" s="108"/>
      <c r="M108" s="108"/>
      <c r="N108" s="108"/>
      <c r="O108" s="108"/>
      <c r="P108" s="107"/>
      <c r="Q108" s="108"/>
      <c r="R108" s="108"/>
      <c r="S108" s="108"/>
      <c r="T108" s="129"/>
    </row>
    <row r="109" spans="7:20" x14ac:dyDescent="0.2">
      <c r="G109" s="103">
        <v>99</v>
      </c>
      <c r="H109" s="107"/>
      <c r="I109" s="108"/>
      <c r="J109" s="108"/>
      <c r="K109" s="108"/>
      <c r="L109" s="108"/>
      <c r="M109" s="108"/>
      <c r="N109" s="108"/>
      <c r="O109" s="108"/>
      <c r="P109" s="107"/>
      <c r="Q109" s="108"/>
      <c r="R109" s="108"/>
      <c r="S109" s="108"/>
      <c r="T109" s="129"/>
    </row>
    <row r="110" spans="7:20" x14ac:dyDescent="0.2">
      <c r="G110" s="103">
        <v>100</v>
      </c>
      <c r="H110" s="107"/>
      <c r="I110" s="108"/>
      <c r="J110" s="108"/>
      <c r="K110" s="108"/>
      <c r="L110" s="108"/>
      <c r="M110" s="108"/>
      <c r="N110" s="108"/>
      <c r="O110" s="108"/>
      <c r="P110" s="107"/>
      <c r="Q110" s="108"/>
      <c r="R110" s="108"/>
      <c r="S110" s="108"/>
      <c r="T110" s="129"/>
    </row>
    <row r="111" spans="7:20" x14ac:dyDescent="0.2">
      <c r="G111" s="103">
        <v>101</v>
      </c>
      <c r="H111" s="107"/>
      <c r="I111" s="108"/>
      <c r="J111" s="108"/>
      <c r="K111" s="108"/>
      <c r="L111" s="108"/>
      <c r="M111" s="108"/>
      <c r="N111" s="108"/>
      <c r="O111" s="108"/>
      <c r="P111" s="107"/>
      <c r="Q111" s="108"/>
      <c r="R111" s="108"/>
      <c r="S111" s="108"/>
      <c r="T111" s="129"/>
    </row>
    <row r="112" spans="7:20" x14ac:dyDescent="0.2">
      <c r="G112" s="103">
        <v>102</v>
      </c>
      <c r="H112" s="107"/>
      <c r="I112" s="108"/>
      <c r="J112" s="108"/>
      <c r="K112" s="108"/>
      <c r="L112" s="108"/>
      <c r="M112" s="108"/>
      <c r="N112" s="108"/>
      <c r="O112" s="108"/>
      <c r="P112" s="107"/>
      <c r="Q112" s="108"/>
      <c r="R112" s="108"/>
      <c r="S112" s="108"/>
      <c r="T112" s="129"/>
    </row>
    <row r="113" spans="7:20" x14ac:dyDescent="0.2">
      <c r="G113" s="103">
        <v>103</v>
      </c>
      <c r="H113" s="107"/>
      <c r="I113" s="108"/>
      <c r="J113" s="108"/>
      <c r="K113" s="108"/>
      <c r="L113" s="108"/>
      <c r="M113" s="108"/>
      <c r="N113" s="108"/>
      <c r="O113" s="108"/>
      <c r="P113" s="107"/>
      <c r="Q113" s="108"/>
      <c r="R113" s="108"/>
      <c r="S113" s="108"/>
      <c r="T113" s="129"/>
    </row>
    <row r="114" spans="7:20" x14ac:dyDescent="0.2">
      <c r="G114" s="103">
        <v>104</v>
      </c>
      <c r="H114" s="107"/>
      <c r="I114" s="108"/>
      <c r="J114" s="108"/>
      <c r="K114" s="108"/>
      <c r="L114" s="108"/>
      <c r="M114" s="108"/>
      <c r="N114" s="108"/>
      <c r="O114" s="108"/>
      <c r="P114" s="107"/>
      <c r="Q114" s="108"/>
      <c r="R114" s="108"/>
      <c r="S114" s="108"/>
      <c r="T114" s="129"/>
    </row>
    <row r="115" spans="7:20" x14ac:dyDescent="0.2">
      <c r="G115" s="103">
        <v>105</v>
      </c>
      <c r="H115" s="107"/>
      <c r="I115" s="108"/>
      <c r="J115" s="108"/>
      <c r="K115" s="108"/>
      <c r="L115" s="108"/>
      <c r="M115" s="108"/>
      <c r="N115" s="108"/>
      <c r="O115" s="108"/>
      <c r="P115" s="107"/>
      <c r="Q115" s="108"/>
      <c r="R115" s="108"/>
      <c r="S115" s="108"/>
      <c r="T115" s="129"/>
    </row>
    <row r="116" spans="7:20" x14ac:dyDescent="0.2">
      <c r="G116" s="103">
        <v>106</v>
      </c>
      <c r="H116" s="107"/>
      <c r="I116" s="108"/>
      <c r="J116" s="108"/>
      <c r="K116" s="108"/>
      <c r="L116" s="108"/>
      <c r="M116" s="108"/>
      <c r="N116" s="108"/>
      <c r="O116" s="108"/>
      <c r="P116" s="107"/>
      <c r="Q116" s="108"/>
      <c r="R116" s="108"/>
      <c r="S116" s="108"/>
      <c r="T116" s="129"/>
    </row>
    <row r="117" spans="7:20" x14ac:dyDescent="0.2">
      <c r="G117" s="103">
        <v>107</v>
      </c>
      <c r="H117" s="107"/>
      <c r="I117" s="108"/>
      <c r="J117" s="108"/>
      <c r="K117" s="108"/>
      <c r="L117" s="108"/>
      <c r="M117" s="108"/>
      <c r="N117" s="108"/>
      <c r="O117" s="108"/>
      <c r="P117" s="107"/>
      <c r="Q117" s="108"/>
      <c r="R117" s="108"/>
      <c r="S117" s="108"/>
      <c r="T117" s="129"/>
    </row>
    <row r="118" spans="7:20" x14ac:dyDescent="0.2">
      <c r="G118" s="103">
        <v>108</v>
      </c>
      <c r="H118" s="107"/>
      <c r="I118" s="108"/>
      <c r="J118" s="108"/>
      <c r="K118" s="108"/>
      <c r="L118" s="108"/>
      <c r="M118" s="108"/>
      <c r="N118" s="108"/>
      <c r="O118" s="108"/>
      <c r="P118" s="107"/>
      <c r="Q118" s="108"/>
      <c r="R118" s="108"/>
      <c r="S118" s="108"/>
      <c r="T118" s="129"/>
    </row>
    <row r="119" spans="7:20" x14ac:dyDescent="0.2">
      <c r="G119" s="103">
        <v>109</v>
      </c>
      <c r="H119" s="107"/>
      <c r="I119" s="108"/>
      <c r="J119" s="108"/>
      <c r="K119" s="108"/>
      <c r="L119" s="108"/>
      <c r="M119" s="108"/>
      <c r="N119" s="108"/>
      <c r="O119" s="108"/>
      <c r="P119" s="107"/>
      <c r="Q119" s="108"/>
      <c r="R119" s="108"/>
      <c r="S119" s="108"/>
      <c r="T119" s="129"/>
    </row>
    <row r="120" spans="7:20" x14ac:dyDescent="0.2">
      <c r="G120" s="103">
        <v>110</v>
      </c>
      <c r="H120" s="107"/>
      <c r="I120" s="108"/>
      <c r="J120" s="108"/>
      <c r="K120" s="108"/>
      <c r="L120" s="108"/>
      <c r="M120" s="108"/>
      <c r="N120" s="108"/>
      <c r="O120" s="108"/>
      <c r="P120" s="107"/>
      <c r="Q120" s="108"/>
      <c r="R120" s="108"/>
      <c r="S120" s="108"/>
      <c r="T120" s="129"/>
    </row>
    <row r="121" spans="7:20" x14ac:dyDescent="0.2">
      <c r="G121" s="103">
        <v>111</v>
      </c>
      <c r="H121" s="107"/>
      <c r="I121" s="108"/>
      <c r="J121" s="108"/>
      <c r="K121" s="108"/>
      <c r="L121" s="108"/>
      <c r="M121" s="108"/>
      <c r="N121" s="108"/>
      <c r="O121" s="108"/>
      <c r="P121" s="107"/>
      <c r="Q121" s="108"/>
      <c r="R121" s="108"/>
      <c r="S121" s="108"/>
      <c r="T121" s="129"/>
    </row>
    <row r="122" spans="7:20" x14ac:dyDescent="0.2">
      <c r="G122" s="103">
        <v>112</v>
      </c>
      <c r="H122" s="107"/>
      <c r="I122" s="108"/>
      <c r="J122" s="108"/>
      <c r="K122" s="108"/>
      <c r="L122" s="108"/>
      <c r="M122" s="108"/>
      <c r="N122" s="108"/>
      <c r="O122" s="108"/>
      <c r="P122" s="107"/>
      <c r="Q122" s="108"/>
      <c r="R122" s="108"/>
      <c r="S122" s="108"/>
      <c r="T122" s="129"/>
    </row>
    <row r="123" spans="7:20" x14ac:dyDescent="0.2">
      <c r="G123" s="103">
        <v>113</v>
      </c>
      <c r="H123" s="107"/>
      <c r="I123" s="108"/>
      <c r="J123" s="108"/>
      <c r="K123" s="108"/>
      <c r="L123" s="108"/>
      <c r="M123" s="108"/>
      <c r="N123" s="108"/>
      <c r="O123" s="108"/>
      <c r="P123" s="107"/>
      <c r="Q123" s="108"/>
      <c r="R123" s="108"/>
      <c r="S123" s="108"/>
      <c r="T123" s="129"/>
    </row>
    <row r="124" spans="7:20" x14ac:dyDescent="0.2">
      <c r="G124" s="103">
        <v>114</v>
      </c>
      <c r="H124" s="107"/>
      <c r="I124" s="108"/>
      <c r="J124" s="108"/>
      <c r="K124" s="108"/>
      <c r="L124" s="108"/>
      <c r="M124" s="108"/>
      <c r="N124" s="108"/>
      <c r="O124" s="108"/>
      <c r="P124" s="107"/>
      <c r="Q124" s="108"/>
      <c r="R124" s="108"/>
      <c r="S124" s="108"/>
      <c r="T124" s="129"/>
    </row>
    <row r="125" spans="7:20" x14ac:dyDescent="0.2">
      <c r="G125" s="103">
        <v>115</v>
      </c>
      <c r="H125" s="107"/>
      <c r="I125" s="108"/>
      <c r="J125" s="108"/>
      <c r="K125" s="108"/>
      <c r="L125" s="108"/>
      <c r="M125" s="108"/>
      <c r="N125" s="108"/>
      <c r="O125" s="108"/>
      <c r="P125" s="107"/>
      <c r="Q125" s="108"/>
      <c r="R125" s="108"/>
      <c r="S125" s="108"/>
      <c r="T125" s="129"/>
    </row>
    <row r="126" spans="7:20" x14ac:dyDescent="0.2">
      <c r="G126" s="103">
        <v>116</v>
      </c>
      <c r="H126" s="107"/>
      <c r="I126" s="108"/>
      <c r="J126" s="108"/>
      <c r="K126" s="108"/>
      <c r="L126" s="108"/>
      <c r="M126" s="108"/>
      <c r="N126" s="108"/>
      <c r="O126" s="108"/>
      <c r="P126" s="107"/>
      <c r="Q126" s="108"/>
      <c r="R126" s="108"/>
      <c r="S126" s="108"/>
      <c r="T126" s="129"/>
    </row>
    <row r="127" spans="7:20" x14ac:dyDescent="0.2">
      <c r="G127" s="103">
        <v>117</v>
      </c>
      <c r="H127" s="107"/>
      <c r="I127" s="108"/>
      <c r="J127" s="108"/>
      <c r="K127" s="108"/>
      <c r="L127" s="108"/>
      <c r="M127" s="108"/>
      <c r="N127" s="108"/>
      <c r="O127" s="108"/>
      <c r="P127" s="107"/>
      <c r="Q127" s="108"/>
      <c r="R127" s="108"/>
      <c r="S127" s="108"/>
      <c r="T127" s="129"/>
    </row>
    <row r="128" spans="7:20" x14ac:dyDescent="0.2">
      <c r="G128" s="103">
        <v>118</v>
      </c>
      <c r="H128" s="107"/>
      <c r="I128" s="108"/>
      <c r="J128" s="108"/>
      <c r="K128" s="108"/>
      <c r="L128" s="108"/>
      <c r="M128" s="108"/>
      <c r="N128" s="108"/>
      <c r="O128" s="108"/>
      <c r="P128" s="107"/>
      <c r="Q128" s="108"/>
      <c r="R128" s="108"/>
      <c r="S128" s="108"/>
      <c r="T128" s="129"/>
    </row>
    <row r="129" spans="7:20" x14ac:dyDescent="0.2">
      <c r="G129" s="103">
        <v>119</v>
      </c>
      <c r="H129" s="107"/>
      <c r="I129" s="108"/>
      <c r="J129" s="108"/>
      <c r="K129" s="108"/>
      <c r="L129" s="108"/>
      <c r="M129" s="108"/>
      <c r="N129" s="108"/>
      <c r="O129" s="108"/>
      <c r="P129" s="107"/>
      <c r="Q129" s="108"/>
      <c r="R129" s="108"/>
      <c r="S129" s="108"/>
      <c r="T129" s="129"/>
    </row>
    <row r="130" spans="7:20" x14ac:dyDescent="0.2">
      <c r="G130" s="103">
        <v>120</v>
      </c>
      <c r="H130" s="107"/>
      <c r="I130" s="108"/>
      <c r="J130" s="108"/>
      <c r="K130" s="108"/>
      <c r="L130" s="108"/>
      <c r="M130" s="108"/>
      <c r="N130" s="108"/>
      <c r="O130" s="108"/>
      <c r="P130" s="107"/>
      <c r="Q130" s="108"/>
      <c r="R130" s="108"/>
      <c r="S130" s="108"/>
      <c r="T130" s="129"/>
    </row>
    <row r="131" spans="7:20" x14ac:dyDescent="0.2">
      <c r="G131" s="103">
        <v>121</v>
      </c>
      <c r="H131" s="107"/>
      <c r="I131" s="108"/>
      <c r="J131" s="108"/>
      <c r="K131" s="108"/>
      <c r="L131" s="108"/>
      <c r="M131" s="108"/>
      <c r="N131" s="108"/>
      <c r="O131" s="108"/>
      <c r="P131" s="107"/>
      <c r="Q131" s="108"/>
      <c r="R131" s="108"/>
      <c r="S131" s="108"/>
      <c r="T131" s="129"/>
    </row>
    <row r="132" spans="7:20" x14ac:dyDescent="0.2">
      <c r="G132" s="103">
        <v>122</v>
      </c>
      <c r="H132" s="107"/>
      <c r="I132" s="108"/>
      <c r="J132" s="108"/>
      <c r="K132" s="108"/>
      <c r="L132" s="108"/>
      <c r="M132" s="108"/>
      <c r="N132" s="108"/>
      <c r="O132" s="108"/>
      <c r="P132" s="107"/>
      <c r="Q132" s="108"/>
      <c r="R132" s="108"/>
      <c r="S132" s="108"/>
      <c r="T132" s="129"/>
    </row>
    <row r="133" spans="7:20" x14ac:dyDescent="0.2">
      <c r="G133" s="103">
        <v>123</v>
      </c>
      <c r="H133" s="107"/>
      <c r="I133" s="108"/>
      <c r="J133" s="108"/>
      <c r="K133" s="108"/>
      <c r="L133" s="108"/>
      <c r="M133" s="108"/>
      <c r="N133" s="108"/>
      <c r="O133" s="108"/>
      <c r="P133" s="107"/>
      <c r="Q133" s="108"/>
      <c r="R133" s="108"/>
      <c r="S133" s="108"/>
      <c r="T133" s="129"/>
    </row>
    <row r="134" spans="7:20" x14ac:dyDescent="0.2">
      <c r="G134" s="103">
        <v>124</v>
      </c>
      <c r="H134" s="107"/>
      <c r="I134" s="108"/>
      <c r="J134" s="108"/>
      <c r="K134" s="108"/>
      <c r="L134" s="108"/>
      <c r="M134" s="108"/>
      <c r="N134" s="108"/>
      <c r="O134" s="108"/>
      <c r="P134" s="107"/>
      <c r="Q134" s="108"/>
      <c r="R134" s="108"/>
      <c r="S134" s="108"/>
      <c r="T134" s="129"/>
    </row>
    <row r="135" spans="7:20" x14ac:dyDescent="0.2">
      <c r="G135" s="103">
        <v>125</v>
      </c>
      <c r="H135" s="107"/>
      <c r="I135" s="108"/>
      <c r="J135" s="108"/>
      <c r="K135" s="108"/>
      <c r="L135" s="108"/>
      <c r="M135" s="108"/>
      <c r="N135" s="108"/>
      <c r="O135" s="108"/>
      <c r="P135" s="107"/>
      <c r="Q135" s="108"/>
      <c r="R135" s="108"/>
      <c r="S135" s="108"/>
      <c r="T135" s="129"/>
    </row>
    <row r="136" spans="7:20" x14ac:dyDescent="0.2">
      <c r="G136" s="103">
        <v>126</v>
      </c>
      <c r="H136" s="107"/>
      <c r="I136" s="108"/>
      <c r="J136" s="108"/>
      <c r="K136" s="108"/>
      <c r="L136" s="108"/>
      <c r="M136" s="108"/>
      <c r="N136" s="108"/>
      <c r="O136" s="108"/>
      <c r="P136" s="107"/>
      <c r="Q136" s="108"/>
      <c r="R136" s="108"/>
      <c r="S136" s="108"/>
      <c r="T136" s="129"/>
    </row>
    <row r="137" spans="7:20" x14ac:dyDescent="0.2">
      <c r="G137" s="103">
        <v>127</v>
      </c>
      <c r="H137" s="107"/>
      <c r="I137" s="108"/>
      <c r="J137" s="108"/>
      <c r="K137" s="108"/>
      <c r="L137" s="108"/>
      <c r="M137" s="108"/>
      <c r="N137" s="108"/>
      <c r="O137" s="108"/>
      <c r="P137" s="107"/>
      <c r="Q137" s="108"/>
      <c r="R137" s="108"/>
      <c r="S137" s="108"/>
      <c r="T137" s="129"/>
    </row>
    <row r="138" spans="7:20" x14ac:dyDescent="0.2">
      <c r="G138" s="103">
        <v>128</v>
      </c>
      <c r="H138" s="107"/>
      <c r="I138" s="108"/>
      <c r="J138" s="108"/>
      <c r="K138" s="108"/>
      <c r="L138" s="108"/>
      <c r="M138" s="108"/>
      <c r="N138" s="108"/>
      <c r="O138" s="108"/>
      <c r="P138" s="107"/>
      <c r="Q138" s="108"/>
      <c r="R138" s="108"/>
      <c r="S138" s="108"/>
      <c r="T138" s="129"/>
    </row>
    <row r="139" spans="7:20" x14ac:dyDescent="0.2">
      <c r="G139" s="103">
        <v>129</v>
      </c>
      <c r="H139" s="107"/>
      <c r="I139" s="108"/>
      <c r="J139" s="108"/>
      <c r="K139" s="108"/>
      <c r="L139" s="108"/>
      <c r="M139" s="108"/>
      <c r="N139" s="108"/>
      <c r="O139" s="108"/>
      <c r="P139" s="107"/>
      <c r="Q139" s="108"/>
      <c r="R139" s="108"/>
      <c r="S139" s="108"/>
      <c r="T139" s="129"/>
    </row>
    <row r="140" spans="7:20" x14ac:dyDescent="0.2">
      <c r="G140" s="103">
        <v>130</v>
      </c>
      <c r="H140" s="107"/>
      <c r="I140" s="108"/>
      <c r="J140" s="108"/>
      <c r="K140" s="108"/>
      <c r="L140" s="108"/>
      <c r="M140" s="108"/>
      <c r="N140" s="108"/>
      <c r="O140" s="108"/>
      <c r="P140" s="107"/>
      <c r="Q140" s="108"/>
      <c r="R140" s="108"/>
      <c r="S140" s="108"/>
      <c r="T140" s="129"/>
    </row>
    <row r="141" spans="7:20" x14ac:dyDescent="0.2">
      <c r="G141" s="103">
        <v>131</v>
      </c>
      <c r="H141" s="107"/>
      <c r="I141" s="108"/>
      <c r="J141" s="108"/>
      <c r="K141" s="108"/>
      <c r="L141" s="108"/>
      <c r="M141" s="108"/>
      <c r="N141" s="108"/>
      <c r="O141" s="108"/>
      <c r="P141" s="107"/>
      <c r="Q141" s="108"/>
      <c r="R141" s="108"/>
      <c r="S141" s="108"/>
      <c r="T141" s="129"/>
    </row>
    <row r="142" spans="7:20" x14ac:dyDescent="0.2">
      <c r="G142" s="103">
        <v>132</v>
      </c>
      <c r="H142" s="107"/>
      <c r="I142" s="108"/>
      <c r="J142" s="108"/>
      <c r="K142" s="108"/>
      <c r="L142" s="108"/>
      <c r="M142" s="108"/>
      <c r="N142" s="108"/>
      <c r="O142" s="108"/>
      <c r="P142" s="107"/>
      <c r="Q142" s="108"/>
      <c r="R142" s="108"/>
      <c r="S142" s="108"/>
      <c r="T142" s="129"/>
    </row>
    <row r="143" spans="7:20" x14ac:dyDescent="0.2">
      <c r="G143" s="103">
        <v>133</v>
      </c>
      <c r="H143" s="107"/>
      <c r="I143" s="108"/>
      <c r="J143" s="108"/>
      <c r="K143" s="108"/>
      <c r="L143" s="108"/>
      <c r="M143" s="108"/>
      <c r="N143" s="108"/>
      <c r="O143" s="108"/>
      <c r="P143" s="107"/>
      <c r="Q143" s="108"/>
      <c r="R143" s="108"/>
      <c r="S143" s="108"/>
      <c r="T143" s="129"/>
    </row>
    <row r="144" spans="7:20" x14ac:dyDescent="0.2">
      <c r="G144" s="103">
        <v>134</v>
      </c>
      <c r="H144" s="107"/>
      <c r="I144" s="108"/>
      <c r="J144" s="108"/>
      <c r="K144" s="108"/>
      <c r="L144" s="108"/>
      <c r="M144" s="108"/>
      <c r="N144" s="108"/>
      <c r="O144" s="108"/>
      <c r="P144" s="107"/>
      <c r="Q144" s="108"/>
      <c r="R144" s="108"/>
      <c r="S144" s="108"/>
      <c r="T144" s="129"/>
    </row>
    <row r="145" spans="7:20" x14ac:dyDescent="0.2">
      <c r="G145" s="103">
        <v>135</v>
      </c>
      <c r="H145" s="107"/>
      <c r="I145" s="108"/>
      <c r="J145" s="108"/>
      <c r="K145" s="108"/>
      <c r="L145" s="108"/>
      <c r="M145" s="108"/>
      <c r="N145" s="108"/>
      <c r="O145" s="108"/>
      <c r="P145" s="107"/>
      <c r="Q145" s="108"/>
      <c r="R145" s="108"/>
      <c r="S145" s="108"/>
      <c r="T145" s="129"/>
    </row>
    <row r="146" spans="7:20" x14ac:dyDescent="0.2">
      <c r="G146" s="103">
        <v>136</v>
      </c>
      <c r="H146" s="107"/>
      <c r="I146" s="108"/>
      <c r="J146" s="108"/>
      <c r="K146" s="108"/>
      <c r="L146" s="108"/>
      <c r="M146" s="108"/>
      <c r="N146" s="108"/>
      <c r="O146" s="108"/>
      <c r="P146" s="107"/>
      <c r="Q146" s="108"/>
      <c r="R146" s="108"/>
      <c r="S146" s="108"/>
      <c r="T146" s="129"/>
    </row>
    <row r="147" spans="7:20" x14ac:dyDescent="0.2">
      <c r="G147" s="103">
        <v>137</v>
      </c>
      <c r="H147" s="107"/>
      <c r="I147" s="108"/>
      <c r="J147" s="108"/>
      <c r="K147" s="108"/>
      <c r="L147" s="108"/>
      <c r="M147" s="108"/>
      <c r="N147" s="108"/>
      <c r="O147" s="108"/>
      <c r="P147" s="107"/>
      <c r="Q147" s="108"/>
      <c r="R147" s="108"/>
      <c r="S147" s="108"/>
      <c r="T147" s="129"/>
    </row>
    <row r="148" spans="7:20" x14ac:dyDescent="0.2">
      <c r="G148" s="103">
        <v>138</v>
      </c>
      <c r="H148" s="107"/>
      <c r="I148" s="108"/>
      <c r="J148" s="108"/>
      <c r="K148" s="108"/>
      <c r="L148" s="108"/>
      <c r="M148" s="108"/>
      <c r="N148" s="108"/>
      <c r="O148" s="108"/>
      <c r="P148" s="107"/>
      <c r="Q148" s="108"/>
      <c r="R148" s="108"/>
      <c r="S148" s="108"/>
      <c r="T148" s="129"/>
    </row>
    <row r="149" spans="7:20" x14ac:dyDescent="0.2">
      <c r="G149" s="103">
        <v>139</v>
      </c>
      <c r="H149" s="107"/>
      <c r="I149" s="108"/>
      <c r="J149" s="108"/>
      <c r="K149" s="108"/>
      <c r="L149" s="108"/>
      <c r="M149" s="108"/>
      <c r="N149" s="108"/>
      <c r="O149" s="108"/>
      <c r="P149" s="107"/>
      <c r="Q149" s="108"/>
      <c r="R149" s="108"/>
      <c r="S149" s="108"/>
      <c r="T149" s="129"/>
    </row>
    <row r="150" spans="7:20" x14ac:dyDescent="0.2">
      <c r="G150" s="103">
        <v>140</v>
      </c>
      <c r="H150" s="107"/>
      <c r="I150" s="108"/>
      <c r="J150" s="108"/>
      <c r="K150" s="108"/>
      <c r="L150" s="108"/>
      <c r="M150" s="108"/>
      <c r="N150" s="108"/>
      <c r="O150" s="108"/>
      <c r="P150" s="107"/>
      <c r="Q150" s="108"/>
      <c r="R150" s="108"/>
      <c r="S150" s="108"/>
      <c r="T150" s="129"/>
    </row>
    <row r="151" spans="7:20" x14ac:dyDescent="0.2">
      <c r="G151" s="103">
        <v>141</v>
      </c>
      <c r="H151" s="107"/>
      <c r="I151" s="108"/>
      <c r="J151" s="108"/>
      <c r="K151" s="108"/>
      <c r="L151" s="108"/>
      <c r="M151" s="108"/>
      <c r="N151" s="108"/>
      <c r="O151" s="108"/>
      <c r="P151" s="107"/>
      <c r="Q151" s="108"/>
      <c r="R151" s="108"/>
      <c r="S151" s="108"/>
      <c r="T151" s="129"/>
    </row>
    <row r="152" spans="7:20" x14ac:dyDescent="0.2">
      <c r="G152" s="103">
        <v>142</v>
      </c>
      <c r="H152" s="107"/>
      <c r="I152" s="108"/>
      <c r="J152" s="108"/>
      <c r="K152" s="108"/>
      <c r="L152" s="108"/>
      <c r="M152" s="108"/>
      <c r="N152" s="108"/>
      <c r="O152" s="108"/>
      <c r="P152" s="107"/>
      <c r="Q152" s="108"/>
      <c r="R152" s="108"/>
      <c r="S152" s="108"/>
      <c r="T152" s="129"/>
    </row>
    <row r="153" spans="7:20" x14ac:dyDescent="0.2">
      <c r="G153" s="103">
        <v>143</v>
      </c>
      <c r="H153" s="107"/>
      <c r="I153" s="108"/>
      <c r="J153" s="108"/>
      <c r="K153" s="108"/>
      <c r="L153" s="108"/>
      <c r="M153" s="108"/>
      <c r="N153" s="108"/>
      <c r="O153" s="108"/>
      <c r="P153" s="107"/>
      <c r="Q153" s="108"/>
      <c r="R153" s="108"/>
      <c r="S153" s="108"/>
      <c r="T153" s="129"/>
    </row>
    <row r="154" spans="7:20" x14ac:dyDescent="0.2">
      <c r="G154" s="103">
        <v>144</v>
      </c>
      <c r="H154" s="107"/>
      <c r="I154" s="108"/>
      <c r="J154" s="108"/>
      <c r="K154" s="108"/>
      <c r="L154" s="108"/>
      <c r="M154" s="108"/>
      <c r="N154" s="108"/>
      <c r="O154" s="108"/>
      <c r="P154" s="107"/>
      <c r="Q154" s="108"/>
      <c r="R154" s="108"/>
      <c r="S154" s="108"/>
      <c r="T154" s="129"/>
    </row>
    <row r="155" spans="7:20" x14ac:dyDescent="0.2">
      <c r="G155" s="103">
        <v>145</v>
      </c>
      <c r="H155" s="107"/>
      <c r="I155" s="108"/>
      <c r="J155" s="108"/>
      <c r="K155" s="108"/>
      <c r="L155" s="108"/>
      <c r="M155" s="108"/>
      <c r="N155" s="108"/>
      <c r="O155" s="108"/>
      <c r="P155" s="107"/>
      <c r="Q155" s="108"/>
      <c r="R155" s="108"/>
      <c r="S155" s="108"/>
      <c r="T155" s="129"/>
    </row>
    <row r="156" spans="7:20" x14ac:dyDescent="0.2">
      <c r="G156" s="103">
        <v>146</v>
      </c>
      <c r="H156" s="107"/>
      <c r="I156" s="108"/>
      <c r="J156" s="108"/>
      <c r="K156" s="108"/>
      <c r="L156" s="108"/>
      <c r="M156" s="108"/>
      <c r="N156" s="108"/>
      <c r="O156" s="108"/>
      <c r="P156" s="107"/>
      <c r="Q156" s="108"/>
      <c r="R156" s="108"/>
      <c r="S156" s="108"/>
      <c r="T156" s="129"/>
    </row>
    <row r="157" spans="7:20" x14ac:dyDescent="0.2">
      <c r="G157" s="103">
        <v>147</v>
      </c>
      <c r="H157" s="107"/>
      <c r="I157" s="108"/>
      <c r="J157" s="108"/>
      <c r="K157" s="108"/>
      <c r="L157" s="108"/>
      <c r="M157" s="108"/>
      <c r="N157" s="108"/>
      <c r="O157" s="108"/>
      <c r="P157" s="107"/>
      <c r="Q157" s="108"/>
      <c r="R157" s="108"/>
      <c r="S157" s="108"/>
      <c r="T157" s="129"/>
    </row>
    <row r="158" spans="7:20" x14ac:dyDescent="0.2">
      <c r="G158" s="103">
        <v>148</v>
      </c>
      <c r="H158" s="107"/>
      <c r="I158" s="108"/>
      <c r="J158" s="108"/>
      <c r="K158" s="108"/>
      <c r="L158" s="108"/>
      <c r="M158" s="108"/>
      <c r="N158" s="108"/>
      <c r="O158" s="108"/>
      <c r="P158" s="107"/>
      <c r="Q158" s="108"/>
      <c r="R158" s="108"/>
      <c r="S158" s="108"/>
      <c r="T158" s="129"/>
    </row>
    <row r="159" spans="7:20" x14ac:dyDescent="0.2">
      <c r="G159" s="103">
        <v>149</v>
      </c>
      <c r="H159" s="107"/>
      <c r="I159" s="108"/>
      <c r="J159" s="108"/>
      <c r="K159" s="108"/>
      <c r="L159" s="108"/>
      <c r="M159" s="108"/>
      <c r="N159" s="108"/>
      <c r="O159" s="108"/>
      <c r="P159" s="107"/>
      <c r="Q159" s="108"/>
      <c r="R159" s="108"/>
      <c r="S159" s="108"/>
      <c r="T159" s="129"/>
    </row>
    <row r="160" spans="7:20" x14ac:dyDescent="0.2">
      <c r="G160" s="103">
        <v>150</v>
      </c>
      <c r="H160" s="107"/>
      <c r="I160" s="108"/>
      <c r="J160" s="108"/>
      <c r="K160" s="108"/>
      <c r="L160" s="108"/>
      <c r="M160" s="108"/>
      <c r="N160" s="108"/>
      <c r="O160" s="108"/>
      <c r="P160" s="107"/>
      <c r="Q160" s="108"/>
      <c r="R160" s="108"/>
      <c r="S160" s="108"/>
      <c r="T160" s="129"/>
    </row>
    <row r="161" spans="7:20" x14ac:dyDescent="0.2">
      <c r="G161" s="103">
        <v>151</v>
      </c>
      <c r="H161" s="107"/>
      <c r="I161" s="108"/>
      <c r="J161" s="108"/>
      <c r="K161" s="108"/>
      <c r="L161" s="108"/>
      <c r="M161" s="108"/>
      <c r="N161" s="108"/>
      <c r="O161" s="108"/>
      <c r="P161" s="107"/>
      <c r="Q161" s="108"/>
      <c r="R161" s="108"/>
      <c r="S161" s="108"/>
      <c r="T161" s="129"/>
    </row>
    <row r="162" spans="7:20" x14ac:dyDescent="0.2">
      <c r="G162" s="103">
        <v>152</v>
      </c>
      <c r="H162" s="107"/>
      <c r="I162" s="108"/>
      <c r="J162" s="108"/>
      <c r="K162" s="108"/>
      <c r="L162" s="108"/>
      <c r="M162" s="108"/>
      <c r="N162" s="108"/>
      <c r="O162" s="108"/>
      <c r="P162" s="107"/>
      <c r="Q162" s="108"/>
      <c r="R162" s="108"/>
      <c r="S162" s="108"/>
      <c r="T162" s="129"/>
    </row>
    <row r="163" spans="7:20" x14ac:dyDescent="0.2">
      <c r="G163" s="103">
        <v>153</v>
      </c>
      <c r="H163" s="107"/>
      <c r="I163" s="108"/>
      <c r="J163" s="108"/>
      <c r="K163" s="108"/>
      <c r="L163" s="108"/>
      <c r="M163" s="108"/>
      <c r="N163" s="108"/>
      <c r="O163" s="108"/>
      <c r="P163" s="107"/>
      <c r="Q163" s="108"/>
      <c r="R163" s="108"/>
      <c r="S163" s="108"/>
      <c r="T163" s="129"/>
    </row>
    <row r="164" spans="7:20" x14ac:dyDescent="0.2">
      <c r="G164" s="103">
        <v>154</v>
      </c>
      <c r="H164" s="107"/>
      <c r="I164" s="108"/>
      <c r="J164" s="108"/>
      <c r="K164" s="108"/>
      <c r="L164" s="108"/>
      <c r="M164" s="108"/>
      <c r="N164" s="108"/>
      <c r="O164" s="108"/>
      <c r="P164" s="107"/>
      <c r="Q164" s="108"/>
      <c r="R164" s="108"/>
      <c r="S164" s="108"/>
      <c r="T164" s="129"/>
    </row>
    <row r="165" spans="7:20" x14ac:dyDescent="0.2">
      <c r="G165" s="103">
        <v>155</v>
      </c>
      <c r="H165" s="107"/>
      <c r="I165" s="108"/>
      <c r="J165" s="108"/>
      <c r="K165" s="108"/>
      <c r="L165" s="108"/>
      <c r="M165" s="108"/>
      <c r="N165" s="108"/>
      <c r="O165" s="108"/>
      <c r="P165" s="107"/>
      <c r="Q165" s="108"/>
      <c r="R165" s="108"/>
      <c r="S165" s="108"/>
      <c r="T165" s="129"/>
    </row>
    <row r="166" spans="7:20" x14ac:dyDescent="0.2">
      <c r="G166" s="103">
        <v>156</v>
      </c>
      <c r="H166" s="107"/>
      <c r="I166" s="108"/>
      <c r="J166" s="108"/>
      <c r="K166" s="108"/>
      <c r="L166" s="108"/>
      <c r="M166" s="108"/>
      <c r="N166" s="108"/>
      <c r="O166" s="108"/>
      <c r="P166" s="107"/>
      <c r="Q166" s="108"/>
      <c r="R166" s="108"/>
      <c r="S166" s="108"/>
      <c r="T166" s="129"/>
    </row>
    <row r="167" spans="7:20" x14ac:dyDescent="0.2">
      <c r="G167" s="103">
        <v>157</v>
      </c>
      <c r="H167" s="107"/>
      <c r="I167" s="108"/>
      <c r="J167" s="108"/>
      <c r="K167" s="108"/>
      <c r="L167" s="108"/>
      <c r="M167" s="108"/>
      <c r="N167" s="108"/>
      <c r="O167" s="108"/>
      <c r="P167" s="107"/>
      <c r="Q167" s="108"/>
      <c r="R167" s="108"/>
      <c r="S167" s="108"/>
      <c r="T167" s="129"/>
    </row>
    <row r="168" spans="7:20" x14ac:dyDescent="0.2">
      <c r="G168" s="103">
        <v>158</v>
      </c>
      <c r="H168" s="107"/>
      <c r="I168" s="108"/>
      <c r="J168" s="108"/>
      <c r="K168" s="108"/>
      <c r="L168" s="108"/>
      <c r="M168" s="108"/>
      <c r="N168" s="108"/>
      <c r="O168" s="108"/>
      <c r="P168" s="107"/>
      <c r="Q168" s="108"/>
      <c r="R168" s="108"/>
      <c r="S168" s="108"/>
      <c r="T168" s="129"/>
    </row>
    <row r="169" spans="7:20" x14ac:dyDescent="0.2">
      <c r="G169" s="103">
        <v>159</v>
      </c>
      <c r="H169" s="107"/>
      <c r="I169" s="108"/>
      <c r="J169" s="108"/>
      <c r="K169" s="108"/>
      <c r="L169" s="108"/>
      <c r="M169" s="108"/>
      <c r="N169" s="108"/>
      <c r="O169" s="108"/>
      <c r="P169" s="107"/>
      <c r="Q169" s="108"/>
      <c r="R169" s="108"/>
      <c r="S169" s="108"/>
      <c r="T169" s="129"/>
    </row>
    <row r="170" spans="7:20" x14ac:dyDescent="0.2">
      <c r="G170" s="103">
        <v>160</v>
      </c>
      <c r="H170" s="107"/>
      <c r="I170" s="108"/>
      <c r="J170" s="108"/>
      <c r="K170" s="108"/>
      <c r="L170" s="108"/>
      <c r="M170" s="108"/>
      <c r="N170" s="108"/>
      <c r="O170" s="108"/>
      <c r="P170" s="107"/>
      <c r="Q170" s="108"/>
      <c r="R170" s="108"/>
      <c r="S170" s="108"/>
      <c r="T170" s="129"/>
    </row>
    <row r="171" spans="7:20" x14ac:dyDescent="0.2">
      <c r="G171" s="103">
        <v>161</v>
      </c>
      <c r="H171" s="107"/>
      <c r="I171" s="108"/>
      <c r="J171" s="108"/>
      <c r="K171" s="108"/>
      <c r="L171" s="108"/>
      <c r="M171" s="108"/>
      <c r="N171" s="108"/>
      <c r="O171" s="108"/>
      <c r="P171" s="107"/>
      <c r="Q171" s="108"/>
      <c r="R171" s="108"/>
      <c r="S171" s="108"/>
      <c r="T171" s="129"/>
    </row>
    <row r="172" spans="7:20" x14ac:dyDescent="0.2">
      <c r="G172" s="103">
        <v>162</v>
      </c>
      <c r="H172" s="107"/>
      <c r="I172" s="108"/>
      <c r="J172" s="108"/>
      <c r="K172" s="108"/>
      <c r="L172" s="108"/>
      <c r="M172" s="108"/>
      <c r="N172" s="108"/>
      <c r="O172" s="108"/>
      <c r="P172" s="107"/>
      <c r="Q172" s="108"/>
      <c r="R172" s="108"/>
      <c r="S172" s="108"/>
      <c r="T172" s="129"/>
    </row>
    <row r="173" spans="7:20" x14ac:dyDescent="0.2">
      <c r="G173" s="103">
        <v>163</v>
      </c>
      <c r="H173" s="107"/>
      <c r="I173" s="108"/>
      <c r="J173" s="108"/>
      <c r="K173" s="108"/>
      <c r="L173" s="108"/>
      <c r="M173" s="108"/>
      <c r="N173" s="108"/>
      <c r="O173" s="108"/>
      <c r="P173" s="107"/>
      <c r="Q173" s="108"/>
      <c r="R173" s="108"/>
      <c r="S173" s="108"/>
      <c r="T173" s="129"/>
    </row>
    <row r="174" spans="7:20" x14ac:dyDescent="0.2">
      <c r="G174" s="103">
        <v>164</v>
      </c>
      <c r="H174" s="107"/>
      <c r="I174" s="108"/>
      <c r="J174" s="108"/>
      <c r="K174" s="108"/>
      <c r="L174" s="108"/>
      <c r="M174" s="108"/>
      <c r="N174" s="108"/>
      <c r="O174" s="108"/>
      <c r="P174" s="107"/>
      <c r="Q174" s="108"/>
      <c r="R174" s="108"/>
      <c r="S174" s="108"/>
      <c r="T174" s="129"/>
    </row>
    <row r="175" spans="7:20" x14ac:dyDescent="0.2">
      <c r="G175" s="103">
        <v>165</v>
      </c>
      <c r="H175" s="107"/>
      <c r="I175" s="108"/>
      <c r="J175" s="108"/>
      <c r="K175" s="108"/>
      <c r="L175" s="108"/>
      <c r="M175" s="108"/>
      <c r="N175" s="108"/>
      <c r="O175" s="108"/>
      <c r="P175" s="107"/>
      <c r="Q175" s="108"/>
      <c r="R175" s="108"/>
      <c r="S175" s="108"/>
      <c r="T175" s="129"/>
    </row>
    <row r="176" spans="7:20" x14ac:dyDescent="0.2">
      <c r="G176" s="103">
        <v>166</v>
      </c>
      <c r="H176" s="107"/>
      <c r="I176" s="108"/>
      <c r="J176" s="108"/>
      <c r="K176" s="108"/>
      <c r="L176" s="108"/>
      <c r="M176" s="108"/>
      <c r="N176" s="108"/>
      <c r="O176" s="108"/>
      <c r="P176" s="107"/>
      <c r="Q176" s="108"/>
      <c r="R176" s="108"/>
      <c r="S176" s="108"/>
      <c r="T176" s="129"/>
    </row>
    <row r="177" spans="7:20" x14ac:dyDescent="0.2">
      <c r="G177" s="103">
        <v>167</v>
      </c>
      <c r="H177" s="107"/>
      <c r="I177" s="108"/>
      <c r="J177" s="108"/>
      <c r="K177" s="108"/>
      <c r="L177" s="108"/>
      <c r="M177" s="108"/>
      <c r="N177" s="108"/>
      <c r="O177" s="108"/>
      <c r="P177" s="107"/>
      <c r="Q177" s="108"/>
      <c r="R177" s="108"/>
      <c r="S177" s="108"/>
      <c r="T177" s="129"/>
    </row>
    <row r="178" spans="7:20" x14ac:dyDescent="0.2">
      <c r="G178" s="103">
        <v>168</v>
      </c>
      <c r="H178" s="107"/>
      <c r="I178" s="108"/>
      <c r="J178" s="108"/>
      <c r="K178" s="108"/>
      <c r="L178" s="108"/>
      <c r="M178" s="108"/>
      <c r="N178" s="108"/>
      <c r="O178" s="108"/>
      <c r="P178" s="107"/>
      <c r="Q178" s="108"/>
      <c r="R178" s="108"/>
      <c r="S178" s="108"/>
      <c r="T178" s="129"/>
    </row>
    <row r="179" spans="7:20" x14ac:dyDescent="0.2">
      <c r="G179" s="103">
        <v>169</v>
      </c>
      <c r="H179" s="107"/>
      <c r="I179" s="108"/>
      <c r="J179" s="108"/>
      <c r="K179" s="108"/>
      <c r="L179" s="108"/>
      <c r="M179" s="108"/>
      <c r="N179" s="108"/>
      <c r="O179" s="108"/>
      <c r="P179" s="107"/>
      <c r="Q179" s="108"/>
      <c r="R179" s="108"/>
      <c r="S179" s="108"/>
      <c r="T179" s="129"/>
    </row>
    <row r="180" spans="7:20" x14ac:dyDescent="0.2">
      <c r="G180" s="103">
        <v>170</v>
      </c>
      <c r="H180" s="107"/>
      <c r="I180" s="108"/>
      <c r="J180" s="108"/>
      <c r="K180" s="108"/>
      <c r="L180" s="108"/>
      <c r="M180" s="108"/>
      <c r="N180" s="108"/>
      <c r="O180" s="108"/>
      <c r="P180" s="107"/>
      <c r="Q180" s="108"/>
      <c r="R180" s="108"/>
      <c r="S180" s="108"/>
      <c r="T180" s="129"/>
    </row>
    <row r="181" spans="7:20" x14ac:dyDescent="0.2">
      <c r="G181" s="103">
        <v>171</v>
      </c>
      <c r="H181" s="107"/>
      <c r="I181" s="108"/>
      <c r="J181" s="108"/>
      <c r="K181" s="108"/>
      <c r="L181" s="108"/>
      <c r="M181" s="108"/>
      <c r="N181" s="108"/>
      <c r="O181" s="108"/>
      <c r="P181" s="107"/>
      <c r="Q181" s="108"/>
      <c r="R181" s="108"/>
      <c r="S181" s="108"/>
      <c r="T181" s="129"/>
    </row>
    <row r="182" spans="7:20" x14ac:dyDescent="0.2">
      <c r="G182" s="103">
        <v>172</v>
      </c>
      <c r="H182" s="107"/>
      <c r="I182" s="108"/>
      <c r="J182" s="108"/>
      <c r="K182" s="108"/>
      <c r="L182" s="108"/>
      <c r="M182" s="108"/>
      <c r="N182" s="108"/>
      <c r="O182" s="108"/>
      <c r="P182" s="107"/>
      <c r="Q182" s="108"/>
      <c r="R182" s="108"/>
      <c r="S182" s="108"/>
      <c r="T182" s="129"/>
    </row>
    <row r="183" spans="7:20" x14ac:dyDescent="0.2">
      <c r="G183" s="103">
        <v>173</v>
      </c>
      <c r="H183" s="107"/>
      <c r="I183" s="108"/>
      <c r="J183" s="108"/>
      <c r="K183" s="108"/>
      <c r="L183" s="108"/>
      <c r="M183" s="108"/>
      <c r="N183" s="108"/>
      <c r="O183" s="108"/>
      <c r="P183" s="107"/>
      <c r="Q183" s="108"/>
      <c r="R183" s="108"/>
      <c r="S183" s="108"/>
      <c r="T183" s="129"/>
    </row>
    <row r="184" spans="7:20" x14ac:dyDescent="0.2">
      <c r="G184" s="103">
        <v>174</v>
      </c>
      <c r="H184" s="107"/>
      <c r="I184" s="108"/>
      <c r="J184" s="108"/>
      <c r="K184" s="108"/>
      <c r="L184" s="108"/>
      <c r="M184" s="108"/>
      <c r="N184" s="108"/>
      <c r="O184" s="108"/>
      <c r="P184" s="107"/>
      <c r="Q184" s="108"/>
      <c r="R184" s="108"/>
      <c r="S184" s="108"/>
      <c r="T184" s="129"/>
    </row>
    <row r="185" spans="7:20" x14ac:dyDescent="0.2">
      <c r="G185" s="103">
        <v>175</v>
      </c>
      <c r="H185" s="107"/>
      <c r="I185" s="108"/>
      <c r="J185" s="108"/>
      <c r="K185" s="108"/>
      <c r="L185" s="108"/>
      <c r="M185" s="108"/>
      <c r="N185" s="108"/>
      <c r="O185" s="108"/>
      <c r="P185" s="107"/>
      <c r="Q185" s="108"/>
      <c r="R185" s="108"/>
      <c r="S185" s="108"/>
      <c r="T185" s="129"/>
    </row>
    <row r="186" spans="7:20" x14ac:dyDescent="0.2">
      <c r="G186" s="103">
        <v>176</v>
      </c>
      <c r="H186" s="107"/>
      <c r="I186" s="108"/>
      <c r="J186" s="108"/>
      <c r="K186" s="108"/>
      <c r="L186" s="108"/>
      <c r="M186" s="108"/>
      <c r="N186" s="108"/>
      <c r="O186" s="108"/>
      <c r="P186" s="107"/>
      <c r="Q186" s="108"/>
      <c r="R186" s="108"/>
      <c r="S186" s="108"/>
      <c r="T186" s="129"/>
    </row>
    <row r="187" spans="7:20" x14ac:dyDescent="0.2">
      <c r="G187" s="103">
        <v>177</v>
      </c>
      <c r="H187" s="107"/>
      <c r="I187" s="108"/>
      <c r="J187" s="108"/>
      <c r="K187" s="108"/>
      <c r="L187" s="108"/>
      <c r="M187" s="108"/>
      <c r="N187" s="108"/>
      <c r="O187" s="108"/>
      <c r="P187" s="107"/>
      <c r="Q187" s="108"/>
      <c r="R187" s="108"/>
      <c r="S187" s="108"/>
      <c r="T187" s="129"/>
    </row>
    <row r="188" spans="7:20" x14ac:dyDescent="0.2">
      <c r="G188" s="103">
        <v>178</v>
      </c>
      <c r="H188" s="107"/>
      <c r="I188" s="108"/>
      <c r="J188" s="108"/>
      <c r="K188" s="108"/>
      <c r="L188" s="108"/>
      <c r="M188" s="108"/>
      <c r="N188" s="108"/>
      <c r="O188" s="108"/>
      <c r="P188" s="107"/>
      <c r="Q188" s="108"/>
      <c r="R188" s="108"/>
      <c r="S188" s="108"/>
      <c r="T188" s="129"/>
    </row>
    <row r="189" spans="7:20" x14ac:dyDescent="0.2">
      <c r="G189" s="103">
        <v>179</v>
      </c>
      <c r="H189" s="107"/>
      <c r="I189" s="108"/>
      <c r="J189" s="108"/>
      <c r="K189" s="108"/>
      <c r="L189" s="108"/>
      <c r="M189" s="108"/>
      <c r="N189" s="108"/>
      <c r="O189" s="108"/>
      <c r="P189" s="107"/>
      <c r="Q189" s="108"/>
      <c r="R189" s="108"/>
      <c r="S189" s="108"/>
      <c r="T189" s="129"/>
    </row>
    <row r="190" spans="7:20" x14ac:dyDescent="0.2">
      <c r="G190" s="103">
        <v>180</v>
      </c>
      <c r="H190" s="107"/>
      <c r="I190" s="108"/>
      <c r="J190" s="108"/>
      <c r="K190" s="108"/>
      <c r="L190" s="108"/>
      <c r="M190" s="108"/>
      <c r="N190" s="108"/>
      <c r="O190" s="108"/>
      <c r="P190" s="107"/>
      <c r="Q190" s="108"/>
      <c r="R190" s="108"/>
      <c r="S190" s="108"/>
      <c r="T190" s="129"/>
    </row>
    <row r="191" spans="7:20" x14ac:dyDescent="0.2">
      <c r="G191" s="103">
        <v>181</v>
      </c>
      <c r="H191" s="107"/>
      <c r="I191" s="108"/>
      <c r="J191" s="108"/>
      <c r="K191" s="108"/>
      <c r="L191" s="108"/>
      <c r="M191" s="108"/>
      <c r="N191" s="108"/>
      <c r="O191" s="108"/>
      <c r="P191" s="107"/>
      <c r="Q191" s="108"/>
      <c r="R191" s="108"/>
      <c r="S191" s="108"/>
      <c r="T191" s="129"/>
    </row>
    <row r="192" spans="7:20" x14ac:dyDescent="0.2">
      <c r="G192" s="103">
        <v>182</v>
      </c>
      <c r="H192" s="107"/>
      <c r="I192" s="108"/>
      <c r="J192" s="108"/>
      <c r="K192" s="108"/>
      <c r="L192" s="108"/>
      <c r="M192" s="108"/>
      <c r="N192" s="108"/>
      <c r="O192" s="108"/>
      <c r="P192" s="107"/>
      <c r="Q192" s="108"/>
      <c r="R192" s="108"/>
      <c r="S192" s="108"/>
      <c r="T192" s="129"/>
    </row>
    <row r="193" spans="7:20" x14ac:dyDescent="0.2">
      <c r="G193" s="103">
        <v>183</v>
      </c>
      <c r="H193" s="107"/>
      <c r="I193" s="108"/>
      <c r="J193" s="108"/>
      <c r="K193" s="108"/>
      <c r="L193" s="108"/>
      <c r="M193" s="108"/>
      <c r="N193" s="108"/>
      <c r="O193" s="108"/>
      <c r="P193" s="107"/>
      <c r="Q193" s="108"/>
      <c r="R193" s="108"/>
      <c r="S193" s="108"/>
      <c r="T193" s="129"/>
    </row>
    <row r="194" spans="7:20" x14ac:dyDescent="0.2">
      <c r="G194" s="103">
        <v>184</v>
      </c>
      <c r="H194" s="107"/>
      <c r="I194" s="108"/>
      <c r="J194" s="108"/>
      <c r="K194" s="108"/>
      <c r="L194" s="108"/>
      <c r="M194" s="108"/>
      <c r="N194" s="108"/>
      <c r="O194" s="108"/>
      <c r="P194" s="107"/>
      <c r="Q194" s="108"/>
      <c r="R194" s="108"/>
      <c r="S194" s="108"/>
      <c r="T194" s="129"/>
    </row>
    <row r="195" spans="7:20" x14ac:dyDescent="0.2">
      <c r="G195" s="103">
        <v>185</v>
      </c>
      <c r="H195" s="107"/>
      <c r="I195" s="108"/>
      <c r="J195" s="108"/>
      <c r="K195" s="108"/>
      <c r="L195" s="108"/>
      <c r="M195" s="108"/>
      <c r="N195" s="108"/>
      <c r="O195" s="108"/>
      <c r="P195" s="107"/>
      <c r="Q195" s="108"/>
      <c r="R195" s="108"/>
      <c r="S195" s="108"/>
      <c r="T195" s="129"/>
    </row>
    <row r="196" spans="7:20" x14ac:dyDescent="0.2">
      <c r="G196" s="103">
        <v>186</v>
      </c>
      <c r="H196" s="107"/>
      <c r="I196" s="108"/>
      <c r="J196" s="108"/>
      <c r="K196" s="108"/>
      <c r="L196" s="108"/>
      <c r="M196" s="108"/>
      <c r="N196" s="108"/>
      <c r="O196" s="108"/>
      <c r="P196" s="107"/>
      <c r="Q196" s="108"/>
      <c r="R196" s="108"/>
      <c r="S196" s="108"/>
      <c r="T196" s="129"/>
    </row>
    <row r="197" spans="7:20" x14ac:dyDescent="0.2">
      <c r="G197" s="103">
        <v>187</v>
      </c>
      <c r="H197" s="107"/>
      <c r="I197" s="108"/>
      <c r="J197" s="108"/>
      <c r="K197" s="108"/>
      <c r="L197" s="108"/>
      <c r="M197" s="108"/>
      <c r="N197" s="108"/>
      <c r="O197" s="108"/>
      <c r="P197" s="107"/>
      <c r="Q197" s="108"/>
      <c r="R197" s="108"/>
      <c r="S197" s="108"/>
      <c r="T197" s="129"/>
    </row>
    <row r="198" spans="7:20" x14ac:dyDescent="0.2">
      <c r="G198" s="103">
        <v>188</v>
      </c>
      <c r="H198" s="107"/>
      <c r="I198" s="108"/>
      <c r="J198" s="108"/>
      <c r="K198" s="108"/>
      <c r="L198" s="108"/>
      <c r="M198" s="108"/>
      <c r="N198" s="108"/>
      <c r="O198" s="108"/>
      <c r="P198" s="107"/>
      <c r="Q198" s="108"/>
      <c r="R198" s="108"/>
      <c r="S198" s="108"/>
      <c r="T198" s="129"/>
    </row>
    <row r="199" spans="7:20" x14ac:dyDescent="0.2">
      <c r="G199" s="103">
        <v>189</v>
      </c>
      <c r="H199" s="107"/>
      <c r="I199" s="108"/>
      <c r="J199" s="108"/>
      <c r="K199" s="108"/>
      <c r="L199" s="108"/>
      <c r="M199" s="108"/>
      <c r="N199" s="108"/>
      <c r="O199" s="108"/>
      <c r="P199" s="107"/>
      <c r="Q199" s="108"/>
      <c r="R199" s="108"/>
      <c r="S199" s="108"/>
      <c r="T199" s="129"/>
    </row>
    <row r="200" spans="7:20" x14ac:dyDescent="0.2">
      <c r="G200" s="103">
        <v>190</v>
      </c>
      <c r="H200" s="107"/>
      <c r="I200" s="108"/>
      <c r="J200" s="108"/>
      <c r="K200" s="108"/>
      <c r="L200" s="108"/>
      <c r="M200" s="108"/>
      <c r="N200" s="108"/>
      <c r="O200" s="108"/>
      <c r="P200" s="107"/>
      <c r="Q200" s="108"/>
      <c r="R200" s="108"/>
      <c r="S200" s="108"/>
      <c r="T200" s="129"/>
    </row>
    <row r="201" spans="7:20" x14ac:dyDescent="0.2">
      <c r="G201" s="103">
        <v>191</v>
      </c>
      <c r="H201" s="107"/>
      <c r="I201" s="108"/>
      <c r="J201" s="108"/>
      <c r="K201" s="108"/>
      <c r="L201" s="108"/>
      <c r="M201" s="108"/>
      <c r="N201" s="108"/>
      <c r="O201" s="108"/>
      <c r="P201" s="107"/>
      <c r="Q201" s="108"/>
      <c r="R201" s="108"/>
      <c r="S201" s="108"/>
      <c r="T201" s="129"/>
    </row>
    <row r="202" spans="7:20" x14ac:dyDescent="0.2">
      <c r="G202" s="103">
        <v>192</v>
      </c>
      <c r="H202" s="107"/>
      <c r="I202" s="108"/>
      <c r="J202" s="108"/>
      <c r="K202" s="108"/>
      <c r="L202" s="108"/>
      <c r="M202" s="108"/>
      <c r="N202" s="108"/>
      <c r="O202" s="108"/>
      <c r="P202" s="107"/>
      <c r="Q202" s="108"/>
      <c r="R202" s="108"/>
      <c r="S202" s="108"/>
      <c r="T202" s="129"/>
    </row>
    <row r="203" spans="7:20" x14ac:dyDescent="0.2">
      <c r="G203" s="103">
        <v>193</v>
      </c>
      <c r="H203" s="107"/>
      <c r="I203" s="108"/>
      <c r="J203" s="108"/>
      <c r="K203" s="108"/>
      <c r="L203" s="108"/>
      <c r="M203" s="108"/>
      <c r="N203" s="108"/>
      <c r="O203" s="108"/>
      <c r="P203" s="107"/>
      <c r="Q203" s="108"/>
      <c r="R203" s="108"/>
      <c r="S203" s="108"/>
      <c r="T203" s="129"/>
    </row>
    <row r="204" spans="7:20" x14ac:dyDescent="0.2">
      <c r="G204" s="103">
        <v>194</v>
      </c>
      <c r="H204" s="107"/>
      <c r="I204" s="108"/>
      <c r="J204" s="108"/>
      <c r="K204" s="108"/>
      <c r="L204" s="108"/>
      <c r="M204" s="108"/>
      <c r="N204" s="108"/>
      <c r="O204" s="108"/>
      <c r="P204" s="107"/>
      <c r="Q204" s="108"/>
      <c r="R204" s="108"/>
      <c r="S204" s="108"/>
      <c r="T204" s="129"/>
    </row>
    <row r="205" spans="7:20" x14ac:dyDescent="0.2">
      <c r="G205" s="103">
        <v>195</v>
      </c>
      <c r="H205" s="107"/>
      <c r="I205" s="108"/>
      <c r="J205" s="108"/>
      <c r="K205" s="108"/>
      <c r="L205" s="108"/>
      <c r="M205" s="108"/>
      <c r="N205" s="108"/>
      <c r="O205" s="108"/>
      <c r="P205" s="107"/>
      <c r="Q205" s="108"/>
      <c r="R205" s="108"/>
      <c r="S205" s="108"/>
      <c r="T205" s="129"/>
    </row>
    <row r="206" spans="7:20" x14ac:dyDescent="0.2">
      <c r="G206" s="103">
        <v>196</v>
      </c>
      <c r="H206" s="107"/>
      <c r="I206" s="108"/>
      <c r="J206" s="108"/>
      <c r="K206" s="108"/>
      <c r="L206" s="108"/>
      <c r="M206" s="108"/>
      <c r="N206" s="108"/>
      <c r="O206" s="108"/>
      <c r="P206" s="107"/>
      <c r="Q206" s="108"/>
      <c r="R206" s="108"/>
      <c r="S206" s="108"/>
      <c r="T206" s="129"/>
    </row>
    <row r="207" spans="7:20" x14ac:dyDescent="0.2">
      <c r="G207" s="103">
        <v>197</v>
      </c>
      <c r="H207" s="107"/>
      <c r="I207" s="108"/>
      <c r="J207" s="108"/>
      <c r="K207" s="108"/>
      <c r="L207" s="108"/>
      <c r="M207" s="108"/>
      <c r="N207" s="108"/>
      <c r="O207" s="108"/>
      <c r="P207" s="107"/>
      <c r="Q207" s="108"/>
      <c r="R207" s="108"/>
      <c r="S207" s="108"/>
      <c r="T207" s="129"/>
    </row>
    <row r="208" spans="7:20" x14ac:dyDescent="0.2">
      <c r="G208" s="103">
        <v>198</v>
      </c>
      <c r="H208" s="107"/>
      <c r="I208" s="108"/>
      <c r="J208" s="108"/>
      <c r="K208" s="108"/>
      <c r="L208" s="108"/>
      <c r="M208" s="108"/>
      <c r="N208" s="108"/>
      <c r="O208" s="108"/>
      <c r="P208" s="107"/>
      <c r="Q208" s="108"/>
      <c r="R208" s="108"/>
      <c r="S208" s="108"/>
      <c r="T208" s="129"/>
    </row>
    <row r="209" spans="7:20" x14ac:dyDescent="0.2">
      <c r="G209" s="103">
        <v>199</v>
      </c>
      <c r="H209" s="107"/>
      <c r="I209" s="108"/>
      <c r="J209" s="108"/>
      <c r="K209" s="108"/>
      <c r="L209" s="108"/>
      <c r="M209" s="108"/>
      <c r="N209" s="108"/>
      <c r="O209" s="108"/>
      <c r="P209" s="107"/>
      <c r="Q209" s="108"/>
      <c r="R209" s="108"/>
      <c r="S209" s="108"/>
      <c r="T209" s="129"/>
    </row>
    <row r="210" spans="7:20" x14ac:dyDescent="0.2">
      <c r="G210" s="103">
        <v>200</v>
      </c>
      <c r="H210" s="107"/>
      <c r="I210" s="108"/>
      <c r="J210" s="108"/>
      <c r="K210" s="108"/>
      <c r="L210" s="108"/>
      <c r="M210" s="108"/>
      <c r="N210" s="108"/>
      <c r="O210" s="108"/>
      <c r="P210" s="107"/>
      <c r="Q210" s="108"/>
      <c r="R210" s="108"/>
      <c r="S210" s="108"/>
      <c r="T210" s="129"/>
    </row>
    <row r="211" spans="7:20" x14ac:dyDescent="0.2">
      <c r="G211" s="103">
        <v>201</v>
      </c>
      <c r="H211" s="107"/>
      <c r="I211" s="108"/>
      <c r="J211" s="108"/>
      <c r="K211" s="108"/>
      <c r="L211" s="108"/>
      <c r="M211" s="108"/>
      <c r="N211" s="108"/>
      <c r="O211" s="108"/>
      <c r="P211" s="107"/>
      <c r="Q211" s="108"/>
      <c r="R211" s="108"/>
      <c r="S211" s="108"/>
      <c r="T211" s="129"/>
    </row>
    <row r="212" spans="7:20" x14ac:dyDescent="0.2">
      <c r="G212" s="103">
        <v>202</v>
      </c>
      <c r="H212" s="107"/>
      <c r="I212" s="108"/>
      <c r="J212" s="108"/>
      <c r="K212" s="108"/>
      <c r="L212" s="108"/>
      <c r="M212" s="108"/>
      <c r="N212" s="108"/>
      <c r="O212" s="108"/>
      <c r="P212" s="107"/>
      <c r="Q212" s="108"/>
      <c r="R212" s="108"/>
      <c r="S212" s="108"/>
      <c r="T212" s="129"/>
    </row>
    <row r="213" spans="7:20" x14ac:dyDescent="0.2">
      <c r="G213" s="103">
        <v>203</v>
      </c>
      <c r="H213" s="107"/>
      <c r="I213" s="108"/>
      <c r="J213" s="108"/>
      <c r="K213" s="108"/>
      <c r="L213" s="108"/>
      <c r="M213" s="108"/>
      <c r="N213" s="108"/>
      <c r="O213" s="108"/>
      <c r="P213" s="107"/>
      <c r="Q213" s="108"/>
      <c r="R213" s="108"/>
      <c r="S213" s="108"/>
      <c r="T213" s="129"/>
    </row>
    <row r="214" spans="7:20" x14ac:dyDescent="0.2">
      <c r="G214" s="103">
        <v>204</v>
      </c>
      <c r="H214" s="107"/>
      <c r="I214" s="108"/>
      <c r="J214" s="108"/>
      <c r="K214" s="108"/>
      <c r="L214" s="108"/>
      <c r="M214" s="108"/>
      <c r="N214" s="108"/>
      <c r="O214" s="108"/>
      <c r="P214" s="107"/>
      <c r="Q214" s="108"/>
      <c r="R214" s="108"/>
      <c r="S214" s="108"/>
      <c r="T214" s="129"/>
    </row>
    <row r="215" spans="7:20" x14ac:dyDescent="0.2">
      <c r="G215" s="103">
        <v>205</v>
      </c>
      <c r="H215" s="107"/>
      <c r="I215" s="108"/>
      <c r="J215" s="108"/>
      <c r="K215" s="108"/>
      <c r="L215" s="108"/>
      <c r="M215" s="108"/>
      <c r="N215" s="108"/>
      <c r="O215" s="108"/>
      <c r="P215" s="107"/>
      <c r="Q215" s="108"/>
      <c r="R215" s="108"/>
      <c r="S215" s="108"/>
      <c r="T215" s="129"/>
    </row>
    <row r="216" spans="7:20" x14ac:dyDescent="0.2">
      <c r="G216" s="103">
        <v>206</v>
      </c>
      <c r="H216" s="107"/>
      <c r="I216" s="108"/>
      <c r="J216" s="108"/>
      <c r="K216" s="108"/>
      <c r="L216" s="108"/>
      <c r="M216" s="108"/>
      <c r="N216" s="108"/>
      <c r="O216" s="108"/>
      <c r="P216" s="107"/>
      <c r="Q216" s="108"/>
      <c r="R216" s="108"/>
      <c r="S216" s="108"/>
      <c r="T216" s="129"/>
    </row>
    <row r="217" spans="7:20" x14ac:dyDescent="0.2">
      <c r="G217" s="103">
        <v>207</v>
      </c>
      <c r="H217" s="107"/>
      <c r="I217" s="108"/>
      <c r="J217" s="108"/>
      <c r="K217" s="108"/>
      <c r="L217" s="108"/>
      <c r="M217" s="108"/>
      <c r="N217" s="108"/>
      <c r="O217" s="108"/>
      <c r="P217" s="107"/>
      <c r="Q217" s="108"/>
      <c r="R217" s="108"/>
      <c r="S217" s="108"/>
      <c r="T217" s="129"/>
    </row>
    <row r="218" spans="7:20" x14ac:dyDescent="0.2">
      <c r="G218" s="103">
        <v>208</v>
      </c>
      <c r="H218" s="107"/>
      <c r="I218" s="108"/>
      <c r="J218" s="108"/>
      <c r="K218" s="108"/>
      <c r="L218" s="108"/>
      <c r="M218" s="108"/>
      <c r="N218" s="108"/>
      <c r="O218" s="108"/>
      <c r="P218" s="107"/>
      <c r="Q218" s="108"/>
      <c r="R218" s="108"/>
      <c r="S218" s="108"/>
      <c r="T218" s="129"/>
    </row>
    <row r="219" spans="7:20" x14ac:dyDescent="0.2">
      <c r="G219" s="103">
        <v>209</v>
      </c>
      <c r="H219" s="107"/>
      <c r="I219" s="108"/>
      <c r="J219" s="108"/>
      <c r="K219" s="108"/>
      <c r="L219" s="108"/>
      <c r="M219" s="108"/>
      <c r="N219" s="108"/>
      <c r="O219" s="108"/>
      <c r="P219" s="107"/>
      <c r="Q219" s="108"/>
      <c r="R219" s="108"/>
      <c r="S219" s="108"/>
      <c r="T219" s="129"/>
    </row>
    <row r="220" spans="7:20" x14ac:dyDescent="0.2">
      <c r="G220" s="103">
        <v>210</v>
      </c>
      <c r="H220" s="107"/>
      <c r="I220" s="108"/>
      <c r="J220" s="108"/>
      <c r="K220" s="108"/>
      <c r="L220" s="108"/>
      <c r="M220" s="108"/>
      <c r="N220" s="108"/>
      <c r="O220" s="108"/>
      <c r="P220" s="107"/>
      <c r="Q220" s="108"/>
      <c r="R220" s="108"/>
      <c r="S220" s="108"/>
      <c r="T220" s="129"/>
    </row>
    <row r="221" spans="7:20" x14ac:dyDescent="0.2">
      <c r="G221" s="103">
        <v>211</v>
      </c>
      <c r="H221" s="107"/>
      <c r="I221" s="108"/>
      <c r="J221" s="108"/>
      <c r="K221" s="108"/>
      <c r="L221" s="108"/>
      <c r="M221" s="108"/>
      <c r="N221" s="108"/>
      <c r="O221" s="108"/>
      <c r="P221" s="107"/>
      <c r="Q221" s="108"/>
      <c r="R221" s="108"/>
      <c r="S221" s="108"/>
      <c r="T221" s="129"/>
    </row>
    <row r="222" spans="7:20" x14ac:dyDescent="0.2">
      <c r="G222" s="103">
        <v>212</v>
      </c>
      <c r="H222" s="107"/>
      <c r="I222" s="108"/>
      <c r="J222" s="108"/>
      <c r="K222" s="108"/>
      <c r="L222" s="108"/>
      <c r="M222" s="108"/>
      <c r="N222" s="108"/>
      <c r="O222" s="108"/>
      <c r="P222" s="107"/>
      <c r="Q222" s="108"/>
      <c r="R222" s="108"/>
      <c r="S222" s="108"/>
      <c r="T222" s="129"/>
    </row>
    <row r="223" spans="7:20" x14ac:dyDescent="0.2">
      <c r="G223" s="103">
        <v>213</v>
      </c>
      <c r="H223" s="107"/>
      <c r="I223" s="108"/>
      <c r="J223" s="108"/>
      <c r="K223" s="108"/>
      <c r="L223" s="108"/>
      <c r="M223" s="108"/>
      <c r="N223" s="108"/>
      <c r="O223" s="108"/>
      <c r="P223" s="107"/>
      <c r="Q223" s="108"/>
      <c r="R223" s="108"/>
      <c r="S223" s="108"/>
      <c r="T223" s="129"/>
    </row>
    <row r="224" spans="7:20" x14ac:dyDescent="0.2">
      <c r="G224" s="103">
        <v>214</v>
      </c>
      <c r="H224" s="107"/>
      <c r="I224" s="108"/>
      <c r="J224" s="108"/>
      <c r="K224" s="108"/>
      <c r="L224" s="108"/>
      <c r="M224" s="108"/>
      <c r="N224" s="108"/>
      <c r="O224" s="108"/>
      <c r="P224" s="107"/>
      <c r="Q224" s="108"/>
      <c r="R224" s="108"/>
      <c r="S224" s="108"/>
      <c r="T224" s="129"/>
    </row>
    <row r="225" spans="7:20" x14ac:dyDescent="0.2">
      <c r="G225" s="103">
        <v>215</v>
      </c>
      <c r="H225" s="107"/>
      <c r="I225" s="108"/>
      <c r="J225" s="108"/>
      <c r="K225" s="108"/>
      <c r="L225" s="108"/>
      <c r="M225" s="108"/>
      <c r="N225" s="108"/>
      <c r="O225" s="108"/>
      <c r="P225" s="107"/>
      <c r="Q225" s="108"/>
      <c r="R225" s="108"/>
      <c r="S225" s="108"/>
      <c r="T225" s="129"/>
    </row>
    <row r="226" spans="7:20" x14ac:dyDescent="0.2">
      <c r="G226" s="103">
        <v>216</v>
      </c>
      <c r="H226" s="107"/>
      <c r="I226" s="108"/>
      <c r="J226" s="108"/>
      <c r="K226" s="108"/>
      <c r="L226" s="108"/>
      <c r="M226" s="108"/>
      <c r="N226" s="108"/>
      <c r="O226" s="108"/>
      <c r="P226" s="107"/>
      <c r="Q226" s="108"/>
      <c r="R226" s="108"/>
      <c r="S226" s="108"/>
      <c r="T226" s="129"/>
    </row>
    <row r="227" spans="7:20" x14ac:dyDescent="0.2">
      <c r="G227" s="103">
        <v>217</v>
      </c>
      <c r="H227" s="107"/>
      <c r="I227" s="108"/>
      <c r="J227" s="108"/>
      <c r="K227" s="108"/>
      <c r="L227" s="108"/>
      <c r="M227" s="108"/>
      <c r="N227" s="108"/>
      <c r="O227" s="108"/>
      <c r="P227" s="107"/>
      <c r="Q227" s="108"/>
      <c r="R227" s="108"/>
      <c r="S227" s="108"/>
      <c r="T227" s="129"/>
    </row>
    <row r="228" spans="7:20" x14ac:dyDescent="0.2">
      <c r="G228" s="103">
        <v>218</v>
      </c>
      <c r="H228" s="107"/>
      <c r="I228" s="108"/>
      <c r="J228" s="108"/>
      <c r="K228" s="108"/>
      <c r="L228" s="108"/>
      <c r="M228" s="108"/>
      <c r="N228" s="108"/>
      <c r="O228" s="108"/>
      <c r="P228" s="107"/>
      <c r="Q228" s="108"/>
      <c r="R228" s="108"/>
      <c r="S228" s="108"/>
      <c r="T228" s="129"/>
    </row>
    <row r="229" spans="7:20" x14ac:dyDescent="0.2">
      <c r="G229" s="103">
        <v>219</v>
      </c>
      <c r="H229" s="107"/>
      <c r="I229" s="108"/>
      <c r="J229" s="108"/>
      <c r="K229" s="108"/>
      <c r="L229" s="108"/>
      <c r="M229" s="108"/>
      <c r="N229" s="108"/>
      <c r="O229" s="108"/>
      <c r="P229" s="107"/>
      <c r="Q229" s="108"/>
      <c r="R229" s="108"/>
      <c r="S229" s="108"/>
      <c r="T229" s="129"/>
    </row>
    <row r="230" spans="7:20" x14ac:dyDescent="0.2">
      <c r="G230" s="103">
        <v>220</v>
      </c>
      <c r="H230" s="107"/>
      <c r="I230" s="108"/>
      <c r="J230" s="108"/>
      <c r="K230" s="108"/>
      <c r="L230" s="108"/>
      <c r="M230" s="108"/>
      <c r="N230" s="108"/>
      <c r="O230" s="108"/>
      <c r="P230" s="107"/>
      <c r="Q230" s="108"/>
      <c r="R230" s="108"/>
      <c r="S230" s="108"/>
      <c r="T230" s="129"/>
    </row>
    <row r="231" spans="7:20" x14ac:dyDescent="0.2">
      <c r="G231" s="103">
        <v>221</v>
      </c>
      <c r="H231" s="107"/>
      <c r="I231" s="108"/>
      <c r="J231" s="108"/>
      <c r="K231" s="108"/>
      <c r="L231" s="108"/>
      <c r="M231" s="108"/>
      <c r="N231" s="108"/>
      <c r="O231" s="108"/>
      <c r="P231" s="107"/>
      <c r="Q231" s="108"/>
      <c r="R231" s="108"/>
      <c r="S231" s="108"/>
      <c r="T231" s="129"/>
    </row>
    <row r="232" spans="7:20" x14ac:dyDescent="0.2">
      <c r="G232" s="103">
        <v>222</v>
      </c>
      <c r="H232" s="107"/>
      <c r="I232" s="108"/>
      <c r="J232" s="108"/>
      <c r="K232" s="108"/>
      <c r="L232" s="108"/>
      <c r="M232" s="108"/>
      <c r="N232" s="108"/>
      <c r="O232" s="108"/>
      <c r="P232" s="107"/>
      <c r="Q232" s="108"/>
      <c r="R232" s="108"/>
      <c r="S232" s="108"/>
      <c r="T232" s="129"/>
    </row>
    <row r="233" spans="7:20" x14ac:dyDescent="0.2">
      <c r="G233" s="103">
        <v>223</v>
      </c>
      <c r="H233" s="107"/>
      <c r="I233" s="108"/>
      <c r="J233" s="108"/>
      <c r="K233" s="108"/>
      <c r="L233" s="108"/>
      <c r="M233" s="108"/>
      <c r="N233" s="108"/>
      <c r="O233" s="108"/>
      <c r="P233" s="107"/>
      <c r="Q233" s="108"/>
      <c r="R233" s="108"/>
      <c r="S233" s="108"/>
      <c r="T233" s="129"/>
    </row>
    <row r="234" spans="7:20" x14ac:dyDescent="0.2">
      <c r="G234" s="103">
        <v>224</v>
      </c>
      <c r="H234" s="107"/>
      <c r="I234" s="108"/>
      <c r="J234" s="108"/>
      <c r="K234" s="108"/>
      <c r="L234" s="108"/>
      <c r="M234" s="108"/>
      <c r="N234" s="108"/>
      <c r="O234" s="108"/>
      <c r="P234" s="107"/>
      <c r="Q234" s="108"/>
      <c r="R234" s="108"/>
      <c r="S234" s="108"/>
      <c r="T234" s="129"/>
    </row>
    <row r="235" spans="7:20" x14ac:dyDescent="0.2">
      <c r="G235" s="103">
        <v>225</v>
      </c>
      <c r="H235" s="107"/>
      <c r="I235" s="108"/>
      <c r="J235" s="108"/>
      <c r="K235" s="108"/>
      <c r="L235" s="108"/>
      <c r="M235" s="108"/>
      <c r="N235" s="108"/>
      <c r="O235" s="108"/>
      <c r="P235" s="107"/>
      <c r="Q235" s="108"/>
      <c r="R235" s="108"/>
      <c r="S235" s="108"/>
      <c r="T235" s="129"/>
    </row>
    <row r="236" spans="7:20" x14ac:dyDescent="0.2">
      <c r="G236" s="103">
        <v>226</v>
      </c>
      <c r="H236" s="107"/>
      <c r="I236" s="108"/>
      <c r="J236" s="108"/>
      <c r="K236" s="108"/>
      <c r="L236" s="108"/>
      <c r="M236" s="108"/>
      <c r="N236" s="108"/>
      <c r="O236" s="108"/>
      <c r="P236" s="107"/>
      <c r="Q236" s="108"/>
      <c r="R236" s="108"/>
      <c r="S236" s="108"/>
      <c r="T236" s="129"/>
    </row>
    <row r="237" spans="7:20" x14ac:dyDescent="0.2">
      <c r="G237" s="103">
        <v>227</v>
      </c>
      <c r="H237" s="107"/>
      <c r="I237" s="108"/>
      <c r="J237" s="108"/>
      <c r="K237" s="108"/>
      <c r="L237" s="108"/>
      <c r="M237" s="108"/>
      <c r="N237" s="108"/>
      <c r="O237" s="108"/>
      <c r="P237" s="107"/>
      <c r="Q237" s="108"/>
      <c r="R237" s="108"/>
      <c r="S237" s="108"/>
      <c r="T237" s="129"/>
    </row>
    <row r="238" spans="7:20" x14ac:dyDescent="0.2">
      <c r="G238" s="103">
        <v>228</v>
      </c>
      <c r="H238" s="107"/>
      <c r="I238" s="108"/>
      <c r="J238" s="108"/>
      <c r="K238" s="108"/>
      <c r="L238" s="108"/>
      <c r="M238" s="108"/>
      <c r="N238" s="108"/>
      <c r="O238" s="108"/>
      <c r="P238" s="107"/>
      <c r="Q238" s="108"/>
      <c r="R238" s="108"/>
      <c r="S238" s="108"/>
      <c r="T238" s="129"/>
    </row>
    <row r="239" spans="7:20" x14ac:dyDescent="0.2">
      <c r="G239" s="103">
        <v>229</v>
      </c>
      <c r="H239" s="107"/>
      <c r="I239" s="108"/>
      <c r="J239" s="108"/>
      <c r="K239" s="108"/>
      <c r="L239" s="108"/>
      <c r="M239" s="108"/>
      <c r="N239" s="108"/>
      <c r="O239" s="108"/>
      <c r="P239" s="107"/>
      <c r="Q239" s="108"/>
      <c r="R239" s="108"/>
      <c r="S239" s="108"/>
      <c r="T239" s="129"/>
    </row>
    <row r="240" spans="7:20" x14ac:dyDescent="0.2">
      <c r="G240" s="103">
        <v>230</v>
      </c>
      <c r="H240" s="107"/>
      <c r="I240" s="108"/>
      <c r="J240" s="108"/>
      <c r="K240" s="108"/>
      <c r="L240" s="108"/>
      <c r="M240" s="108"/>
      <c r="N240" s="108"/>
      <c r="O240" s="108"/>
      <c r="P240" s="107"/>
      <c r="Q240" s="108"/>
      <c r="R240" s="108"/>
      <c r="S240" s="108"/>
      <c r="T240" s="129"/>
    </row>
    <row r="241" spans="7:20" x14ac:dyDescent="0.2">
      <c r="G241" s="103">
        <v>231</v>
      </c>
      <c r="H241" s="107"/>
      <c r="I241" s="108"/>
      <c r="J241" s="108"/>
      <c r="K241" s="108"/>
      <c r="L241" s="108"/>
      <c r="M241" s="108"/>
      <c r="N241" s="108"/>
      <c r="O241" s="108"/>
      <c r="P241" s="107"/>
      <c r="Q241" s="108"/>
      <c r="R241" s="108"/>
      <c r="S241" s="108"/>
      <c r="T241" s="129"/>
    </row>
    <row r="242" spans="7:20" x14ac:dyDescent="0.2">
      <c r="G242" s="103">
        <v>232</v>
      </c>
      <c r="H242" s="107"/>
      <c r="I242" s="108"/>
      <c r="J242" s="108"/>
      <c r="K242" s="108"/>
      <c r="L242" s="108"/>
      <c r="M242" s="108"/>
      <c r="N242" s="108"/>
      <c r="O242" s="108"/>
      <c r="P242" s="107"/>
      <c r="Q242" s="108"/>
      <c r="R242" s="108"/>
      <c r="S242" s="108"/>
      <c r="T242" s="129"/>
    </row>
    <row r="243" spans="7:20" x14ac:dyDescent="0.2">
      <c r="G243" s="103">
        <v>233</v>
      </c>
      <c r="H243" s="107"/>
      <c r="I243" s="108"/>
      <c r="J243" s="108"/>
      <c r="K243" s="108"/>
      <c r="L243" s="108"/>
      <c r="M243" s="108"/>
      <c r="N243" s="108"/>
      <c r="O243" s="108"/>
      <c r="P243" s="107"/>
      <c r="Q243" s="108"/>
      <c r="R243" s="108"/>
      <c r="S243" s="108"/>
      <c r="T243" s="129"/>
    </row>
    <row r="244" spans="7:20" x14ac:dyDescent="0.2">
      <c r="G244" s="103">
        <v>234</v>
      </c>
      <c r="H244" s="107"/>
      <c r="I244" s="108"/>
      <c r="J244" s="108"/>
      <c r="K244" s="108"/>
      <c r="L244" s="108"/>
      <c r="M244" s="108"/>
      <c r="N244" s="108"/>
      <c r="O244" s="108"/>
      <c r="P244" s="107"/>
      <c r="Q244" s="108"/>
      <c r="R244" s="108"/>
      <c r="S244" s="108"/>
      <c r="T244" s="129"/>
    </row>
    <row r="245" spans="7:20" x14ac:dyDescent="0.2">
      <c r="G245" s="103">
        <v>235</v>
      </c>
      <c r="H245" s="107"/>
      <c r="I245" s="108"/>
      <c r="J245" s="108"/>
      <c r="K245" s="108"/>
      <c r="L245" s="108"/>
      <c r="M245" s="108"/>
      <c r="N245" s="108"/>
      <c r="O245" s="108"/>
      <c r="P245" s="107"/>
      <c r="Q245" s="108"/>
      <c r="R245" s="108"/>
      <c r="S245" s="108"/>
      <c r="T245" s="129"/>
    </row>
    <row r="246" spans="7:20" x14ac:dyDescent="0.2">
      <c r="G246" s="103">
        <v>236</v>
      </c>
      <c r="H246" s="107"/>
      <c r="I246" s="108"/>
      <c r="J246" s="108"/>
      <c r="K246" s="108"/>
      <c r="L246" s="108"/>
      <c r="M246" s="108"/>
      <c r="N246" s="108"/>
      <c r="O246" s="108"/>
      <c r="P246" s="107"/>
      <c r="Q246" s="108"/>
      <c r="R246" s="108"/>
      <c r="S246" s="108"/>
      <c r="T246" s="129"/>
    </row>
    <row r="247" spans="7:20" x14ac:dyDescent="0.2">
      <c r="G247" s="103">
        <v>237</v>
      </c>
      <c r="H247" s="107"/>
      <c r="I247" s="108"/>
      <c r="J247" s="108"/>
      <c r="K247" s="108"/>
      <c r="L247" s="108"/>
      <c r="M247" s="108"/>
      <c r="N247" s="108"/>
      <c r="O247" s="108"/>
      <c r="P247" s="107"/>
      <c r="Q247" s="108"/>
      <c r="R247" s="108"/>
      <c r="S247" s="108"/>
      <c r="T247" s="129"/>
    </row>
    <row r="248" spans="7:20" x14ac:dyDescent="0.2">
      <c r="G248" s="103">
        <v>238</v>
      </c>
      <c r="H248" s="107"/>
      <c r="I248" s="108"/>
      <c r="J248" s="108"/>
      <c r="K248" s="108"/>
      <c r="L248" s="108"/>
      <c r="M248" s="108"/>
      <c r="N248" s="108"/>
      <c r="O248" s="108"/>
      <c r="P248" s="107"/>
      <c r="Q248" s="108"/>
      <c r="R248" s="108"/>
      <c r="S248" s="108"/>
      <c r="T248" s="129"/>
    </row>
    <row r="249" spans="7:20" x14ac:dyDescent="0.2">
      <c r="G249" s="103">
        <v>239</v>
      </c>
      <c r="H249" s="107"/>
      <c r="I249" s="108"/>
      <c r="J249" s="108"/>
      <c r="K249" s="108"/>
      <c r="L249" s="108"/>
      <c r="M249" s="108"/>
      <c r="N249" s="108"/>
      <c r="O249" s="108"/>
      <c r="P249" s="107"/>
      <c r="Q249" s="108"/>
      <c r="R249" s="108"/>
      <c r="S249" s="108"/>
      <c r="T249" s="129"/>
    </row>
    <row r="250" spans="7:20" x14ac:dyDescent="0.2">
      <c r="G250" s="103">
        <v>240</v>
      </c>
      <c r="H250" s="107"/>
      <c r="I250" s="108"/>
      <c r="J250" s="108"/>
      <c r="K250" s="108"/>
      <c r="L250" s="108"/>
      <c r="M250" s="108"/>
      <c r="N250" s="108"/>
      <c r="O250" s="108"/>
      <c r="P250" s="107"/>
      <c r="Q250" s="108"/>
      <c r="R250" s="108"/>
      <c r="S250" s="108"/>
      <c r="T250" s="129"/>
    </row>
    <row r="251" spans="7:20" x14ac:dyDescent="0.2">
      <c r="G251" s="103">
        <v>241</v>
      </c>
      <c r="H251" s="107"/>
      <c r="I251" s="108"/>
      <c r="J251" s="108"/>
      <c r="K251" s="108"/>
      <c r="L251" s="108"/>
      <c r="M251" s="108"/>
      <c r="N251" s="108"/>
      <c r="O251" s="108"/>
      <c r="P251" s="107"/>
      <c r="Q251" s="108"/>
      <c r="R251" s="108"/>
      <c r="S251" s="108"/>
      <c r="T251" s="129"/>
    </row>
    <row r="252" spans="7:20" x14ac:dyDescent="0.2">
      <c r="G252" s="103">
        <v>242</v>
      </c>
      <c r="H252" s="107"/>
      <c r="I252" s="108"/>
      <c r="J252" s="108"/>
      <c r="K252" s="108"/>
      <c r="L252" s="108"/>
      <c r="M252" s="108"/>
      <c r="N252" s="108"/>
      <c r="O252" s="108"/>
      <c r="P252" s="107"/>
      <c r="Q252" s="108"/>
      <c r="R252" s="108"/>
      <c r="S252" s="108"/>
      <c r="T252" s="129"/>
    </row>
    <row r="253" spans="7:20" x14ac:dyDescent="0.2">
      <c r="G253" s="103">
        <v>243</v>
      </c>
      <c r="H253" s="107"/>
      <c r="I253" s="108"/>
      <c r="J253" s="108"/>
      <c r="K253" s="108"/>
      <c r="L253" s="108"/>
      <c r="M253" s="108"/>
      <c r="N253" s="108"/>
      <c r="O253" s="108"/>
      <c r="P253" s="107"/>
      <c r="Q253" s="108"/>
      <c r="R253" s="108"/>
      <c r="S253" s="108"/>
      <c r="T253" s="129"/>
    </row>
    <row r="254" spans="7:20" x14ac:dyDescent="0.2">
      <c r="G254" s="103">
        <v>244</v>
      </c>
      <c r="H254" s="107"/>
      <c r="I254" s="108"/>
      <c r="J254" s="108"/>
      <c r="K254" s="108"/>
      <c r="L254" s="108"/>
      <c r="M254" s="108"/>
      <c r="N254" s="108"/>
      <c r="O254" s="108"/>
      <c r="P254" s="107"/>
      <c r="Q254" s="108"/>
      <c r="R254" s="108"/>
      <c r="S254" s="108"/>
      <c r="T254" s="129"/>
    </row>
    <row r="255" spans="7:20" x14ac:dyDescent="0.2">
      <c r="G255" s="103">
        <v>245</v>
      </c>
      <c r="H255" s="107"/>
      <c r="I255" s="108"/>
      <c r="J255" s="108"/>
      <c r="K255" s="108"/>
      <c r="L255" s="108"/>
      <c r="M255" s="108"/>
      <c r="N255" s="108"/>
      <c r="O255" s="108"/>
      <c r="P255" s="107"/>
      <c r="Q255" s="108"/>
      <c r="R255" s="108"/>
      <c r="S255" s="108"/>
      <c r="T255" s="129"/>
    </row>
    <row r="256" spans="7:20" x14ac:dyDescent="0.2">
      <c r="G256" s="103">
        <v>246</v>
      </c>
      <c r="H256" s="107"/>
      <c r="I256" s="108"/>
      <c r="J256" s="108"/>
      <c r="K256" s="108"/>
      <c r="L256" s="108"/>
      <c r="M256" s="108"/>
      <c r="N256" s="108"/>
      <c r="O256" s="108"/>
      <c r="P256" s="107"/>
      <c r="Q256" s="108"/>
      <c r="R256" s="108"/>
      <c r="S256" s="108"/>
      <c r="T256" s="129"/>
    </row>
    <row r="257" spans="7:20" x14ac:dyDescent="0.2">
      <c r="G257" s="103">
        <v>247</v>
      </c>
      <c r="H257" s="107"/>
      <c r="I257" s="108"/>
      <c r="J257" s="108"/>
      <c r="K257" s="108"/>
      <c r="L257" s="108"/>
      <c r="M257" s="108"/>
      <c r="N257" s="108"/>
      <c r="O257" s="108"/>
      <c r="P257" s="107"/>
      <c r="Q257" s="108"/>
      <c r="R257" s="108"/>
      <c r="S257" s="108"/>
      <c r="T257" s="129"/>
    </row>
    <row r="258" spans="7:20" x14ac:dyDescent="0.2">
      <c r="G258" s="103">
        <v>248</v>
      </c>
      <c r="H258" s="107"/>
      <c r="I258" s="108"/>
      <c r="J258" s="108"/>
      <c r="K258" s="108"/>
      <c r="L258" s="108"/>
      <c r="M258" s="108"/>
      <c r="N258" s="108"/>
      <c r="O258" s="108"/>
      <c r="P258" s="107"/>
      <c r="Q258" s="108"/>
      <c r="R258" s="108"/>
      <c r="S258" s="108"/>
      <c r="T258" s="129"/>
    </row>
    <row r="259" spans="7:20" x14ac:dyDescent="0.2">
      <c r="G259" s="103">
        <v>249</v>
      </c>
      <c r="H259" s="107"/>
      <c r="I259" s="108"/>
      <c r="J259" s="108"/>
      <c r="K259" s="108"/>
      <c r="L259" s="108"/>
      <c r="M259" s="108"/>
      <c r="N259" s="108"/>
      <c r="O259" s="108"/>
      <c r="P259" s="107"/>
      <c r="Q259" s="108"/>
      <c r="R259" s="108"/>
      <c r="S259" s="108"/>
      <c r="T259" s="129"/>
    </row>
    <row r="260" spans="7:20" x14ac:dyDescent="0.2">
      <c r="G260" s="103">
        <v>250</v>
      </c>
      <c r="H260" s="107"/>
      <c r="I260" s="108"/>
      <c r="J260" s="108"/>
      <c r="K260" s="108"/>
      <c r="L260" s="108"/>
      <c r="M260" s="108"/>
      <c r="N260" s="108"/>
      <c r="O260" s="108"/>
      <c r="P260" s="107"/>
      <c r="Q260" s="108"/>
      <c r="R260" s="108"/>
      <c r="S260" s="108"/>
      <c r="T260" s="129"/>
    </row>
    <row r="261" spans="7:20" x14ac:dyDescent="0.2">
      <c r="G261" s="103">
        <v>251</v>
      </c>
      <c r="H261" s="107"/>
      <c r="I261" s="108"/>
      <c r="J261" s="108"/>
      <c r="K261" s="108"/>
      <c r="L261" s="108"/>
      <c r="M261" s="108"/>
      <c r="N261" s="108"/>
      <c r="O261" s="108"/>
      <c r="P261" s="107"/>
      <c r="Q261" s="108"/>
      <c r="R261" s="108"/>
      <c r="S261" s="108"/>
      <c r="T261" s="129"/>
    </row>
    <row r="262" spans="7:20" x14ac:dyDescent="0.2">
      <c r="G262" s="103">
        <v>252</v>
      </c>
      <c r="H262" s="107"/>
      <c r="I262" s="108"/>
      <c r="J262" s="108"/>
      <c r="K262" s="108"/>
      <c r="L262" s="108"/>
      <c r="M262" s="108"/>
      <c r="N262" s="108"/>
      <c r="O262" s="108"/>
      <c r="P262" s="107"/>
      <c r="Q262" s="108"/>
      <c r="R262" s="108"/>
      <c r="S262" s="108"/>
      <c r="T262" s="129"/>
    </row>
    <row r="263" spans="7:20" x14ac:dyDescent="0.2">
      <c r="G263" s="103">
        <v>253</v>
      </c>
      <c r="H263" s="107"/>
      <c r="I263" s="108"/>
      <c r="J263" s="108"/>
      <c r="K263" s="108"/>
      <c r="L263" s="108"/>
      <c r="M263" s="108"/>
      <c r="N263" s="108"/>
      <c r="O263" s="108"/>
      <c r="P263" s="107"/>
      <c r="Q263" s="108"/>
      <c r="R263" s="108"/>
      <c r="S263" s="108"/>
      <c r="T263" s="129"/>
    </row>
    <row r="264" spans="7:20" x14ac:dyDescent="0.2">
      <c r="G264" s="103">
        <v>254</v>
      </c>
      <c r="H264" s="107"/>
      <c r="I264" s="108"/>
      <c r="J264" s="108"/>
      <c r="K264" s="108"/>
      <c r="L264" s="108"/>
      <c r="M264" s="108"/>
      <c r="N264" s="108"/>
      <c r="O264" s="108"/>
      <c r="P264" s="107"/>
      <c r="Q264" s="108"/>
      <c r="R264" s="108"/>
      <c r="S264" s="108"/>
      <c r="T264" s="129"/>
    </row>
    <row r="265" spans="7:20" x14ac:dyDescent="0.2">
      <c r="G265" s="103">
        <v>255</v>
      </c>
      <c r="H265" s="107"/>
      <c r="I265" s="108"/>
      <c r="J265" s="108"/>
      <c r="K265" s="108"/>
      <c r="L265" s="108"/>
      <c r="M265" s="108"/>
      <c r="N265" s="108"/>
      <c r="O265" s="108"/>
      <c r="P265" s="107"/>
      <c r="Q265" s="108"/>
      <c r="R265" s="108"/>
      <c r="S265" s="108"/>
      <c r="T265" s="129"/>
    </row>
    <row r="266" spans="7:20" x14ac:dyDescent="0.2">
      <c r="G266" s="103">
        <v>256</v>
      </c>
      <c r="H266" s="107"/>
      <c r="I266" s="108"/>
      <c r="J266" s="108"/>
      <c r="K266" s="108"/>
      <c r="L266" s="108"/>
      <c r="M266" s="108"/>
      <c r="N266" s="108"/>
      <c r="O266" s="108"/>
      <c r="P266" s="107"/>
      <c r="Q266" s="108"/>
      <c r="R266" s="108"/>
      <c r="S266" s="108"/>
      <c r="T266" s="129"/>
    </row>
    <row r="267" spans="7:20" x14ac:dyDescent="0.2">
      <c r="G267" s="103">
        <v>257</v>
      </c>
      <c r="H267" s="107"/>
      <c r="I267" s="108"/>
      <c r="J267" s="108"/>
      <c r="K267" s="108"/>
      <c r="L267" s="108"/>
      <c r="M267" s="108"/>
      <c r="N267" s="108"/>
      <c r="O267" s="108"/>
      <c r="P267" s="107"/>
      <c r="Q267" s="108"/>
      <c r="R267" s="108"/>
      <c r="S267" s="108"/>
      <c r="T267" s="129"/>
    </row>
    <row r="268" spans="7:20" x14ac:dyDescent="0.2">
      <c r="G268" s="103">
        <v>258</v>
      </c>
      <c r="H268" s="107"/>
      <c r="I268" s="108"/>
      <c r="J268" s="108"/>
      <c r="K268" s="108"/>
      <c r="L268" s="108"/>
      <c r="M268" s="108"/>
      <c r="N268" s="108"/>
      <c r="O268" s="108"/>
      <c r="P268" s="107"/>
      <c r="Q268" s="108"/>
      <c r="R268" s="108"/>
      <c r="S268" s="108"/>
      <c r="T268" s="129"/>
    </row>
    <row r="269" spans="7:20" x14ac:dyDescent="0.2">
      <c r="G269" s="103">
        <v>259</v>
      </c>
      <c r="H269" s="107"/>
      <c r="I269" s="108"/>
      <c r="J269" s="108"/>
      <c r="K269" s="108"/>
      <c r="L269" s="108"/>
      <c r="M269" s="108"/>
      <c r="N269" s="108"/>
      <c r="O269" s="108"/>
      <c r="P269" s="107"/>
      <c r="Q269" s="108"/>
      <c r="R269" s="108"/>
      <c r="S269" s="108"/>
      <c r="T269" s="129"/>
    </row>
    <row r="270" spans="7:20" x14ac:dyDescent="0.2">
      <c r="G270" s="103">
        <v>260</v>
      </c>
      <c r="H270" s="107"/>
      <c r="I270" s="108"/>
      <c r="J270" s="108"/>
      <c r="K270" s="108"/>
      <c r="L270" s="108"/>
      <c r="M270" s="108"/>
      <c r="N270" s="108"/>
      <c r="O270" s="108"/>
      <c r="P270" s="107"/>
      <c r="Q270" s="108"/>
      <c r="R270" s="108"/>
      <c r="S270" s="108"/>
      <c r="T270" s="129"/>
    </row>
    <row r="271" spans="7:20" x14ac:dyDescent="0.2">
      <c r="G271" s="103">
        <v>261</v>
      </c>
      <c r="H271" s="107"/>
      <c r="I271" s="108"/>
      <c r="J271" s="108"/>
      <c r="K271" s="108"/>
      <c r="L271" s="108"/>
      <c r="M271" s="108"/>
      <c r="N271" s="108"/>
      <c r="O271" s="108"/>
      <c r="P271" s="107"/>
      <c r="Q271" s="108"/>
      <c r="R271" s="108"/>
      <c r="S271" s="108"/>
      <c r="T271" s="129"/>
    </row>
    <row r="272" spans="7:20" x14ac:dyDescent="0.2">
      <c r="G272" s="103">
        <v>262</v>
      </c>
      <c r="H272" s="107"/>
      <c r="I272" s="108"/>
      <c r="J272" s="108"/>
      <c r="K272" s="108"/>
      <c r="L272" s="108"/>
      <c r="M272" s="108"/>
      <c r="N272" s="108"/>
      <c r="O272" s="108"/>
      <c r="P272" s="107"/>
      <c r="Q272" s="108"/>
      <c r="R272" s="108"/>
      <c r="S272" s="108"/>
      <c r="T272" s="129"/>
    </row>
    <row r="273" spans="7:20" x14ac:dyDescent="0.2">
      <c r="G273" s="103">
        <v>263</v>
      </c>
      <c r="H273" s="107"/>
      <c r="I273" s="108"/>
      <c r="J273" s="108"/>
      <c r="K273" s="108"/>
      <c r="L273" s="108"/>
      <c r="M273" s="108"/>
      <c r="N273" s="108"/>
      <c r="O273" s="108"/>
      <c r="P273" s="107"/>
      <c r="Q273" s="108"/>
      <c r="R273" s="108"/>
      <c r="S273" s="108"/>
      <c r="T273" s="129"/>
    </row>
    <row r="274" spans="7:20" x14ac:dyDescent="0.2">
      <c r="G274" s="103">
        <v>264</v>
      </c>
      <c r="H274" s="107"/>
      <c r="I274" s="108"/>
      <c r="J274" s="108"/>
      <c r="K274" s="108"/>
      <c r="L274" s="108"/>
      <c r="M274" s="108"/>
      <c r="N274" s="108"/>
      <c r="O274" s="108"/>
      <c r="P274" s="107"/>
      <c r="Q274" s="108"/>
      <c r="R274" s="108"/>
      <c r="S274" s="108"/>
      <c r="T274" s="129"/>
    </row>
    <row r="275" spans="7:20" x14ac:dyDescent="0.2">
      <c r="G275" s="103">
        <v>265</v>
      </c>
      <c r="H275" s="107"/>
      <c r="I275" s="108"/>
      <c r="J275" s="108"/>
      <c r="K275" s="108"/>
      <c r="L275" s="108"/>
      <c r="M275" s="108"/>
      <c r="N275" s="108"/>
      <c r="O275" s="108"/>
      <c r="P275" s="107"/>
      <c r="Q275" s="108"/>
      <c r="R275" s="108"/>
      <c r="S275" s="108"/>
      <c r="T275" s="129"/>
    </row>
    <row r="276" spans="7:20" x14ac:dyDescent="0.2">
      <c r="G276" s="103">
        <v>266</v>
      </c>
      <c r="H276" s="107"/>
      <c r="I276" s="108"/>
      <c r="J276" s="108"/>
      <c r="K276" s="108"/>
      <c r="L276" s="108"/>
      <c r="M276" s="108"/>
      <c r="N276" s="108"/>
      <c r="O276" s="108"/>
      <c r="P276" s="107"/>
      <c r="Q276" s="108"/>
      <c r="R276" s="108"/>
      <c r="S276" s="108"/>
      <c r="T276" s="129"/>
    </row>
    <row r="277" spans="7:20" x14ac:dyDescent="0.2">
      <c r="G277" s="103">
        <v>267</v>
      </c>
      <c r="H277" s="107"/>
      <c r="I277" s="108"/>
      <c r="J277" s="108"/>
      <c r="K277" s="108"/>
      <c r="L277" s="108"/>
      <c r="M277" s="108"/>
      <c r="N277" s="108"/>
      <c r="O277" s="108"/>
      <c r="P277" s="107"/>
      <c r="Q277" s="108"/>
      <c r="R277" s="108"/>
      <c r="S277" s="108"/>
      <c r="T277" s="129"/>
    </row>
    <row r="278" spans="7:20" x14ac:dyDescent="0.2">
      <c r="G278" s="103">
        <v>268</v>
      </c>
      <c r="H278" s="107"/>
      <c r="I278" s="108"/>
      <c r="J278" s="108"/>
      <c r="K278" s="108"/>
      <c r="L278" s="108"/>
      <c r="M278" s="108"/>
      <c r="N278" s="108"/>
      <c r="O278" s="108"/>
      <c r="P278" s="107"/>
      <c r="Q278" s="108"/>
      <c r="R278" s="108"/>
      <c r="S278" s="108"/>
      <c r="T278" s="129"/>
    </row>
    <row r="279" spans="7:20" x14ac:dyDescent="0.2">
      <c r="G279" s="103">
        <v>269</v>
      </c>
      <c r="H279" s="107"/>
      <c r="I279" s="108"/>
      <c r="J279" s="108"/>
      <c r="K279" s="108"/>
      <c r="L279" s="108"/>
      <c r="M279" s="108"/>
      <c r="N279" s="108"/>
      <c r="O279" s="108"/>
      <c r="P279" s="107"/>
      <c r="Q279" s="108"/>
      <c r="R279" s="108"/>
      <c r="S279" s="108"/>
      <c r="T279" s="129"/>
    </row>
    <row r="280" spans="7:20" x14ac:dyDescent="0.2">
      <c r="G280" s="103">
        <v>270</v>
      </c>
      <c r="H280" s="107"/>
      <c r="I280" s="108"/>
      <c r="J280" s="108"/>
      <c r="K280" s="108"/>
      <c r="L280" s="108"/>
      <c r="M280" s="108"/>
      <c r="N280" s="108"/>
      <c r="O280" s="108"/>
      <c r="P280" s="107"/>
      <c r="Q280" s="108"/>
      <c r="R280" s="108"/>
      <c r="S280" s="108"/>
      <c r="T280" s="129"/>
    </row>
    <row r="281" spans="7:20" x14ac:dyDescent="0.2">
      <c r="G281" s="103">
        <v>271</v>
      </c>
      <c r="H281" s="107"/>
      <c r="I281" s="108"/>
      <c r="J281" s="108"/>
      <c r="K281" s="108"/>
      <c r="L281" s="108"/>
      <c r="M281" s="108"/>
      <c r="N281" s="108"/>
      <c r="O281" s="108"/>
      <c r="P281" s="107"/>
      <c r="Q281" s="108"/>
      <c r="R281" s="108"/>
      <c r="S281" s="108"/>
      <c r="T281" s="129"/>
    </row>
    <row r="282" spans="7:20" x14ac:dyDescent="0.2">
      <c r="G282" s="103">
        <v>272</v>
      </c>
      <c r="H282" s="107"/>
      <c r="I282" s="108"/>
      <c r="J282" s="108"/>
      <c r="K282" s="108"/>
      <c r="L282" s="108"/>
      <c r="M282" s="108"/>
      <c r="N282" s="108"/>
      <c r="O282" s="108"/>
      <c r="P282" s="107"/>
      <c r="Q282" s="108"/>
      <c r="R282" s="108"/>
      <c r="S282" s="108"/>
      <c r="T282" s="129"/>
    </row>
    <row r="283" spans="7:20" x14ac:dyDescent="0.2">
      <c r="G283" s="103">
        <v>273</v>
      </c>
      <c r="H283" s="107"/>
      <c r="I283" s="108"/>
      <c r="J283" s="108"/>
      <c r="K283" s="108"/>
      <c r="L283" s="108"/>
      <c r="M283" s="108"/>
      <c r="N283" s="108"/>
      <c r="O283" s="108"/>
      <c r="P283" s="107"/>
      <c r="Q283" s="108"/>
      <c r="R283" s="108"/>
      <c r="S283" s="108"/>
      <c r="T283" s="129"/>
    </row>
    <row r="284" spans="7:20" x14ac:dyDescent="0.2">
      <c r="G284" s="103">
        <v>274</v>
      </c>
      <c r="H284" s="107"/>
      <c r="I284" s="108"/>
      <c r="J284" s="108"/>
      <c r="K284" s="108"/>
      <c r="L284" s="108"/>
      <c r="M284" s="108"/>
      <c r="N284" s="108"/>
      <c r="O284" s="108"/>
      <c r="P284" s="107"/>
      <c r="Q284" s="108"/>
      <c r="R284" s="108"/>
      <c r="S284" s="108"/>
      <c r="T284" s="129"/>
    </row>
    <row r="285" spans="7:20" x14ac:dyDescent="0.2">
      <c r="G285" s="103">
        <v>275</v>
      </c>
      <c r="H285" s="107"/>
      <c r="I285" s="108"/>
      <c r="J285" s="108"/>
      <c r="K285" s="108"/>
      <c r="L285" s="108"/>
      <c r="M285" s="108"/>
      <c r="N285" s="108"/>
      <c r="O285" s="108"/>
      <c r="P285" s="107"/>
      <c r="Q285" s="108"/>
      <c r="R285" s="108"/>
      <c r="S285" s="108"/>
      <c r="T285" s="129"/>
    </row>
    <row r="286" spans="7:20" x14ac:dyDescent="0.2">
      <c r="G286" s="103">
        <v>276</v>
      </c>
      <c r="H286" s="107"/>
      <c r="I286" s="108"/>
      <c r="J286" s="108"/>
      <c r="K286" s="108"/>
      <c r="L286" s="108"/>
      <c r="M286" s="108"/>
      <c r="N286" s="108"/>
      <c r="O286" s="108"/>
      <c r="P286" s="107"/>
      <c r="Q286" s="108"/>
      <c r="R286" s="108"/>
      <c r="S286" s="108"/>
      <c r="T286" s="129"/>
    </row>
    <row r="287" spans="7:20" x14ac:dyDescent="0.2">
      <c r="G287" s="103">
        <v>277</v>
      </c>
      <c r="H287" s="107"/>
      <c r="I287" s="108"/>
      <c r="J287" s="108"/>
      <c r="K287" s="108"/>
      <c r="L287" s="108"/>
      <c r="M287" s="108"/>
      <c r="N287" s="108"/>
      <c r="O287" s="108"/>
      <c r="P287" s="107"/>
      <c r="Q287" s="108"/>
      <c r="R287" s="108"/>
      <c r="S287" s="108"/>
      <c r="T287" s="129"/>
    </row>
    <row r="288" spans="7:20" x14ac:dyDescent="0.2">
      <c r="G288" s="103">
        <v>278</v>
      </c>
      <c r="H288" s="107"/>
      <c r="I288" s="108"/>
      <c r="J288" s="108"/>
      <c r="K288" s="108"/>
      <c r="L288" s="108"/>
      <c r="M288" s="108"/>
      <c r="N288" s="108"/>
      <c r="O288" s="108"/>
      <c r="P288" s="107"/>
      <c r="Q288" s="108"/>
      <c r="R288" s="108"/>
      <c r="S288" s="108"/>
      <c r="T288" s="129"/>
    </row>
    <row r="289" spans="7:20" x14ac:dyDescent="0.2">
      <c r="G289" s="103">
        <v>279</v>
      </c>
      <c r="H289" s="107"/>
      <c r="I289" s="108"/>
      <c r="J289" s="108"/>
      <c r="K289" s="108"/>
      <c r="L289" s="108"/>
      <c r="M289" s="108"/>
      <c r="N289" s="108"/>
      <c r="O289" s="108"/>
      <c r="P289" s="107"/>
      <c r="Q289" s="108"/>
      <c r="R289" s="108"/>
      <c r="S289" s="108"/>
      <c r="T289" s="129"/>
    </row>
    <row r="290" spans="7:20" x14ac:dyDescent="0.2">
      <c r="G290" s="103">
        <v>280</v>
      </c>
      <c r="H290" s="107"/>
      <c r="I290" s="108"/>
      <c r="J290" s="108"/>
      <c r="K290" s="108"/>
      <c r="L290" s="108"/>
      <c r="M290" s="108"/>
      <c r="N290" s="108"/>
      <c r="O290" s="108"/>
      <c r="P290" s="107"/>
      <c r="Q290" s="108"/>
      <c r="R290" s="108"/>
      <c r="S290" s="108"/>
      <c r="T290" s="129"/>
    </row>
    <row r="291" spans="7:20" x14ac:dyDescent="0.2">
      <c r="G291" s="103">
        <v>281</v>
      </c>
      <c r="H291" s="107"/>
      <c r="I291" s="108"/>
      <c r="J291" s="108"/>
      <c r="K291" s="108"/>
      <c r="L291" s="108"/>
      <c r="M291" s="108"/>
      <c r="N291" s="108"/>
      <c r="O291" s="108"/>
      <c r="P291" s="107"/>
      <c r="Q291" s="108"/>
      <c r="R291" s="108"/>
      <c r="S291" s="108"/>
      <c r="T291" s="129"/>
    </row>
    <row r="292" spans="7:20" x14ac:dyDescent="0.2">
      <c r="G292" s="103">
        <v>282</v>
      </c>
      <c r="H292" s="107"/>
      <c r="I292" s="108"/>
      <c r="J292" s="108"/>
      <c r="K292" s="108"/>
      <c r="L292" s="108"/>
      <c r="M292" s="108"/>
      <c r="N292" s="108"/>
      <c r="O292" s="108"/>
      <c r="P292" s="107"/>
      <c r="Q292" s="108"/>
      <c r="R292" s="108"/>
      <c r="S292" s="108"/>
      <c r="T292" s="129"/>
    </row>
    <row r="293" spans="7:20" x14ac:dyDescent="0.2">
      <c r="G293" s="103">
        <v>283</v>
      </c>
      <c r="H293" s="107"/>
      <c r="I293" s="108"/>
      <c r="J293" s="108"/>
      <c r="K293" s="108"/>
      <c r="L293" s="108"/>
      <c r="M293" s="108"/>
      <c r="N293" s="108"/>
      <c r="O293" s="108"/>
      <c r="P293" s="107"/>
      <c r="Q293" s="108"/>
      <c r="R293" s="108"/>
      <c r="S293" s="108"/>
      <c r="T293" s="129"/>
    </row>
    <row r="294" spans="7:20" x14ac:dyDescent="0.2">
      <c r="G294" s="103">
        <v>284</v>
      </c>
      <c r="H294" s="107"/>
      <c r="I294" s="108"/>
      <c r="J294" s="108"/>
      <c r="K294" s="108"/>
      <c r="L294" s="108"/>
      <c r="M294" s="108"/>
      <c r="N294" s="108"/>
      <c r="O294" s="108"/>
      <c r="P294" s="107"/>
      <c r="Q294" s="108"/>
      <c r="R294" s="108"/>
      <c r="S294" s="108"/>
      <c r="T294" s="129"/>
    </row>
    <row r="295" spans="7:20" x14ac:dyDescent="0.2">
      <c r="G295" s="103">
        <v>285</v>
      </c>
      <c r="H295" s="107"/>
      <c r="I295" s="108"/>
      <c r="J295" s="108"/>
      <c r="K295" s="108"/>
      <c r="L295" s="108"/>
      <c r="M295" s="108"/>
      <c r="N295" s="108"/>
      <c r="O295" s="108"/>
      <c r="P295" s="107"/>
      <c r="Q295" s="108"/>
      <c r="R295" s="108"/>
      <c r="S295" s="108"/>
      <c r="T295" s="129"/>
    </row>
    <row r="296" spans="7:20" x14ac:dyDescent="0.2">
      <c r="G296" s="103">
        <v>286</v>
      </c>
      <c r="H296" s="107"/>
      <c r="I296" s="108"/>
      <c r="J296" s="108"/>
      <c r="K296" s="108"/>
      <c r="L296" s="108"/>
      <c r="M296" s="108"/>
      <c r="N296" s="108"/>
      <c r="O296" s="108"/>
      <c r="P296" s="107"/>
      <c r="Q296" s="108"/>
      <c r="R296" s="108"/>
      <c r="S296" s="108"/>
      <c r="T296" s="129"/>
    </row>
    <row r="297" spans="7:20" x14ac:dyDescent="0.2">
      <c r="G297" s="103">
        <v>287</v>
      </c>
      <c r="H297" s="107"/>
      <c r="I297" s="108"/>
      <c r="J297" s="108"/>
      <c r="K297" s="108"/>
      <c r="L297" s="108"/>
      <c r="M297" s="108"/>
      <c r="N297" s="108"/>
      <c r="O297" s="108"/>
      <c r="P297" s="107"/>
      <c r="Q297" s="108"/>
      <c r="R297" s="108"/>
      <c r="S297" s="108"/>
      <c r="T297" s="129"/>
    </row>
    <row r="298" spans="7:20" x14ac:dyDescent="0.2">
      <c r="G298" s="103">
        <v>288</v>
      </c>
      <c r="H298" s="107"/>
      <c r="I298" s="108"/>
      <c r="J298" s="108"/>
      <c r="K298" s="108"/>
      <c r="L298" s="108"/>
      <c r="M298" s="108"/>
      <c r="N298" s="108"/>
      <c r="O298" s="108"/>
      <c r="P298" s="107"/>
      <c r="Q298" s="108"/>
      <c r="R298" s="108"/>
      <c r="S298" s="108"/>
      <c r="T298" s="129"/>
    </row>
    <row r="299" spans="7:20" x14ac:dyDescent="0.2">
      <c r="G299" s="103">
        <v>289</v>
      </c>
      <c r="H299" s="107"/>
      <c r="I299" s="108"/>
      <c r="J299" s="108"/>
      <c r="K299" s="108"/>
      <c r="L299" s="108"/>
      <c r="M299" s="108"/>
      <c r="N299" s="108"/>
      <c r="O299" s="108"/>
      <c r="P299" s="107"/>
      <c r="Q299" s="108"/>
      <c r="R299" s="108"/>
      <c r="S299" s="108"/>
      <c r="T299" s="129"/>
    </row>
    <row r="300" spans="7:20" x14ac:dyDescent="0.2">
      <c r="G300" s="103">
        <v>290</v>
      </c>
      <c r="H300" s="107"/>
      <c r="I300" s="108"/>
      <c r="J300" s="108"/>
      <c r="K300" s="108"/>
      <c r="L300" s="108"/>
      <c r="M300" s="108"/>
      <c r="N300" s="108"/>
      <c r="O300" s="108"/>
      <c r="P300" s="107"/>
      <c r="Q300" s="108"/>
      <c r="R300" s="108"/>
      <c r="S300" s="108"/>
      <c r="T300" s="129"/>
    </row>
    <row r="301" spans="7:20" x14ac:dyDescent="0.2">
      <c r="G301" s="103">
        <v>291</v>
      </c>
      <c r="H301" s="107"/>
      <c r="I301" s="108"/>
      <c r="J301" s="108"/>
      <c r="K301" s="108"/>
      <c r="L301" s="108"/>
      <c r="M301" s="108"/>
      <c r="N301" s="108"/>
      <c r="O301" s="108"/>
      <c r="P301" s="107"/>
      <c r="Q301" s="108"/>
      <c r="R301" s="108"/>
      <c r="S301" s="108"/>
      <c r="T301" s="129"/>
    </row>
    <row r="302" spans="7:20" x14ac:dyDescent="0.2">
      <c r="G302" s="103">
        <v>292</v>
      </c>
      <c r="H302" s="107"/>
      <c r="I302" s="108"/>
      <c r="J302" s="108"/>
      <c r="K302" s="108"/>
      <c r="L302" s="108"/>
      <c r="M302" s="108"/>
      <c r="N302" s="108"/>
      <c r="O302" s="108"/>
      <c r="P302" s="107"/>
      <c r="Q302" s="108"/>
      <c r="R302" s="108"/>
      <c r="S302" s="108"/>
      <c r="T302" s="129"/>
    </row>
    <row r="303" spans="7:20" x14ac:dyDescent="0.2">
      <c r="G303" s="103">
        <v>293</v>
      </c>
      <c r="H303" s="107"/>
      <c r="I303" s="108"/>
      <c r="J303" s="108"/>
      <c r="K303" s="108"/>
      <c r="L303" s="108"/>
      <c r="M303" s="108"/>
      <c r="N303" s="108"/>
      <c r="O303" s="108"/>
      <c r="P303" s="107"/>
      <c r="Q303" s="108"/>
      <c r="R303" s="108"/>
      <c r="S303" s="108"/>
      <c r="T303" s="129"/>
    </row>
    <row r="304" spans="7:20" x14ac:dyDescent="0.2">
      <c r="G304" s="103">
        <v>294</v>
      </c>
      <c r="H304" s="107"/>
      <c r="I304" s="108"/>
      <c r="J304" s="108"/>
      <c r="K304" s="108"/>
      <c r="L304" s="108"/>
      <c r="M304" s="108"/>
      <c r="N304" s="108"/>
      <c r="O304" s="108"/>
      <c r="P304" s="107"/>
      <c r="Q304" s="108"/>
      <c r="R304" s="108"/>
      <c r="S304" s="108"/>
      <c r="T304" s="129"/>
    </row>
    <row r="305" spans="7:20" x14ac:dyDescent="0.2">
      <c r="G305" s="103">
        <v>295</v>
      </c>
      <c r="H305" s="107"/>
      <c r="I305" s="108"/>
      <c r="J305" s="108"/>
      <c r="K305" s="108"/>
      <c r="L305" s="108"/>
      <c r="M305" s="108"/>
      <c r="N305" s="108"/>
      <c r="O305" s="108"/>
      <c r="P305" s="107"/>
      <c r="Q305" s="108"/>
      <c r="R305" s="108"/>
      <c r="S305" s="108"/>
      <c r="T305" s="129"/>
    </row>
    <row r="306" spans="7:20" x14ac:dyDescent="0.2">
      <c r="G306" s="103">
        <v>296</v>
      </c>
      <c r="H306" s="107"/>
      <c r="I306" s="108"/>
      <c r="J306" s="108"/>
      <c r="K306" s="108"/>
      <c r="L306" s="108"/>
      <c r="M306" s="108"/>
      <c r="N306" s="108"/>
      <c r="O306" s="108"/>
      <c r="P306" s="107"/>
      <c r="Q306" s="108"/>
      <c r="R306" s="108"/>
      <c r="S306" s="108"/>
      <c r="T306" s="129"/>
    </row>
    <row r="307" spans="7:20" x14ac:dyDescent="0.2">
      <c r="G307" s="103">
        <v>297</v>
      </c>
      <c r="H307" s="107"/>
      <c r="I307" s="108"/>
      <c r="J307" s="108"/>
      <c r="K307" s="108"/>
      <c r="L307" s="108"/>
      <c r="M307" s="108"/>
      <c r="N307" s="108"/>
      <c r="O307" s="108"/>
      <c r="P307" s="107"/>
      <c r="Q307" s="108"/>
      <c r="R307" s="108"/>
      <c r="S307" s="108"/>
      <c r="T307" s="129"/>
    </row>
    <row r="308" spans="7:20" x14ac:dyDescent="0.2">
      <c r="G308" s="103">
        <v>298</v>
      </c>
      <c r="H308" s="107"/>
      <c r="I308" s="108"/>
      <c r="J308" s="108"/>
      <c r="K308" s="108"/>
      <c r="L308" s="108"/>
      <c r="M308" s="108"/>
      <c r="N308" s="108"/>
      <c r="O308" s="108"/>
      <c r="P308" s="107"/>
      <c r="Q308" s="108"/>
      <c r="R308" s="108"/>
      <c r="S308" s="108"/>
      <c r="T308" s="129"/>
    </row>
    <row r="309" spans="7:20" x14ac:dyDescent="0.2">
      <c r="G309" s="103">
        <v>299</v>
      </c>
      <c r="H309" s="107"/>
      <c r="I309" s="108"/>
      <c r="J309" s="108"/>
      <c r="K309" s="108"/>
      <c r="L309" s="108"/>
      <c r="M309" s="108"/>
      <c r="N309" s="108"/>
      <c r="O309" s="108"/>
      <c r="P309" s="107"/>
      <c r="Q309" s="108"/>
      <c r="R309" s="108"/>
      <c r="S309" s="108"/>
      <c r="T309" s="129"/>
    </row>
    <row r="310" spans="7:20" x14ac:dyDescent="0.2">
      <c r="G310" s="103">
        <v>300</v>
      </c>
      <c r="H310" s="107"/>
      <c r="I310" s="108"/>
      <c r="J310" s="108"/>
      <c r="K310" s="108"/>
      <c r="L310" s="108"/>
      <c r="M310" s="108"/>
      <c r="N310" s="108"/>
      <c r="O310" s="108"/>
      <c r="P310" s="107"/>
      <c r="Q310" s="108"/>
      <c r="R310" s="108"/>
      <c r="S310" s="108"/>
      <c r="T310" s="129"/>
    </row>
    <row r="311" spans="7:20" x14ac:dyDescent="0.2">
      <c r="G311" s="103">
        <v>301</v>
      </c>
      <c r="H311" s="107"/>
      <c r="I311" s="108"/>
      <c r="J311" s="108"/>
      <c r="K311" s="108"/>
      <c r="L311" s="108"/>
      <c r="M311" s="108"/>
      <c r="N311" s="108"/>
      <c r="O311" s="108"/>
      <c r="P311" s="107"/>
      <c r="Q311" s="108"/>
      <c r="R311" s="108"/>
      <c r="S311" s="108"/>
      <c r="T311" s="129"/>
    </row>
    <row r="312" spans="7:20" x14ac:dyDescent="0.2">
      <c r="G312" s="103">
        <v>302</v>
      </c>
      <c r="H312" s="107"/>
      <c r="I312" s="108"/>
      <c r="J312" s="108"/>
      <c r="K312" s="108"/>
      <c r="L312" s="108"/>
      <c r="M312" s="108"/>
      <c r="N312" s="108"/>
      <c r="O312" s="108"/>
      <c r="P312" s="107"/>
      <c r="Q312" s="108"/>
      <c r="R312" s="108"/>
      <c r="S312" s="108"/>
      <c r="T312" s="129"/>
    </row>
    <row r="313" spans="7:20" x14ac:dyDescent="0.2">
      <c r="G313" s="103">
        <v>303</v>
      </c>
      <c r="H313" s="107"/>
      <c r="I313" s="108"/>
      <c r="J313" s="108"/>
      <c r="K313" s="108"/>
      <c r="L313" s="108"/>
      <c r="M313" s="108"/>
      <c r="N313" s="108"/>
      <c r="O313" s="108"/>
      <c r="P313" s="107"/>
      <c r="Q313" s="108"/>
      <c r="R313" s="108"/>
      <c r="S313" s="108"/>
      <c r="T313" s="129"/>
    </row>
    <row r="314" spans="7:20" x14ac:dyDescent="0.2">
      <c r="G314" s="103">
        <v>304</v>
      </c>
      <c r="H314" s="107"/>
      <c r="I314" s="108"/>
      <c r="J314" s="108"/>
      <c r="K314" s="108"/>
      <c r="L314" s="108"/>
      <c r="M314" s="108"/>
      <c r="N314" s="108"/>
      <c r="O314" s="108"/>
      <c r="P314" s="107"/>
      <c r="Q314" s="108"/>
      <c r="R314" s="108"/>
      <c r="S314" s="108"/>
      <c r="T314" s="129"/>
    </row>
    <row r="315" spans="7:20" x14ac:dyDescent="0.2">
      <c r="G315" s="103">
        <v>305</v>
      </c>
      <c r="H315" s="107"/>
      <c r="I315" s="108"/>
      <c r="J315" s="108"/>
      <c r="K315" s="108"/>
      <c r="L315" s="108"/>
      <c r="M315" s="108"/>
      <c r="N315" s="108"/>
      <c r="O315" s="108"/>
      <c r="P315" s="107"/>
      <c r="Q315" s="108"/>
      <c r="R315" s="108"/>
      <c r="S315" s="108"/>
      <c r="T315" s="129"/>
    </row>
    <row r="316" spans="7:20" x14ac:dyDescent="0.2">
      <c r="G316" s="103">
        <v>306</v>
      </c>
      <c r="H316" s="107"/>
      <c r="I316" s="108"/>
      <c r="J316" s="108"/>
      <c r="K316" s="108"/>
      <c r="L316" s="108"/>
      <c r="M316" s="108"/>
      <c r="N316" s="108"/>
      <c r="O316" s="108"/>
      <c r="P316" s="107"/>
      <c r="Q316" s="108"/>
      <c r="R316" s="108"/>
      <c r="S316" s="108"/>
      <c r="T316" s="129"/>
    </row>
    <row r="317" spans="7:20" x14ac:dyDescent="0.2">
      <c r="G317" s="103">
        <v>307</v>
      </c>
      <c r="H317" s="107"/>
      <c r="I317" s="108"/>
      <c r="J317" s="108"/>
      <c r="K317" s="108"/>
      <c r="L317" s="108"/>
      <c r="M317" s="108"/>
      <c r="N317" s="108"/>
      <c r="O317" s="108"/>
      <c r="P317" s="107"/>
      <c r="Q317" s="108"/>
      <c r="R317" s="108"/>
      <c r="S317" s="108"/>
      <c r="T317" s="129"/>
    </row>
    <row r="318" spans="7:20" x14ac:dyDescent="0.2">
      <c r="G318" s="103">
        <v>308</v>
      </c>
      <c r="H318" s="107"/>
      <c r="I318" s="108"/>
      <c r="J318" s="108"/>
      <c r="K318" s="108"/>
      <c r="L318" s="108"/>
      <c r="M318" s="108"/>
      <c r="N318" s="108"/>
      <c r="O318" s="108"/>
      <c r="P318" s="107"/>
      <c r="Q318" s="108"/>
      <c r="R318" s="108"/>
      <c r="S318" s="108"/>
      <c r="T318" s="129"/>
    </row>
    <row r="319" spans="7:20" x14ac:dyDescent="0.2">
      <c r="G319" s="103">
        <v>309</v>
      </c>
      <c r="H319" s="107"/>
      <c r="I319" s="108"/>
      <c r="J319" s="108"/>
      <c r="K319" s="108"/>
      <c r="L319" s="108"/>
      <c r="M319" s="108"/>
      <c r="N319" s="108"/>
      <c r="O319" s="108"/>
      <c r="P319" s="107"/>
      <c r="Q319" s="108"/>
      <c r="R319" s="108"/>
      <c r="S319" s="108"/>
      <c r="T319" s="129"/>
    </row>
    <row r="320" spans="7:20" x14ac:dyDescent="0.2">
      <c r="G320" s="103">
        <v>310</v>
      </c>
      <c r="H320" s="107"/>
      <c r="I320" s="108"/>
      <c r="J320" s="108"/>
      <c r="K320" s="108"/>
      <c r="L320" s="108"/>
      <c r="M320" s="108"/>
      <c r="N320" s="108"/>
      <c r="O320" s="108"/>
      <c r="P320" s="107"/>
      <c r="Q320" s="108"/>
      <c r="R320" s="108"/>
      <c r="S320" s="108"/>
      <c r="T320" s="129"/>
    </row>
    <row r="321" spans="7:20" x14ac:dyDescent="0.2">
      <c r="G321" s="103">
        <v>311</v>
      </c>
      <c r="H321" s="107"/>
      <c r="I321" s="108"/>
      <c r="J321" s="108"/>
      <c r="K321" s="108"/>
      <c r="L321" s="108"/>
      <c r="M321" s="108"/>
      <c r="N321" s="108"/>
      <c r="O321" s="108"/>
      <c r="P321" s="107"/>
      <c r="Q321" s="108"/>
      <c r="R321" s="108"/>
      <c r="S321" s="108"/>
      <c r="T321" s="129"/>
    </row>
    <row r="322" spans="7:20" x14ac:dyDescent="0.2">
      <c r="G322" s="103">
        <v>312</v>
      </c>
      <c r="H322" s="107"/>
      <c r="I322" s="108"/>
      <c r="J322" s="108"/>
      <c r="K322" s="108"/>
      <c r="L322" s="108"/>
      <c r="M322" s="108"/>
      <c r="N322" s="108"/>
      <c r="O322" s="108"/>
      <c r="P322" s="107"/>
      <c r="Q322" s="108"/>
      <c r="R322" s="108"/>
      <c r="S322" s="108"/>
      <c r="T322" s="129"/>
    </row>
    <row r="323" spans="7:20" x14ac:dyDescent="0.2">
      <c r="G323" s="103">
        <v>313</v>
      </c>
      <c r="H323" s="107"/>
      <c r="I323" s="108"/>
      <c r="J323" s="108"/>
      <c r="K323" s="108"/>
      <c r="L323" s="108"/>
      <c r="M323" s="108"/>
      <c r="N323" s="108"/>
      <c r="O323" s="108"/>
      <c r="P323" s="107"/>
      <c r="Q323" s="108"/>
      <c r="R323" s="108"/>
      <c r="S323" s="108"/>
      <c r="T323" s="129"/>
    </row>
    <row r="324" spans="7:20" x14ac:dyDescent="0.2">
      <c r="G324" s="103">
        <v>314</v>
      </c>
      <c r="H324" s="107"/>
      <c r="I324" s="108"/>
      <c r="J324" s="108"/>
      <c r="K324" s="108"/>
      <c r="L324" s="108"/>
      <c r="M324" s="108"/>
      <c r="N324" s="108"/>
      <c r="O324" s="108"/>
      <c r="P324" s="107"/>
      <c r="Q324" s="108"/>
      <c r="R324" s="108"/>
      <c r="S324" s="108"/>
      <c r="T324" s="129"/>
    </row>
    <row r="325" spans="7:20" x14ac:dyDescent="0.2">
      <c r="G325" s="103">
        <v>315</v>
      </c>
      <c r="H325" s="107"/>
      <c r="I325" s="108"/>
      <c r="J325" s="108"/>
      <c r="K325" s="108"/>
      <c r="L325" s="108"/>
      <c r="M325" s="108"/>
      <c r="N325" s="108"/>
      <c r="O325" s="108"/>
      <c r="P325" s="107"/>
      <c r="Q325" s="108"/>
      <c r="R325" s="108"/>
      <c r="S325" s="108"/>
      <c r="T325" s="129"/>
    </row>
    <row r="326" spans="7:20" x14ac:dyDescent="0.2">
      <c r="G326" s="103">
        <v>316</v>
      </c>
      <c r="H326" s="107"/>
      <c r="I326" s="108"/>
      <c r="J326" s="108"/>
      <c r="K326" s="108"/>
      <c r="L326" s="108"/>
      <c r="M326" s="108"/>
      <c r="N326" s="108"/>
      <c r="O326" s="108"/>
      <c r="P326" s="107"/>
      <c r="Q326" s="108"/>
      <c r="R326" s="108"/>
      <c r="S326" s="108"/>
      <c r="T326" s="129"/>
    </row>
    <row r="327" spans="7:20" x14ac:dyDescent="0.2">
      <c r="G327" s="103">
        <v>317</v>
      </c>
      <c r="H327" s="107"/>
      <c r="I327" s="108"/>
      <c r="J327" s="108"/>
      <c r="K327" s="108"/>
      <c r="L327" s="108"/>
      <c r="M327" s="108"/>
      <c r="N327" s="108"/>
      <c r="O327" s="108"/>
      <c r="P327" s="107"/>
      <c r="Q327" s="108"/>
      <c r="R327" s="108"/>
      <c r="S327" s="108"/>
      <c r="T327" s="129"/>
    </row>
    <row r="328" spans="7:20" x14ac:dyDescent="0.2">
      <c r="G328" s="103">
        <v>318</v>
      </c>
      <c r="H328" s="107"/>
      <c r="I328" s="108"/>
      <c r="J328" s="108"/>
      <c r="K328" s="108"/>
      <c r="L328" s="108"/>
      <c r="M328" s="108"/>
      <c r="N328" s="108"/>
      <c r="O328" s="108"/>
      <c r="P328" s="107"/>
      <c r="Q328" s="108"/>
      <c r="R328" s="108"/>
      <c r="S328" s="108"/>
      <c r="T328" s="129"/>
    </row>
    <row r="329" spans="7:20" x14ac:dyDescent="0.2">
      <c r="G329" s="103">
        <v>319</v>
      </c>
      <c r="H329" s="107"/>
      <c r="I329" s="108"/>
      <c r="J329" s="108"/>
      <c r="K329" s="108"/>
      <c r="L329" s="108"/>
      <c r="M329" s="108"/>
      <c r="N329" s="108"/>
      <c r="O329" s="108"/>
      <c r="P329" s="107"/>
      <c r="Q329" s="108"/>
      <c r="R329" s="108"/>
      <c r="S329" s="108"/>
      <c r="T329" s="129"/>
    </row>
    <row r="330" spans="7:20" x14ac:dyDescent="0.2">
      <c r="G330" s="103">
        <v>320</v>
      </c>
      <c r="H330" s="107"/>
      <c r="I330" s="108"/>
      <c r="J330" s="108"/>
      <c r="K330" s="108"/>
      <c r="L330" s="108"/>
      <c r="M330" s="108"/>
      <c r="N330" s="108"/>
      <c r="O330" s="108"/>
      <c r="P330" s="107"/>
      <c r="Q330" s="108"/>
      <c r="R330" s="108"/>
      <c r="S330" s="108"/>
      <c r="T330" s="129"/>
    </row>
    <row r="331" spans="7:20" x14ac:dyDescent="0.2">
      <c r="G331" s="103">
        <v>321</v>
      </c>
      <c r="H331" s="107"/>
      <c r="I331" s="108"/>
      <c r="J331" s="108"/>
      <c r="K331" s="108"/>
      <c r="L331" s="108"/>
      <c r="M331" s="108"/>
      <c r="N331" s="108"/>
      <c r="O331" s="108"/>
      <c r="P331" s="107"/>
      <c r="Q331" s="108"/>
      <c r="R331" s="108"/>
      <c r="S331" s="108"/>
      <c r="T331" s="129"/>
    </row>
    <row r="332" spans="7:20" x14ac:dyDescent="0.2">
      <c r="G332" s="103">
        <v>322</v>
      </c>
      <c r="H332" s="107"/>
      <c r="I332" s="108"/>
      <c r="J332" s="108"/>
      <c r="K332" s="108"/>
      <c r="L332" s="108"/>
      <c r="M332" s="108"/>
      <c r="N332" s="108"/>
      <c r="O332" s="108"/>
      <c r="P332" s="107"/>
      <c r="Q332" s="108"/>
      <c r="R332" s="108"/>
      <c r="S332" s="108"/>
      <c r="T332" s="129"/>
    </row>
    <row r="333" spans="7:20" x14ac:dyDescent="0.2">
      <c r="G333" s="103">
        <v>323</v>
      </c>
      <c r="H333" s="107"/>
      <c r="I333" s="108"/>
      <c r="J333" s="108"/>
      <c r="K333" s="108"/>
      <c r="L333" s="108"/>
      <c r="M333" s="108"/>
      <c r="N333" s="108"/>
      <c r="O333" s="108"/>
      <c r="P333" s="107"/>
      <c r="Q333" s="108"/>
      <c r="R333" s="108"/>
      <c r="S333" s="108"/>
      <c r="T333" s="129"/>
    </row>
    <row r="334" spans="7:20" x14ac:dyDescent="0.2">
      <c r="G334" s="103">
        <v>324</v>
      </c>
      <c r="H334" s="107"/>
      <c r="I334" s="108"/>
      <c r="J334" s="108"/>
      <c r="K334" s="108"/>
      <c r="L334" s="108"/>
      <c r="M334" s="108"/>
      <c r="N334" s="108"/>
      <c r="O334" s="108"/>
      <c r="P334" s="107"/>
      <c r="Q334" s="108"/>
      <c r="R334" s="108"/>
      <c r="S334" s="108"/>
      <c r="T334" s="129"/>
    </row>
    <row r="335" spans="7:20" x14ac:dyDescent="0.2">
      <c r="G335" s="103">
        <v>325</v>
      </c>
      <c r="H335" s="107"/>
      <c r="I335" s="108"/>
      <c r="J335" s="108"/>
      <c r="K335" s="108"/>
      <c r="L335" s="108"/>
      <c r="M335" s="108"/>
      <c r="N335" s="108"/>
      <c r="O335" s="108"/>
      <c r="P335" s="107"/>
      <c r="Q335" s="108"/>
      <c r="R335" s="108"/>
      <c r="S335" s="108"/>
      <c r="T335" s="129"/>
    </row>
    <row r="336" spans="7:20" x14ac:dyDescent="0.2">
      <c r="G336" s="103">
        <v>326</v>
      </c>
      <c r="H336" s="107"/>
      <c r="I336" s="108"/>
      <c r="J336" s="108"/>
      <c r="K336" s="108"/>
      <c r="L336" s="108"/>
      <c r="M336" s="108"/>
      <c r="N336" s="108"/>
      <c r="O336" s="108"/>
      <c r="P336" s="107"/>
      <c r="Q336" s="108"/>
      <c r="R336" s="108"/>
      <c r="S336" s="108"/>
      <c r="T336" s="129"/>
    </row>
    <row r="337" spans="7:20" x14ac:dyDescent="0.2">
      <c r="G337" s="103">
        <v>327</v>
      </c>
      <c r="H337" s="107"/>
      <c r="I337" s="108"/>
      <c r="J337" s="108"/>
      <c r="K337" s="108"/>
      <c r="L337" s="108"/>
      <c r="M337" s="108"/>
      <c r="N337" s="108"/>
      <c r="O337" s="108"/>
      <c r="P337" s="107"/>
      <c r="Q337" s="108"/>
      <c r="R337" s="108"/>
      <c r="S337" s="108"/>
      <c r="T337" s="129"/>
    </row>
    <row r="338" spans="7:20" x14ac:dyDescent="0.2">
      <c r="G338" s="103">
        <v>328</v>
      </c>
      <c r="H338" s="107"/>
      <c r="I338" s="108"/>
      <c r="J338" s="108"/>
      <c r="K338" s="108"/>
      <c r="L338" s="108"/>
      <c r="M338" s="108"/>
      <c r="N338" s="108"/>
      <c r="O338" s="108"/>
      <c r="P338" s="107"/>
      <c r="Q338" s="108"/>
      <c r="R338" s="108"/>
      <c r="S338" s="108"/>
      <c r="T338" s="129"/>
    </row>
    <row r="339" spans="7:20" x14ac:dyDescent="0.2">
      <c r="G339" s="103">
        <v>329</v>
      </c>
      <c r="H339" s="107"/>
      <c r="I339" s="108"/>
      <c r="J339" s="108"/>
      <c r="K339" s="108"/>
      <c r="L339" s="108"/>
      <c r="M339" s="108"/>
      <c r="N339" s="108"/>
      <c r="O339" s="108"/>
      <c r="P339" s="107"/>
      <c r="Q339" s="108"/>
      <c r="R339" s="108"/>
      <c r="S339" s="108"/>
      <c r="T339" s="129"/>
    </row>
    <row r="340" spans="7:20" x14ac:dyDescent="0.2">
      <c r="G340" s="103">
        <v>330</v>
      </c>
      <c r="H340" s="107"/>
      <c r="I340" s="108"/>
      <c r="J340" s="108"/>
      <c r="K340" s="108"/>
      <c r="L340" s="108"/>
      <c r="M340" s="108"/>
      <c r="N340" s="108"/>
      <c r="O340" s="108"/>
      <c r="P340" s="107"/>
      <c r="Q340" s="108"/>
      <c r="R340" s="108"/>
      <c r="S340" s="108"/>
      <c r="T340" s="129"/>
    </row>
    <row r="341" spans="7:20" x14ac:dyDescent="0.2">
      <c r="G341" s="103">
        <v>331</v>
      </c>
      <c r="H341" s="107"/>
      <c r="I341" s="108"/>
      <c r="J341" s="108"/>
      <c r="K341" s="108"/>
      <c r="L341" s="108"/>
      <c r="M341" s="108"/>
      <c r="N341" s="108"/>
      <c r="O341" s="108"/>
      <c r="P341" s="107"/>
      <c r="Q341" s="108"/>
      <c r="R341" s="108"/>
      <c r="S341" s="108"/>
      <c r="T341" s="129"/>
    </row>
    <row r="342" spans="7:20" x14ac:dyDescent="0.2">
      <c r="G342" s="103">
        <v>332</v>
      </c>
      <c r="H342" s="107"/>
      <c r="I342" s="108"/>
      <c r="J342" s="108"/>
      <c r="K342" s="108"/>
      <c r="L342" s="108"/>
      <c r="M342" s="108"/>
      <c r="N342" s="108"/>
      <c r="O342" s="108"/>
      <c r="P342" s="107"/>
      <c r="Q342" s="108"/>
      <c r="R342" s="108"/>
      <c r="S342" s="108"/>
      <c r="T342" s="129"/>
    </row>
    <row r="343" spans="7:20" x14ac:dyDescent="0.2">
      <c r="G343" s="103">
        <v>333</v>
      </c>
      <c r="H343" s="107"/>
      <c r="I343" s="108"/>
      <c r="J343" s="108"/>
      <c r="K343" s="108"/>
      <c r="L343" s="108"/>
      <c r="M343" s="108"/>
      <c r="N343" s="108"/>
      <c r="O343" s="108"/>
      <c r="P343" s="107"/>
      <c r="Q343" s="108"/>
      <c r="R343" s="108"/>
      <c r="S343" s="108"/>
      <c r="T343" s="129"/>
    </row>
    <row r="344" spans="7:20" x14ac:dyDescent="0.2">
      <c r="G344" s="103">
        <v>334</v>
      </c>
      <c r="H344" s="107"/>
      <c r="I344" s="108"/>
      <c r="J344" s="108"/>
      <c r="K344" s="108"/>
      <c r="L344" s="108"/>
      <c r="M344" s="108"/>
      <c r="N344" s="108"/>
      <c r="O344" s="108"/>
      <c r="P344" s="107"/>
      <c r="Q344" s="108"/>
      <c r="R344" s="108"/>
      <c r="S344" s="108"/>
      <c r="T344" s="129"/>
    </row>
    <row r="345" spans="7:20" x14ac:dyDescent="0.2">
      <c r="G345" s="103">
        <v>335</v>
      </c>
      <c r="H345" s="107"/>
      <c r="I345" s="108"/>
      <c r="J345" s="108"/>
      <c r="K345" s="108"/>
      <c r="L345" s="108"/>
      <c r="M345" s="108"/>
      <c r="N345" s="108"/>
      <c r="O345" s="108"/>
      <c r="P345" s="107"/>
      <c r="Q345" s="108"/>
      <c r="R345" s="108"/>
      <c r="S345" s="108"/>
      <c r="T345" s="129"/>
    </row>
    <row r="346" spans="7:20" x14ac:dyDescent="0.2">
      <c r="G346" s="103">
        <v>336</v>
      </c>
      <c r="H346" s="107"/>
      <c r="I346" s="108"/>
      <c r="J346" s="108"/>
      <c r="K346" s="108"/>
      <c r="L346" s="108"/>
      <c r="M346" s="108"/>
      <c r="N346" s="108"/>
      <c r="O346" s="108"/>
      <c r="P346" s="107"/>
      <c r="Q346" s="108"/>
      <c r="R346" s="108"/>
      <c r="S346" s="108"/>
      <c r="T346" s="129"/>
    </row>
    <row r="347" spans="7:20" x14ac:dyDescent="0.2">
      <c r="G347" s="103">
        <v>337</v>
      </c>
      <c r="H347" s="107"/>
      <c r="I347" s="108"/>
      <c r="J347" s="108"/>
      <c r="K347" s="108"/>
      <c r="L347" s="108"/>
      <c r="M347" s="108"/>
      <c r="N347" s="108"/>
      <c r="O347" s="108"/>
      <c r="P347" s="107"/>
      <c r="Q347" s="108"/>
      <c r="R347" s="108"/>
      <c r="S347" s="108"/>
      <c r="T347" s="129"/>
    </row>
    <row r="348" spans="7:20" x14ac:dyDescent="0.2">
      <c r="G348" s="103">
        <v>338</v>
      </c>
      <c r="H348" s="107"/>
      <c r="I348" s="108"/>
      <c r="J348" s="108"/>
      <c r="K348" s="108"/>
      <c r="L348" s="108"/>
      <c r="M348" s="108"/>
      <c r="N348" s="108"/>
      <c r="O348" s="108"/>
      <c r="P348" s="107"/>
      <c r="Q348" s="108"/>
      <c r="R348" s="108"/>
      <c r="S348" s="108"/>
      <c r="T348" s="129"/>
    </row>
    <row r="349" spans="7:20" x14ac:dyDescent="0.2">
      <c r="G349" s="103">
        <v>339</v>
      </c>
      <c r="H349" s="107"/>
      <c r="I349" s="108"/>
      <c r="J349" s="108"/>
      <c r="K349" s="108"/>
      <c r="L349" s="108"/>
      <c r="M349" s="108"/>
      <c r="N349" s="108"/>
      <c r="O349" s="108"/>
      <c r="P349" s="107"/>
      <c r="Q349" s="108"/>
      <c r="R349" s="108"/>
      <c r="S349" s="108"/>
      <c r="T349" s="129"/>
    </row>
    <row r="350" spans="7:20" x14ac:dyDescent="0.2">
      <c r="G350" s="103">
        <v>340</v>
      </c>
      <c r="H350" s="107"/>
      <c r="I350" s="108"/>
      <c r="J350" s="108"/>
      <c r="K350" s="108"/>
      <c r="L350" s="108"/>
      <c r="M350" s="108"/>
      <c r="N350" s="108"/>
      <c r="O350" s="108"/>
      <c r="P350" s="107"/>
      <c r="Q350" s="108"/>
      <c r="R350" s="108"/>
      <c r="S350" s="108"/>
      <c r="T350" s="129"/>
    </row>
    <row r="351" spans="7:20" x14ac:dyDescent="0.2">
      <c r="G351" s="103">
        <v>341</v>
      </c>
      <c r="H351" s="107"/>
      <c r="I351" s="108"/>
      <c r="J351" s="108"/>
      <c r="K351" s="108"/>
      <c r="L351" s="108"/>
      <c r="M351" s="108"/>
      <c r="N351" s="108"/>
      <c r="O351" s="108"/>
      <c r="P351" s="107"/>
      <c r="Q351" s="108"/>
      <c r="R351" s="108"/>
      <c r="S351" s="108"/>
      <c r="T351" s="129"/>
    </row>
    <row r="352" spans="7:20" x14ac:dyDescent="0.2">
      <c r="G352" s="103">
        <v>342</v>
      </c>
      <c r="H352" s="107"/>
      <c r="I352" s="108"/>
      <c r="J352" s="108"/>
      <c r="K352" s="108"/>
      <c r="L352" s="108"/>
      <c r="M352" s="108"/>
      <c r="N352" s="108"/>
      <c r="O352" s="108"/>
      <c r="P352" s="107"/>
      <c r="Q352" s="108"/>
      <c r="R352" s="108"/>
      <c r="S352" s="108"/>
      <c r="T352" s="129"/>
    </row>
    <row r="353" spans="7:20" x14ac:dyDescent="0.2">
      <c r="G353" s="103">
        <v>343</v>
      </c>
      <c r="H353" s="107"/>
      <c r="I353" s="108"/>
      <c r="J353" s="108"/>
      <c r="K353" s="108"/>
      <c r="L353" s="108"/>
      <c r="M353" s="108"/>
      <c r="N353" s="108"/>
      <c r="O353" s="108"/>
      <c r="P353" s="107"/>
      <c r="Q353" s="108"/>
      <c r="R353" s="108"/>
      <c r="S353" s="108"/>
      <c r="T353" s="129"/>
    </row>
    <row r="354" spans="7:20" x14ac:dyDescent="0.2">
      <c r="G354" s="103">
        <v>344</v>
      </c>
      <c r="H354" s="107"/>
      <c r="I354" s="108"/>
      <c r="J354" s="108"/>
      <c r="K354" s="108"/>
      <c r="L354" s="108"/>
      <c r="M354" s="108"/>
      <c r="N354" s="108"/>
      <c r="O354" s="108"/>
      <c r="P354" s="107"/>
      <c r="Q354" s="108"/>
      <c r="R354" s="108"/>
      <c r="S354" s="108"/>
      <c r="T354" s="129"/>
    </row>
    <row r="355" spans="7:20" x14ac:dyDescent="0.2">
      <c r="G355" s="103">
        <v>345</v>
      </c>
      <c r="H355" s="107"/>
      <c r="I355" s="108"/>
      <c r="J355" s="108"/>
      <c r="K355" s="108"/>
      <c r="L355" s="108"/>
      <c r="M355" s="108"/>
      <c r="N355" s="108"/>
      <c r="O355" s="108"/>
      <c r="P355" s="107"/>
      <c r="Q355" s="108"/>
      <c r="R355" s="108"/>
      <c r="S355" s="108"/>
      <c r="T355" s="129"/>
    </row>
    <row r="356" spans="7:20" x14ac:dyDescent="0.2">
      <c r="G356" s="103">
        <v>346</v>
      </c>
      <c r="H356" s="107"/>
      <c r="I356" s="108"/>
      <c r="J356" s="108"/>
      <c r="K356" s="108"/>
      <c r="L356" s="108"/>
      <c r="M356" s="108"/>
      <c r="N356" s="108"/>
      <c r="O356" s="108"/>
      <c r="P356" s="107"/>
      <c r="Q356" s="108"/>
      <c r="R356" s="108"/>
      <c r="S356" s="108"/>
      <c r="T356" s="129"/>
    </row>
    <row r="357" spans="7:20" x14ac:dyDescent="0.2">
      <c r="G357" s="103">
        <v>347</v>
      </c>
      <c r="H357" s="107"/>
      <c r="I357" s="108"/>
      <c r="J357" s="108"/>
      <c r="K357" s="108"/>
      <c r="L357" s="108"/>
      <c r="M357" s="108"/>
      <c r="N357" s="108"/>
      <c r="O357" s="108"/>
      <c r="P357" s="107"/>
      <c r="Q357" s="108"/>
      <c r="R357" s="108"/>
      <c r="S357" s="108"/>
      <c r="T357" s="129"/>
    </row>
    <row r="358" spans="7:20" x14ac:dyDescent="0.2">
      <c r="G358" s="103">
        <v>348</v>
      </c>
      <c r="H358" s="107"/>
      <c r="I358" s="108"/>
      <c r="J358" s="108"/>
      <c r="K358" s="108"/>
      <c r="L358" s="108"/>
      <c r="M358" s="108"/>
      <c r="N358" s="108"/>
      <c r="O358" s="108"/>
      <c r="P358" s="107"/>
      <c r="Q358" s="108"/>
      <c r="R358" s="108"/>
      <c r="S358" s="108"/>
      <c r="T358" s="129"/>
    </row>
    <row r="359" spans="7:20" x14ac:dyDescent="0.2">
      <c r="G359" s="103">
        <v>349</v>
      </c>
      <c r="H359" s="107"/>
      <c r="I359" s="108"/>
      <c r="J359" s="108"/>
      <c r="K359" s="108"/>
      <c r="L359" s="108"/>
      <c r="M359" s="108"/>
      <c r="N359" s="108"/>
      <c r="O359" s="108"/>
      <c r="P359" s="107"/>
      <c r="Q359" s="108"/>
      <c r="R359" s="108"/>
      <c r="S359" s="108"/>
      <c r="T359" s="129"/>
    </row>
    <row r="360" spans="7:20" x14ac:dyDescent="0.2">
      <c r="G360" s="103">
        <v>350</v>
      </c>
      <c r="H360" s="107"/>
      <c r="I360" s="108"/>
      <c r="J360" s="108"/>
      <c r="K360" s="108"/>
      <c r="L360" s="108"/>
      <c r="M360" s="108"/>
      <c r="N360" s="108"/>
      <c r="O360" s="108"/>
      <c r="P360" s="107"/>
      <c r="Q360" s="108"/>
      <c r="R360" s="108"/>
      <c r="S360" s="108"/>
      <c r="T360" s="129"/>
    </row>
    <row r="361" spans="7:20" x14ac:dyDescent="0.2">
      <c r="G361" s="103">
        <v>351</v>
      </c>
      <c r="H361" s="107"/>
      <c r="I361" s="108"/>
      <c r="J361" s="108"/>
      <c r="K361" s="108"/>
      <c r="L361" s="108"/>
      <c r="M361" s="108"/>
      <c r="N361" s="108"/>
      <c r="O361" s="108"/>
      <c r="P361" s="107"/>
      <c r="Q361" s="108"/>
      <c r="R361" s="108"/>
      <c r="S361" s="108"/>
      <c r="T361" s="129"/>
    </row>
    <row r="362" spans="7:20" x14ac:dyDescent="0.2">
      <c r="G362" s="103">
        <v>352</v>
      </c>
      <c r="H362" s="107"/>
      <c r="I362" s="108"/>
      <c r="J362" s="108"/>
      <c r="K362" s="108"/>
      <c r="L362" s="108"/>
      <c r="M362" s="108"/>
      <c r="N362" s="108"/>
      <c r="O362" s="108"/>
      <c r="P362" s="107"/>
      <c r="Q362" s="108"/>
      <c r="R362" s="108"/>
      <c r="S362" s="108"/>
      <c r="T362" s="129"/>
    </row>
    <row r="363" spans="7:20" x14ac:dyDescent="0.2">
      <c r="G363" s="103">
        <v>353</v>
      </c>
      <c r="H363" s="107"/>
      <c r="I363" s="108"/>
      <c r="J363" s="108"/>
      <c r="K363" s="108"/>
      <c r="L363" s="108"/>
      <c r="M363" s="108"/>
      <c r="N363" s="108"/>
      <c r="O363" s="108"/>
      <c r="P363" s="107"/>
      <c r="Q363" s="108"/>
      <c r="R363" s="108"/>
      <c r="S363" s="108"/>
      <c r="T363" s="129"/>
    </row>
    <row r="364" spans="7:20" x14ac:dyDescent="0.2">
      <c r="G364" s="103">
        <v>354</v>
      </c>
      <c r="H364" s="107"/>
      <c r="I364" s="108"/>
      <c r="J364" s="108"/>
      <c r="K364" s="108"/>
      <c r="L364" s="108"/>
      <c r="M364" s="108"/>
      <c r="N364" s="108"/>
      <c r="O364" s="108"/>
      <c r="P364" s="107"/>
      <c r="Q364" s="108"/>
      <c r="R364" s="108"/>
      <c r="S364" s="108"/>
      <c r="T364" s="129"/>
    </row>
    <row r="365" spans="7:20" x14ac:dyDescent="0.2">
      <c r="G365" s="103">
        <v>355</v>
      </c>
      <c r="H365" s="107"/>
      <c r="I365" s="108"/>
      <c r="J365" s="108"/>
      <c r="K365" s="108"/>
      <c r="L365" s="108"/>
      <c r="M365" s="108"/>
      <c r="N365" s="108"/>
      <c r="O365" s="108"/>
      <c r="P365" s="107"/>
      <c r="Q365" s="108"/>
      <c r="R365" s="108"/>
      <c r="S365" s="108"/>
      <c r="T365" s="129"/>
    </row>
    <row r="366" spans="7:20" x14ac:dyDescent="0.2">
      <c r="G366" s="103">
        <v>356</v>
      </c>
      <c r="H366" s="107"/>
      <c r="I366" s="108"/>
      <c r="J366" s="108"/>
      <c r="K366" s="108"/>
      <c r="L366" s="108"/>
      <c r="M366" s="108"/>
      <c r="N366" s="108"/>
      <c r="O366" s="108"/>
      <c r="P366" s="107"/>
      <c r="Q366" s="108"/>
      <c r="R366" s="108"/>
      <c r="S366" s="108"/>
      <c r="T366" s="129"/>
    </row>
    <row r="367" spans="7:20" x14ac:dyDescent="0.2">
      <c r="G367" s="103">
        <v>357</v>
      </c>
      <c r="H367" s="107"/>
      <c r="I367" s="108"/>
      <c r="J367" s="108"/>
      <c r="K367" s="108"/>
      <c r="L367" s="108"/>
      <c r="M367" s="108"/>
      <c r="N367" s="108"/>
      <c r="O367" s="108"/>
      <c r="P367" s="107"/>
      <c r="Q367" s="108"/>
      <c r="R367" s="108"/>
      <c r="S367" s="108"/>
      <c r="T367" s="129"/>
    </row>
    <row r="368" spans="7:20" x14ac:dyDescent="0.2">
      <c r="G368" s="103">
        <v>358</v>
      </c>
      <c r="H368" s="107"/>
      <c r="I368" s="108"/>
      <c r="J368" s="108"/>
      <c r="K368" s="108"/>
      <c r="L368" s="108"/>
      <c r="M368" s="108"/>
      <c r="N368" s="108"/>
      <c r="O368" s="108"/>
      <c r="P368" s="107"/>
      <c r="Q368" s="108"/>
      <c r="R368" s="108"/>
      <c r="S368" s="108"/>
      <c r="T368" s="129"/>
    </row>
    <row r="369" spans="7:20" x14ac:dyDescent="0.2">
      <c r="G369" s="103">
        <v>359</v>
      </c>
      <c r="H369" s="107"/>
      <c r="I369" s="108"/>
      <c r="J369" s="108"/>
      <c r="K369" s="108"/>
      <c r="L369" s="108"/>
      <c r="M369" s="108"/>
      <c r="N369" s="108"/>
      <c r="O369" s="108"/>
      <c r="P369" s="107"/>
      <c r="Q369" s="108"/>
      <c r="R369" s="108"/>
      <c r="S369" s="108"/>
      <c r="T369" s="129"/>
    </row>
    <row r="370" spans="7:20" x14ac:dyDescent="0.2">
      <c r="G370" s="103">
        <v>360</v>
      </c>
      <c r="H370" s="107"/>
      <c r="I370" s="108"/>
      <c r="J370" s="108"/>
      <c r="K370" s="108"/>
      <c r="L370" s="108"/>
      <c r="M370" s="108"/>
      <c r="N370" s="108"/>
      <c r="O370" s="108"/>
      <c r="P370" s="107"/>
      <c r="Q370" s="108"/>
      <c r="R370" s="108"/>
      <c r="S370" s="108"/>
      <c r="T370" s="129"/>
    </row>
    <row r="371" spans="7:20" x14ac:dyDescent="0.2">
      <c r="G371" s="103">
        <v>361</v>
      </c>
      <c r="H371" s="107"/>
      <c r="I371" s="108"/>
      <c r="J371" s="108"/>
      <c r="K371" s="108"/>
      <c r="L371" s="108"/>
      <c r="M371" s="108"/>
      <c r="N371" s="108"/>
      <c r="O371" s="108"/>
      <c r="P371" s="107"/>
      <c r="Q371" s="108"/>
      <c r="R371" s="108"/>
      <c r="S371" s="108"/>
      <c r="T371" s="129"/>
    </row>
    <row r="372" spans="7:20" x14ac:dyDescent="0.2">
      <c r="G372" s="103">
        <v>362</v>
      </c>
      <c r="H372" s="107"/>
      <c r="I372" s="108"/>
      <c r="J372" s="108"/>
      <c r="K372" s="108"/>
      <c r="L372" s="108"/>
      <c r="M372" s="108"/>
      <c r="N372" s="108"/>
      <c r="O372" s="108"/>
      <c r="P372" s="107"/>
      <c r="Q372" s="108"/>
      <c r="R372" s="108"/>
      <c r="S372" s="108"/>
      <c r="T372" s="129"/>
    </row>
    <row r="373" spans="7:20" x14ac:dyDescent="0.2">
      <c r="G373" s="103">
        <v>363</v>
      </c>
      <c r="H373" s="107"/>
      <c r="I373" s="108"/>
      <c r="J373" s="108"/>
      <c r="K373" s="108"/>
      <c r="L373" s="108"/>
      <c r="M373" s="108"/>
      <c r="N373" s="108"/>
      <c r="O373" s="108"/>
      <c r="P373" s="107"/>
      <c r="Q373" s="108"/>
      <c r="R373" s="108"/>
      <c r="S373" s="108"/>
      <c r="T373" s="129"/>
    </row>
    <row r="374" spans="7:20" x14ac:dyDescent="0.2">
      <c r="G374" s="103">
        <v>364</v>
      </c>
      <c r="H374" s="107"/>
      <c r="I374" s="108"/>
      <c r="J374" s="108"/>
      <c r="K374" s="108"/>
      <c r="L374" s="108"/>
      <c r="M374" s="108"/>
      <c r="N374" s="108"/>
      <c r="O374" s="108"/>
      <c r="P374" s="107"/>
      <c r="Q374" s="108"/>
      <c r="R374" s="108"/>
      <c r="S374" s="108"/>
      <c r="T374" s="129"/>
    </row>
    <row r="375" spans="7:20" x14ac:dyDescent="0.2">
      <c r="G375" s="103">
        <v>365</v>
      </c>
      <c r="H375" s="107"/>
      <c r="I375" s="108"/>
      <c r="J375" s="108"/>
      <c r="K375" s="108"/>
      <c r="L375" s="108"/>
      <c r="M375" s="108"/>
      <c r="N375" s="108"/>
      <c r="O375" s="108"/>
      <c r="P375" s="107"/>
      <c r="Q375" s="108"/>
      <c r="R375" s="108"/>
      <c r="S375" s="108"/>
      <c r="T375" s="129"/>
    </row>
    <row r="376" spans="7:20" x14ac:dyDescent="0.2">
      <c r="G376" s="103">
        <v>366</v>
      </c>
      <c r="H376" s="107"/>
      <c r="I376" s="108"/>
      <c r="J376" s="108"/>
      <c r="K376" s="108"/>
      <c r="L376" s="108"/>
      <c r="M376" s="108"/>
      <c r="N376" s="108"/>
      <c r="O376" s="108"/>
      <c r="P376" s="107"/>
      <c r="Q376" s="108"/>
      <c r="R376" s="108"/>
      <c r="S376" s="108"/>
      <c r="T376" s="129"/>
    </row>
    <row r="377" spans="7:20" x14ac:dyDescent="0.2">
      <c r="G377" s="103">
        <v>367</v>
      </c>
      <c r="H377" s="107"/>
      <c r="I377" s="108"/>
      <c r="J377" s="108"/>
      <c r="K377" s="108"/>
      <c r="L377" s="108"/>
      <c r="M377" s="108"/>
      <c r="N377" s="108"/>
      <c r="O377" s="108"/>
      <c r="P377" s="107"/>
      <c r="Q377" s="108"/>
      <c r="R377" s="108"/>
      <c r="S377" s="108"/>
      <c r="T377" s="129"/>
    </row>
    <row r="378" spans="7:20" x14ac:dyDescent="0.2">
      <c r="G378" s="103">
        <v>368</v>
      </c>
      <c r="H378" s="107"/>
      <c r="I378" s="108"/>
      <c r="J378" s="108"/>
      <c r="K378" s="108"/>
      <c r="L378" s="108"/>
      <c r="M378" s="108"/>
      <c r="N378" s="108"/>
      <c r="O378" s="108"/>
      <c r="P378" s="107"/>
      <c r="Q378" s="108"/>
      <c r="R378" s="108"/>
      <c r="S378" s="108"/>
      <c r="T378" s="129"/>
    </row>
    <row r="379" spans="7:20" x14ac:dyDescent="0.2">
      <c r="G379" s="103">
        <v>369</v>
      </c>
      <c r="H379" s="107"/>
      <c r="I379" s="108"/>
      <c r="J379" s="108"/>
      <c r="K379" s="108"/>
      <c r="L379" s="108"/>
      <c r="M379" s="108"/>
      <c r="N379" s="108"/>
      <c r="O379" s="108"/>
      <c r="P379" s="107"/>
      <c r="Q379" s="108"/>
      <c r="R379" s="108"/>
      <c r="S379" s="108"/>
      <c r="T379" s="129"/>
    </row>
    <row r="380" spans="7:20" x14ac:dyDescent="0.2">
      <c r="G380" s="103">
        <v>370</v>
      </c>
      <c r="H380" s="107"/>
      <c r="I380" s="108"/>
      <c r="J380" s="108"/>
      <c r="K380" s="108"/>
      <c r="L380" s="108"/>
      <c r="M380" s="108"/>
      <c r="N380" s="108"/>
      <c r="O380" s="108"/>
      <c r="P380" s="107"/>
      <c r="Q380" s="108"/>
      <c r="R380" s="108"/>
      <c r="S380" s="108"/>
      <c r="T380" s="129"/>
    </row>
    <row r="381" spans="7:20" x14ac:dyDescent="0.2">
      <c r="G381" s="103">
        <v>371</v>
      </c>
      <c r="H381" s="107"/>
      <c r="I381" s="108"/>
      <c r="J381" s="108"/>
      <c r="K381" s="108"/>
      <c r="L381" s="108"/>
      <c r="M381" s="108"/>
      <c r="N381" s="108"/>
      <c r="O381" s="108"/>
      <c r="P381" s="107"/>
      <c r="Q381" s="108"/>
      <c r="R381" s="108"/>
      <c r="S381" s="108"/>
      <c r="T381" s="129"/>
    </row>
    <row r="382" spans="7:20" x14ac:dyDescent="0.2">
      <c r="G382" s="103">
        <v>372</v>
      </c>
      <c r="H382" s="107"/>
      <c r="I382" s="108"/>
      <c r="J382" s="108"/>
      <c r="K382" s="108"/>
      <c r="L382" s="108"/>
      <c r="M382" s="108"/>
      <c r="N382" s="108"/>
      <c r="O382" s="108"/>
      <c r="P382" s="107"/>
      <c r="Q382" s="108"/>
      <c r="R382" s="108"/>
      <c r="S382" s="108"/>
      <c r="T382" s="129"/>
    </row>
    <row r="383" spans="7:20" x14ac:dyDescent="0.2">
      <c r="G383" s="103">
        <v>373</v>
      </c>
      <c r="H383" s="107"/>
      <c r="I383" s="108"/>
      <c r="J383" s="108"/>
      <c r="K383" s="108"/>
      <c r="L383" s="108"/>
      <c r="M383" s="108"/>
      <c r="N383" s="108"/>
      <c r="O383" s="108"/>
      <c r="P383" s="107"/>
      <c r="Q383" s="108"/>
      <c r="R383" s="108"/>
      <c r="S383" s="108"/>
      <c r="T383" s="129"/>
    </row>
    <row r="384" spans="7:20" x14ac:dyDescent="0.2">
      <c r="G384" s="103">
        <v>374</v>
      </c>
      <c r="H384" s="107"/>
      <c r="I384" s="108"/>
      <c r="J384" s="108"/>
      <c r="K384" s="108"/>
      <c r="L384" s="108"/>
      <c r="M384" s="108"/>
      <c r="N384" s="108"/>
      <c r="O384" s="108"/>
      <c r="P384" s="107"/>
      <c r="Q384" s="108"/>
      <c r="R384" s="108"/>
      <c r="S384" s="108"/>
      <c r="T384" s="129"/>
    </row>
    <row r="385" spans="7:20" x14ac:dyDescent="0.2">
      <c r="G385" s="103">
        <v>375</v>
      </c>
      <c r="H385" s="107"/>
      <c r="I385" s="108"/>
      <c r="J385" s="108"/>
      <c r="K385" s="108"/>
      <c r="L385" s="108"/>
      <c r="M385" s="108"/>
      <c r="N385" s="108"/>
      <c r="O385" s="108"/>
      <c r="P385" s="107"/>
      <c r="Q385" s="108"/>
      <c r="R385" s="108"/>
      <c r="S385" s="108"/>
      <c r="T385" s="129"/>
    </row>
    <row r="386" spans="7:20" x14ac:dyDescent="0.2">
      <c r="G386" s="103">
        <v>376</v>
      </c>
      <c r="H386" s="107"/>
      <c r="I386" s="108"/>
      <c r="J386" s="108"/>
      <c r="K386" s="108"/>
      <c r="L386" s="108"/>
      <c r="M386" s="108"/>
      <c r="N386" s="108"/>
      <c r="O386" s="108"/>
      <c r="P386" s="107"/>
      <c r="Q386" s="108"/>
      <c r="R386" s="108"/>
      <c r="S386" s="108"/>
      <c r="T386" s="129"/>
    </row>
    <row r="387" spans="7:20" x14ac:dyDescent="0.2">
      <c r="G387" s="103">
        <v>377</v>
      </c>
      <c r="H387" s="107"/>
      <c r="I387" s="108"/>
      <c r="J387" s="108"/>
      <c r="K387" s="108"/>
      <c r="L387" s="108"/>
      <c r="M387" s="108"/>
      <c r="N387" s="108"/>
      <c r="O387" s="108"/>
      <c r="P387" s="107"/>
      <c r="Q387" s="108"/>
      <c r="R387" s="108"/>
      <c r="S387" s="108"/>
      <c r="T387" s="129"/>
    </row>
    <row r="388" spans="7:20" x14ac:dyDescent="0.2">
      <c r="G388" s="103">
        <v>378</v>
      </c>
      <c r="H388" s="107"/>
      <c r="I388" s="108"/>
      <c r="J388" s="108"/>
      <c r="K388" s="108"/>
      <c r="L388" s="108"/>
      <c r="M388" s="108"/>
      <c r="N388" s="108"/>
      <c r="O388" s="108"/>
      <c r="P388" s="107"/>
      <c r="Q388" s="108"/>
      <c r="R388" s="108"/>
      <c r="S388" s="108"/>
      <c r="T388" s="129"/>
    </row>
    <row r="389" spans="7:20" x14ac:dyDescent="0.2">
      <c r="G389" s="103">
        <v>379</v>
      </c>
      <c r="H389" s="107"/>
      <c r="I389" s="108"/>
      <c r="J389" s="108"/>
      <c r="K389" s="108"/>
      <c r="L389" s="108"/>
      <c r="M389" s="108"/>
      <c r="N389" s="108"/>
      <c r="O389" s="108"/>
      <c r="P389" s="107"/>
      <c r="Q389" s="108"/>
      <c r="R389" s="108"/>
      <c r="S389" s="108"/>
      <c r="T389" s="129"/>
    </row>
    <row r="390" spans="7:20" x14ac:dyDescent="0.2">
      <c r="G390" s="103">
        <v>380</v>
      </c>
      <c r="H390" s="107"/>
      <c r="I390" s="108"/>
      <c r="J390" s="108"/>
      <c r="K390" s="108"/>
      <c r="L390" s="108"/>
      <c r="M390" s="108"/>
      <c r="N390" s="108"/>
      <c r="O390" s="108"/>
      <c r="P390" s="107"/>
      <c r="Q390" s="108"/>
      <c r="R390" s="108"/>
      <c r="S390" s="108"/>
      <c r="T390" s="129"/>
    </row>
    <row r="391" spans="7:20" x14ac:dyDescent="0.2">
      <c r="G391" s="103">
        <v>381</v>
      </c>
      <c r="H391" s="107"/>
      <c r="I391" s="108"/>
      <c r="J391" s="108"/>
      <c r="K391" s="108"/>
      <c r="L391" s="108"/>
      <c r="M391" s="108"/>
      <c r="N391" s="108"/>
      <c r="O391" s="108"/>
      <c r="P391" s="107"/>
      <c r="Q391" s="108"/>
      <c r="R391" s="108"/>
      <c r="S391" s="108"/>
      <c r="T391" s="129"/>
    </row>
    <row r="392" spans="7:20" x14ac:dyDescent="0.2">
      <c r="G392" s="103">
        <v>382</v>
      </c>
      <c r="H392" s="107"/>
      <c r="I392" s="108"/>
      <c r="J392" s="108"/>
      <c r="K392" s="108"/>
      <c r="L392" s="108"/>
      <c r="M392" s="108"/>
      <c r="N392" s="108"/>
      <c r="O392" s="108"/>
      <c r="P392" s="107"/>
      <c r="Q392" s="108"/>
      <c r="R392" s="108"/>
      <c r="S392" s="108"/>
      <c r="T392" s="129"/>
    </row>
    <row r="393" spans="7:20" x14ac:dyDescent="0.2">
      <c r="G393" s="103">
        <v>383</v>
      </c>
      <c r="H393" s="107"/>
      <c r="I393" s="108"/>
      <c r="J393" s="108"/>
      <c r="K393" s="108"/>
      <c r="L393" s="108"/>
      <c r="M393" s="108"/>
      <c r="N393" s="108"/>
      <c r="O393" s="108"/>
      <c r="P393" s="107"/>
      <c r="Q393" s="108"/>
      <c r="R393" s="108"/>
      <c r="S393" s="108"/>
      <c r="T393" s="129"/>
    </row>
    <row r="394" spans="7:20" x14ac:dyDescent="0.2">
      <c r="G394" s="103">
        <v>384</v>
      </c>
      <c r="H394" s="107"/>
      <c r="I394" s="108"/>
      <c r="J394" s="108"/>
      <c r="K394" s="108"/>
      <c r="L394" s="108"/>
      <c r="M394" s="108"/>
      <c r="N394" s="108"/>
      <c r="O394" s="108"/>
      <c r="P394" s="107"/>
      <c r="Q394" s="108"/>
      <c r="R394" s="108"/>
      <c r="S394" s="108"/>
      <c r="T394" s="129"/>
    </row>
    <row r="395" spans="7:20" x14ac:dyDescent="0.2">
      <c r="G395" s="103">
        <v>385</v>
      </c>
      <c r="H395" s="107"/>
      <c r="I395" s="108"/>
      <c r="J395" s="108"/>
      <c r="K395" s="108"/>
      <c r="L395" s="108"/>
      <c r="M395" s="108"/>
      <c r="N395" s="108"/>
      <c r="O395" s="108"/>
      <c r="P395" s="107"/>
      <c r="Q395" s="108"/>
      <c r="R395" s="108"/>
      <c r="S395" s="108"/>
      <c r="T395" s="129"/>
    </row>
    <row r="396" spans="7:20" x14ac:dyDescent="0.2">
      <c r="G396" s="103">
        <v>386</v>
      </c>
      <c r="H396" s="107"/>
      <c r="I396" s="108"/>
      <c r="J396" s="108"/>
      <c r="K396" s="108"/>
      <c r="L396" s="108"/>
      <c r="M396" s="108"/>
      <c r="N396" s="108"/>
      <c r="O396" s="108"/>
      <c r="P396" s="107"/>
      <c r="Q396" s="108"/>
      <c r="R396" s="108"/>
      <c r="S396" s="108"/>
      <c r="T396" s="129"/>
    </row>
    <row r="397" spans="7:20" x14ac:dyDescent="0.2">
      <c r="G397" s="103">
        <v>387</v>
      </c>
      <c r="H397" s="107"/>
      <c r="I397" s="108"/>
      <c r="J397" s="108"/>
      <c r="K397" s="108"/>
      <c r="L397" s="108"/>
      <c r="M397" s="108"/>
      <c r="N397" s="108"/>
      <c r="O397" s="108"/>
      <c r="P397" s="107"/>
      <c r="Q397" s="108"/>
      <c r="R397" s="108"/>
      <c r="S397" s="108"/>
      <c r="T397" s="129"/>
    </row>
    <row r="398" spans="7:20" x14ac:dyDescent="0.2">
      <c r="G398" s="103">
        <v>388</v>
      </c>
      <c r="H398" s="107"/>
      <c r="I398" s="108"/>
      <c r="J398" s="108"/>
      <c r="K398" s="108"/>
      <c r="L398" s="108"/>
      <c r="M398" s="108"/>
      <c r="N398" s="108"/>
      <c r="O398" s="108"/>
      <c r="P398" s="107"/>
      <c r="Q398" s="108"/>
      <c r="R398" s="108"/>
      <c r="S398" s="108"/>
      <c r="T398" s="129"/>
    </row>
    <row r="399" spans="7:20" x14ac:dyDescent="0.2">
      <c r="G399" s="103">
        <v>389</v>
      </c>
      <c r="H399" s="107"/>
      <c r="I399" s="108"/>
      <c r="J399" s="108"/>
      <c r="K399" s="108"/>
      <c r="L399" s="108"/>
      <c r="M399" s="108"/>
      <c r="N399" s="108"/>
      <c r="O399" s="108"/>
      <c r="P399" s="107"/>
      <c r="Q399" s="108"/>
      <c r="R399" s="108"/>
      <c r="S399" s="108"/>
      <c r="T399" s="129"/>
    </row>
    <row r="400" spans="7:20" x14ac:dyDescent="0.2">
      <c r="G400" s="103">
        <v>390</v>
      </c>
      <c r="H400" s="107"/>
      <c r="I400" s="108"/>
      <c r="J400" s="108"/>
      <c r="K400" s="108"/>
      <c r="L400" s="108"/>
      <c r="M400" s="108"/>
      <c r="N400" s="108"/>
      <c r="O400" s="108"/>
      <c r="P400" s="107"/>
      <c r="Q400" s="108"/>
      <c r="R400" s="108"/>
      <c r="S400" s="108"/>
      <c r="T400" s="129"/>
    </row>
    <row r="401" spans="7:20" x14ac:dyDescent="0.2">
      <c r="G401" s="103">
        <v>391</v>
      </c>
      <c r="H401" s="107"/>
      <c r="I401" s="108"/>
      <c r="J401" s="108"/>
      <c r="K401" s="108"/>
      <c r="L401" s="108"/>
      <c r="M401" s="108"/>
      <c r="N401" s="108"/>
      <c r="O401" s="108"/>
      <c r="P401" s="107"/>
      <c r="Q401" s="108"/>
      <c r="R401" s="108"/>
      <c r="S401" s="108"/>
      <c r="T401" s="129"/>
    </row>
    <row r="402" spans="7:20" x14ac:dyDescent="0.2">
      <c r="G402" s="103">
        <v>392</v>
      </c>
      <c r="H402" s="107"/>
      <c r="I402" s="108"/>
      <c r="J402" s="108"/>
      <c r="K402" s="108"/>
      <c r="L402" s="108"/>
      <c r="M402" s="108"/>
      <c r="N402" s="108"/>
      <c r="O402" s="108"/>
      <c r="P402" s="107"/>
      <c r="Q402" s="108"/>
      <c r="R402" s="108"/>
      <c r="S402" s="108"/>
      <c r="T402" s="129"/>
    </row>
    <row r="403" spans="7:20" x14ac:dyDescent="0.2">
      <c r="G403" s="103">
        <v>393</v>
      </c>
      <c r="H403" s="107"/>
      <c r="I403" s="108"/>
      <c r="J403" s="108"/>
      <c r="K403" s="108"/>
      <c r="L403" s="108"/>
      <c r="M403" s="108"/>
      <c r="N403" s="108"/>
      <c r="O403" s="108"/>
      <c r="P403" s="107"/>
      <c r="Q403" s="108"/>
      <c r="R403" s="108"/>
      <c r="S403" s="108"/>
      <c r="T403" s="129"/>
    </row>
    <row r="404" spans="7:20" x14ac:dyDescent="0.2">
      <c r="G404" s="103">
        <v>394</v>
      </c>
      <c r="H404" s="107"/>
      <c r="I404" s="108"/>
      <c r="J404" s="108"/>
      <c r="K404" s="108"/>
      <c r="L404" s="108"/>
      <c r="M404" s="108"/>
      <c r="N404" s="108"/>
      <c r="O404" s="108"/>
      <c r="P404" s="107"/>
      <c r="Q404" s="108"/>
      <c r="R404" s="108"/>
      <c r="S404" s="108"/>
      <c r="T404" s="129"/>
    </row>
    <row r="405" spans="7:20" x14ac:dyDescent="0.2">
      <c r="G405" s="103">
        <v>395</v>
      </c>
      <c r="H405" s="107"/>
      <c r="I405" s="108"/>
      <c r="J405" s="108"/>
      <c r="K405" s="108"/>
      <c r="L405" s="108"/>
      <c r="M405" s="108"/>
      <c r="N405" s="108"/>
      <c r="O405" s="108"/>
      <c r="P405" s="107"/>
      <c r="Q405" s="108"/>
      <c r="R405" s="108"/>
      <c r="S405" s="108"/>
      <c r="T405" s="129"/>
    </row>
    <row r="406" spans="7:20" x14ac:dyDescent="0.2">
      <c r="G406" s="103">
        <v>396</v>
      </c>
      <c r="H406" s="107"/>
      <c r="I406" s="108"/>
      <c r="J406" s="108"/>
      <c r="K406" s="108"/>
      <c r="L406" s="108"/>
      <c r="M406" s="108"/>
      <c r="N406" s="108"/>
      <c r="O406" s="108"/>
      <c r="P406" s="107"/>
      <c r="Q406" s="108"/>
      <c r="R406" s="108"/>
      <c r="S406" s="108"/>
      <c r="T406" s="129"/>
    </row>
    <row r="407" spans="7:20" x14ac:dyDescent="0.2">
      <c r="G407" s="103">
        <v>397</v>
      </c>
      <c r="H407" s="107"/>
      <c r="I407" s="108"/>
      <c r="J407" s="108"/>
      <c r="K407" s="108"/>
      <c r="L407" s="108"/>
      <c r="M407" s="108"/>
      <c r="N407" s="108"/>
      <c r="O407" s="108"/>
      <c r="P407" s="107"/>
      <c r="Q407" s="108"/>
      <c r="R407" s="108"/>
      <c r="S407" s="108"/>
      <c r="T407" s="129"/>
    </row>
    <row r="408" spans="7:20" x14ac:dyDescent="0.2">
      <c r="G408" s="103">
        <v>398</v>
      </c>
      <c r="H408" s="107"/>
      <c r="I408" s="108"/>
      <c r="J408" s="108"/>
      <c r="K408" s="108"/>
      <c r="L408" s="108"/>
      <c r="M408" s="108"/>
      <c r="N408" s="108"/>
      <c r="O408" s="108"/>
      <c r="P408" s="107"/>
      <c r="Q408" s="108"/>
      <c r="R408" s="108"/>
      <c r="S408" s="108"/>
      <c r="T408" s="129"/>
    </row>
    <row r="409" spans="7:20" x14ac:dyDescent="0.2">
      <c r="G409" s="103">
        <v>399</v>
      </c>
      <c r="H409" s="107"/>
      <c r="I409" s="108"/>
      <c r="J409" s="108"/>
      <c r="K409" s="108"/>
      <c r="L409" s="108"/>
      <c r="M409" s="108"/>
      <c r="N409" s="108"/>
      <c r="O409" s="108"/>
      <c r="P409" s="107"/>
      <c r="Q409" s="108"/>
      <c r="R409" s="108"/>
      <c r="S409" s="108"/>
      <c r="T409" s="129"/>
    </row>
    <row r="410" spans="7:20" ht="12" thickBot="1" x14ac:dyDescent="0.25">
      <c r="G410" s="103">
        <v>400</v>
      </c>
      <c r="H410" s="115"/>
      <c r="I410" s="116"/>
      <c r="J410" s="116"/>
      <c r="K410" s="116"/>
      <c r="L410" s="116"/>
      <c r="M410" s="116"/>
      <c r="N410" s="116"/>
      <c r="O410" s="116"/>
      <c r="P410" s="115"/>
      <c r="Q410" s="116"/>
      <c r="R410" s="116"/>
      <c r="S410" s="116"/>
      <c r="T410" s="130"/>
    </row>
  </sheetData>
  <sheetProtection sheet="1" objects="1" scenarios="1" autoFilter="0"/>
  <mergeCells count="11">
    <mergeCell ref="B32:C32"/>
    <mergeCell ref="B22:C22"/>
    <mergeCell ref="B23:C23"/>
    <mergeCell ref="B9:C9"/>
    <mergeCell ref="B17:E18"/>
    <mergeCell ref="D9:E9"/>
    <mergeCell ref="B24:C24"/>
    <mergeCell ref="B28:C28"/>
    <mergeCell ref="B29:C29"/>
    <mergeCell ref="B30:C30"/>
    <mergeCell ref="B31:C31"/>
  </mergeCells>
  <dataValidations count="9">
    <dataValidation type="list" allowBlank="1" showInputMessage="1" showErrorMessage="1" sqref="B22" xr:uid="{51E8D3E7-4BF9-492E-B5EA-27352F67BB3E}">
      <formula1>"CBO,User-defined"</formula1>
    </dataValidation>
    <dataValidation type="list" allowBlank="1" showInputMessage="1" showErrorMessage="1" sqref="B30" xr:uid="{CE112BEF-2636-42AD-A3C0-6139434C8113}">
      <formula1>"&lt; 5 years,&gt;= 5 years"</formula1>
    </dataValidation>
    <dataValidation type="list" allowBlank="1" showInputMessage="1" showErrorMessage="1" sqref="B28" xr:uid="{7B7E7606-C61D-44B3-8816-87432B922082}">
      <formula1>"Commercial loans,Consumer loans,Student loans,Housing and real estate loans"</formula1>
    </dataValidation>
    <dataValidation type="list" allowBlank="1" showInputMessage="1" showErrorMessage="1" sqref="B31" xr:uid="{F5678758-B2E5-4C41-9310-4C053878665D}">
      <formula1>"Risk-adjusted discount rate,Loss multiple"</formula1>
    </dataValidation>
    <dataValidation type="list" allowBlank="1" showInputMessage="1" showErrorMessage="1" sqref="B24" xr:uid="{F2BE3EA2-4044-4027-B563-83E13709574E}">
      <formula1>"Beginning,Middle,End"</formula1>
    </dataValidation>
    <dataValidation type="list" allowBlank="1" showInputMessage="1" showErrorMessage="1" sqref="B41" xr:uid="{9E43BA4F-2C07-429F-93F3-C5C436D8C15B}">
      <formula1>"Standard loans with interest capitalizing at end of grace period,Balloon loans with interest due at maturity,Balloon loans with periodic interest payments"</formula1>
    </dataValidation>
    <dataValidation type="list" allowBlank="1" showInputMessage="1" showErrorMessage="1" sqref="H8:O8" xr:uid="{52C938EF-E656-430D-905A-5BE5FE8EB7C5}">
      <formula1>"Positive,Negative"</formula1>
    </dataValidation>
    <dataValidation type="list" allowBlank="1" showInputMessage="1" showErrorMessage="1" sqref="B23" xr:uid="{59EDC921-940F-474F-BDB9-C7E96899B0E7}">
      <formula1>"Annual,Semiannual,Quarterly"</formula1>
    </dataValidation>
    <dataValidation type="list" allowBlank="1" showInputMessage="1" showErrorMessage="1" sqref="B29" xr:uid="{692597C2-75C9-49BC-BB9B-2565707BFA0B}">
      <formula1>"AAA,AAA-,AA+,AA,AA-,A+,A,A-,BBB+,BBB,BBB-,BB+,BB,BB-,B+,B,B-,Below B-"</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27" r:id="rId4" name="Button 11">
              <controlPr defaultSize="0" print="0" autoFill="0" autoPict="0" macro="[0]!RunAmortizationSchedule">
                <anchor moveWithCells="1" sizeWithCells="1">
                  <from>
                    <xdr:col>0</xdr:col>
                    <xdr:colOff>114300</xdr:colOff>
                    <xdr:row>44</xdr:row>
                    <xdr:rowOff>123825</xdr:rowOff>
                  </from>
                  <to>
                    <xdr:col>1</xdr:col>
                    <xdr:colOff>104775</xdr:colOff>
                    <xdr:row>47</xdr:row>
                    <xdr:rowOff>57150</xdr:rowOff>
                  </to>
                </anchor>
              </controlPr>
            </control>
          </mc:Choice>
        </mc:AlternateContent>
        <mc:AlternateContent xmlns:mc="http://schemas.openxmlformats.org/markup-compatibility/2006">
          <mc:Choice Requires="x14">
            <control shapeId="777229" r:id="rId5" name="Button 13">
              <controlPr defaultSize="0" print="0" autoFill="0" autoPict="0" macro="[0]!RunSurvivalProbability">
                <anchor moveWithCells="1" sizeWithCells="1">
                  <from>
                    <xdr:col>1</xdr:col>
                    <xdr:colOff>542925</xdr:colOff>
                    <xdr:row>44</xdr:row>
                    <xdr:rowOff>123825</xdr:rowOff>
                  </from>
                  <to>
                    <xdr:col>3</xdr:col>
                    <xdr:colOff>542925</xdr:colOff>
                    <xdr:row>47</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E47C-F2F5-43C2-917B-FF50D2E4F346}">
  <sheetPr codeName="Sheet9"/>
  <dimension ref="A1"/>
  <sheetViews>
    <sheetView showGridLines="0" zoomScaleNormal="100" workbookViewId="0"/>
  </sheetViews>
  <sheetFormatPr defaultRowHeight="11.25" x14ac:dyDescent="0.2"/>
  <sheetData/>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README</vt:lpstr>
      <vt:lpstr>Definitions</vt:lpstr>
      <vt:lpstr>Cash_Flow_Signs</vt:lpstr>
      <vt:lpstr>Example_Valuation</vt:lpstr>
      <vt:lpstr>Discount_Factors</vt:lpstr>
      <vt:lpstr>Risk_Premium</vt:lpstr>
      <vt:lpstr>DL_Subsidy</vt:lpstr>
      <vt:lpstr>LG_Subsidy</vt:lpstr>
      <vt:lpstr>License</vt:lpstr>
      <vt:lpstr>Approach</vt:lpstr>
      <vt:lpstr>DL_cashflows</vt:lpstr>
      <vt:lpstr>DL_signs</vt:lpstr>
      <vt:lpstr>Lending_Category</vt:lpstr>
      <vt:lpstr>LG_cashflows</vt:lpstr>
      <vt:lpstr>LG_signs</vt:lpstr>
      <vt:lpstr>Maturity</vt:lpstr>
      <vt:lpstr>Example_Valuation!Print_Area</vt:lpstr>
      <vt:lpstr>Risk_Parameters</vt:lpstr>
      <vt:lpstr>Risk_Subcategory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2026-07-23T13:32:48Z</dcterms:created>
  <dcterms:modified xsi:type="dcterms:W3CDTF">2026-07-23T14:14:17Z</dcterms:modified>
</cp:coreProperties>
</file>
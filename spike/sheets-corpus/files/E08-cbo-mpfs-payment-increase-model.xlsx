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U:\Github\MPFS payment increase model - 2026-02\"/>
    </mc:Choice>
  </mc:AlternateContent>
  <xr:revisionPtr revIDLastSave="0" documentId="13_ncr:1_{997910BF-4B0F-4F5B-A297-B0FE39E41BDC}" xr6:coauthVersionLast="47" xr6:coauthVersionMax="47" xr10:uidLastSave="{00000000-0000-0000-0000-000000000000}"/>
  <bookViews>
    <workbookView xWindow="-110" yWindow="-110" windowWidth="19420" windowHeight="11620" tabRatio="797" xr2:uid="{0F3089FD-C212-4108-873B-CFD0330C1FE2}"/>
  </bookViews>
  <sheets>
    <sheet name="README" sheetId="21" r:id="rId1"/>
    <sheet name="Summary" sheetId="20" r:id="rId2"/>
    <sheet name="1. MPFS FFS Model" sheetId="14" r:id="rId3"/>
    <sheet name="2. Premiums and MA Model" sheetId="19" r:id="rId4"/>
    <sheet name="License" sheetId="23" r:id="rId5"/>
  </sheets>
  <definedNames>
    <definedName name="CY_calc" localSheetId="2">'1. MPFS FFS Model'!#REF!</definedName>
    <definedName name="CY_calc" localSheetId="3">'2. Premiums and MA Model'!$49:$72</definedName>
    <definedName name="CY_check" localSheetId="2">'1. MPFS FFS Model'!#REF!</definedName>
    <definedName name="CY_check" localSheetId="3">'2. Premiums and MA Model'!$73:$95</definedName>
    <definedName name="FY_calc" localSheetId="2">'1. MPFS FFS Model'!#REF!</definedName>
    <definedName name="FY_calc" localSheetId="3">'2. Premiums and MA Model'!#REF!</definedName>
    <definedName name="FY_check" localSheetId="2">'1. MPFS FFS Model'!#REF!</definedName>
    <definedName name="FY_check" localSheetId="3">'2. Premiums and MA Model'!#REF!</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4" l="1"/>
  <c r="F12" i="14"/>
  <c r="F10" i="14"/>
  <c r="C12" i="19" a="1"/>
  <c r="C12" i="19"/>
  <c r="G12" i="14"/>
  <c r="O12" i="14"/>
  <c r="N12" i="14"/>
  <c r="M12" i="14"/>
  <c r="J12" i="14"/>
  <c r="L12" i="14"/>
  <c r="K12" i="14"/>
  <c r="I12" i="14"/>
  <c r="H12" i="14"/>
  <c r="C13" i="19" a="1"/>
  <c r="C13" i="19"/>
  <c r="G24" i="14"/>
  <c r="G27" i="14"/>
  <c r="G29" i="14"/>
  <c r="G30" i="14"/>
  <c r="G37" i="14"/>
  <c r="H16" i="19"/>
  <c r="C28" i="19"/>
  <c r="C29" i="19"/>
  <c r="H57" i="19"/>
  <c r="C30" i="19"/>
  <c r="H68" i="19"/>
  <c r="G49" i="20"/>
  <c r="H24" i="14"/>
  <c r="H27" i="14"/>
  <c r="H29" i="14"/>
  <c r="H30" i="14"/>
  <c r="H37" i="14"/>
  <c r="I16" i="19"/>
  <c r="I57" i="19"/>
  <c r="I68" i="19"/>
  <c r="H49" i="20"/>
  <c r="I24" i="14"/>
  <c r="I27" i="14"/>
  <c r="I29" i="14"/>
  <c r="I30" i="14"/>
  <c r="I37" i="14"/>
  <c r="J16" i="19"/>
  <c r="J57" i="19"/>
  <c r="J68" i="19"/>
  <c r="I49" i="20"/>
  <c r="J24" i="14"/>
  <c r="J27" i="14"/>
  <c r="J29" i="14"/>
  <c r="J30" i="14"/>
  <c r="J37" i="14"/>
  <c r="K16" i="19"/>
  <c r="K57" i="19"/>
  <c r="K68" i="19"/>
  <c r="J49" i="20"/>
  <c r="K24" i="14"/>
  <c r="K27" i="14"/>
  <c r="K29" i="14"/>
  <c r="K30" i="14"/>
  <c r="K37" i="14"/>
  <c r="L16" i="19"/>
  <c r="L57" i="19"/>
  <c r="L68" i="19"/>
  <c r="K49" i="20"/>
  <c r="L24" i="14"/>
  <c r="L27" i="14"/>
  <c r="L29" i="14"/>
  <c r="L30" i="14"/>
  <c r="L37" i="14"/>
  <c r="M16" i="19"/>
  <c r="M57" i="19"/>
  <c r="M68" i="19"/>
  <c r="L49" i="20"/>
  <c r="M24" i="14"/>
  <c r="M27" i="14"/>
  <c r="M29" i="14"/>
  <c r="M30" i="14"/>
  <c r="M37" i="14"/>
  <c r="N16" i="19"/>
  <c r="N57" i="19"/>
  <c r="N68" i="19"/>
  <c r="M49" i="20"/>
  <c r="N24" i="14"/>
  <c r="N27" i="14"/>
  <c r="N29" i="14"/>
  <c r="N30" i="14"/>
  <c r="N37" i="14"/>
  <c r="O16" i="19"/>
  <c r="O57" i="19"/>
  <c r="O68" i="19"/>
  <c r="N49" i="20"/>
  <c r="O24" i="14"/>
  <c r="O27" i="14"/>
  <c r="O29" i="14"/>
  <c r="O30" i="14"/>
  <c r="O37" i="14"/>
  <c r="P16" i="19"/>
  <c r="P57" i="19"/>
  <c r="P68" i="19"/>
  <c r="O49" i="20"/>
  <c r="F56" i="19"/>
  <c r="F57" i="19"/>
  <c r="E24" i="14"/>
  <c r="E27" i="14"/>
  <c r="E29" i="14"/>
  <c r="E30" i="14"/>
  <c r="E37" i="14"/>
  <c r="F16" i="19"/>
  <c r="F68" i="19"/>
  <c r="E49" i="20"/>
  <c r="F24" i="14"/>
  <c r="F27" i="14"/>
  <c r="F29" i="14"/>
  <c r="F30" i="14"/>
  <c r="F37" i="14"/>
  <c r="G16" i="19"/>
  <c r="G15" i="19"/>
  <c r="G56" i="19"/>
  <c r="G57" i="19"/>
  <c r="G68" i="19"/>
  <c r="F49" i="20"/>
  <c r="G48" i="20"/>
  <c r="H48" i="20"/>
  <c r="I48" i="20"/>
  <c r="J48" i="20"/>
  <c r="K48" i="20"/>
  <c r="L48" i="20"/>
  <c r="M48" i="20"/>
  <c r="N48" i="20"/>
  <c r="O48" i="20"/>
  <c r="E48" i="20"/>
  <c r="F48" i="20"/>
  <c r="E47" i="20"/>
  <c r="G47" i="20"/>
  <c r="H47" i="20"/>
  <c r="I47" i="20"/>
  <c r="J47" i="20"/>
  <c r="K47" i="20"/>
  <c r="L47" i="20"/>
  <c r="M47" i="20"/>
  <c r="N47" i="20"/>
  <c r="O47" i="20"/>
  <c r="F47" i="20"/>
  <c r="R17" i="14"/>
  <c r="Q17" i="14"/>
  <c r="F80" i="19"/>
  <c r="F67" i="19"/>
  <c r="F50" i="19"/>
  <c r="F41" i="20"/>
  <c r="G41" i="20"/>
  <c r="H41" i="20"/>
  <c r="I41" i="20"/>
  <c r="J41" i="20"/>
  <c r="K41" i="20"/>
  <c r="L41" i="20"/>
  <c r="M41" i="20"/>
  <c r="N41" i="20"/>
  <c r="O41" i="20"/>
  <c r="F40" i="20"/>
  <c r="G40" i="20"/>
  <c r="H40" i="20"/>
  <c r="I40" i="20"/>
  <c r="J40" i="20"/>
  <c r="K40" i="20"/>
  <c r="L40" i="20"/>
  <c r="M40" i="20"/>
  <c r="N40" i="20"/>
  <c r="O40" i="20"/>
  <c r="E44" i="20"/>
  <c r="E43" i="20"/>
  <c r="B31" i="20"/>
  <c r="B18" i="20"/>
  <c r="O25" i="14"/>
  <c r="O35" i="14"/>
  <c r="B8" i="20"/>
  <c r="F9" i="20"/>
  <c r="G9" i="20"/>
  <c r="H9" i="20"/>
  <c r="I9" i="20"/>
  <c r="J9" i="20"/>
  <c r="K9" i="20"/>
  <c r="L9" i="20"/>
  <c r="M9" i="20"/>
  <c r="N9" i="20"/>
  <c r="O9" i="20"/>
  <c r="F32" i="20"/>
  <c r="G32" i="20"/>
  <c r="H32" i="20"/>
  <c r="I32" i="20"/>
  <c r="J32" i="20"/>
  <c r="K32" i="20"/>
  <c r="L32" i="20"/>
  <c r="M32" i="20"/>
  <c r="N32" i="20"/>
  <c r="O32" i="20"/>
  <c r="F85" i="19"/>
  <c r="B84" i="19"/>
  <c r="F82" i="19"/>
  <c r="F74" i="19"/>
  <c r="B72" i="19"/>
  <c r="F70" i="19"/>
  <c r="F94" i="19"/>
  <c r="E24" i="20"/>
  <c r="F42" i="19"/>
  <c r="F38" i="19"/>
  <c r="F39" i="19"/>
  <c r="F41" i="19"/>
  <c r="F37" i="19"/>
  <c r="F35" i="19"/>
  <c r="B33" i="19"/>
  <c r="F27" i="19"/>
  <c r="S15" i="19"/>
  <c r="R15" i="19"/>
  <c r="B9" i="19"/>
  <c r="S67" i="19"/>
  <c r="S80" i="19"/>
  <c r="R67" i="19"/>
  <c r="R80" i="19"/>
  <c r="G67" i="19"/>
  <c r="G80" i="19"/>
  <c r="G42" i="19"/>
  <c r="G50" i="19"/>
  <c r="S50" i="19"/>
  <c r="S35" i="19"/>
  <c r="R56" i="19"/>
  <c r="R50" i="19"/>
  <c r="R35" i="19"/>
  <c r="F43" i="20"/>
  <c r="F44" i="20"/>
  <c r="G37" i="19"/>
  <c r="F44" i="19" a="1"/>
  <c r="F44" i="19"/>
  <c r="G85" i="19"/>
  <c r="G35" i="19"/>
  <c r="S56" i="19"/>
  <c r="B31" i="19"/>
  <c r="G61" i="19"/>
  <c r="F63" i="19"/>
  <c r="G62" i="19"/>
  <c r="R85" i="19"/>
  <c r="F43" i="19" a="1"/>
  <c r="F43" i="19"/>
  <c r="S85" i="19"/>
  <c r="G38" i="19"/>
  <c r="G39" i="19"/>
  <c r="G27" i="19"/>
  <c r="G74" i="19"/>
  <c r="H15" i="19"/>
  <c r="H80" i="19"/>
  <c r="H50" i="19"/>
  <c r="H67" i="19"/>
  <c r="O36" i="14"/>
  <c r="G44" i="20"/>
  <c r="G43" i="20"/>
  <c r="F64" i="19"/>
  <c r="F90" i="19"/>
  <c r="E23" i="20"/>
  <c r="G41" i="19"/>
  <c r="G44" i="19" a="1"/>
  <c r="G44" i="19"/>
  <c r="G43" i="19" a="1"/>
  <c r="G43" i="19"/>
  <c r="F45" i="19"/>
  <c r="F47" i="19" a="1"/>
  <c r="F47" i="19"/>
  <c r="F77" i="19"/>
  <c r="H56" i="19"/>
  <c r="H74" i="19"/>
  <c r="H37" i="19"/>
  <c r="H42" i="19"/>
  <c r="H85" i="19"/>
  <c r="H35" i="19"/>
  <c r="H27" i="19"/>
  <c r="H38" i="19"/>
  <c r="H39" i="19"/>
  <c r="H41" i="19"/>
  <c r="I15" i="19"/>
  <c r="I80" i="19"/>
  <c r="I50" i="19"/>
  <c r="I67" i="19"/>
  <c r="H44" i="19" a="1"/>
  <c r="H44" i="19"/>
  <c r="H43" i="20"/>
  <c r="H44" i="20"/>
  <c r="H43" i="19" a="1"/>
  <c r="H43" i="19"/>
  <c r="F46" i="19" a="1"/>
  <c r="F46" i="19"/>
  <c r="I74" i="19"/>
  <c r="I37" i="19"/>
  <c r="I42" i="19"/>
  <c r="I56" i="19"/>
  <c r="I85" i="19"/>
  <c r="J15" i="19"/>
  <c r="J80" i="19"/>
  <c r="I38" i="19"/>
  <c r="I39" i="19"/>
  <c r="I41" i="19"/>
  <c r="I44" i="19" a="1"/>
  <c r="I44" i="19"/>
  <c r="I27" i="19"/>
  <c r="I35" i="19"/>
  <c r="G45" i="19"/>
  <c r="G46" i="19" a="1"/>
  <c r="G46" i="19"/>
  <c r="H45" i="19"/>
  <c r="H46" i="19" a="1"/>
  <c r="H46" i="19"/>
  <c r="J50" i="19"/>
  <c r="J67" i="19"/>
  <c r="I43" i="20"/>
  <c r="I44" i="20"/>
  <c r="P69" i="19"/>
  <c r="O50" i="20"/>
  <c r="P63" i="19"/>
  <c r="G47" i="19" a="1"/>
  <c r="G47" i="19"/>
  <c r="J38" i="19"/>
  <c r="J39" i="19"/>
  <c r="J41" i="19"/>
  <c r="J27" i="19"/>
  <c r="J35" i="19"/>
  <c r="J42" i="19"/>
  <c r="J85" i="19"/>
  <c r="J74" i="19"/>
  <c r="J37" i="19"/>
  <c r="J56" i="19"/>
  <c r="K15" i="19"/>
  <c r="K80" i="19"/>
  <c r="I43" i="19" a="1"/>
  <c r="I43" i="19"/>
  <c r="H47" i="19" a="1"/>
  <c r="H47" i="19"/>
  <c r="K50" i="19"/>
  <c r="K67" i="19"/>
  <c r="J43" i="19" a="1"/>
  <c r="J43" i="19"/>
  <c r="J44" i="20"/>
  <c r="J43" i="20"/>
  <c r="I45" i="19"/>
  <c r="I46" i="19" a="1"/>
  <c r="I46" i="19"/>
  <c r="K35" i="19"/>
  <c r="K42" i="19"/>
  <c r="K38" i="19"/>
  <c r="K39" i="19"/>
  <c r="K41" i="19"/>
  <c r="K44" i="19" a="1"/>
  <c r="K44" i="19"/>
  <c r="L15" i="19"/>
  <c r="L80" i="19"/>
  <c r="K37" i="19"/>
  <c r="K27" i="19"/>
  <c r="K56" i="19"/>
  <c r="K85" i="19"/>
  <c r="K74" i="19"/>
  <c r="J44" i="19" a="1"/>
  <c r="J44" i="19"/>
  <c r="L50" i="19"/>
  <c r="L67" i="19"/>
  <c r="J45" i="19"/>
  <c r="J46" i="19" a="1"/>
  <c r="J46" i="19"/>
  <c r="K44" i="20"/>
  <c r="K43" i="20"/>
  <c r="K43" i="19" a="1"/>
  <c r="K43" i="19"/>
  <c r="K45" i="19"/>
  <c r="K47" i="19" a="1"/>
  <c r="K47" i="19"/>
  <c r="I47" i="19" a="1"/>
  <c r="I47" i="19"/>
  <c r="L74" i="19"/>
  <c r="L37" i="19"/>
  <c r="L35" i="19"/>
  <c r="L27" i="19"/>
  <c r="L56" i="19"/>
  <c r="L85" i="19"/>
  <c r="L42" i="19"/>
  <c r="L38" i="19"/>
  <c r="L39" i="19"/>
  <c r="L41" i="19"/>
  <c r="M15" i="19"/>
  <c r="M80" i="19"/>
  <c r="G25" i="14"/>
  <c r="G35" i="14"/>
  <c r="H25" i="14"/>
  <c r="H35" i="14"/>
  <c r="I25" i="14"/>
  <c r="I35" i="14"/>
  <c r="J25" i="14"/>
  <c r="J35" i="14"/>
  <c r="K25" i="14"/>
  <c r="K35" i="14"/>
  <c r="L25" i="14"/>
  <c r="L35" i="14"/>
  <c r="M25" i="14"/>
  <c r="M35" i="14"/>
  <c r="N25" i="14"/>
  <c r="N35" i="14"/>
  <c r="B9" i="14"/>
  <c r="G10" i="14"/>
  <c r="H10" i="14"/>
  <c r="I10" i="14"/>
  <c r="J10" i="14"/>
  <c r="K10" i="14"/>
  <c r="L10" i="14"/>
  <c r="M10" i="14"/>
  <c r="N10" i="14"/>
  <c r="O10" i="14"/>
  <c r="B32" i="14"/>
  <c r="F33" i="14"/>
  <c r="G33" i="14"/>
  <c r="H33" i="14"/>
  <c r="I33" i="14"/>
  <c r="J33" i="14"/>
  <c r="K33" i="14"/>
  <c r="L33" i="14"/>
  <c r="M33" i="14"/>
  <c r="N33" i="14"/>
  <c r="O33" i="14"/>
  <c r="B21" i="14"/>
  <c r="E25" i="14"/>
  <c r="Q24" i="14"/>
  <c r="R24" i="14"/>
  <c r="M50" i="19"/>
  <c r="M67" i="19"/>
  <c r="J47" i="19" a="1"/>
  <c r="J47" i="19"/>
  <c r="L43" i="20"/>
  <c r="L44" i="20"/>
  <c r="L44" i="19" a="1"/>
  <c r="L44" i="19"/>
  <c r="L43" i="19" a="1"/>
  <c r="L43" i="19"/>
  <c r="K46" i="19" a="1"/>
  <c r="K46" i="19"/>
  <c r="M42" i="19"/>
  <c r="M27" i="19"/>
  <c r="M37" i="19"/>
  <c r="M35" i="19"/>
  <c r="N15" i="19"/>
  <c r="N80" i="19"/>
  <c r="M56" i="19"/>
  <c r="M85" i="19"/>
  <c r="M74" i="19"/>
  <c r="M38" i="19"/>
  <c r="M39" i="19"/>
  <c r="M41" i="19"/>
  <c r="F25" i="14"/>
  <c r="R29" i="14"/>
  <c r="Q29" i="14"/>
  <c r="E35" i="14"/>
  <c r="R25" i="14"/>
  <c r="Q25" i="14"/>
  <c r="N50" i="19"/>
  <c r="N67" i="19"/>
  <c r="M44" i="19" a="1"/>
  <c r="M44" i="19"/>
  <c r="M44" i="20"/>
  <c r="M43" i="20"/>
  <c r="L45" i="19"/>
  <c r="L47" i="19" a="1"/>
  <c r="L47" i="19"/>
  <c r="N35" i="19"/>
  <c r="N42" i="19"/>
  <c r="N27" i="19"/>
  <c r="N56" i="19"/>
  <c r="N85" i="19"/>
  <c r="N74" i="19"/>
  <c r="N38" i="19"/>
  <c r="N39" i="19"/>
  <c r="N41" i="19"/>
  <c r="N44" i="19" a="1"/>
  <c r="N44" i="19"/>
  <c r="O15" i="19"/>
  <c r="O80" i="19"/>
  <c r="N37" i="19"/>
  <c r="M43" i="19" a="1"/>
  <c r="M43" i="19"/>
  <c r="F36" i="14"/>
  <c r="F35" i="14"/>
  <c r="G36" i="14"/>
  <c r="J36" i="14"/>
  <c r="K36" i="14"/>
  <c r="M36" i="14"/>
  <c r="N36" i="14"/>
  <c r="I36" i="14"/>
  <c r="L36" i="14"/>
  <c r="H36" i="14"/>
  <c r="E36" i="14"/>
  <c r="Q36" i="14"/>
  <c r="R36" i="14"/>
  <c r="R35" i="14"/>
  <c r="Q35" i="14"/>
  <c r="R30" i="14"/>
  <c r="Q30" i="14"/>
  <c r="O50" i="19"/>
  <c r="O67" i="19"/>
  <c r="N43" i="19" a="1"/>
  <c r="N43" i="19"/>
  <c r="N45" i="19"/>
  <c r="N47" i="19" a="1"/>
  <c r="N47" i="19"/>
  <c r="O43" i="20"/>
  <c r="N43" i="20"/>
  <c r="O44" i="20"/>
  <c r="N44" i="20"/>
  <c r="L46" i="19" a="1"/>
  <c r="L46" i="19"/>
  <c r="M45" i="19"/>
  <c r="M47" i="19" a="1"/>
  <c r="M47" i="19"/>
  <c r="O85" i="19"/>
  <c r="O27" i="19"/>
  <c r="O56" i="19"/>
  <c r="O35" i="19"/>
  <c r="O74" i="19"/>
  <c r="O42" i="19"/>
  <c r="P15" i="19"/>
  <c r="P80" i="19"/>
  <c r="O38" i="19"/>
  <c r="O39" i="19"/>
  <c r="O41" i="19"/>
  <c r="O37" i="19"/>
  <c r="Q37" i="14"/>
  <c r="J51" i="19"/>
  <c r="K75" i="19"/>
  <c r="L52" i="19"/>
  <c r="R37" i="14"/>
  <c r="E50" i="20"/>
  <c r="I51" i="19"/>
  <c r="J75" i="19"/>
  <c r="H75" i="19"/>
  <c r="P50" i="19"/>
  <c r="P67" i="19"/>
  <c r="J52" i="19"/>
  <c r="J76" i="19"/>
  <c r="F81" i="19"/>
  <c r="G63" i="19"/>
  <c r="G81" i="19"/>
  <c r="G82" i="19"/>
  <c r="M52" i="19"/>
  <c r="N52" i="19"/>
  <c r="I52" i="19"/>
  <c r="I75" i="19"/>
  <c r="L75" i="19"/>
  <c r="H52" i="19"/>
  <c r="K51" i="19"/>
  <c r="H51" i="19"/>
  <c r="L51" i="19"/>
  <c r="L76" i="19"/>
  <c r="K52" i="19"/>
  <c r="F51" i="19"/>
  <c r="F53" i="19"/>
  <c r="F89" i="19"/>
  <c r="E22" i="20"/>
  <c r="F75" i="19"/>
  <c r="F52" i="19"/>
  <c r="M46" i="19" a="1"/>
  <c r="M46" i="19"/>
  <c r="M75" i="19"/>
  <c r="O44" i="19" a="1"/>
  <c r="O44" i="19"/>
  <c r="J69" i="19"/>
  <c r="K62" i="19"/>
  <c r="K61" i="19"/>
  <c r="J63" i="19"/>
  <c r="I69" i="19"/>
  <c r="J62" i="19"/>
  <c r="I63" i="19"/>
  <c r="J61" i="19"/>
  <c r="O43" i="19" a="1"/>
  <c r="O43" i="19"/>
  <c r="P85" i="19"/>
  <c r="P27" i="19"/>
  <c r="P42" i="19"/>
  <c r="P38" i="19"/>
  <c r="P39" i="19"/>
  <c r="P41" i="19"/>
  <c r="P37" i="19"/>
  <c r="P74" i="19"/>
  <c r="P35" i="19"/>
  <c r="P56" i="19"/>
  <c r="N46" i="19" a="1"/>
  <c r="N46" i="19"/>
  <c r="R47" i="20"/>
  <c r="Q47" i="20"/>
  <c r="I53" i="19"/>
  <c r="I89" i="19"/>
  <c r="H22" i="20"/>
  <c r="H50" i="20"/>
  <c r="K53" i="19"/>
  <c r="K89" i="19"/>
  <c r="J22" i="20"/>
  <c r="L50" i="20"/>
  <c r="N61" i="19"/>
  <c r="N69" i="19"/>
  <c r="N62" i="19"/>
  <c r="O61" i="19"/>
  <c r="I50" i="20"/>
  <c r="O62" i="19"/>
  <c r="M63" i="19"/>
  <c r="M69" i="19"/>
  <c r="N70" i="19"/>
  <c r="N94" i="19"/>
  <c r="M24" i="20"/>
  <c r="I76" i="19"/>
  <c r="M50" i="20"/>
  <c r="L69" i="19"/>
  <c r="P61" i="19"/>
  <c r="L62" i="19"/>
  <c r="P62" i="19"/>
  <c r="O63" i="19"/>
  <c r="N50" i="20"/>
  <c r="N63" i="19"/>
  <c r="O69" i="19"/>
  <c r="P70" i="19"/>
  <c r="P94" i="19"/>
  <c r="O24" i="20"/>
  <c r="J53" i="19"/>
  <c r="J89" i="19"/>
  <c r="I22" i="20"/>
  <c r="S16" i="19"/>
  <c r="G52" i="19"/>
  <c r="R52" i="19"/>
  <c r="P43" i="19" a="1"/>
  <c r="P43" i="19"/>
  <c r="K76" i="19"/>
  <c r="G50" i="20"/>
  <c r="H63" i="19"/>
  <c r="M62" i="19"/>
  <c r="M61" i="19"/>
  <c r="L63" i="19"/>
  <c r="H76" i="19"/>
  <c r="F91" i="19"/>
  <c r="F98" i="19"/>
  <c r="H69" i="19"/>
  <c r="F76" i="19"/>
  <c r="F86" i="19"/>
  <c r="I62" i="19"/>
  <c r="I61" i="19"/>
  <c r="M51" i="19"/>
  <c r="M53" i="19"/>
  <c r="M89" i="19"/>
  <c r="L22" i="20"/>
  <c r="R16" i="19"/>
  <c r="L53" i="19"/>
  <c r="L89" i="19"/>
  <c r="K22" i="20"/>
  <c r="K63" i="19"/>
  <c r="K81" i="19"/>
  <c r="K69" i="19"/>
  <c r="K70" i="19"/>
  <c r="K94" i="19"/>
  <c r="J24" i="20"/>
  <c r="G75" i="19"/>
  <c r="G51" i="19"/>
  <c r="G53" i="19"/>
  <c r="L61" i="19"/>
  <c r="O45" i="19"/>
  <c r="O47" i="19" a="1"/>
  <c r="O47" i="19"/>
  <c r="O52" i="19"/>
  <c r="J77" i="19"/>
  <c r="J86" i="19"/>
  <c r="I77" i="19"/>
  <c r="J64" i="19"/>
  <c r="J90" i="19"/>
  <c r="J81" i="19"/>
  <c r="J70" i="19"/>
  <c r="J94" i="19"/>
  <c r="I24" i="20"/>
  <c r="N75" i="19"/>
  <c r="N51" i="19"/>
  <c r="P44" i="19" a="1"/>
  <c r="P44" i="19"/>
  <c r="M77" i="19"/>
  <c r="S57" i="19"/>
  <c r="I86" i="19"/>
  <c r="R48" i="20"/>
  <c r="Q48" i="20"/>
  <c r="M70" i="19"/>
  <c r="M94" i="19"/>
  <c r="L24" i="20"/>
  <c r="O81" i="19"/>
  <c r="J50" i="20"/>
  <c r="P81" i="19"/>
  <c r="N81" i="19"/>
  <c r="O82" i="19"/>
  <c r="O77" i="19"/>
  <c r="K82" i="19"/>
  <c r="P64" i="19"/>
  <c r="P90" i="19"/>
  <c r="O23" i="20"/>
  <c r="O70" i="19"/>
  <c r="O94" i="19"/>
  <c r="N24" i="20"/>
  <c r="K50" i="20"/>
  <c r="N77" i="19"/>
  <c r="P82" i="19"/>
  <c r="N64" i="19"/>
  <c r="N90" i="19"/>
  <c r="M23" i="20"/>
  <c r="E28" i="20"/>
  <c r="F97" i="19"/>
  <c r="H62" i="19"/>
  <c r="H61" i="19"/>
  <c r="M64" i="19"/>
  <c r="M90" i="19"/>
  <c r="M91" i="19"/>
  <c r="L64" i="19"/>
  <c r="L90" i="19"/>
  <c r="L91" i="19"/>
  <c r="M81" i="19"/>
  <c r="N82" i="19"/>
  <c r="H77" i="19"/>
  <c r="H86" i="19"/>
  <c r="I70" i="19"/>
  <c r="I94" i="19"/>
  <c r="H24" i="20"/>
  <c r="I81" i="19"/>
  <c r="J82" i="19"/>
  <c r="L77" i="19"/>
  <c r="L86" i="19"/>
  <c r="I64" i="19"/>
  <c r="I90" i="19"/>
  <c r="I91" i="19"/>
  <c r="M76" i="19"/>
  <c r="M86" i="19"/>
  <c r="L70" i="19"/>
  <c r="L94" i="19"/>
  <c r="K24" i="20"/>
  <c r="R51" i="19"/>
  <c r="K64" i="19"/>
  <c r="K90" i="19"/>
  <c r="J23" i="20"/>
  <c r="K77" i="19"/>
  <c r="K86" i="19"/>
  <c r="G76" i="19"/>
  <c r="R57" i="19"/>
  <c r="H53" i="19"/>
  <c r="H89" i="19"/>
  <c r="G22" i="20"/>
  <c r="L81" i="19"/>
  <c r="O46" i="19" a="1"/>
  <c r="O46" i="19"/>
  <c r="O75" i="19"/>
  <c r="J91" i="19"/>
  <c r="J98" i="19"/>
  <c r="I23" i="20"/>
  <c r="G89" i="19"/>
  <c r="F22" i="20"/>
  <c r="N76" i="19"/>
  <c r="N53" i="19"/>
  <c r="O64" i="19"/>
  <c r="P45" i="19"/>
  <c r="P46" i="19" a="1"/>
  <c r="P46" i="19"/>
  <c r="F22" i="14"/>
  <c r="G22" i="14"/>
  <c r="H22" i="14"/>
  <c r="I22" i="14"/>
  <c r="J22" i="14"/>
  <c r="K22" i="14"/>
  <c r="L22" i="14"/>
  <c r="M22" i="14"/>
  <c r="N22" i="14"/>
  <c r="O22" i="14"/>
  <c r="F15" i="14"/>
  <c r="G15" i="14"/>
  <c r="H15" i="14"/>
  <c r="I15" i="14"/>
  <c r="J15" i="14"/>
  <c r="K15" i="14"/>
  <c r="L15" i="14"/>
  <c r="M15" i="14"/>
  <c r="N15" i="14"/>
  <c r="O15" i="14"/>
  <c r="B14" i="14"/>
  <c r="M98" i="19"/>
  <c r="L98" i="19"/>
  <c r="L97" i="19"/>
  <c r="K27" i="20"/>
  <c r="N86" i="19"/>
  <c r="M82" i="19"/>
  <c r="G69" i="19"/>
  <c r="G70" i="19"/>
  <c r="I98" i="19"/>
  <c r="H28" i="20"/>
  <c r="K28" i="20"/>
  <c r="E27" i="20"/>
  <c r="M97" i="19"/>
  <c r="L27" i="20"/>
  <c r="L28" i="20"/>
  <c r="J97" i="19"/>
  <c r="I27" i="20"/>
  <c r="I28" i="20"/>
  <c r="L82" i="19"/>
  <c r="L23" i="20"/>
  <c r="H70" i="19"/>
  <c r="K23" i="20"/>
  <c r="K91" i="19"/>
  <c r="K98" i="19"/>
  <c r="H23" i="20"/>
  <c r="H64" i="19"/>
  <c r="H90" i="19"/>
  <c r="G23" i="20"/>
  <c r="H81" i="19"/>
  <c r="I82" i="19"/>
  <c r="R61" i="19"/>
  <c r="G64" i="19"/>
  <c r="S61" i="19"/>
  <c r="O51" i="19"/>
  <c r="O53" i="19"/>
  <c r="O89" i="19"/>
  <c r="N22" i="20"/>
  <c r="R63" i="19"/>
  <c r="S63" i="19"/>
  <c r="G77" i="19"/>
  <c r="G86" i="19"/>
  <c r="R62" i="19"/>
  <c r="S62" i="19"/>
  <c r="S68" i="19"/>
  <c r="R68" i="19"/>
  <c r="R53" i="19"/>
  <c r="Q22" i="20"/>
  <c r="R89" i="19"/>
  <c r="P51" i="19"/>
  <c r="O90" i="19"/>
  <c r="N89" i="19"/>
  <c r="M22" i="20"/>
  <c r="P47" i="19" a="1"/>
  <c r="P47" i="19"/>
  <c r="P52" i="19"/>
  <c r="S64" i="19"/>
  <c r="I97" i="19"/>
  <c r="H27" i="20"/>
  <c r="R49" i="20"/>
  <c r="Q49" i="20"/>
  <c r="F50" i="20"/>
  <c r="K97" i="19"/>
  <c r="J27" i="20"/>
  <c r="J28" i="20"/>
  <c r="O76" i="19"/>
  <c r="O86" i="19"/>
  <c r="H91" i="19"/>
  <c r="S81" i="19"/>
  <c r="H82" i="19"/>
  <c r="R81" i="19"/>
  <c r="S69" i="19"/>
  <c r="H94" i="19"/>
  <c r="G24" i="20"/>
  <c r="R69" i="19"/>
  <c r="G90" i="19"/>
  <c r="S90" i="19"/>
  <c r="R64" i="19"/>
  <c r="N23" i="20"/>
  <c r="O91" i="19"/>
  <c r="O98" i="19"/>
  <c r="N91" i="19"/>
  <c r="N98" i="19"/>
  <c r="P76" i="19"/>
  <c r="S52" i="19"/>
  <c r="P53" i="19"/>
  <c r="S51" i="19"/>
  <c r="P75" i="19"/>
  <c r="R50" i="20"/>
  <c r="Q50" i="20"/>
  <c r="N97" i="19"/>
  <c r="M27" i="20"/>
  <c r="M28" i="20"/>
  <c r="O97" i="19"/>
  <c r="N27" i="20"/>
  <c r="N28" i="20"/>
  <c r="H98" i="19"/>
  <c r="P86" i="19"/>
  <c r="C20" i="20"/>
  <c r="F23" i="20"/>
  <c r="R90" i="19"/>
  <c r="G91" i="19"/>
  <c r="G94" i="19"/>
  <c r="S70" i="19"/>
  <c r="R70" i="19"/>
  <c r="R23" i="20"/>
  <c r="P89" i="19"/>
  <c r="O22" i="20"/>
  <c r="S53" i="19"/>
  <c r="R91" i="19"/>
  <c r="G98" i="19"/>
  <c r="G28" i="20"/>
  <c r="H97" i="19"/>
  <c r="G27" i="20"/>
  <c r="F24" i="20"/>
  <c r="S94" i="19"/>
  <c r="R94" i="19"/>
  <c r="Q23" i="20"/>
  <c r="R22" i="20"/>
  <c r="P91" i="19"/>
  <c r="P98" i="19"/>
  <c r="S89" i="19"/>
  <c r="P97" i="19"/>
  <c r="O27" i="20"/>
  <c r="O28" i="20"/>
  <c r="F28" i="20"/>
  <c r="G97" i="19"/>
  <c r="S98" i="19"/>
  <c r="R98" i="19"/>
  <c r="Q24" i="20"/>
  <c r="R24" i="20"/>
  <c r="S91" i="19"/>
  <c r="R28" i="20"/>
  <c r="Q28" i="20"/>
  <c r="F27" i="20"/>
  <c r="Q27" i="20"/>
  <c r="R97" i="19"/>
  <c r="S97" i="19"/>
  <c r="R27"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<sst xmlns="http://schemas.openxmlformats.org/spreadsheetml/2006/main" count="192" uniqueCount="153">
  <si>
    <t>Tab</t>
  </si>
  <si>
    <t>Type</t>
  </si>
  <si>
    <t>Purpose</t>
  </si>
  <si>
    <t>Notes</t>
  </si>
  <si>
    <t>Calculations</t>
  </si>
  <si>
    <t xml:space="preserve">Description </t>
  </si>
  <si>
    <t>Policy Start Date (inclusive)</t>
  </si>
  <si>
    <t>Policy End Date (inclusive)</t>
  </si>
  <si>
    <t>Description</t>
  </si>
  <si>
    <t>FY/CY Input</t>
  </si>
  <si>
    <t>Note</t>
  </si>
  <si>
    <t>Interactions to Apply</t>
  </si>
  <si>
    <t>On/Off Switch</t>
  </si>
  <si>
    <t>FFS Benefits Breakout</t>
  </si>
  <si>
    <t>MA Benefits Breakout</t>
  </si>
  <si>
    <t>Benefits Total</t>
  </si>
  <si>
    <t>Part B Premiums</t>
  </si>
  <si>
    <t>CY = FY -1</t>
  </si>
  <si>
    <t>Matching CY (Jan-Sept)</t>
  </si>
  <si>
    <t>CY = FY</t>
  </si>
  <si>
    <t>Previous CY (Oct)</t>
  </si>
  <si>
    <t>CY = FY -1 or CY=FY</t>
  </si>
  <si>
    <t>Previous CY (Nov-Dec)</t>
  </si>
  <si>
    <t>CY</t>
  </si>
  <si>
    <t>Total Number of Effective Days within CY</t>
  </si>
  <si>
    <t>FY = CY</t>
  </si>
  <si>
    <t>FY = CY + 1</t>
  </si>
  <si>
    <t>1) Inputs</t>
  </si>
  <si>
    <t>Source: Exhibit 4-2 https://www.cbo.gov/system/files/2020-12/56811-Single-Payer.pdf#page=54</t>
  </si>
  <si>
    <t>2) Calculations</t>
  </si>
  <si>
    <t>Supply elasticity for behavioral response</t>
  </si>
  <si>
    <t>Budget Authority</t>
  </si>
  <si>
    <t>Outlays</t>
  </si>
  <si>
    <t>1) Policy Parameters</t>
  </si>
  <si>
    <t>2) CBO Inputs</t>
  </si>
  <si>
    <t>2026-2031</t>
  </si>
  <si>
    <t>2026-2036</t>
  </si>
  <si>
    <t>FFS Estimate Incurred (millions)</t>
  </si>
  <si>
    <t>Matching FY Allocation (Jan-Sept, Cash)</t>
  </si>
  <si>
    <t>Next FY Allocation (Oct-Dec, Cash)</t>
  </si>
  <si>
    <t>Current Law</t>
  </si>
  <si>
    <t>Proposed Law</t>
  </si>
  <si>
    <t>Qualifying APM Participants</t>
  </si>
  <si>
    <t>Other Providers</t>
  </si>
  <si>
    <t>Calendar Year Conversion Factors</t>
  </si>
  <si>
    <t>Part A MA Interaction Term</t>
  </si>
  <si>
    <t>Part B MA Interaction Term</t>
  </si>
  <si>
    <t>Part B Premium Interaction Term</t>
  </si>
  <si>
    <t>Last Year of Published MA Rates</t>
  </si>
  <si>
    <t>Last Year of Published Part B Premiums</t>
  </si>
  <si>
    <t>2a)  Allocate FFS CY Incurred Spending as a Share of FY Cash</t>
  </si>
  <si>
    <t>Early CY Cash</t>
  </si>
  <si>
    <t>FY Cash Start Date within Matching FY</t>
  </si>
  <si>
    <t>Matching FY End Date</t>
  </si>
  <si>
    <t>FY Cash End Date, lagged from Next FY</t>
  </si>
  <si>
    <t>Late CY Cash</t>
  </si>
  <si>
    <t>FY Cash Start Date, lagged from Next FY</t>
  </si>
  <si>
    <t>FY Cash End Date within Next FY</t>
  </si>
  <si>
    <t>Number of Effective Days within CY in Early FY Cash (Jan-Sept)</t>
  </si>
  <si>
    <t>Number of Effective Days within CY in Late FY Cash (Oct-Dec)</t>
  </si>
  <si>
    <t>Matching FY Cash Allocation (Jan-Sept)</t>
  </si>
  <si>
    <t>Next FY Cash Allocation (Oct-Dec)</t>
  </si>
  <si>
    <t>2b) Allocate FFS CY Incurred Spending to FY Cash as an Amount</t>
  </si>
  <si>
    <t>FFS FY Cash Total</t>
  </si>
  <si>
    <t>2c) Calculate MA FY Cash Component from FFS CY Incurred Component</t>
  </si>
  <si>
    <t>i) Calculate MA CY Incurred Component</t>
  </si>
  <si>
    <t>ii) Identify FY Timing Shift Years</t>
  </si>
  <si>
    <t xml:space="preserve">iii) Convert to MA FY Cash </t>
  </si>
  <si>
    <t>MA FY Cash Component Total</t>
  </si>
  <si>
    <t>2d) Calculate Part B Premium FY Cash Component</t>
  </si>
  <si>
    <t>i) Calculate Part B Premium CY Incurred Component</t>
  </si>
  <si>
    <t>ii) Apply CY Offset to Year 1</t>
  </si>
  <si>
    <t>iii) Calculate Part B Premium FY Cash Total</t>
  </si>
  <si>
    <t>3a) Pass/Fail Checks</t>
  </si>
  <si>
    <t>i) Check FFS Cash Input Date Ranges</t>
  </si>
  <si>
    <t>ii) Check FY to CY Conversion</t>
  </si>
  <si>
    <t>iii) Check MA Break Out</t>
  </si>
  <si>
    <t>MPFS</t>
  </si>
  <si>
    <t>FFS</t>
  </si>
  <si>
    <t>MA</t>
  </si>
  <si>
    <t>Medicare Advantage</t>
  </si>
  <si>
    <t>FY</t>
  </si>
  <si>
    <t>APM</t>
  </si>
  <si>
    <t>Alternative Payment Model</t>
  </si>
  <si>
    <t>3) Checks</t>
  </si>
  <si>
    <t>4) Output: FY Cash Estimate</t>
  </si>
  <si>
    <t>2) Estimate</t>
  </si>
  <si>
    <t>1. MPFS FFS Model</t>
  </si>
  <si>
    <t>2. Premiums and MA Model</t>
  </si>
  <si>
    <t>1a) Policy Inputs</t>
  </si>
  <si>
    <t>1b) Baseline Inputs</t>
  </si>
  <si>
    <t>i) Benefits FY Incurred (FFS+MA)</t>
  </si>
  <si>
    <t>ii) Benefits FY Incurred growth rate (FFS+MA)</t>
  </si>
  <si>
    <t>3b) Additional Reference Lines</t>
  </si>
  <si>
    <t>README</t>
  </si>
  <si>
    <t>Input, Output</t>
  </si>
  <si>
    <t>Memo: Number of MA Payments per FY</t>
  </si>
  <si>
    <t>2026 Bump</t>
  </si>
  <si>
    <t>Error check:</t>
  </si>
  <si>
    <t>3) Memo Lines: Conversion factors under current and proposed law</t>
  </si>
  <si>
    <t>Summary</t>
  </si>
  <si>
    <t>Table of Contents</t>
  </si>
  <si>
    <t>Model Summary</t>
  </si>
  <si>
    <t xml:space="preserve">Instructions: </t>
  </si>
  <si>
    <t>Calendar Year</t>
  </si>
  <si>
    <t>Fiscal Year</t>
  </si>
  <si>
    <t>Incurred CY budgetary effect*</t>
  </si>
  <si>
    <t>Medicare physician fee schedule</t>
  </si>
  <si>
    <t>fiscal year</t>
  </si>
  <si>
    <t>fee-for-service</t>
  </si>
  <si>
    <t>calendar year</t>
  </si>
  <si>
    <t>Abbreviations Used in This Model</t>
  </si>
  <si>
    <t>Calculate effect on premium receipts and MA spending</t>
  </si>
  <si>
    <t>Calculate effect on MPFS FFS federal spending</t>
  </si>
  <si>
    <t>Input policy parameters and timing, output estimate</t>
  </si>
  <si>
    <t>Overview of Model Workbook</t>
  </si>
  <si>
    <t>Reference</t>
  </si>
  <si>
    <t>Enter % temporary change to the conversion factor by calendar year.</t>
  </si>
  <si>
    <t>This model supports policy changes for a full calendar year only.</t>
  </si>
  <si>
    <t>Effect on FFS Benefit Spending</t>
  </si>
  <si>
    <t>Effect on MA Benefit Spending</t>
  </si>
  <si>
    <t>Effect on Part B Premium Receipts</t>
  </si>
  <si>
    <t>Total Effect</t>
  </si>
  <si>
    <t>*Components may not sum to totals because of rounding.</t>
  </si>
  <si>
    <t>Overall effect</t>
  </si>
  <si>
    <t>CBO's February 2026 Baseline: MPFS FFS (Millions, CY)</t>
  </si>
  <si>
    <t>This model projects the budgetary effects of temporary changes to the conversion factor of around 2.5%. Inputs that are substantially larger or smaller than 2.5% may not produce reliable outputs.</t>
  </si>
  <si>
    <t>Difference from current law baseline (Millions, CY)</t>
  </si>
  <si>
    <t>Policy Parameter: Temporary Change in the MPFS Conversion Factor (CY)</t>
  </si>
  <si>
    <t>Supply Elasticity (Elasticity per 1 percentage point decrease in price)</t>
  </si>
  <si>
    <t>Cash Lag (Days)</t>
  </si>
  <si>
    <t>Part A MA Interaction Term (Percent, CY)</t>
  </si>
  <si>
    <t>Part B MA Interaction Term (Percent, CY)</t>
  </si>
  <si>
    <t>Part B Premium Interaction Term (Percent, CY)</t>
  </si>
  <si>
    <t xml:space="preserve">Checks to confirm that the policy start and end date align with the yearly inputs. </t>
  </si>
  <si>
    <t>Checks to confirm that FY components = FY Total</t>
  </si>
  <si>
    <t>Checks to confirm that MA components = MA Total</t>
  </si>
  <si>
    <t>i) Checks (Pass/Fail)</t>
  </si>
  <si>
    <t>ii) Benefits Estimate</t>
  </si>
  <si>
    <t>iii) Part B Premium Estimate</t>
  </si>
  <si>
    <t>Budget Authority (Millions, FY, cash)</t>
  </si>
  <si>
    <t>Outlays (Millions, FY, cash)</t>
  </si>
  <si>
    <t>iv) Total Effect</t>
  </si>
  <si>
    <t>MPFS spending after payment change, after behavioral response</t>
  </si>
  <si>
    <t>Change in MPFS FFS spending due to payment change</t>
  </si>
  <si>
    <t>Change in MPFS FFS spending due to behavioral response</t>
  </si>
  <si>
    <t>Total change in MPFS FFS spending associated with policy (Millions, CY, incurred)</t>
  </si>
  <si>
    <t>3) Calculation of MPFS spending changes</t>
  </si>
  <si>
    <t>4) Summary of FFS spending changes</t>
  </si>
  <si>
    <t>MPFS spending after payment change, before behavioral response</t>
  </si>
  <si>
    <t xml:space="preserve">Policy Parameter: Temproary change in the MPFS conversion factor </t>
  </si>
  <si>
    <t>License, disclaimers, disclosures</t>
  </si>
  <si>
    <t>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</si>
</sst>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3" formatCode="_(* #,##0.00_);_(* \(#,##0.00\);_(* &quot;-&quot;??_);_(@_)"/>
    <numFmt numFmtId="164" formatCode="0.000"/>
    <numFmt numFmtId="165" formatCode="_(* #,##0_);_(* \(#,##0\);_(* &quot;-&quot;??_);_(@_)"/>
    <numFmt numFmtId="166" formatCode="0.0%"/>
  </numFmts>
  <fonts count="28" x14ac:knownFonts="1">
    <font>
      <sz val="11"/>
      <color theme="1"/>
      <name val="Calibri"/>
      <family val="2"/>
      <scheme val="minor"/>
    </font>
    <font>
      <b/>
      <sz val="18"/>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FF0000"/>
      <name val="Calibri"/>
      <family val="2"/>
      <scheme val="minor"/>
    </font>
    <font>
      <sz val="11"/>
      <color rgb="FF335EB3"/>
      <name val="Calibri"/>
      <family val="2"/>
      <scheme val="minor"/>
    </font>
    <font>
      <sz val="11"/>
      <color theme="1"/>
      <name val="Calibri"/>
      <family val="2"/>
      <scheme val="minor"/>
    </font>
    <font>
      <i/>
      <sz val="11"/>
      <color theme="1"/>
      <name val="Calibri"/>
      <family val="2"/>
      <scheme val="minor"/>
    </font>
    <font>
      <b/>
      <sz val="11"/>
      <color rgb="FF00B050"/>
      <name val="Calibri"/>
      <family val="2"/>
      <scheme val="minor"/>
    </font>
    <font>
      <sz val="11"/>
      <color rgb="FF00B050"/>
      <name val="Calibri"/>
      <family val="2"/>
      <scheme val="minor"/>
    </font>
    <font>
      <i/>
      <sz val="1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b/>
      <i/>
      <sz val="11"/>
      <color theme="1"/>
      <name val="Calibri"/>
      <family val="2"/>
      <scheme val="minor"/>
    </font>
    <font>
      <sz val="11"/>
      <color rgb="FFC00000"/>
      <name val="Calibri"/>
      <family val="2"/>
      <scheme val="minor"/>
    </font>
    <font>
      <b/>
      <sz val="11"/>
      <color rgb="FFC00000"/>
      <name val="Calibri"/>
      <family val="2"/>
      <scheme val="minor"/>
    </font>
    <font>
      <sz val="11"/>
      <color rgb="FF9C0006"/>
      <name val="Calibri"/>
      <family val="2"/>
      <scheme val="minor"/>
    </font>
    <font>
      <i/>
      <sz val="11"/>
      <color rgb="FFFF0000"/>
      <name val="Calibri"/>
      <family val="2"/>
      <scheme val="minor"/>
    </font>
    <font>
      <b/>
      <sz val="11"/>
      <color rgb="FFFF0000"/>
      <name val="Calibri"/>
      <family val="2"/>
      <scheme val="minor"/>
    </font>
    <font>
      <sz val="11"/>
      <color theme="0" tint="-0.34998626667073579"/>
      <name val="Calibri"/>
      <family val="2"/>
      <scheme val="minor"/>
    </font>
    <font>
      <i/>
      <sz val="11"/>
      <color theme="0" tint="-0.34998626667073579"/>
      <name val="Calibri"/>
      <family val="2"/>
      <scheme val="minor"/>
    </font>
    <font>
      <i/>
      <sz val="11"/>
      <color rgb="FF00B050"/>
      <name val="Calibri"/>
      <family val="2"/>
      <scheme val="minor"/>
    </font>
    <font>
      <sz val="11"/>
      <color theme="1"/>
      <name val="Arial"/>
      <family val="2"/>
    </font>
    <font>
      <b/>
      <sz val="12"/>
      <color theme="1"/>
      <name val="Arial"/>
      <family val="2"/>
    </font>
    <font>
      <b/>
      <sz val="11"/>
      <color theme="1"/>
      <name val="Arial"/>
      <family val="2"/>
    </font>
    <font>
      <u/>
      <sz val="11"/>
      <color theme="10"/>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9" tint="0.39997558519241921"/>
        <bgColor indexed="64"/>
      </patternFill>
    </fill>
  </fills>
  <borders count="6">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4">
    <xf numFmtId="0" fontId="0" fillId="0" borderId="0"/>
    <xf numFmtId="9" fontId="7" fillId="0" borderId="0" applyFont="0" applyFill="0" applyBorder="0" applyAlignment="0" applyProtection="0"/>
    <xf numFmtId="0" fontId="12" fillId="0" borderId="0" applyNumberFormat="0" applyFill="0" applyBorder="0" applyAlignment="0" applyProtection="0"/>
    <xf numFmtId="43" fontId="7" fillId="0" borderId="0" applyFont="0" applyFill="0" applyBorder="0" applyAlignment="0" applyProtection="0"/>
  </cellStyleXfs>
  <cellXfs count="120">
    <xf numFmtId="0" fontId="0" fillId="0" borderId="0" xfId="0"/>
    <xf numFmtId="0" fontId="1" fillId="0" borderId="0" xfId="0" applyFont="1"/>
    <xf numFmtId="0" fontId="2" fillId="0" borderId="0" xfId="0" applyFont="1"/>
    <xf numFmtId="0" fontId="2" fillId="2" borderId="0" xfId="0" applyFont="1" applyFill="1"/>
    <xf numFmtId="0" fontId="0" fillId="2" borderId="0" xfId="0" applyFill="1"/>
    <xf numFmtId="0" fontId="5" fillId="0" borderId="0" xfId="0" applyFont="1"/>
    <xf numFmtId="14" fontId="0" fillId="0" borderId="0" xfId="0" applyNumberFormat="1"/>
    <xf numFmtId="9" fontId="6" fillId="0" borderId="0" xfId="1" applyFont="1"/>
    <xf numFmtId="0" fontId="8" fillId="0" borderId="0" xfId="0" applyFont="1"/>
    <xf numFmtId="2" fontId="0" fillId="0" borderId="0" xfId="0" applyNumberFormat="1"/>
    <xf numFmtId="0" fontId="2" fillId="0" borderId="0" xfId="0" applyFont="1" applyAlignment="1">
      <alignment horizontal="left"/>
    </xf>
    <xf numFmtId="0" fontId="0" fillId="0" borderId="0" xfId="0" applyAlignment="1">
      <alignment horizontal="left" indent="2"/>
    </xf>
    <xf numFmtId="0" fontId="10" fillId="0" borderId="0" xfId="0" applyFont="1"/>
    <xf numFmtId="0" fontId="5" fillId="0" borderId="0" xfId="0" applyFont="1" applyProtection="1">
      <protection locked="0"/>
    </xf>
    <xf numFmtId="0" fontId="2" fillId="0" borderId="0" xfId="0" applyFont="1" applyAlignment="1">
      <alignment vertical="center" wrapText="1"/>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2" fontId="2" fillId="0" borderId="0" xfId="0" applyNumberFormat="1" applyFont="1" applyAlignment="1">
      <alignment horizontal="center" vertical="center"/>
    </xf>
    <xf numFmtId="0" fontId="0" fillId="0" borderId="0" xfId="0" applyAlignment="1">
      <alignment vertical="center" wrapText="1"/>
    </xf>
    <xf numFmtId="0" fontId="11" fillId="0" borderId="0" xfId="0" applyFont="1"/>
    <xf numFmtId="0" fontId="8" fillId="0" borderId="0" xfId="0" applyFont="1" applyAlignment="1">
      <alignment horizontal="left"/>
    </xf>
    <xf numFmtId="2" fontId="4" fillId="0" borderId="0" xfId="1" applyNumberFormat="1" applyFont="1" applyAlignment="1">
      <alignment horizontal="center" vertical="center"/>
    </xf>
    <xf numFmtId="2" fontId="0" fillId="0" borderId="0" xfId="0" applyNumberFormat="1" applyAlignment="1">
      <alignment horizontal="center" vertical="center"/>
    </xf>
    <xf numFmtId="2" fontId="4" fillId="0" borderId="0" xfId="1" applyNumberFormat="1" applyFont="1" applyFill="1" applyAlignment="1">
      <alignment horizontal="center" vertical="center"/>
    </xf>
    <xf numFmtId="9" fontId="0" fillId="0" borderId="0" xfId="1" applyFont="1" applyAlignment="1">
      <alignment horizontal="center" vertical="center"/>
    </xf>
    <xf numFmtId="0" fontId="4" fillId="0" borderId="0" xfId="0" applyFont="1" applyAlignment="1">
      <alignment vertical="center"/>
    </xf>
    <xf numFmtId="0" fontId="0" fillId="0" borderId="0" xfId="0" applyAlignment="1">
      <alignment horizontal="left" indent="1"/>
    </xf>
    <xf numFmtId="1" fontId="0" fillId="0" borderId="0" xfId="0" quotePrefix="1" applyNumberFormat="1" applyAlignment="1">
      <alignment horizontal="left" vertical="center"/>
    </xf>
    <xf numFmtId="2" fontId="14" fillId="0" borderId="0" xfId="0" applyNumberFormat="1" applyFont="1" applyAlignment="1">
      <alignment horizontal="center" vertical="center"/>
    </xf>
    <xf numFmtId="1" fontId="14" fillId="0" borderId="0" xfId="0" applyNumberFormat="1" applyFont="1" applyAlignment="1">
      <alignment horizontal="center" vertical="center"/>
    </xf>
    <xf numFmtId="0" fontId="2" fillId="0" borderId="0" xfId="0" applyFont="1" applyAlignment="1">
      <alignment horizontal="center"/>
    </xf>
    <xf numFmtId="0" fontId="2" fillId="0" borderId="0" xfId="0" applyFont="1" applyAlignment="1">
      <alignment horizontal="left" vertical="center" wrapText="1"/>
    </xf>
    <xf numFmtId="0" fontId="2" fillId="2" borderId="0" xfId="0" applyFont="1" applyFill="1" applyAlignment="1">
      <alignment horizontal="center" vertical="center"/>
    </xf>
    <xf numFmtId="0" fontId="15" fillId="0" borderId="0" xfId="0" applyFont="1"/>
    <xf numFmtId="0" fontId="15" fillId="2" borderId="0" xfId="0" applyFont="1" applyFill="1"/>
    <xf numFmtId="0" fontId="8" fillId="0" borderId="0" xfId="0" applyFont="1" applyAlignment="1">
      <alignment vertical="center" wrapText="1"/>
    </xf>
    <xf numFmtId="2" fontId="9" fillId="0" borderId="0" xfId="0" applyNumberFormat="1" applyFont="1" applyAlignment="1">
      <alignment horizontal="center" vertical="center"/>
    </xf>
    <xf numFmtId="9" fontId="16" fillId="0" borderId="0" xfId="1" applyFont="1" applyFill="1" applyAlignment="1">
      <alignment horizontal="center" vertical="center"/>
    </xf>
    <xf numFmtId="9" fontId="16" fillId="0" borderId="0" xfId="1" applyFont="1" applyAlignment="1">
      <alignment horizontal="center" vertical="center"/>
    </xf>
    <xf numFmtId="0" fontId="9"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left"/>
    </xf>
    <xf numFmtId="14" fontId="0" fillId="0" borderId="0" xfId="0" applyNumberFormat="1" applyAlignment="1">
      <alignment horizontal="center" vertical="center"/>
    </xf>
    <xf numFmtId="1" fontId="0" fillId="0" borderId="0" xfId="0" applyNumberFormat="1" applyAlignment="1">
      <alignment horizontal="center" vertical="center"/>
    </xf>
    <xf numFmtId="0" fontId="17" fillId="0" borderId="0" xfId="0" applyFont="1" applyAlignment="1">
      <alignment horizontal="center" vertical="center"/>
    </xf>
    <xf numFmtId="0" fontId="0" fillId="0" borderId="0" xfId="0" applyAlignment="1">
      <alignment horizontal="left" vertical="center" wrapText="1"/>
    </xf>
    <xf numFmtId="8" fontId="0" fillId="0" borderId="0" xfId="0" applyNumberFormat="1" applyAlignment="1">
      <alignment horizontal="center" vertical="center"/>
    </xf>
    <xf numFmtId="9" fontId="4" fillId="0" borderId="0" xfId="1" applyFont="1" applyAlignment="1">
      <alignment horizontal="center" vertical="center"/>
    </xf>
    <xf numFmtId="0" fontId="0" fillId="0" borderId="0" xfId="0" applyAlignment="1">
      <alignment horizontal="left" vertical="center"/>
    </xf>
    <xf numFmtId="164" fontId="0" fillId="0" borderId="0" xfId="0" applyNumberFormat="1"/>
    <xf numFmtId="10" fontId="5" fillId="0" borderId="0" xfId="0" applyNumberFormat="1" applyFont="1"/>
    <xf numFmtId="0" fontId="0" fillId="0" borderId="0" xfId="0" applyAlignment="1">
      <alignment vertical="top"/>
    </xf>
    <xf numFmtId="10" fontId="0" fillId="0" borderId="0" xfId="1" applyNumberFormat="1" applyFont="1"/>
    <xf numFmtId="1" fontId="0" fillId="0" borderId="0" xfId="0" applyNumberFormat="1"/>
    <xf numFmtId="3" fontId="0" fillId="0" borderId="0" xfId="0" applyNumberFormat="1"/>
    <xf numFmtId="0" fontId="18" fillId="0" borderId="0" xfId="0" applyFont="1" applyAlignment="1">
      <alignment horizontal="center" vertical="center"/>
    </xf>
    <xf numFmtId="1" fontId="4" fillId="0" borderId="0" xfId="0" quotePrefix="1" applyNumberFormat="1" applyFont="1" applyAlignment="1">
      <alignment horizontal="right" vertical="center"/>
    </xf>
    <xf numFmtId="8" fontId="0" fillId="0" borderId="0" xfId="0" applyNumberFormat="1"/>
    <xf numFmtId="0" fontId="0" fillId="0" borderId="0" xfId="0" applyAlignment="1">
      <alignment horizontal="left" indent="4"/>
    </xf>
    <xf numFmtId="166" fontId="0" fillId="0" borderId="0" xfId="0" applyNumberFormat="1"/>
    <xf numFmtId="0" fontId="19" fillId="0" borderId="0" xfId="0" applyFont="1"/>
    <xf numFmtId="0" fontId="0" fillId="0" borderId="1" xfId="0" applyBorder="1" applyAlignment="1">
      <alignment horizontal="center" vertical="center"/>
    </xf>
    <xf numFmtId="0" fontId="0" fillId="0" borderId="2" xfId="0" applyBorder="1" applyAlignment="1">
      <alignment horizontal="center" vertical="center"/>
    </xf>
    <xf numFmtId="0" fontId="20" fillId="0" borderId="0" xfId="0" applyFont="1"/>
    <xf numFmtId="0" fontId="21" fillId="0" borderId="0" xfId="0" applyFont="1"/>
    <xf numFmtId="0" fontId="13" fillId="0" borderId="0" xfId="0" applyFont="1" applyAlignment="1">
      <alignment horizontal="left"/>
    </xf>
    <xf numFmtId="14" fontId="0" fillId="0" borderId="0" xfId="0" applyNumberFormat="1" applyAlignment="1">
      <alignment horizontal="center"/>
    </xf>
    <xf numFmtId="0" fontId="22" fillId="0" borderId="0" xfId="0" applyFont="1" applyAlignment="1">
      <alignment horizontal="left" vertical="center"/>
    </xf>
    <xf numFmtId="0" fontId="8" fillId="0" borderId="0" xfId="0" applyFont="1" applyAlignment="1">
      <alignment horizontal="left" indent="1"/>
    </xf>
    <xf numFmtId="2" fontId="17" fillId="0" borderId="0" xfId="0" applyNumberFormat="1" applyFont="1" applyAlignment="1">
      <alignment horizontal="center" vertical="center"/>
    </xf>
    <xf numFmtId="0" fontId="21" fillId="0" borderId="0" xfId="0" applyFont="1" applyAlignment="1">
      <alignment horizontal="left" vertical="center"/>
    </xf>
    <xf numFmtId="1" fontId="4" fillId="0" borderId="0" xfId="0" quotePrefix="1" applyNumberFormat="1" applyFont="1" applyAlignment="1">
      <alignment horizontal="left" vertical="center"/>
    </xf>
    <xf numFmtId="0" fontId="0" fillId="0" borderId="0" xfId="0" quotePrefix="1"/>
    <xf numFmtId="0" fontId="3" fillId="2" borderId="0" xfId="0" applyFont="1" applyFill="1"/>
    <xf numFmtId="0" fontId="4" fillId="2" borderId="0" xfId="0" applyFont="1" applyFill="1"/>
    <xf numFmtId="0" fontId="4" fillId="2" borderId="0" xfId="0" quotePrefix="1" applyFont="1" applyFill="1"/>
    <xf numFmtId="0" fontId="23" fillId="0" borderId="0" xfId="0" applyFont="1"/>
    <xf numFmtId="0" fontId="0" fillId="0" borderId="0" xfId="0" applyAlignment="1">
      <alignment horizontal="center"/>
    </xf>
    <xf numFmtId="14" fontId="4" fillId="0" borderId="0" xfId="0" applyNumberFormat="1" applyFont="1"/>
    <xf numFmtId="0" fontId="4" fillId="0" borderId="0" xfId="0" applyFont="1"/>
    <xf numFmtId="2" fontId="4" fillId="0" borderId="0" xfId="0" applyNumberFormat="1" applyFont="1" applyAlignment="1">
      <alignment horizontal="center" vertical="center"/>
    </xf>
    <xf numFmtId="0" fontId="14" fillId="0" borderId="0" xfId="0" applyFont="1" applyAlignment="1">
      <alignment horizontal="left"/>
    </xf>
    <xf numFmtId="0" fontId="9" fillId="2" borderId="0" xfId="0" applyFont="1" applyFill="1" applyAlignment="1">
      <alignment horizontal="center" vertical="center"/>
    </xf>
    <xf numFmtId="2" fontId="2" fillId="2" borderId="0" xfId="0" applyNumberFormat="1" applyFont="1" applyFill="1" applyAlignment="1">
      <alignment horizontal="center" vertical="center"/>
    </xf>
    <xf numFmtId="2" fontId="9" fillId="2" borderId="0" xfId="0" applyNumberFormat="1" applyFont="1" applyFill="1" applyAlignment="1">
      <alignment horizontal="center" vertical="center"/>
    </xf>
    <xf numFmtId="1" fontId="14" fillId="2" borderId="0" xfId="0" applyNumberFormat="1" applyFont="1" applyFill="1" applyAlignment="1">
      <alignment horizontal="center" vertical="center"/>
    </xf>
    <xf numFmtId="2" fontId="14" fillId="2" borderId="0" xfId="0" applyNumberFormat="1" applyFont="1" applyFill="1" applyAlignment="1">
      <alignment horizontal="center" vertical="center"/>
    </xf>
    <xf numFmtId="10" fontId="4" fillId="0" borderId="0" xfId="0" applyNumberFormat="1" applyFont="1"/>
    <xf numFmtId="1" fontId="4" fillId="0" borderId="0" xfId="0" applyNumberFormat="1" applyFont="1" applyAlignment="1">
      <alignment horizontal="center" vertical="center"/>
    </xf>
    <xf numFmtId="0" fontId="3" fillId="0" borderId="0" xfId="0" applyFont="1"/>
    <xf numFmtId="165" fontId="4" fillId="0" borderId="0" xfId="3" applyNumberFormat="1" applyFont="1"/>
    <xf numFmtId="3" fontId="4" fillId="0" borderId="0" xfId="0" applyNumberFormat="1" applyFont="1"/>
    <xf numFmtId="0" fontId="4" fillId="0" borderId="0" xfId="0" applyFont="1" applyAlignment="1">
      <alignment wrapText="1"/>
    </xf>
    <xf numFmtId="10" fontId="0" fillId="0" borderId="0" xfId="0" applyNumberFormat="1"/>
    <xf numFmtId="9" fontId="0" fillId="0" borderId="0" xfId="0" applyNumberFormat="1"/>
    <xf numFmtId="3" fontId="4" fillId="0" borderId="0" xfId="0" applyNumberFormat="1" applyFont="1" applyAlignment="1">
      <alignment horizontal="center" vertical="center"/>
    </xf>
    <xf numFmtId="1" fontId="4" fillId="2" borderId="0" xfId="0" applyNumberFormat="1" applyFont="1" applyFill="1" applyAlignment="1">
      <alignment horizontal="center" vertical="center"/>
    </xf>
    <xf numFmtId="3" fontId="4" fillId="2" borderId="0" xfId="0" applyNumberFormat="1" applyFont="1" applyFill="1" applyAlignment="1">
      <alignment horizontal="center" vertical="center"/>
    </xf>
    <xf numFmtId="3" fontId="5" fillId="0" borderId="0" xfId="0" applyNumberFormat="1" applyFont="1"/>
    <xf numFmtId="9" fontId="4" fillId="0" borderId="0" xfId="1" applyFont="1" applyFill="1" applyAlignment="1">
      <alignment horizontal="center" vertical="center"/>
    </xf>
    <xf numFmtId="0" fontId="4" fillId="0" borderId="0" xfId="0" applyFont="1" applyAlignment="1">
      <alignment horizontal="left" vertical="center"/>
    </xf>
    <xf numFmtId="9" fontId="4" fillId="0" borderId="0" xfId="1" applyFont="1"/>
    <xf numFmtId="0" fontId="0" fillId="3" borderId="0" xfId="0" applyFill="1"/>
    <xf numFmtId="0" fontId="24" fillId="3" borderId="0" xfId="0" applyFont="1" applyFill="1" applyAlignment="1">
      <alignment horizontal="left"/>
    </xf>
    <xf numFmtId="0" fontId="25" fillId="3" borderId="0" xfId="0" applyFont="1" applyFill="1" applyAlignment="1">
      <alignment horizontal="left"/>
    </xf>
    <xf numFmtId="0" fontId="0" fillId="3" borderId="0" xfId="0" applyFill="1" applyAlignment="1">
      <alignment horizontal="left"/>
    </xf>
    <xf numFmtId="0" fontId="26" fillId="3" borderId="0" xfId="0" applyFont="1" applyFill="1" applyAlignment="1">
      <alignment horizontal="left"/>
    </xf>
    <xf numFmtId="0" fontId="24" fillId="3" borderId="0" xfId="0" applyFont="1" applyFill="1"/>
    <xf numFmtId="0" fontId="27" fillId="3" borderId="0" xfId="2" applyFont="1" applyFill="1" applyAlignment="1"/>
    <xf numFmtId="0" fontId="25" fillId="3" borderId="0" xfId="0" applyFont="1" applyFill="1"/>
    <xf numFmtId="0" fontId="0" fillId="0" borderId="0" xfId="0" applyAlignment="1">
      <alignment vertical="top" wrapText="1"/>
    </xf>
    <xf numFmtId="0" fontId="12" fillId="0" borderId="0" xfId="2" applyAlignment="1">
      <alignment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8" fillId="0" borderId="0" xfId="0" applyFont="1" applyAlignment="1">
      <alignment wrapText="1"/>
    </xf>
    <xf numFmtId="0" fontId="0" fillId="0" borderId="0" xfId="0" applyAlignment="1">
      <alignment wrapText="1"/>
    </xf>
    <xf numFmtId="0" fontId="0" fillId="4" borderId="0" xfId="0" applyFill="1" applyAlignment="1">
      <alignment horizontal="left" vertical="center"/>
    </xf>
    <xf numFmtId="0" fontId="2" fillId="0" borderId="0" xfId="0" applyFont="1" applyAlignment="1">
      <alignment horizontal="center" vertical="center" wrapText="1"/>
    </xf>
  </cellXfs>
  <cellStyles count="4">
    <cellStyle name="Comma" xfId="3" builtinId="3"/>
    <cellStyle name="Hyperlink" xfId="2" builtinId="8"/>
    <cellStyle name="Normal" xfId="0" builtinId="0"/>
    <cellStyle name="Percent" xfId="1" builtinId="5"/>
  </cellStyles>
  <dxfs count="6">
    <dxf>
      <fill>
        <patternFill>
          <bgColor theme="9" tint="0.39994506668294322"/>
        </patternFill>
      </fill>
    </dxf>
    <dxf>
      <fill>
        <patternFill>
          <bgColor rgb="FFFF9999"/>
        </patternFill>
      </fill>
    </dxf>
    <dxf>
      <fill>
        <patternFill>
          <bgColor rgb="FFFF6969"/>
        </patternFill>
      </fill>
    </dxf>
    <dxf>
      <font>
        <color theme="1"/>
      </font>
      <fill>
        <patternFill>
          <bgColor rgb="FFFF6969"/>
        </patternFill>
      </fill>
    </dxf>
    <dxf>
      <fill>
        <patternFill>
          <bgColor theme="9" tint="0.39994506668294322"/>
        </patternFill>
      </fill>
    </dxf>
    <dxf>
      <fill>
        <patternFill>
          <bgColor rgb="FFFF6969"/>
        </patternFill>
      </fill>
    </dxf>
  </dxfs>
  <tableStyles count="0" defaultTableStyle="TableStyleMedium2" defaultPivotStyle="PivotStyleLight16"/>
  <colors>
    <mruColors>
      <color rgb="FF9C0006"/>
      <color rgb="FFFF7C80"/>
      <color rgb="FFFF9999"/>
      <color rgb="FFFF6969"/>
      <color rgb="FFFF697B"/>
      <color rgb="FFFFCDCD"/>
      <color rgb="FFFFCCCC"/>
      <color rgb="FFFFC1C1"/>
      <color rgb="FFFFAFAF"/>
      <color rgb="FFFCC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200024</xdr:colOff>
      <xdr:row>0</xdr:row>
      <xdr:rowOff>152402</xdr:rowOff>
    </xdr:from>
    <xdr:to>
      <xdr:col>18</xdr:col>
      <xdr:colOff>304800</xdr:colOff>
      <xdr:row>49</xdr:row>
      <xdr:rowOff>146050</xdr:rowOff>
    </xdr:to>
    <xdr:sp macro="" textlink="">
      <xdr:nvSpPr>
        <xdr:cNvPr id="2" name="TextBox 1">
          <a:extLst>
            <a:ext uri="{FF2B5EF4-FFF2-40B4-BE49-F238E27FC236}">
              <a16:creationId xmlns:a16="http://schemas.microsoft.com/office/drawing/2014/main" id="{3808F1F8-90BE-4618-94CD-E22819EE1A47}"/>
            </a:ext>
          </a:extLst>
        </xdr:cNvPr>
        <xdr:cNvSpPr txBox="1"/>
      </xdr:nvSpPr>
      <xdr:spPr>
        <a:xfrm>
          <a:off x="200024" y="152402"/>
          <a:ext cx="9953626" cy="9074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latin typeface="Arial" panose="020B0604020202020204" pitchFamily="34" charset="0"/>
              <a:cs typeface="Arial" panose="020B0604020202020204" pitchFamily="34" charset="0"/>
            </a:rPr>
            <a:t>Medicare Physician Fee Schedule Payment Increase Model</a:t>
          </a:r>
        </a:p>
        <a:p>
          <a:r>
            <a:rPr lang="en-US" sz="1200" b="1" baseline="0">
              <a:solidFill>
                <a:sysClr val="windowText" lastClr="000000"/>
              </a:solidFill>
              <a:latin typeface="Arial" panose="020B0604020202020204" pitchFamily="34" charset="0"/>
              <a:cs typeface="Arial" panose="020B0604020202020204" pitchFamily="34" charset="0"/>
            </a:rPr>
            <a:t>Posted February 20, 2026</a:t>
          </a:r>
          <a:endParaRPr lang="en-US" sz="1200" b="1">
            <a:solidFill>
              <a:sysClr val="windowText" lastClr="000000"/>
            </a:solidFill>
            <a:latin typeface="Arial" panose="020B0604020202020204" pitchFamily="34" charset="0"/>
            <a:cs typeface="Arial" panose="020B0604020202020204" pitchFamily="34" charset="0"/>
          </a:endParaRPr>
        </a:p>
        <a:p>
          <a:endParaRPr lang="en-US" sz="1100">
            <a:solidFill>
              <a:sysClr val="windowText" lastClr="000000"/>
            </a:solidFill>
          </a:endParaRPr>
        </a:p>
        <a:p>
          <a:pPr>
            <a:lnSpc>
              <a:spcPct val="108000"/>
            </a:lnSpc>
            <a:spcAft>
              <a:spcPts val="200"/>
            </a:spcAft>
          </a:pPr>
          <a:r>
            <a:rPr lang="en-US" sz="1200" b="1">
              <a:solidFill>
                <a:sysClr val="windowText" lastClr="000000"/>
              </a:solidFill>
              <a:effectLst/>
              <a:latin typeface="Arial" panose="020B0604020202020204" pitchFamily="34" charset="0"/>
              <a:ea typeface="+mn-ea"/>
              <a:cs typeface="Arial" panose="020B0604020202020204" pitchFamily="34" charset="0"/>
            </a:rPr>
            <a:t>What This Model Does</a:t>
          </a:r>
          <a:endParaRPr lang="en-US" sz="1200">
            <a:solidFill>
              <a:sysClr val="windowText" lastClr="00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8000"/>
            </a:lnSpc>
            <a:spcBef>
              <a:spcPts val="0"/>
            </a:spcBef>
            <a:spcAft>
              <a:spcPts val="0"/>
            </a:spcAft>
            <a:buClrTx/>
            <a:buSzTx/>
            <a:buFontTx/>
            <a:buNone/>
            <a:tabLst/>
            <a:defRPr/>
          </a:pPr>
          <a:r>
            <a:rPr lang="en-US" sz="1100">
              <a:solidFill>
                <a:sysClr val="windowText" lastClr="000000"/>
              </a:solidFill>
              <a:effectLst/>
              <a:latin typeface="Arial" panose="020B0604020202020204" pitchFamily="34" charset="0"/>
              <a:ea typeface="+mn-ea"/>
              <a:cs typeface="Arial" panose="020B0604020202020204" pitchFamily="34" charset="0"/>
            </a:rPr>
            <a:t>This model is used to estimate the budgetary effects of temporary payment increases in the Medicare physician</a:t>
          </a:r>
          <a:r>
            <a:rPr lang="en-US" sz="1100" baseline="0">
              <a:solidFill>
                <a:sysClr val="windowText" lastClr="000000"/>
              </a:solidFill>
              <a:effectLst/>
              <a:latin typeface="Arial" panose="020B0604020202020204" pitchFamily="34" charset="0"/>
              <a:ea typeface="+mn-ea"/>
              <a:cs typeface="Arial" panose="020B0604020202020204" pitchFamily="34" charset="0"/>
            </a:rPr>
            <a:t> fee schedule </a:t>
          </a:r>
          <a:r>
            <a:rPr lang="en-US" sz="1100">
              <a:solidFill>
                <a:sysClr val="windowText" lastClr="000000"/>
              </a:solidFill>
              <a:effectLst/>
              <a:latin typeface="Arial" panose="020B0604020202020204" pitchFamily="34" charset="0"/>
              <a:ea typeface="+mn-ea"/>
              <a:cs typeface="Arial" panose="020B0604020202020204" pitchFamily="34" charset="0"/>
            </a:rPr>
            <a:t>(MPFS), relative to CBO’s February 2026 baseline projections. On the summary tab, users can input temporary increases</a:t>
          </a:r>
          <a:r>
            <a:rPr lang="en-US" sz="1100" baseline="0">
              <a:solidFill>
                <a:sysClr val="windowText" lastClr="000000"/>
              </a:solidFill>
              <a:effectLst/>
              <a:latin typeface="Arial" panose="020B0604020202020204" pitchFamily="34" charset="0"/>
              <a:ea typeface="+mn-ea"/>
              <a:cs typeface="Arial" panose="020B0604020202020204" pitchFamily="34" charset="0"/>
            </a:rPr>
            <a:t> by calendar year. </a:t>
          </a:r>
          <a:r>
            <a:rPr kumimoji="0" lang="en-US" sz="11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By default, this model incorporates a policy that would temporarily increase the MPFS conversion factor under current law by 2.5% in calendar year 2027.</a:t>
          </a: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 </a:t>
          </a:r>
        </a:p>
        <a:p>
          <a:pPr>
            <a:lnSpc>
              <a:spcPct val="108000"/>
            </a:lnSpc>
            <a:spcAft>
              <a:spcPts val="200"/>
            </a:spcAft>
          </a:pPr>
          <a:r>
            <a:rPr lang="en-US" sz="1200" b="1">
              <a:solidFill>
                <a:sysClr val="windowText" lastClr="000000"/>
              </a:solidFill>
              <a:effectLst/>
              <a:latin typeface="Arial" panose="020B0604020202020204" pitchFamily="34" charset="0"/>
              <a:ea typeface="+mn-ea"/>
              <a:cs typeface="Arial" panose="020B0604020202020204" pitchFamily="34" charset="0"/>
            </a:rPr>
            <a:t>Background</a:t>
          </a:r>
          <a:endParaRPr lang="en-US" sz="12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The MPFS is a payment system that reimburses healthcare providers for the services they provide to Medicare beneficiaries. Under that system, services performed by physicians, nurse practitioners, and other healthcare professionals are assigned a fee. That fee accounts for the relative costs of providing a service as well as the geographic location where that service is rendered. To calculate fees, a systemwide conversion factor (base payment rate) is multiplied by a service-specific relative value unit . </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 </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Under current law, separate conversion factors exist for physicians who are qualifying APM participants and for those who are not. In 2026, the qualifying Alternative Payment Model (APM) conversion factor is $33.5675. The non-qualifying APM conversion factor is $33.4009.</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 </a:t>
          </a:r>
        </a:p>
        <a:p>
          <a:pPr>
            <a:lnSpc>
              <a:spcPct val="108000"/>
            </a:lnSpc>
            <a:spcAft>
              <a:spcPts val="200"/>
            </a:spcAft>
          </a:pPr>
          <a:r>
            <a:rPr lang="en-US" sz="1200" b="1">
              <a:solidFill>
                <a:sysClr val="windowText" lastClr="000000"/>
              </a:solidFill>
              <a:effectLst/>
              <a:latin typeface="Arial" panose="020B0604020202020204" pitchFamily="34" charset="0"/>
              <a:ea typeface="+mn-ea"/>
              <a:cs typeface="Arial" panose="020B0604020202020204" pitchFamily="34" charset="0"/>
            </a:rPr>
            <a:t>Projection Strategy</a:t>
          </a:r>
          <a:endParaRPr lang="en-US" sz="12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1. Inputs</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The model uses the following inputs: </a:t>
          </a:r>
        </a:p>
        <a:p>
          <a:pPr marL="182880">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CBO’s February 2026 baseline projections of MPFS spending,</a:t>
          </a:r>
        </a:p>
        <a:p>
          <a:pPr marL="182880">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CBO’s supply elasticity for increases in utilization resulting from increased payments to physicians,</a:t>
          </a:r>
        </a:p>
        <a:p>
          <a:pPr marL="182880">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CBO’s Medicare Advantage (MA) interaction percentage,</a:t>
          </a:r>
        </a:p>
        <a:p>
          <a:pPr marL="182880">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CBO’s Part B premiums interaction percentage, and</a:t>
          </a:r>
        </a:p>
        <a:p>
          <a:pPr marL="182880">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Policy parameters: temporary increase in the conversion factor.</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 </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2. Calculations</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The model calculates the effects of changes in the conversion factor on MPFS spending with two steps: </a:t>
          </a:r>
        </a:p>
        <a:p>
          <a:pPr marL="182880">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First, it calculates the effect of a 2.5% increase in physician payments. </a:t>
          </a:r>
        </a:p>
        <a:p>
          <a:pPr marL="182880">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Second, it applies a supply elasticity to reflect the induced supply from an increase in payments to physicians.</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Next the model calculates the effects that changes in MPFS fee-for</a:t>
          </a:r>
          <a:r>
            <a:rPr lang="en-US" sz="1100" baseline="0">
              <a:solidFill>
                <a:sysClr val="windowText" lastClr="000000"/>
              </a:solidFill>
              <a:effectLst/>
              <a:latin typeface="Arial" panose="020B0604020202020204" pitchFamily="34" charset="0"/>
              <a:ea typeface="+mn-ea"/>
              <a:cs typeface="Arial" panose="020B0604020202020204" pitchFamily="34" charset="0"/>
            </a:rPr>
            <a:t>-service (</a:t>
          </a:r>
          <a:r>
            <a:rPr lang="en-US" sz="1100">
              <a:solidFill>
                <a:sysClr val="windowText" lastClr="000000"/>
              </a:solidFill>
              <a:effectLst/>
              <a:latin typeface="Arial" panose="020B0604020202020204" pitchFamily="34" charset="0"/>
              <a:ea typeface="+mn-ea"/>
              <a:cs typeface="Arial" panose="020B0604020202020204" pitchFamily="34" charset="0"/>
            </a:rPr>
            <a:t>FFS) spending have on MA payments and Part B premium receipts. </a:t>
          </a:r>
        </a:p>
        <a:p>
          <a:pPr marL="182880">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MA payments are determined by benchmarks that are linked to expected FFS spending. As a result, increases in FFS spending generally lead to increases in MA spending. For example, CBO assumes that, in 2027, each additional $1.00 of Part B FFS spending will increase MA spending by $1.29. This ratio increases over time as a growing share of Medicare beneficiaries enrolls in MA. CBO makes this assumption by combining enrollment and spending trends from CBO’s baseline with results from a payment simulation based on MA bid data. </a:t>
          </a:r>
        </a:p>
        <a:p>
          <a:pPr marL="182880">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In general, Part B premium receipts offset roughly 25% of Part B outlays. CBO compares Part B premium receipts projections to Part B benefit outlay projections to calculate Part B premium receipts.</a:t>
          </a:r>
        </a:p>
        <a:p>
          <a:pPr marL="182880">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The model translates calendar year and incurred cost estimates into fiscal year, cash cost estimates. </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 </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3. Outputs</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The model produces annual estimates of a policy’s effects on federal budget authority and outlays over the budget window. </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200" b="1">
              <a:solidFill>
                <a:sysClr val="windowText" lastClr="000000"/>
              </a:solidFill>
              <a:effectLst/>
              <a:latin typeface="Arial" panose="020B0604020202020204" pitchFamily="34" charset="0"/>
              <a:ea typeface="+mn-ea"/>
              <a:cs typeface="Arial" panose="020B0604020202020204" pitchFamily="34" charset="0"/>
            </a:rPr>
            <a:t>Acknowledgements</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The Medicare physician fee schedule payment increase model was developed by Sarah Sajewski, Julia Sheriff, and Katherine</a:t>
          </a:r>
          <a:r>
            <a:rPr lang="en-US" sz="1100" baseline="0">
              <a:solidFill>
                <a:sysClr val="windowText" lastClr="000000"/>
              </a:solidFill>
              <a:effectLst/>
              <a:latin typeface="Arial" panose="020B0604020202020204" pitchFamily="34" charset="0"/>
              <a:ea typeface="+mn-ea"/>
              <a:cs typeface="Arial" panose="020B0604020202020204" pitchFamily="34" charset="0"/>
            </a:rPr>
            <a:t> Kim.</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spcAft>
              <a:spcPts val="200"/>
            </a:spcAft>
          </a:pPr>
          <a:r>
            <a:rPr lang="en-US" sz="1200" b="1">
              <a:solidFill>
                <a:sysClr val="windowText" lastClr="000000"/>
              </a:solidFill>
              <a:effectLst/>
              <a:latin typeface="Arial" panose="020B0604020202020204" pitchFamily="34" charset="0"/>
              <a:ea typeface="+mn-ea"/>
              <a:cs typeface="Arial" panose="020B0604020202020204" pitchFamily="34" charset="0"/>
            </a:rPr>
            <a:t>Disclaimer</a:t>
          </a:r>
          <a:endParaRPr lang="en-US" sz="12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This model illustrates the methodology that CBO uses to project the budgetary effects of policies that would increase Medicare physician fee schedule payments.</a:t>
          </a: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The budget authority and outlay data generated by this model do not constitute a CBO estimate.  </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200024</xdr:colOff>
      <xdr:row>0</xdr:row>
      <xdr:rowOff>152402</xdr:rowOff>
    </xdr:from>
    <xdr:to>
      <xdr:col>18</xdr:col>
      <xdr:colOff>304800</xdr:colOff>
      <xdr:row>18</xdr:row>
      <xdr:rowOff>82550</xdr:rowOff>
    </xdr:to>
    <xdr:sp macro="" textlink="">
      <xdr:nvSpPr>
        <xdr:cNvPr id="2" name="TextBox 1">
          <a:extLst>
            <a:ext uri="{FF2B5EF4-FFF2-40B4-BE49-F238E27FC236}">
              <a16:creationId xmlns:a16="http://schemas.microsoft.com/office/drawing/2014/main" id="{875E703D-3D93-4D74-AF1B-CDCDBA1259B4}"/>
            </a:ext>
          </a:extLst>
        </xdr:cNvPr>
        <xdr:cNvSpPr txBox="1"/>
      </xdr:nvSpPr>
      <xdr:spPr>
        <a:xfrm>
          <a:off x="200024" y="152402"/>
          <a:ext cx="9953626" cy="32448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8000"/>
            </a:lnSpc>
          </a:pPr>
          <a:r>
            <a:rPr lang="en-US" sz="1100" b="1">
              <a:solidFill>
                <a:sysClr val="windowText" lastClr="000000"/>
              </a:solidFill>
              <a:effectLst/>
              <a:latin typeface="Arial" panose="020B0604020202020204" pitchFamily="34" charset="0"/>
              <a:ea typeface="+mn-ea"/>
              <a:cs typeface="Arial" panose="020B0604020202020204" pitchFamily="34" charset="0"/>
            </a:rPr>
            <a:t>License</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The model and documentation contained in the package were created by CBO employees in their official capacity. Therefore, they are not subject to copyright and are in the public domain in the United States. Users may copy, modify, distribute, and perform the package because it is in the public domain. CBO requests that those modifying the model clearly identify and accurately attribute authorship for all modifications.</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b="1">
              <a:solidFill>
                <a:sysClr val="windowText" lastClr="000000"/>
              </a:solidFill>
              <a:effectLst/>
              <a:latin typeface="Arial" panose="020B0604020202020204" pitchFamily="34" charset="0"/>
              <a:ea typeface="+mn-ea"/>
              <a:cs typeface="Arial" panose="020B0604020202020204" pitchFamily="34" charset="0"/>
            </a:rPr>
            <a:t>Disclaimer</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CBO is providing the package "as is" and disclaims any and all warranties, express or implied, including without limitation any implied warranty of merchantability or fitness for a particular purpose. Users assume the entire risk related to their use of the package, including updates. In no event will CBO be liable to any party for any direct, indirect, incidental, consequential, special, or exemplary damages or lost profit related to the package, including installation or use of the package, any related data, or other materials accompanying the package.</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b="1">
              <a:solidFill>
                <a:sysClr val="windowText" lastClr="000000"/>
              </a:solidFill>
              <a:effectLst/>
              <a:latin typeface="Arial" panose="020B0604020202020204" pitchFamily="34" charset="0"/>
              <a:ea typeface="+mn-ea"/>
              <a:cs typeface="Arial" panose="020B0604020202020204" pitchFamily="34" charset="0"/>
            </a:rPr>
            <a:t>Disclosures</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CBO has verified the accuracy of the results produced when using the package for its own analyses and publications but not for other purposes. Using the package with other data or for other purposes may not produce accurate results.</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cbo.gov/system/files/2020-12/56811-Single-Payer.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D0DC5-F2FB-490E-BE45-02A79AAF91E1}">
  <dimension ref="A28:I68"/>
  <sheetViews>
    <sheetView tabSelected="1" zoomScaleNormal="100" workbookViewId="0">
      <selection activeCell="T13" sqref="T13"/>
    </sheetView>
  </sheetViews>
  <sheetFormatPr defaultColWidth="9" defaultRowHeight="14.5" x14ac:dyDescent="0.35"/>
  <cols>
    <col min="1" max="1" width="3" style="103" customWidth="1"/>
    <col min="2" max="4" width="9" style="103"/>
    <col min="5" max="5" width="3.7265625" style="103" customWidth="1"/>
    <col min="6" max="6" width="9" style="103"/>
    <col min="7" max="7" width="4.54296875" style="103" customWidth="1"/>
    <col min="8" max="8" width="3.7265625" style="103" customWidth="1"/>
    <col min="9" max="16384" width="9" style="103"/>
  </cols>
  <sheetData>
    <row r="28" spans="1:6" s="108" customFormat="1" ht="15.5" x14ac:dyDescent="0.35">
      <c r="A28" s="110"/>
      <c r="B28" s="104"/>
      <c r="C28" s="104"/>
      <c r="D28" s="104"/>
      <c r="E28" s="104"/>
      <c r="F28" s="104"/>
    </row>
    <row r="29" spans="1:6" s="108" customFormat="1" ht="14" x14ac:dyDescent="0.3">
      <c r="A29" s="109"/>
      <c r="B29" s="104"/>
      <c r="C29" s="104"/>
      <c r="D29" s="104"/>
      <c r="E29" s="104"/>
      <c r="F29" s="104"/>
    </row>
    <row r="30" spans="1:6" x14ac:dyDescent="0.35">
      <c r="A30" s="106"/>
      <c r="B30" s="106"/>
      <c r="C30" s="106"/>
      <c r="D30" s="106"/>
      <c r="E30" s="106"/>
      <c r="F30" s="106"/>
    </row>
    <row r="31" spans="1:6" x14ac:dyDescent="0.35">
      <c r="A31" s="106"/>
      <c r="B31" s="106"/>
      <c r="C31" s="106"/>
      <c r="D31" s="106"/>
      <c r="E31" s="106"/>
      <c r="F31" s="106"/>
    </row>
    <row r="32" spans="1:6" x14ac:dyDescent="0.35">
      <c r="A32" s="106"/>
      <c r="B32" s="106"/>
      <c r="C32" s="106"/>
      <c r="D32" s="106"/>
      <c r="E32" s="106"/>
      <c r="F32" s="106"/>
    </row>
    <row r="33" spans="1:6" x14ac:dyDescent="0.35">
      <c r="A33" s="106"/>
      <c r="B33" s="106"/>
      <c r="C33" s="106"/>
      <c r="D33" s="106"/>
      <c r="E33" s="106"/>
      <c r="F33" s="106"/>
    </row>
    <row r="34" spans="1:6" x14ac:dyDescent="0.35">
      <c r="A34" s="106"/>
      <c r="B34" s="106"/>
      <c r="C34" s="106"/>
      <c r="D34" s="106"/>
      <c r="E34" s="106"/>
      <c r="F34" s="106"/>
    </row>
    <row r="35" spans="1:6" x14ac:dyDescent="0.35">
      <c r="A35" s="106"/>
      <c r="B35" s="106"/>
      <c r="C35" s="106"/>
      <c r="D35" s="106"/>
      <c r="E35" s="106"/>
      <c r="F35" s="106"/>
    </row>
    <row r="36" spans="1:6" x14ac:dyDescent="0.35">
      <c r="A36" s="106"/>
      <c r="B36" s="106"/>
      <c r="C36" s="106"/>
      <c r="D36" s="106"/>
      <c r="E36" s="106"/>
      <c r="F36" s="106"/>
    </row>
    <row r="37" spans="1:6" x14ac:dyDescent="0.35">
      <c r="A37" s="106"/>
      <c r="B37" s="106"/>
      <c r="C37" s="106"/>
      <c r="D37" s="106"/>
      <c r="E37" s="106"/>
      <c r="F37" s="106"/>
    </row>
    <row r="38" spans="1:6" x14ac:dyDescent="0.35">
      <c r="A38" s="106"/>
      <c r="B38" s="106"/>
      <c r="C38" s="106"/>
      <c r="D38" s="106"/>
      <c r="E38" s="106"/>
      <c r="F38" s="106"/>
    </row>
    <row r="39" spans="1:6" x14ac:dyDescent="0.35">
      <c r="A39" s="106"/>
      <c r="B39" s="106"/>
      <c r="C39" s="106"/>
      <c r="D39" s="106"/>
      <c r="E39" s="106"/>
      <c r="F39" s="106"/>
    </row>
    <row r="40" spans="1:6" x14ac:dyDescent="0.35">
      <c r="A40" s="106"/>
      <c r="B40" s="106"/>
      <c r="C40" s="106"/>
      <c r="D40" s="106"/>
      <c r="E40" s="106"/>
      <c r="F40" s="106"/>
    </row>
    <row r="41" spans="1:6" x14ac:dyDescent="0.35">
      <c r="A41" s="106"/>
      <c r="B41" s="106"/>
      <c r="C41" s="106"/>
      <c r="D41" s="106"/>
      <c r="E41" s="106"/>
      <c r="F41" s="106"/>
    </row>
    <row r="42" spans="1:6" x14ac:dyDescent="0.35">
      <c r="A42" s="106"/>
      <c r="B42" s="106"/>
      <c r="C42" s="106"/>
      <c r="D42" s="106"/>
      <c r="E42" s="106"/>
      <c r="F42" s="106"/>
    </row>
    <row r="43" spans="1:6" x14ac:dyDescent="0.35">
      <c r="A43" s="106"/>
      <c r="B43" s="106"/>
      <c r="C43" s="106"/>
      <c r="D43" s="106"/>
      <c r="E43" s="106"/>
      <c r="F43" s="106"/>
    </row>
    <row r="44" spans="1:6" x14ac:dyDescent="0.35">
      <c r="A44" s="106"/>
      <c r="B44" s="106"/>
      <c r="C44" s="106"/>
      <c r="D44" s="106"/>
      <c r="E44" s="106"/>
      <c r="F44" s="106"/>
    </row>
    <row r="45" spans="1:6" x14ac:dyDescent="0.35">
      <c r="A45" s="106"/>
      <c r="B45" s="106"/>
      <c r="C45" s="106"/>
      <c r="D45" s="106"/>
      <c r="E45" s="106"/>
      <c r="F45" s="106"/>
    </row>
    <row r="46" spans="1:6" s="108" customFormat="1" ht="15.5" x14ac:dyDescent="0.35">
      <c r="A46" s="105"/>
      <c r="B46" s="104"/>
      <c r="C46" s="104"/>
      <c r="D46" s="104"/>
      <c r="E46" s="104"/>
      <c r="F46" s="104"/>
    </row>
    <row r="47" spans="1:6" s="108" customFormat="1" ht="15.5" x14ac:dyDescent="0.35">
      <c r="A47" s="105"/>
      <c r="B47" s="104"/>
      <c r="C47" s="104"/>
      <c r="D47" s="104"/>
      <c r="E47" s="104"/>
      <c r="F47" s="104"/>
    </row>
    <row r="48" spans="1:6" s="108" customFormat="1" ht="15.5" x14ac:dyDescent="0.35">
      <c r="A48" s="105"/>
      <c r="B48" s="104"/>
      <c r="C48" s="104"/>
      <c r="D48" s="104"/>
      <c r="E48" s="104"/>
      <c r="F48" s="104"/>
    </row>
    <row r="49" spans="1:9" s="108" customFormat="1" ht="15.5" x14ac:dyDescent="0.35">
      <c r="A49" s="105"/>
      <c r="B49" s="104"/>
      <c r="C49" s="104"/>
      <c r="D49" s="104"/>
      <c r="E49" s="104"/>
      <c r="F49" s="104"/>
    </row>
    <row r="50" spans="1:9" s="108" customFormat="1" ht="15.5" x14ac:dyDescent="0.35">
      <c r="A50" s="105"/>
      <c r="B50" s="104"/>
      <c r="C50" s="104"/>
      <c r="D50" s="104"/>
      <c r="E50" s="104"/>
      <c r="F50" s="104"/>
    </row>
    <row r="51" spans="1:9" s="108" customFormat="1" ht="15.5" x14ac:dyDescent="0.35">
      <c r="A51" s="105"/>
      <c r="B51" s="104"/>
      <c r="C51" s="104"/>
      <c r="D51" s="104"/>
      <c r="E51" s="104"/>
      <c r="F51" s="104"/>
    </row>
    <row r="52" spans="1:9" ht="15.5" x14ac:dyDescent="0.35">
      <c r="A52" s="106"/>
      <c r="B52" s="105" t="s">
        <v>101</v>
      </c>
      <c r="C52" s="106"/>
      <c r="D52" s="106"/>
      <c r="E52" s="106"/>
      <c r="F52" s="106"/>
    </row>
    <row r="53" spans="1:9" ht="5.15" customHeight="1" x14ac:dyDescent="0.35">
      <c r="A53" s="106"/>
      <c r="B53" s="106"/>
      <c r="C53" s="106"/>
      <c r="D53" s="106"/>
      <c r="E53" s="106"/>
      <c r="F53" s="106"/>
    </row>
    <row r="54" spans="1:9" x14ac:dyDescent="0.35">
      <c r="A54" s="106"/>
      <c r="B54" s="107" t="s">
        <v>0</v>
      </c>
      <c r="C54" s="106"/>
      <c r="D54" s="106"/>
      <c r="E54" s="106"/>
      <c r="F54" s="107" t="s">
        <v>1</v>
      </c>
      <c r="I54" s="107" t="s">
        <v>2</v>
      </c>
    </row>
    <row r="55" spans="1:9" x14ac:dyDescent="0.35">
      <c r="A55" s="106"/>
      <c r="B55" s="104" t="s">
        <v>94</v>
      </c>
      <c r="C55" s="106"/>
      <c r="D55" s="106"/>
      <c r="E55" s="106"/>
      <c r="F55" s="104" t="s">
        <v>116</v>
      </c>
      <c r="I55" s="104" t="s">
        <v>115</v>
      </c>
    </row>
    <row r="56" spans="1:9" x14ac:dyDescent="0.35">
      <c r="A56" s="106"/>
      <c r="B56" s="104" t="s">
        <v>100</v>
      </c>
      <c r="C56" s="106"/>
      <c r="D56" s="106"/>
      <c r="E56" s="106"/>
      <c r="F56" s="104" t="s">
        <v>95</v>
      </c>
      <c r="I56" s="104" t="s">
        <v>114</v>
      </c>
    </row>
    <row r="57" spans="1:9" x14ac:dyDescent="0.35">
      <c r="A57" s="106"/>
      <c r="B57" s="104" t="s">
        <v>87</v>
      </c>
      <c r="C57" s="106"/>
      <c r="D57" s="106"/>
      <c r="E57" s="106"/>
      <c r="F57" s="104" t="s">
        <v>4</v>
      </c>
      <c r="I57" s="104" t="s">
        <v>113</v>
      </c>
    </row>
    <row r="58" spans="1:9" x14ac:dyDescent="0.35">
      <c r="A58" s="106"/>
      <c r="B58" s="104" t="s">
        <v>88</v>
      </c>
      <c r="C58" s="106"/>
      <c r="D58" s="106"/>
      <c r="E58" s="106"/>
      <c r="F58" s="104" t="s">
        <v>4</v>
      </c>
      <c r="I58" s="104" t="s">
        <v>112</v>
      </c>
    </row>
    <row r="59" spans="1:9" x14ac:dyDescent="0.35">
      <c r="A59" s="106"/>
      <c r="B59" s="104" t="s">
        <v>152</v>
      </c>
      <c r="C59" s="106"/>
      <c r="D59" s="106"/>
      <c r="E59" s="106"/>
      <c r="F59" s="104" t="s">
        <v>152</v>
      </c>
      <c r="I59" s="104" t="s">
        <v>151</v>
      </c>
    </row>
    <row r="60" spans="1:9" ht="18" customHeight="1" x14ac:dyDescent="0.35"/>
    <row r="61" spans="1:9" ht="15.5" x14ac:dyDescent="0.35">
      <c r="B61" s="105" t="s">
        <v>111</v>
      </c>
    </row>
    <row r="62" spans="1:9" ht="5.15" customHeight="1" x14ac:dyDescent="0.35">
      <c r="B62" s="105"/>
    </row>
    <row r="63" spans="1:9" x14ac:dyDescent="0.35">
      <c r="B63" s="104" t="s">
        <v>82</v>
      </c>
      <c r="C63" s="104" t="s">
        <v>83</v>
      </c>
    </row>
    <row r="64" spans="1:9" x14ac:dyDescent="0.35">
      <c r="B64" s="104" t="s">
        <v>23</v>
      </c>
      <c r="C64" s="104" t="s">
        <v>110</v>
      </c>
    </row>
    <row r="65" spans="2:3" x14ac:dyDescent="0.35">
      <c r="B65" s="104" t="s">
        <v>78</v>
      </c>
      <c r="C65" s="104" t="s">
        <v>109</v>
      </c>
    </row>
    <row r="66" spans="2:3" x14ac:dyDescent="0.35">
      <c r="B66" s="104" t="s">
        <v>81</v>
      </c>
      <c r="C66" s="104" t="s">
        <v>108</v>
      </c>
    </row>
    <row r="67" spans="2:3" x14ac:dyDescent="0.35">
      <c r="B67" s="104" t="s">
        <v>79</v>
      </c>
      <c r="C67" s="104" t="s">
        <v>80</v>
      </c>
    </row>
    <row r="68" spans="2:3" x14ac:dyDescent="0.35">
      <c r="B68" s="104" t="s">
        <v>77</v>
      </c>
      <c r="C68" s="104" t="s">
        <v>107</v>
      </c>
    </row>
  </sheetData>
  <pageMargins left="0.25" right="0.25" top="0.75" bottom="0.75" header="0.3" footer="0.3"/>
  <pageSetup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23A04-16D5-49D6-9B0B-118D4E8CB7B7}">
  <dimension ref="B2:S51"/>
  <sheetViews>
    <sheetView topLeftCell="A47" workbookViewId="0">
      <selection activeCell="C36" sqref="C36"/>
    </sheetView>
  </sheetViews>
  <sheetFormatPr defaultRowHeight="14.5" x14ac:dyDescent="0.35"/>
  <cols>
    <col min="1" max="1" width="3.7265625" customWidth="1"/>
    <col min="2" max="2" width="37.26953125" customWidth="1"/>
    <col min="3" max="3" width="11.453125" customWidth="1"/>
    <col min="16" max="16" width="4.54296875" customWidth="1"/>
  </cols>
  <sheetData>
    <row r="2" spans="2:18" ht="23.5" x14ac:dyDescent="0.55000000000000004">
      <c r="B2" s="1" t="s">
        <v>102</v>
      </c>
    </row>
    <row r="4" spans="2:18" x14ac:dyDescent="0.35">
      <c r="B4" t="s">
        <v>33</v>
      </c>
    </row>
    <row r="5" spans="2:18" x14ac:dyDescent="0.35">
      <c r="B5" t="s">
        <v>86</v>
      </c>
    </row>
    <row r="6" spans="2:18" x14ac:dyDescent="0.35">
      <c r="B6" t="s">
        <v>99</v>
      </c>
    </row>
    <row r="8" spans="2:18" x14ac:dyDescent="0.35">
      <c r="B8" s="3" t="str">
        <f>B4</f>
        <v>1) Policy Parameters</v>
      </c>
      <c r="C8" s="4"/>
      <c r="D8" s="4"/>
      <c r="E8" s="4"/>
      <c r="F8" s="4"/>
      <c r="G8" s="4"/>
      <c r="H8" s="4"/>
      <c r="I8" s="4"/>
      <c r="J8" s="4"/>
      <c r="K8" s="4"/>
      <c r="L8" s="4"/>
      <c r="M8" s="4"/>
      <c r="N8" s="4"/>
      <c r="O8" s="4"/>
      <c r="P8" s="4"/>
      <c r="Q8" s="4"/>
      <c r="R8" s="4"/>
    </row>
    <row r="9" spans="2:18" x14ac:dyDescent="0.35">
      <c r="B9" s="2" t="s">
        <v>104</v>
      </c>
      <c r="C9" s="2"/>
      <c r="D9" s="2"/>
      <c r="E9" s="2">
        <v>2026</v>
      </c>
      <c r="F9" s="2">
        <f t="shared" ref="F9:O9" si="0">E9+1</f>
        <v>2027</v>
      </c>
      <c r="G9" s="2">
        <f t="shared" si="0"/>
        <v>2028</v>
      </c>
      <c r="H9" s="2">
        <f t="shared" si="0"/>
        <v>2029</v>
      </c>
      <c r="I9" s="2">
        <f t="shared" si="0"/>
        <v>2030</v>
      </c>
      <c r="J9" s="2">
        <f t="shared" si="0"/>
        <v>2031</v>
      </c>
      <c r="K9" s="2">
        <f t="shared" si="0"/>
        <v>2032</v>
      </c>
      <c r="L9" s="2">
        <f t="shared" si="0"/>
        <v>2033</v>
      </c>
      <c r="M9" s="2">
        <f t="shared" si="0"/>
        <v>2034</v>
      </c>
      <c r="N9" s="2">
        <f t="shared" si="0"/>
        <v>2035</v>
      </c>
      <c r="O9" s="2">
        <f t="shared" si="0"/>
        <v>2036</v>
      </c>
      <c r="Q9" s="2"/>
      <c r="R9" s="2"/>
    </row>
    <row r="11" spans="2:18" x14ac:dyDescent="0.35">
      <c r="B11" t="s">
        <v>103</v>
      </c>
    </row>
    <row r="12" spans="2:18" x14ac:dyDescent="0.35">
      <c r="B12" s="27" t="s">
        <v>117</v>
      </c>
    </row>
    <row r="13" spans="2:18" x14ac:dyDescent="0.35">
      <c r="B13" s="27" t="s">
        <v>118</v>
      </c>
    </row>
    <row r="14" spans="2:18" x14ac:dyDescent="0.35">
      <c r="B14" s="27" t="s">
        <v>126</v>
      </c>
    </row>
    <row r="16" spans="2:18" ht="29" x14ac:dyDescent="0.35">
      <c r="B16" s="117" t="s">
        <v>150</v>
      </c>
      <c r="E16" s="88">
        <v>0</v>
      </c>
      <c r="F16" s="88">
        <v>2.5000000000000001E-2</v>
      </c>
      <c r="G16" s="88">
        <v>0</v>
      </c>
      <c r="H16" s="88">
        <v>0</v>
      </c>
      <c r="I16" s="88">
        <v>0</v>
      </c>
      <c r="J16" s="88">
        <v>0</v>
      </c>
      <c r="K16" s="88">
        <v>0</v>
      </c>
      <c r="L16" s="88">
        <v>0</v>
      </c>
      <c r="M16" s="88">
        <v>0</v>
      </c>
      <c r="N16" s="88">
        <v>0</v>
      </c>
      <c r="O16" s="88">
        <v>0</v>
      </c>
    </row>
    <row r="17" spans="2:19" x14ac:dyDescent="0.35">
      <c r="E17" s="51"/>
      <c r="F17" s="51"/>
      <c r="G17" s="51"/>
      <c r="H17" s="51"/>
      <c r="I17" s="51"/>
      <c r="J17" s="51"/>
      <c r="K17" s="51"/>
      <c r="L17" s="51"/>
      <c r="M17" s="51"/>
      <c r="N17" s="51"/>
      <c r="O17" s="51"/>
    </row>
    <row r="18" spans="2:19" x14ac:dyDescent="0.35">
      <c r="B18" s="3" t="str">
        <f>B5</f>
        <v>2) Estimate</v>
      </c>
      <c r="C18" s="4"/>
      <c r="D18" s="4"/>
      <c r="E18" s="4"/>
      <c r="F18" s="4"/>
      <c r="G18" s="4"/>
      <c r="H18" s="4"/>
      <c r="I18" s="4"/>
      <c r="J18" s="4"/>
      <c r="K18" s="4"/>
      <c r="L18" s="4"/>
      <c r="M18" s="4"/>
      <c r="N18" s="4"/>
      <c r="O18" s="4"/>
      <c r="P18" s="4"/>
      <c r="Q18" s="4"/>
      <c r="R18" s="4"/>
    </row>
    <row r="19" spans="2:19" x14ac:dyDescent="0.35">
      <c r="B19" s="2" t="s">
        <v>105</v>
      </c>
      <c r="E19" s="16">
        <v>2026</v>
      </c>
      <c r="F19" s="16">
        <v>2027</v>
      </c>
      <c r="G19" s="16">
        <v>2028</v>
      </c>
      <c r="H19" s="16">
        <v>2029</v>
      </c>
      <c r="I19" s="16">
        <v>2030</v>
      </c>
      <c r="J19" s="16">
        <v>2031</v>
      </c>
      <c r="K19" s="16">
        <v>2032</v>
      </c>
      <c r="L19" s="16">
        <v>2033</v>
      </c>
      <c r="M19" s="16">
        <v>2034</v>
      </c>
      <c r="N19" s="16">
        <v>2035</v>
      </c>
      <c r="O19" s="16">
        <v>2036</v>
      </c>
      <c r="P19" s="17"/>
      <c r="Q19" s="16" t="s">
        <v>35</v>
      </c>
      <c r="R19" s="16" t="s">
        <v>36</v>
      </c>
    </row>
    <row r="20" spans="2:19" x14ac:dyDescent="0.35">
      <c r="B20" t="s">
        <v>98</v>
      </c>
      <c r="C20" t="str">
        <f>IF(COUNTIF('2. Premiums and MA Model'!F86:P86,"=FAIL")&gt;0,"FAIL, See Premiums and MA Model Tab","PASS")</f>
        <v>PASS</v>
      </c>
    </row>
    <row r="21" spans="2:19" x14ac:dyDescent="0.35">
      <c r="B21" s="2"/>
    </row>
    <row r="22" spans="2:19" x14ac:dyDescent="0.35">
      <c r="B22" t="s">
        <v>119</v>
      </c>
      <c r="C22" s="6"/>
      <c r="E22" s="92">
        <f>'2. Premiums and MA Model'!F89</f>
        <v>0</v>
      </c>
      <c r="F22" s="92">
        <f>'2. Premiums and MA Model'!G89</f>
        <v>1631</v>
      </c>
      <c r="G22" s="92">
        <f>'2. Premiums and MA Model'!H89</f>
        <v>1112</v>
      </c>
      <c r="H22" s="92">
        <f>'2. Premiums and MA Model'!I89</f>
        <v>0</v>
      </c>
      <c r="I22" s="92">
        <f>'2. Premiums and MA Model'!J89</f>
        <v>0</v>
      </c>
      <c r="J22" s="92">
        <f>'2. Premiums and MA Model'!K89</f>
        <v>0</v>
      </c>
      <c r="K22" s="92">
        <f>'2. Premiums and MA Model'!L89</f>
        <v>0</v>
      </c>
      <c r="L22" s="92">
        <f>'2. Premiums and MA Model'!M89</f>
        <v>0</v>
      </c>
      <c r="M22" s="92">
        <f>'2. Premiums and MA Model'!N89</f>
        <v>0</v>
      </c>
      <c r="N22" s="92">
        <f>'2. Premiums and MA Model'!O89</f>
        <v>0</v>
      </c>
      <c r="O22" s="92">
        <f>'2. Premiums and MA Model'!P89</f>
        <v>0</v>
      </c>
      <c r="P22" s="55"/>
      <c r="Q22" s="55">
        <f>SUM(E22:J22)</f>
        <v>2743</v>
      </c>
      <c r="R22" s="55">
        <f>SUM(E22:O22)</f>
        <v>2743</v>
      </c>
    </row>
    <row r="23" spans="2:19" x14ac:dyDescent="0.35">
      <c r="B23" t="s">
        <v>120</v>
      </c>
      <c r="C23" s="6"/>
      <c r="E23" s="92">
        <f>'2. Premiums and MA Model'!F90</f>
        <v>0</v>
      </c>
      <c r="F23" s="92">
        <f>'2. Premiums and MA Model'!G90</f>
        <v>2653</v>
      </c>
      <c r="G23" s="92">
        <f>'2. Premiums and MA Model'!H90</f>
        <v>884</v>
      </c>
      <c r="H23" s="92">
        <f>'2. Premiums and MA Model'!I90</f>
        <v>0</v>
      </c>
      <c r="I23" s="92">
        <f>'2. Premiums and MA Model'!J90</f>
        <v>0</v>
      </c>
      <c r="J23" s="92">
        <f>'2. Premiums and MA Model'!K90</f>
        <v>0</v>
      </c>
      <c r="K23" s="92">
        <f>'2. Premiums and MA Model'!L90</f>
        <v>0</v>
      </c>
      <c r="L23" s="92">
        <f>'2. Premiums and MA Model'!M90</f>
        <v>0</v>
      </c>
      <c r="M23" s="92">
        <f>'2. Premiums and MA Model'!N90</f>
        <v>0</v>
      </c>
      <c r="N23" s="92">
        <f>'2. Premiums and MA Model'!O90</f>
        <v>0</v>
      </c>
      <c r="O23" s="92">
        <f>'2. Premiums and MA Model'!P90</f>
        <v>0</v>
      </c>
      <c r="P23" s="55"/>
      <c r="Q23" s="55">
        <f t="shared" ref="Q23:Q24" si="1">SUM(E23:J23)</f>
        <v>3537</v>
      </c>
      <c r="R23" s="55">
        <f t="shared" ref="R23:R24" si="2">SUM(E23:O23)</f>
        <v>3537</v>
      </c>
    </row>
    <row r="24" spans="2:19" x14ac:dyDescent="0.35">
      <c r="B24" t="s">
        <v>121</v>
      </c>
      <c r="C24" s="6"/>
      <c r="E24" s="92">
        <f>'2. Premiums and MA Model'!F94</f>
        <v>0</v>
      </c>
      <c r="F24" s="92">
        <f>'2. Premiums and MA Model'!G94</f>
        <v>-1225</v>
      </c>
      <c r="G24" s="92">
        <f>'2. Premiums and MA Model'!H94</f>
        <v>-408</v>
      </c>
      <c r="H24" s="92">
        <f>'2. Premiums and MA Model'!I94</f>
        <v>0</v>
      </c>
      <c r="I24" s="92">
        <f>'2. Premiums and MA Model'!J94</f>
        <v>0</v>
      </c>
      <c r="J24" s="92">
        <f>'2. Premiums and MA Model'!K94</f>
        <v>0</v>
      </c>
      <c r="K24" s="92">
        <f>'2. Premiums and MA Model'!L94</f>
        <v>0</v>
      </c>
      <c r="L24" s="92">
        <f>'2. Premiums and MA Model'!M94</f>
        <v>0</v>
      </c>
      <c r="M24" s="92">
        <f>'2. Premiums and MA Model'!N94</f>
        <v>0</v>
      </c>
      <c r="N24" s="92">
        <f>'2. Premiums and MA Model'!O94</f>
        <v>0</v>
      </c>
      <c r="O24" s="92">
        <f>'2. Premiums and MA Model'!P94</f>
        <v>0</v>
      </c>
      <c r="P24" s="55"/>
      <c r="Q24" s="55">
        <f t="shared" si="1"/>
        <v>-1633</v>
      </c>
      <c r="R24" s="55">
        <f t="shared" si="2"/>
        <v>-1633</v>
      </c>
      <c r="S24" s="95"/>
    </row>
    <row r="25" spans="2:19" x14ac:dyDescent="0.35">
      <c r="C25" s="6"/>
      <c r="E25" s="99"/>
      <c r="F25" s="99"/>
      <c r="G25" s="99"/>
      <c r="H25" s="99"/>
      <c r="I25" s="99"/>
      <c r="J25" s="99"/>
      <c r="K25" s="99"/>
      <c r="L25" s="99"/>
      <c r="M25" s="99"/>
      <c r="N25" s="99"/>
      <c r="O25" s="99"/>
      <c r="P25" s="55"/>
      <c r="Q25" s="55"/>
      <c r="R25" s="55"/>
    </row>
    <row r="26" spans="2:19" x14ac:dyDescent="0.35">
      <c r="B26" t="s">
        <v>122</v>
      </c>
      <c r="C26" s="6"/>
      <c r="E26" s="55"/>
      <c r="F26" s="55"/>
      <c r="G26" s="55"/>
      <c r="H26" s="55"/>
      <c r="I26" s="55"/>
      <c r="J26" s="55"/>
      <c r="K26" s="55"/>
      <c r="L26" s="55"/>
      <c r="M26" s="55"/>
      <c r="N26" s="55"/>
      <c r="O26" s="55"/>
      <c r="P26" s="55"/>
      <c r="Q26" s="55"/>
      <c r="R26" s="55"/>
    </row>
    <row r="27" spans="2:19" x14ac:dyDescent="0.35">
      <c r="B27" t="s">
        <v>31</v>
      </c>
      <c r="C27" s="6"/>
      <c r="E27" s="55">
        <f>'2. Premiums and MA Model'!F97</f>
        <v>0</v>
      </c>
      <c r="F27" s="55">
        <f>'2. Premiums and MA Model'!G97</f>
        <v>3059</v>
      </c>
      <c r="G27" s="55">
        <f>'2. Premiums and MA Model'!H97</f>
        <v>1588</v>
      </c>
      <c r="H27" s="55">
        <f>'2. Premiums and MA Model'!I97</f>
        <v>0</v>
      </c>
      <c r="I27" s="55">
        <f>'2. Premiums and MA Model'!J97</f>
        <v>0</v>
      </c>
      <c r="J27" s="55">
        <f>'2. Premiums and MA Model'!K97</f>
        <v>0</v>
      </c>
      <c r="K27" s="55">
        <f>'2. Premiums and MA Model'!L97</f>
        <v>0</v>
      </c>
      <c r="L27" s="55">
        <f>'2. Premiums and MA Model'!M97</f>
        <v>0</v>
      </c>
      <c r="M27" s="55">
        <f>'2. Premiums and MA Model'!N97</f>
        <v>0</v>
      </c>
      <c r="N27" s="55">
        <f>'2. Premiums and MA Model'!O97</f>
        <v>0</v>
      </c>
      <c r="O27" s="55">
        <f>'2. Premiums and MA Model'!P97</f>
        <v>0</v>
      </c>
      <c r="P27" s="55"/>
      <c r="Q27" s="55">
        <f t="shared" ref="Q27:Q28" si="3">SUM(E27:J27)</f>
        <v>4647</v>
      </c>
      <c r="R27" s="55">
        <f t="shared" ref="R27:R28" si="4">SUM(E27:O27)</f>
        <v>4647</v>
      </c>
    </row>
    <row r="28" spans="2:19" x14ac:dyDescent="0.35">
      <c r="B28" t="s">
        <v>32</v>
      </c>
      <c r="C28" s="6"/>
      <c r="E28" s="55">
        <f>'2. Premiums and MA Model'!F98</f>
        <v>0</v>
      </c>
      <c r="F28" s="55">
        <f>'2. Premiums and MA Model'!G98</f>
        <v>3059</v>
      </c>
      <c r="G28" s="55">
        <f>'2. Premiums and MA Model'!H98</f>
        <v>1588</v>
      </c>
      <c r="H28" s="55">
        <f>'2. Premiums and MA Model'!I98</f>
        <v>0</v>
      </c>
      <c r="I28" s="55">
        <f>'2. Premiums and MA Model'!J98</f>
        <v>0</v>
      </c>
      <c r="J28" s="55">
        <f>'2. Premiums and MA Model'!K98</f>
        <v>0</v>
      </c>
      <c r="K28" s="55">
        <f>'2. Premiums and MA Model'!L98</f>
        <v>0</v>
      </c>
      <c r="L28" s="55">
        <f>'2. Premiums and MA Model'!M98</f>
        <v>0</v>
      </c>
      <c r="M28" s="55">
        <f>'2. Premiums and MA Model'!N98</f>
        <v>0</v>
      </c>
      <c r="N28" s="55">
        <f>'2. Premiums and MA Model'!O98</f>
        <v>0</v>
      </c>
      <c r="O28" s="55">
        <f>'2. Premiums and MA Model'!P98</f>
        <v>0</v>
      </c>
      <c r="P28" s="55"/>
      <c r="Q28" s="55">
        <f t="shared" si="3"/>
        <v>4647</v>
      </c>
      <c r="R28" s="55">
        <f t="shared" si="4"/>
        <v>4647</v>
      </c>
    </row>
    <row r="29" spans="2:19" x14ac:dyDescent="0.35">
      <c r="C29" s="6"/>
      <c r="E29" s="51"/>
      <c r="F29" s="51"/>
      <c r="G29" s="51"/>
      <c r="H29" s="51"/>
      <c r="I29" s="51"/>
      <c r="J29" s="51"/>
      <c r="K29" s="51"/>
      <c r="L29" s="51"/>
      <c r="M29" s="51"/>
      <c r="N29" s="51"/>
      <c r="O29" s="51"/>
    </row>
    <row r="31" spans="2:19" x14ac:dyDescent="0.35">
      <c r="B31" s="3" t="str">
        <f>B6</f>
        <v>3) Memo Lines: Conversion factors under current and proposed law</v>
      </c>
      <c r="C31" s="4"/>
      <c r="D31" s="4"/>
      <c r="E31" s="4"/>
      <c r="F31" s="4"/>
      <c r="G31" s="4"/>
      <c r="H31" s="4"/>
      <c r="I31" s="4"/>
      <c r="J31" s="4"/>
      <c r="K31" s="4"/>
      <c r="L31" s="4"/>
      <c r="M31" s="4"/>
      <c r="N31" s="4"/>
      <c r="O31" s="4"/>
      <c r="P31" s="4"/>
      <c r="Q31" s="4"/>
      <c r="R31" s="4"/>
    </row>
    <row r="32" spans="2:19" x14ac:dyDescent="0.35">
      <c r="B32" s="2" t="s">
        <v>5</v>
      </c>
      <c r="C32" s="2" t="s">
        <v>3</v>
      </c>
      <c r="E32" s="2">
        <v>2026</v>
      </c>
      <c r="F32" s="2">
        <f t="shared" ref="F32:O32" si="5">E32+1</f>
        <v>2027</v>
      </c>
      <c r="G32" s="2">
        <f t="shared" si="5"/>
        <v>2028</v>
      </c>
      <c r="H32" s="2">
        <f t="shared" si="5"/>
        <v>2029</v>
      </c>
      <c r="I32" s="2">
        <f t="shared" si="5"/>
        <v>2030</v>
      </c>
      <c r="J32" s="2">
        <f t="shared" si="5"/>
        <v>2031</v>
      </c>
      <c r="K32" s="2">
        <f t="shared" si="5"/>
        <v>2032</v>
      </c>
      <c r="L32" s="2">
        <f t="shared" si="5"/>
        <v>2033</v>
      </c>
      <c r="M32" s="2">
        <f t="shared" si="5"/>
        <v>2034</v>
      </c>
      <c r="N32" s="2">
        <f t="shared" si="5"/>
        <v>2035</v>
      </c>
      <c r="O32" s="2">
        <f t="shared" si="5"/>
        <v>2036</v>
      </c>
      <c r="Q32" s="16" t="s">
        <v>35</v>
      </c>
      <c r="R32" s="16" t="s">
        <v>36</v>
      </c>
    </row>
    <row r="34" spans="2:18" x14ac:dyDescent="0.35">
      <c r="B34" s="42" t="s">
        <v>42</v>
      </c>
      <c r="C34">
        <v>1.0075000000000001</v>
      </c>
    </row>
    <row r="35" spans="2:18" x14ac:dyDescent="0.35">
      <c r="B35" s="42" t="s">
        <v>43</v>
      </c>
      <c r="C35">
        <v>1.0024999999999999</v>
      </c>
    </row>
    <row r="36" spans="2:18" x14ac:dyDescent="0.35">
      <c r="B36" s="42" t="s">
        <v>97</v>
      </c>
      <c r="C36" s="94">
        <v>2.5000000000000001E-2</v>
      </c>
    </row>
    <row r="37" spans="2:18" x14ac:dyDescent="0.35">
      <c r="B37" s="42"/>
    </row>
    <row r="38" spans="2:18" x14ac:dyDescent="0.35">
      <c r="B38" t="s">
        <v>44</v>
      </c>
    </row>
    <row r="39" spans="2:18" x14ac:dyDescent="0.35">
      <c r="B39" s="11" t="s">
        <v>40</v>
      </c>
    </row>
    <row r="40" spans="2:18" x14ac:dyDescent="0.35">
      <c r="B40" s="59" t="s">
        <v>42</v>
      </c>
      <c r="E40" s="58">
        <v>33.57</v>
      </c>
      <c r="F40" s="58">
        <f>1.0075*E40/(1+C36)</f>
        <v>32.996853658536594</v>
      </c>
      <c r="G40" s="58">
        <f>F40*$C$34</f>
        <v>33.244330060975621</v>
      </c>
      <c r="H40" s="58">
        <f t="shared" ref="H40:O40" si="6">G40*$C$34</f>
        <v>33.493662536432943</v>
      </c>
      <c r="I40" s="58">
        <f t="shared" si="6"/>
        <v>33.744865005456191</v>
      </c>
      <c r="J40" s="58">
        <f t="shared" si="6"/>
        <v>33.997951492997117</v>
      </c>
      <c r="K40" s="58">
        <f t="shared" si="6"/>
        <v>34.252936129194595</v>
      </c>
      <c r="L40" s="58">
        <f t="shared" si="6"/>
        <v>34.509833150163558</v>
      </c>
      <c r="M40" s="58">
        <f t="shared" si="6"/>
        <v>34.768656898789786</v>
      </c>
      <c r="N40" s="58">
        <f t="shared" si="6"/>
        <v>35.029421825530711</v>
      </c>
      <c r="O40" s="58">
        <f t="shared" si="6"/>
        <v>35.292142489222194</v>
      </c>
    </row>
    <row r="41" spans="2:18" x14ac:dyDescent="0.35">
      <c r="B41" s="59" t="s">
        <v>43</v>
      </c>
      <c r="E41" s="58">
        <v>33.4</v>
      </c>
      <c r="F41" s="58">
        <f>C35*E41/(1+C36)</f>
        <v>32.666829268292688</v>
      </c>
      <c r="G41" s="58">
        <f>F41*$C$35</f>
        <v>32.748496341463415</v>
      </c>
      <c r="H41" s="58">
        <f t="shared" ref="H41:O41" si="7">G41*$C$35</f>
        <v>32.830367582317074</v>
      </c>
      <c r="I41" s="58">
        <f t="shared" si="7"/>
        <v>32.912443501272861</v>
      </c>
      <c r="J41" s="58">
        <f t="shared" si="7"/>
        <v>32.99472461002604</v>
      </c>
      <c r="K41" s="58">
        <f t="shared" si="7"/>
        <v>33.077211421551105</v>
      </c>
      <c r="L41" s="58">
        <f t="shared" si="7"/>
        <v>33.159904450104982</v>
      </c>
      <c r="M41" s="58">
        <f t="shared" si="7"/>
        <v>33.242804211230244</v>
      </c>
      <c r="N41" s="58">
        <f t="shared" si="7"/>
        <v>33.325911221758318</v>
      </c>
      <c r="O41" s="58">
        <f t="shared" si="7"/>
        <v>33.409225999812712</v>
      </c>
    </row>
    <row r="42" spans="2:18" x14ac:dyDescent="0.35">
      <c r="B42" s="11" t="s">
        <v>41</v>
      </c>
      <c r="E42" s="58"/>
      <c r="F42" s="58"/>
      <c r="G42" s="58"/>
      <c r="H42" s="58"/>
      <c r="I42" s="58"/>
      <c r="J42" s="58"/>
      <c r="K42" s="58"/>
      <c r="L42" s="58"/>
      <c r="M42" s="58"/>
      <c r="N42" s="58"/>
      <c r="O42" s="58"/>
    </row>
    <row r="43" spans="2:18" x14ac:dyDescent="0.35">
      <c r="B43" s="59" t="s">
        <v>42</v>
      </c>
      <c r="E43" s="58">
        <f>E40*(1+E$16)</f>
        <v>33.57</v>
      </c>
      <c r="F43" s="58">
        <f t="shared" ref="F43:O43" si="8">F40*(1+F$16)</f>
        <v>33.821775000000002</v>
      </c>
      <c r="G43" s="58">
        <f t="shared" si="8"/>
        <v>33.244330060975621</v>
      </c>
      <c r="H43" s="58">
        <f t="shared" si="8"/>
        <v>33.493662536432943</v>
      </c>
      <c r="I43" s="58">
        <f t="shared" si="8"/>
        <v>33.744865005456191</v>
      </c>
      <c r="J43" s="58">
        <f t="shared" si="8"/>
        <v>33.997951492997117</v>
      </c>
      <c r="K43" s="58">
        <f t="shared" si="8"/>
        <v>34.252936129194595</v>
      </c>
      <c r="L43" s="58">
        <f t="shared" si="8"/>
        <v>34.509833150163558</v>
      </c>
      <c r="M43" s="58">
        <f t="shared" si="8"/>
        <v>34.768656898789786</v>
      </c>
      <c r="N43" s="58">
        <f t="shared" si="8"/>
        <v>35.029421825530711</v>
      </c>
      <c r="O43" s="58">
        <f t="shared" si="8"/>
        <v>35.292142489222194</v>
      </c>
    </row>
    <row r="44" spans="2:18" x14ac:dyDescent="0.35">
      <c r="B44" s="59" t="s">
        <v>43</v>
      </c>
      <c r="E44" s="58">
        <f>E41*(1+E$16)</f>
        <v>33.4</v>
      </c>
      <c r="F44" s="58">
        <f t="shared" ref="F44:O44" si="9">F41*(1+F$16)</f>
        <v>33.483499999999999</v>
      </c>
      <c r="G44" s="58">
        <f t="shared" si="9"/>
        <v>32.748496341463415</v>
      </c>
      <c r="H44" s="58">
        <f t="shared" si="9"/>
        <v>32.830367582317074</v>
      </c>
      <c r="I44" s="58">
        <f t="shared" si="9"/>
        <v>32.912443501272861</v>
      </c>
      <c r="J44" s="58">
        <f t="shared" si="9"/>
        <v>32.99472461002604</v>
      </c>
      <c r="K44" s="58">
        <f t="shared" si="9"/>
        <v>33.077211421551105</v>
      </c>
      <c r="L44" s="58">
        <f t="shared" si="9"/>
        <v>33.159904450104982</v>
      </c>
      <c r="M44" s="58">
        <f t="shared" si="9"/>
        <v>33.242804211230244</v>
      </c>
      <c r="N44" s="58">
        <f t="shared" si="9"/>
        <v>33.325911221758318</v>
      </c>
      <c r="O44" s="58">
        <f t="shared" si="9"/>
        <v>33.409225999812712</v>
      </c>
    </row>
    <row r="46" spans="2:18" x14ac:dyDescent="0.35">
      <c r="B46" s="42" t="s">
        <v>106</v>
      </c>
    </row>
    <row r="47" spans="2:18" x14ac:dyDescent="0.35">
      <c r="B47" s="11" t="s">
        <v>119</v>
      </c>
      <c r="E47" s="92">
        <f>ROUND('2. Premiums and MA Model'!F16,0)</f>
        <v>0</v>
      </c>
      <c r="F47" s="92">
        <f>ROUND('2. Premiums and MA Model'!G16,0)</f>
        <v>2743</v>
      </c>
      <c r="G47" s="92">
        <f>ROUND('2. Premiums and MA Model'!H16,0)</f>
        <v>0</v>
      </c>
      <c r="H47" s="92">
        <f>ROUND('2. Premiums and MA Model'!I16,0)</f>
        <v>0</v>
      </c>
      <c r="I47" s="92">
        <f>ROUND('2. Premiums and MA Model'!J16,0)</f>
        <v>0</v>
      </c>
      <c r="J47" s="92">
        <f>ROUND('2. Premiums and MA Model'!K16,0)</f>
        <v>0</v>
      </c>
      <c r="K47" s="92">
        <f>ROUND('2. Premiums and MA Model'!L16,0)</f>
        <v>0</v>
      </c>
      <c r="L47" s="92">
        <f>ROUND('2. Premiums and MA Model'!M16,0)</f>
        <v>0</v>
      </c>
      <c r="M47" s="92">
        <f>ROUND('2. Premiums and MA Model'!N16,0)</f>
        <v>0</v>
      </c>
      <c r="N47" s="92">
        <f>ROUND('2. Premiums and MA Model'!O16,0)</f>
        <v>0</v>
      </c>
      <c r="O47" s="92">
        <f>ROUND('2. Premiums and MA Model'!P16,0)</f>
        <v>0</v>
      </c>
      <c r="P47" s="55"/>
      <c r="Q47" s="55">
        <f t="shared" ref="Q47:Q50" si="10">SUM(E47:J47)</f>
        <v>2743</v>
      </c>
      <c r="R47" s="55">
        <f t="shared" ref="R47:R50" si="11">SUM(E47:O47)</f>
        <v>2743</v>
      </c>
    </row>
    <row r="48" spans="2:18" x14ac:dyDescent="0.35">
      <c r="B48" s="11" t="s">
        <v>120</v>
      </c>
      <c r="E48" s="92">
        <f>ROUND('2. Premiums and MA Model'!F57,0)</f>
        <v>0</v>
      </c>
      <c r="F48" s="92">
        <f>ROUND('2. Premiums and MA Model'!G57,0)</f>
        <v>3538</v>
      </c>
      <c r="G48" s="92">
        <f>ROUND('2. Premiums and MA Model'!H57,0)</f>
        <v>0</v>
      </c>
      <c r="H48" s="92">
        <f>ROUND('2. Premiums and MA Model'!I57,0)</f>
        <v>0</v>
      </c>
      <c r="I48" s="92">
        <f>ROUND('2. Premiums and MA Model'!J57,0)</f>
        <v>0</v>
      </c>
      <c r="J48" s="92">
        <f>ROUND('2. Premiums and MA Model'!K57,0)</f>
        <v>0</v>
      </c>
      <c r="K48" s="92">
        <f>ROUND('2. Premiums and MA Model'!L57,0)</f>
        <v>0</v>
      </c>
      <c r="L48" s="92">
        <f>ROUND('2. Premiums and MA Model'!M57,0)</f>
        <v>0</v>
      </c>
      <c r="M48" s="92">
        <f>ROUND('2. Premiums and MA Model'!N57,0)</f>
        <v>0</v>
      </c>
      <c r="N48" s="92">
        <f>ROUND('2. Premiums and MA Model'!O57,0)</f>
        <v>0</v>
      </c>
      <c r="O48" s="92">
        <f>ROUND('2. Premiums and MA Model'!P57,0)</f>
        <v>0</v>
      </c>
      <c r="P48" s="55"/>
      <c r="Q48" s="55">
        <f t="shared" si="10"/>
        <v>3538</v>
      </c>
      <c r="R48" s="55">
        <f t="shared" si="11"/>
        <v>3538</v>
      </c>
    </row>
    <row r="49" spans="2:18" x14ac:dyDescent="0.35">
      <c r="B49" s="11" t="s">
        <v>121</v>
      </c>
      <c r="E49" s="92">
        <f>ROUND('2. Premiums and MA Model'!F68,0)</f>
        <v>0</v>
      </c>
      <c r="F49" s="92">
        <f>ROUND('2. Premiums and MA Model'!G68,0)</f>
        <v>-1633</v>
      </c>
      <c r="G49" s="92">
        <f>ROUND('2. Premiums and MA Model'!H68,0)</f>
        <v>0</v>
      </c>
      <c r="H49" s="92">
        <f>ROUND('2. Premiums and MA Model'!I68,0)</f>
        <v>0</v>
      </c>
      <c r="I49" s="92">
        <f>ROUND('2. Premiums and MA Model'!J68,0)</f>
        <v>0</v>
      </c>
      <c r="J49" s="92">
        <f>ROUND('2. Premiums and MA Model'!K68,0)</f>
        <v>0</v>
      </c>
      <c r="K49" s="92">
        <f>ROUND('2. Premiums and MA Model'!L68,0)</f>
        <v>0</v>
      </c>
      <c r="L49" s="92">
        <f>ROUND('2. Premiums and MA Model'!M68,0)</f>
        <v>0</v>
      </c>
      <c r="M49" s="92">
        <f>ROUND('2. Premiums and MA Model'!N68,0)</f>
        <v>0</v>
      </c>
      <c r="N49" s="92">
        <f>ROUND('2. Premiums and MA Model'!O68,0)</f>
        <v>0</v>
      </c>
      <c r="O49" s="92">
        <f>ROUND('2. Premiums and MA Model'!P68,0)</f>
        <v>0</v>
      </c>
      <c r="P49" s="55"/>
      <c r="Q49" s="55">
        <f t="shared" si="10"/>
        <v>-1633</v>
      </c>
      <c r="R49" s="55">
        <f t="shared" si="11"/>
        <v>-1633</v>
      </c>
    </row>
    <row r="50" spans="2:18" x14ac:dyDescent="0.35">
      <c r="B50" s="11" t="s">
        <v>124</v>
      </c>
      <c r="E50" s="92">
        <f>SUM(E47:E49)</f>
        <v>0</v>
      </c>
      <c r="F50" s="92">
        <f t="shared" ref="F50:O50" si="12">SUM(F47:F49)</f>
        <v>4648</v>
      </c>
      <c r="G50" s="92">
        <f t="shared" si="12"/>
        <v>0</v>
      </c>
      <c r="H50" s="92">
        <f t="shared" si="12"/>
        <v>0</v>
      </c>
      <c r="I50" s="92">
        <f t="shared" si="12"/>
        <v>0</v>
      </c>
      <c r="J50" s="92">
        <f t="shared" si="12"/>
        <v>0</v>
      </c>
      <c r="K50" s="92">
        <f t="shared" si="12"/>
        <v>0</v>
      </c>
      <c r="L50" s="92">
        <f t="shared" si="12"/>
        <v>0</v>
      </c>
      <c r="M50" s="92">
        <f t="shared" si="12"/>
        <v>0</v>
      </c>
      <c r="N50" s="92">
        <f t="shared" si="12"/>
        <v>0</v>
      </c>
      <c r="O50" s="92">
        <f t="shared" si="12"/>
        <v>0</v>
      </c>
      <c r="P50" s="55"/>
      <c r="Q50" s="55">
        <f t="shared" si="10"/>
        <v>4648</v>
      </c>
      <c r="R50" s="55">
        <f t="shared" si="11"/>
        <v>4648</v>
      </c>
    </row>
    <row r="51" spans="2:18" x14ac:dyDescent="0.35">
      <c r="B51" s="42" t="s">
        <v>123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A2153-502B-4D9D-8EBE-BBA8EE594233}">
  <sheetPr codeName="Sheet9"/>
  <dimension ref="B2:R39"/>
  <sheetViews>
    <sheetView zoomScaleNormal="100" workbookViewId="0">
      <selection activeCell="T1" sqref="T1:T1048576"/>
    </sheetView>
  </sheetViews>
  <sheetFormatPr defaultRowHeight="14.5" x14ac:dyDescent="0.35"/>
  <cols>
    <col min="1" max="1" width="3.54296875" customWidth="1"/>
    <col min="2" max="2" width="58.1796875" customWidth="1"/>
    <col min="3" max="3" width="35.453125" customWidth="1"/>
    <col min="5" max="15" width="10.1796875" customWidth="1"/>
    <col min="16" max="16" width="4.54296875" customWidth="1"/>
    <col min="17" max="17" width="10.453125" customWidth="1"/>
    <col min="18" max="18" width="9.54296875" bestFit="1" customWidth="1"/>
    <col min="19" max="19" width="4.453125" customWidth="1"/>
    <col min="21" max="21" width="9.453125" customWidth="1"/>
    <col min="25" max="25" width="13.453125" bestFit="1" customWidth="1"/>
    <col min="26" max="26" width="9.54296875" bestFit="1" customWidth="1"/>
  </cols>
  <sheetData>
    <row r="2" spans="2:18" ht="23.5" x14ac:dyDescent="0.55000000000000004">
      <c r="B2" s="1" t="s">
        <v>87</v>
      </c>
    </row>
    <row r="4" spans="2:18" x14ac:dyDescent="0.35">
      <c r="B4" t="s">
        <v>33</v>
      </c>
    </row>
    <row r="5" spans="2:18" x14ac:dyDescent="0.35">
      <c r="B5" t="s">
        <v>34</v>
      </c>
      <c r="E5" s="58"/>
      <c r="F5" s="58"/>
      <c r="G5" s="58"/>
      <c r="H5" s="58"/>
      <c r="I5" s="58"/>
      <c r="J5" s="58"/>
      <c r="K5" s="58"/>
      <c r="L5" s="58"/>
    </row>
    <row r="6" spans="2:18" x14ac:dyDescent="0.35">
      <c r="B6" t="s">
        <v>147</v>
      </c>
      <c r="E6" s="58"/>
      <c r="F6" s="58"/>
      <c r="G6" s="58"/>
      <c r="H6" s="58"/>
      <c r="I6" s="58"/>
      <c r="J6" s="58"/>
      <c r="K6" s="58"/>
      <c r="L6" s="58"/>
    </row>
    <row r="7" spans="2:18" x14ac:dyDescent="0.35">
      <c r="B7" t="s">
        <v>148</v>
      </c>
      <c r="E7" s="58"/>
      <c r="F7" s="58"/>
      <c r="G7" s="58"/>
      <c r="H7" s="58"/>
      <c r="I7" s="58"/>
      <c r="J7" s="58"/>
      <c r="K7" s="58"/>
      <c r="L7" s="58"/>
    </row>
    <row r="8" spans="2:18" x14ac:dyDescent="0.35">
      <c r="E8" s="60"/>
      <c r="F8" s="60"/>
      <c r="G8" s="60"/>
      <c r="H8" s="60"/>
      <c r="I8" s="60"/>
      <c r="J8" s="60"/>
      <c r="K8" s="60"/>
      <c r="L8" s="60"/>
      <c r="M8" s="60"/>
      <c r="N8" s="60"/>
      <c r="O8" s="60"/>
    </row>
    <row r="9" spans="2:18" x14ac:dyDescent="0.35">
      <c r="B9" s="3" t="str">
        <f>B4</f>
        <v>1) Policy Parameters</v>
      </c>
      <c r="C9" s="4"/>
      <c r="D9" s="4"/>
      <c r="E9" s="4"/>
      <c r="F9" s="4"/>
      <c r="G9" s="4"/>
      <c r="H9" s="4"/>
      <c r="I9" s="4"/>
      <c r="J9" s="4"/>
      <c r="K9" s="4"/>
      <c r="L9" s="4"/>
      <c r="M9" s="4"/>
      <c r="N9" s="4"/>
      <c r="O9" s="4"/>
      <c r="P9" s="4"/>
      <c r="Q9" s="4"/>
      <c r="R9" s="4"/>
    </row>
    <row r="10" spans="2:18" x14ac:dyDescent="0.35">
      <c r="B10" s="2" t="s">
        <v>8</v>
      </c>
      <c r="C10" s="90" t="s">
        <v>3</v>
      </c>
      <c r="D10" s="90"/>
      <c r="E10" s="90">
        <v>2026</v>
      </c>
      <c r="F10" s="90">
        <f t="shared" ref="F10" si="0">E10+1</f>
        <v>2027</v>
      </c>
      <c r="G10" s="90">
        <f t="shared" ref="G10" si="1">F10+1</f>
        <v>2028</v>
      </c>
      <c r="H10" s="90">
        <f t="shared" ref="H10" si="2">G10+1</f>
        <v>2029</v>
      </c>
      <c r="I10" s="90">
        <f t="shared" ref="I10" si="3">H10+1</f>
        <v>2030</v>
      </c>
      <c r="J10" s="90">
        <f t="shared" ref="J10" si="4">I10+1</f>
        <v>2031</v>
      </c>
      <c r="K10" s="90">
        <f t="shared" ref="K10" si="5">J10+1</f>
        <v>2032</v>
      </c>
      <c r="L10" s="90">
        <f t="shared" ref="L10" si="6">K10+1</f>
        <v>2033</v>
      </c>
      <c r="M10" s="90">
        <f t="shared" ref="M10" si="7">L10+1</f>
        <v>2034</v>
      </c>
      <c r="N10" s="90">
        <f t="shared" ref="N10:O10" si="8">M10+1</f>
        <v>2035</v>
      </c>
      <c r="O10" s="90">
        <f t="shared" si="8"/>
        <v>2036</v>
      </c>
      <c r="P10" s="80"/>
      <c r="Q10" s="90" t="s">
        <v>35</v>
      </c>
      <c r="R10" s="2" t="s">
        <v>36</v>
      </c>
    </row>
    <row r="11" spans="2:18" x14ac:dyDescent="0.35">
      <c r="C11" s="80"/>
      <c r="D11" s="80"/>
      <c r="E11" s="80"/>
      <c r="F11" s="80"/>
      <c r="G11" s="80"/>
      <c r="H11" s="80"/>
      <c r="I11" s="80"/>
      <c r="J11" s="80"/>
      <c r="K11" s="80"/>
      <c r="L11" s="80"/>
      <c r="M11" s="80"/>
      <c r="N11" s="80"/>
      <c r="O11" s="80"/>
      <c r="P11" s="80"/>
      <c r="Q11" s="80"/>
    </row>
    <row r="12" spans="2:18" x14ac:dyDescent="0.35">
      <c r="B12" t="s">
        <v>128</v>
      </c>
      <c r="C12" s="80"/>
      <c r="D12" s="80"/>
      <c r="E12" s="88">
        <f>Summary!E16</f>
        <v>0</v>
      </c>
      <c r="F12" s="88">
        <f>Summary!F16</f>
        <v>2.5000000000000001E-2</v>
      </c>
      <c r="G12" s="88">
        <f>Summary!G16</f>
        <v>0</v>
      </c>
      <c r="H12" s="88">
        <f>Summary!H16</f>
        <v>0</v>
      </c>
      <c r="I12" s="88">
        <f>Summary!I16</f>
        <v>0</v>
      </c>
      <c r="J12" s="88">
        <f>Summary!J16</f>
        <v>0</v>
      </c>
      <c r="K12" s="88">
        <f>Summary!K16</f>
        <v>0</v>
      </c>
      <c r="L12" s="88">
        <f>Summary!L16</f>
        <v>0</v>
      </c>
      <c r="M12" s="88">
        <f>Summary!M16</f>
        <v>0</v>
      </c>
      <c r="N12" s="88">
        <f>Summary!N16</f>
        <v>0</v>
      </c>
      <c r="O12" s="88">
        <f>Summary!O16</f>
        <v>0</v>
      </c>
      <c r="P12" s="80"/>
      <c r="Q12" s="80"/>
    </row>
    <row r="13" spans="2:18" x14ac:dyDescent="0.35">
      <c r="C13" s="80"/>
      <c r="D13" s="80"/>
      <c r="E13" s="88"/>
      <c r="F13" s="88"/>
      <c r="G13" s="88"/>
      <c r="H13" s="88"/>
      <c r="I13" s="88"/>
      <c r="J13" s="88"/>
      <c r="K13" s="88"/>
      <c r="L13" s="88"/>
      <c r="M13" s="88"/>
      <c r="N13" s="88"/>
      <c r="O13" s="88"/>
      <c r="P13" s="80"/>
      <c r="Q13" s="80"/>
    </row>
    <row r="14" spans="2:18" x14ac:dyDescent="0.35">
      <c r="B14" s="3" t="str">
        <f>B5</f>
        <v>2) CBO Inputs</v>
      </c>
      <c r="C14" s="75"/>
      <c r="D14" s="75"/>
      <c r="E14" s="75"/>
      <c r="F14" s="75"/>
      <c r="G14" s="75"/>
      <c r="H14" s="75"/>
      <c r="I14" s="75"/>
      <c r="J14" s="75"/>
      <c r="K14" s="75"/>
      <c r="L14" s="75"/>
      <c r="M14" s="75"/>
      <c r="N14" s="75"/>
      <c r="O14" s="75"/>
      <c r="P14" s="75"/>
      <c r="Q14" s="75"/>
      <c r="R14" s="4"/>
    </row>
    <row r="15" spans="2:18" x14ac:dyDescent="0.35">
      <c r="B15" s="2" t="s">
        <v>8</v>
      </c>
      <c r="C15" s="90" t="s">
        <v>3</v>
      </c>
      <c r="D15" s="90"/>
      <c r="E15" s="90">
        <v>2026</v>
      </c>
      <c r="F15" s="90">
        <f t="shared" ref="F15:O15" si="9">E15+1</f>
        <v>2027</v>
      </c>
      <c r="G15" s="90">
        <f t="shared" si="9"/>
        <v>2028</v>
      </c>
      <c r="H15" s="90">
        <f t="shared" si="9"/>
        <v>2029</v>
      </c>
      <c r="I15" s="90">
        <f t="shared" si="9"/>
        <v>2030</v>
      </c>
      <c r="J15" s="90">
        <f t="shared" si="9"/>
        <v>2031</v>
      </c>
      <c r="K15" s="90">
        <f t="shared" si="9"/>
        <v>2032</v>
      </c>
      <c r="L15" s="90">
        <f t="shared" si="9"/>
        <v>2033</v>
      </c>
      <c r="M15" s="90">
        <f t="shared" si="9"/>
        <v>2034</v>
      </c>
      <c r="N15" s="90">
        <f t="shared" si="9"/>
        <v>2035</v>
      </c>
      <c r="O15" s="90">
        <f t="shared" si="9"/>
        <v>2036</v>
      </c>
      <c r="P15" s="80"/>
      <c r="Q15" s="90" t="s">
        <v>35</v>
      </c>
      <c r="R15" s="2" t="s">
        <v>36</v>
      </c>
    </row>
    <row r="16" spans="2:18" x14ac:dyDescent="0.35">
      <c r="C16" s="80"/>
      <c r="D16" s="80"/>
      <c r="E16" s="80"/>
      <c r="F16" s="80"/>
      <c r="G16" s="80"/>
      <c r="H16" s="80"/>
      <c r="I16" s="80"/>
      <c r="J16" s="80"/>
      <c r="K16" s="80"/>
      <c r="L16" s="80"/>
      <c r="M16" s="80"/>
      <c r="N16" s="80"/>
      <c r="O16" s="80"/>
      <c r="P16" s="80"/>
      <c r="Q16" s="80"/>
    </row>
    <row r="17" spans="2:18" x14ac:dyDescent="0.35">
      <c r="B17" t="s">
        <v>125</v>
      </c>
      <c r="C17" s="80"/>
      <c r="D17" s="91"/>
      <c r="E17" s="91">
        <v>75799.235548783341</v>
      </c>
      <c r="F17" s="91">
        <v>75075.17932582894</v>
      </c>
      <c r="G17" s="91">
        <v>76059.679323481745</v>
      </c>
      <c r="H17" s="91">
        <v>78136.615193736972</v>
      </c>
      <c r="I17" s="91">
        <v>80473.035376591244</v>
      </c>
      <c r="J17" s="91">
        <v>82735.83532281495</v>
      </c>
      <c r="K17" s="91">
        <v>85086.811272648687</v>
      </c>
      <c r="L17" s="91">
        <v>88678.474457333927</v>
      </c>
      <c r="M17" s="91">
        <v>92005.970859338529</v>
      </c>
      <c r="N17" s="91">
        <v>95025.86268838642</v>
      </c>
      <c r="O17" s="91">
        <v>97973.006139612917</v>
      </c>
      <c r="P17" s="80"/>
      <c r="Q17" s="92">
        <f>SUM(E17:J17)</f>
        <v>468279.58009123721</v>
      </c>
      <c r="R17" s="55">
        <f>SUM(E17:O17)</f>
        <v>927049.70550855773</v>
      </c>
    </row>
    <row r="18" spans="2:18" x14ac:dyDescent="0.35">
      <c r="C18" s="80"/>
      <c r="D18" s="80"/>
      <c r="E18" s="80"/>
      <c r="F18" s="80"/>
      <c r="G18" s="80"/>
      <c r="H18" s="80"/>
      <c r="I18" s="80"/>
      <c r="J18" s="80"/>
      <c r="K18" s="80"/>
      <c r="L18" s="80"/>
      <c r="M18" s="80"/>
      <c r="N18" s="80"/>
      <c r="O18" s="80"/>
      <c r="P18" s="80"/>
      <c r="Q18" s="80"/>
    </row>
    <row r="19" spans="2:18" ht="43.15" customHeight="1" x14ac:dyDescent="0.35">
      <c r="B19" s="111" t="s">
        <v>129</v>
      </c>
      <c r="C19" s="112" t="s">
        <v>28</v>
      </c>
      <c r="D19" s="80">
        <v>0.45</v>
      </c>
      <c r="E19" s="80"/>
      <c r="F19" s="80"/>
      <c r="G19" s="80"/>
      <c r="H19" s="80"/>
      <c r="I19" s="80"/>
      <c r="J19" s="80"/>
      <c r="K19" s="80"/>
      <c r="L19" s="80"/>
      <c r="M19" s="80"/>
      <c r="N19" s="80"/>
      <c r="O19" s="80"/>
      <c r="P19" s="80"/>
      <c r="Q19" s="80"/>
    </row>
    <row r="20" spans="2:18" ht="14.5" customHeight="1" x14ac:dyDescent="0.35">
      <c r="B20" s="52"/>
      <c r="C20" s="93"/>
      <c r="D20" s="80"/>
      <c r="E20" s="80"/>
      <c r="F20" s="80"/>
      <c r="G20" s="80"/>
      <c r="H20" s="80"/>
      <c r="I20" s="80"/>
      <c r="J20" s="80"/>
      <c r="K20" s="80"/>
      <c r="L20" s="80"/>
      <c r="M20" s="80"/>
      <c r="N20" s="80"/>
      <c r="O20" s="80"/>
      <c r="P20" s="80"/>
      <c r="Q20" s="80"/>
    </row>
    <row r="21" spans="2:18" x14ac:dyDescent="0.35">
      <c r="B21" s="3" t="str">
        <f>B6</f>
        <v>3) Calculation of MPFS spending changes</v>
      </c>
      <c r="C21" s="4"/>
      <c r="D21" s="4"/>
      <c r="E21" s="4"/>
      <c r="F21" s="4"/>
      <c r="G21" s="4"/>
      <c r="H21" s="4"/>
      <c r="I21" s="4"/>
      <c r="J21" s="4"/>
      <c r="K21" s="4"/>
      <c r="L21" s="4"/>
      <c r="M21" s="4"/>
      <c r="N21" s="4"/>
      <c r="O21" s="4"/>
      <c r="P21" s="4"/>
      <c r="Q21" s="4"/>
      <c r="R21" s="4"/>
    </row>
    <row r="22" spans="2:18" x14ac:dyDescent="0.35">
      <c r="B22" s="2" t="s">
        <v>5</v>
      </c>
      <c r="C22" s="2" t="s">
        <v>3</v>
      </c>
      <c r="D22" s="2"/>
      <c r="E22" s="2">
        <v>2026</v>
      </c>
      <c r="F22" s="2">
        <f t="shared" ref="F22:O22" si="10">E22+1</f>
        <v>2027</v>
      </c>
      <c r="G22" s="2">
        <f t="shared" si="10"/>
        <v>2028</v>
      </c>
      <c r="H22" s="2">
        <f t="shared" si="10"/>
        <v>2029</v>
      </c>
      <c r="I22" s="2">
        <f t="shared" si="10"/>
        <v>2030</v>
      </c>
      <c r="J22" s="2">
        <f t="shared" si="10"/>
        <v>2031</v>
      </c>
      <c r="K22" s="2">
        <f t="shared" si="10"/>
        <v>2032</v>
      </c>
      <c r="L22" s="2">
        <f t="shared" si="10"/>
        <v>2033</v>
      </c>
      <c r="M22" s="2">
        <f t="shared" si="10"/>
        <v>2034</v>
      </c>
      <c r="N22" s="2">
        <f t="shared" si="10"/>
        <v>2035</v>
      </c>
      <c r="O22" s="2">
        <f t="shared" si="10"/>
        <v>2036</v>
      </c>
      <c r="Q22" s="90" t="s">
        <v>35</v>
      </c>
      <c r="R22" s="2" t="s">
        <v>36</v>
      </c>
    </row>
    <row r="23" spans="2:18" x14ac:dyDescent="0.35">
      <c r="B23" s="2"/>
      <c r="C23" s="2"/>
      <c r="D23" s="2"/>
      <c r="E23" s="2"/>
      <c r="F23" s="2"/>
      <c r="G23" s="2"/>
      <c r="H23" s="2"/>
      <c r="I23" s="2"/>
      <c r="J23" s="2"/>
      <c r="K23" s="2"/>
      <c r="L23" s="2"/>
      <c r="M23" s="2"/>
      <c r="N23" s="2"/>
      <c r="O23" s="2"/>
    </row>
    <row r="24" spans="2:18" x14ac:dyDescent="0.35">
      <c r="B24" t="s">
        <v>149</v>
      </c>
      <c r="C24" s="2"/>
      <c r="D24" s="2"/>
      <c r="E24" s="55">
        <f t="shared" ref="E24:O24" si="11">E17*(1+E12)</f>
        <v>75799.235548783341</v>
      </c>
      <c r="F24" s="55">
        <f t="shared" si="11"/>
        <v>76952.05880897466</v>
      </c>
      <c r="G24" s="55">
        <f t="shared" si="11"/>
        <v>76059.679323481745</v>
      </c>
      <c r="H24" s="55">
        <f t="shared" si="11"/>
        <v>78136.615193736972</v>
      </c>
      <c r="I24" s="55">
        <f t="shared" si="11"/>
        <v>80473.035376591244</v>
      </c>
      <c r="J24" s="55">
        <f t="shared" si="11"/>
        <v>82735.83532281495</v>
      </c>
      <c r="K24" s="55">
        <f t="shared" si="11"/>
        <v>85086.811272648687</v>
      </c>
      <c r="L24" s="55">
        <f t="shared" si="11"/>
        <v>88678.474457333927</v>
      </c>
      <c r="M24" s="55">
        <f t="shared" si="11"/>
        <v>92005.970859338529</v>
      </c>
      <c r="N24" s="55">
        <f t="shared" si="11"/>
        <v>95025.86268838642</v>
      </c>
      <c r="O24" s="55">
        <f t="shared" si="11"/>
        <v>97973.006139612917</v>
      </c>
      <c r="Q24" s="92">
        <f>SUM(E24:J24)</f>
        <v>470156.45957438293</v>
      </c>
      <c r="R24" s="55">
        <f>SUM(E24:O24)</f>
        <v>928926.58499170339</v>
      </c>
    </row>
    <row r="25" spans="2:18" x14ac:dyDescent="0.35">
      <c r="B25" s="27" t="s">
        <v>127</v>
      </c>
      <c r="D25" s="2"/>
      <c r="E25" s="55">
        <f t="shared" ref="E25:O25" si="12">E24-E17</f>
        <v>0</v>
      </c>
      <c r="F25" s="55">
        <f t="shared" si="12"/>
        <v>1876.8794831457199</v>
      </c>
      <c r="G25" s="54">
        <f t="shared" si="12"/>
        <v>0</v>
      </c>
      <c r="H25" s="54">
        <f t="shared" si="12"/>
        <v>0</v>
      </c>
      <c r="I25" s="54">
        <f t="shared" si="12"/>
        <v>0</v>
      </c>
      <c r="J25" s="54">
        <f t="shared" si="12"/>
        <v>0</v>
      </c>
      <c r="K25" s="54">
        <f t="shared" si="12"/>
        <v>0</v>
      </c>
      <c r="L25" s="54">
        <f t="shared" si="12"/>
        <v>0</v>
      </c>
      <c r="M25" s="54">
        <f t="shared" si="12"/>
        <v>0</v>
      </c>
      <c r="N25" s="54">
        <f t="shared" si="12"/>
        <v>0</v>
      </c>
      <c r="O25" s="54">
        <f t="shared" si="12"/>
        <v>0</v>
      </c>
      <c r="Q25" s="92">
        <f>SUM(E25:J25)</f>
        <v>1876.8794831457199</v>
      </c>
      <c r="R25" s="55">
        <f>SUM(E25:O25)</f>
        <v>1876.8794831457199</v>
      </c>
    </row>
    <row r="26" spans="2:18" x14ac:dyDescent="0.35">
      <c r="B26" s="2"/>
      <c r="C26" s="2"/>
      <c r="D26" s="2"/>
      <c r="E26" s="2"/>
      <c r="F26" s="2"/>
      <c r="G26" s="2"/>
      <c r="H26" s="2"/>
      <c r="I26" s="2"/>
      <c r="J26" s="2"/>
      <c r="K26" s="2"/>
      <c r="L26" s="2"/>
      <c r="M26" s="2"/>
      <c r="N26" s="2"/>
      <c r="O26" s="2"/>
    </row>
    <row r="27" spans="2:18" x14ac:dyDescent="0.35">
      <c r="B27" t="s">
        <v>30</v>
      </c>
      <c r="C27" s="2"/>
      <c r="D27" s="2"/>
      <c r="E27" s="53">
        <f t="shared" ref="E27:O27" si="13">IF(E12&lt;&gt;0,$D$19*E12,0)</f>
        <v>0</v>
      </c>
      <c r="F27" s="53">
        <f t="shared" si="13"/>
        <v>1.1250000000000001E-2</v>
      </c>
      <c r="G27" s="53">
        <f t="shared" si="13"/>
        <v>0</v>
      </c>
      <c r="H27" s="53">
        <f t="shared" si="13"/>
        <v>0</v>
      </c>
      <c r="I27" s="53">
        <f t="shared" si="13"/>
        <v>0</v>
      </c>
      <c r="J27" s="53">
        <f t="shared" si="13"/>
        <v>0</v>
      </c>
      <c r="K27" s="53">
        <f t="shared" si="13"/>
        <v>0</v>
      </c>
      <c r="L27" s="53">
        <f t="shared" si="13"/>
        <v>0</v>
      </c>
      <c r="M27" s="53">
        <f t="shared" si="13"/>
        <v>0</v>
      </c>
      <c r="N27" s="53">
        <f t="shared" si="13"/>
        <v>0</v>
      </c>
      <c r="O27" s="53">
        <f t="shared" si="13"/>
        <v>0</v>
      </c>
    </row>
    <row r="29" spans="2:18" x14ac:dyDescent="0.35">
      <c r="B29" t="s">
        <v>143</v>
      </c>
      <c r="E29" s="55">
        <f t="shared" ref="E29:N29" si="14">E24*(1+E27)</f>
        <v>75799.235548783341</v>
      </c>
      <c r="F29" s="55">
        <f t="shared" si="14"/>
        <v>77817.769470575629</v>
      </c>
      <c r="G29" s="55">
        <f t="shared" si="14"/>
        <v>76059.679323481745</v>
      </c>
      <c r="H29" s="55">
        <f t="shared" si="14"/>
        <v>78136.615193736972</v>
      </c>
      <c r="I29" s="55">
        <f t="shared" si="14"/>
        <v>80473.035376591244</v>
      </c>
      <c r="J29" s="55">
        <f t="shared" si="14"/>
        <v>82735.83532281495</v>
      </c>
      <c r="K29" s="55">
        <f t="shared" si="14"/>
        <v>85086.811272648687</v>
      </c>
      <c r="L29" s="55">
        <f t="shared" si="14"/>
        <v>88678.474457333927</v>
      </c>
      <c r="M29" s="55">
        <f t="shared" si="14"/>
        <v>92005.970859338529</v>
      </c>
      <c r="N29" s="55">
        <f t="shared" si="14"/>
        <v>95025.86268838642</v>
      </c>
      <c r="O29" s="55">
        <f t="shared" ref="O29" si="15">O24*(1+O27)</f>
        <v>97973.006139612917</v>
      </c>
      <c r="Q29" s="92">
        <f>SUM(E29:J29)</f>
        <v>471022.17023598385</v>
      </c>
      <c r="R29" s="55">
        <f>SUM(E29:O29)</f>
        <v>929792.29565330432</v>
      </c>
    </row>
    <row r="30" spans="2:18" x14ac:dyDescent="0.35">
      <c r="B30" s="27" t="s">
        <v>127</v>
      </c>
      <c r="E30" s="55">
        <f t="shared" ref="E30:O30" si="16">E29-E17</f>
        <v>0</v>
      </c>
      <c r="F30" s="55">
        <f t="shared" si="16"/>
        <v>2742.5901447466895</v>
      </c>
      <c r="G30" s="55">
        <f t="shared" si="16"/>
        <v>0</v>
      </c>
      <c r="H30" s="55">
        <f t="shared" si="16"/>
        <v>0</v>
      </c>
      <c r="I30" s="55">
        <f t="shared" si="16"/>
        <v>0</v>
      </c>
      <c r="J30" s="55">
        <f t="shared" si="16"/>
        <v>0</v>
      </c>
      <c r="K30" s="55">
        <f t="shared" si="16"/>
        <v>0</v>
      </c>
      <c r="L30" s="55">
        <f t="shared" si="16"/>
        <v>0</v>
      </c>
      <c r="M30" s="55">
        <f t="shared" si="16"/>
        <v>0</v>
      </c>
      <c r="N30" s="55">
        <f t="shared" si="16"/>
        <v>0</v>
      </c>
      <c r="O30" s="55">
        <f t="shared" si="16"/>
        <v>0</v>
      </c>
      <c r="Q30" s="92">
        <f>SUM(E30:J30)</f>
        <v>2742.5901447466895</v>
      </c>
      <c r="R30" s="55">
        <f>SUM(E30:O30)</f>
        <v>2742.5901447466895</v>
      </c>
    </row>
    <row r="32" spans="2:18" x14ac:dyDescent="0.35">
      <c r="B32" s="3" t="str">
        <f>B7</f>
        <v>4) Summary of FFS spending changes</v>
      </c>
      <c r="C32" s="4"/>
      <c r="D32" s="4"/>
      <c r="E32" s="4"/>
      <c r="F32" s="4"/>
      <c r="G32" s="4"/>
      <c r="H32" s="4"/>
      <c r="I32" s="4"/>
      <c r="J32" s="4"/>
      <c r="K32" s="4"/>
      <c r="L32" s="4"/>
      <c r="M32" s="4"/>
      <c r="N32" s="4"/>
      <c r="O32" s="4"/>
      <c r="P32" s="4"/>
      <c r="Q32" s="4"/>
      <c r="R32" s="4"/>
    </row>
    <row r="33" spans="2:18" x14ac:dyDescent="0.35">
      <c r="B33" s="2" t="s">
        <v>5</v>
      </c>
      <c r="C33" s="2" t="s">
        <v>3</v>
      </c>
      <c r="D33" s="2"/>
      <c r="E33" s="2">
        <v>2026</v>
      </c>
      <c r="F33" s="2">
        <f t="shared" ref="F33:O33" si="17">E33+1</f>
        <v>2027</v>
      </c>
      <c r="G33" s="2">
        <f t="shared" si="17"/>
        <v>2028</v>
      </c>
      <c r="H33" s="2">
        <f t="shared" si="17"/>
        <v>2029</v>
      </c>
      <c r="I33" s="2">
        <f t="shared" si="17"/>
        <v>2030</v>
      </c>
      <c r="J33" s="2">
        <f t="shared" si="17"/>
        <v>2031</v>
      </c>
      <c r="K33" s="2">
        <f t="shared" si="17"/>
        <v>2032</v>
      </c>
      <c r="L33" s="2">
        <f t="shared" si="17"/>
        <v>2033</v>
      </c>
      <c r="M33" s="2">
        <f t="shared" si="17"/>
        <v>2034</v>
      </c>
      <c r="N33" s="2">
        <f t="shared" si="17"/>
        <v>2035</v>
      </c>
      <c r="O33" s="2">
        <f t="shared" si="17"/>
        <v>2036</v>
      </c>
      <c r="Q33" s="90" t="s">
        <v>35</v>
      </c>
      <c r="R33" s="2" t="s">
        <v>36</v>
      </c>
    </row>
    <row r="34" spans="2:18" x14ac:dyDescent="0.35">
      <c r="C34" s="12"/>
      <c r="E34" s="26"/>
      <c r="F34" s="26"/>
      <c r="G34" s="26"/>
      <c r="H34" s="26"/>
      <c r="I34" s="26"/>
      <c r="J34" s="26"/>
      <c r="K34" s="26"/>
      <c r="L34" s="26"/>
      <c r="M34" s="26"/>
      <c r="N34" s="26"/>
      <c r="O34" s="26"/>
      <c r="P34" s="26"/>
      <c r="Q34" s="26"/>
      <c r="R34" s="26"/>
    </row>
    <row r="35" spans="2:18" x14ac:dyDescent="0.35">
      <c r="B35" t="s">
        <v>144</v>
      </c>
      <c r="E35" s="55">
        <f t="shared" ref="E35:N35" si="18">E25</f>
        <v>0</v>
      </c>
      <c r="F35" s="55">
        <f t="shared" si="18"/>
        <v>1876.8794831457199</v>
      </c>
      <c r="G35" s="55">
        <f t="shared" si="18"/>
        <v>0</v>
      </c>
      <c r="H35" s="55">
        <f t="shared" si="18"/>
        <v>0</v>
      </c>
      <c r="I35" s="55">
        <f t="shared" si="18"/>
        <v>0</v>
      </c>
      <c r="J35" s="55">
        <f t="shared" si="18"/>
        <v>0</v>
      </c>
      <c r="K35" s="55">
        <f t="shared" si="18"/>
        <v>0</v>
      </c>
      <c r="L35" s="55">
        <f t="shared" si="18"/>
        <v>0</v>
      </c>
      <c r="M35" s="55">
        <f t="shared" si="18"/>
        <v>0</v>
      </c>
      <c r="N35" s="55">
        <f t="shared" si="18"/>
        <v>0</v>
      </c>
      <c r="O35" s="55">
        <f t="shared" ref="O35" si="19">O25</f>
        <v>0</v>
      </c>
      <c r="P35" s="26"/>
      <c r="Q35" s="92">
        <f>SUM(E35:J35)</f>
        <v>1876.8794831457199</v>
      </c>
      <c r="R35" s="55">
        <f>SUM(E35:O35)</f>
        <v>1876.8794831457199</v>
      </c>
    </row>
    <row r="36" spans="2:18" x14ac:dyDescent="0.35">
      <c r="B36" t="s">
        <v>145</v>
      </c>
      <c r="E36" s="55">
        <f t="shared" ref="E36:N36" si="20">E30-E25</f>
        <v>0</v>
      </c>
      <c r="F36" s="55">
        <f t="shared" si="20"/>
        <v>865.71066160096962</v>
      </c>
      <c r="G36" s="55">
        <f t="shared" si="20"/>
        <v>0</v>
      </c>
      <c r="H36" s="55">
        <f t="shared" si="20"/>
        <v>0</v>
      </c>
      <c r="I36" s="55">
        <f t="shared" si="20"/>
        <v>0</v>
      </c>
      <c r="J36" s="55">
        <f t="shared" si="20"/>
        <v>0</v>
      </c>
      <c r="K36" s="55">
        <f t="shared" si="20"/>
        <v>0</v>
      </c>
      <c r="L36" s="55">
        <f t="shared" si="20"/>
        <v>0</v>
      </c>
      <c r="M36" s="55">
        <f t="shared" si="20"/>
        <v>0</v>
      </c>
      <c r="N36" s="55">
        <f t="shared" si="20"/>
        <v>0</v>
      </c>
      <c r="O36" s="55">
        <f t="shared" ref="O36" si="21">O30-O25</f>
        <v>0</v>
      </c>
      <c r="P36" s="26"/>
      <c r="Q36" s="92">
        <f>SUM(E36:J36)</f>
        <v>865.71066160096962</v>
      </c>
      <c r="R36" s="55">
        <f>SUM(E36:O36)</f>
        <v>865.71066160096962</v>
      </c>
    </row>
    <row r="37" spans="2:18" x14ac:dyDescent="0.35">
      <c r="B37" t="s">
        <v>146</v>
      </c>
      <c r="E37" s="55">
        <f t="shared" ref="E37:N37" si="22">E30</f>
        <v>0</v>
      </c>
      <c r="F37" s="55">
        <f t="shared" si="22"/>
        <v>2742.5901447466895</v>
      </c>
      <c r="G37" s="55">
        <f t="shared" si="22"/>
        <v>0</v>
      </c>
      <c r="H37" s="55">
        <f t="shared" si="22"/>
        <v>0</v>
      </c>
      <c r="I37" s="55">
        <f t="shared" si="22"/>
        <v>0</v>
      </c>
      <c r="J37" s="55">
        <f t="shared" si="22"/>
        <v>0</v>
      </c>
      <c r="K37" s="55">
        <f t="shared" si="22"/>
        <v>0</v>
      </c>
      <c r="L37" s="55">
        <f t="shared" si="22"/>
        <v>0</v>
      </c>
      <c r="M37" s="55">
        <f t="shared" si="22"/>
        <v>0</v>
      </c>
      <c r="N37" s="55">
        <f t="shared" si="22"/>
        <v>0</v>
      </c>
      <c r="O37" s="55">
        <f t="shared" ref="O37" si="23">O30</f>
        <v>0</v>
      </c>
      <c r="P37" s="26"/>
      <c r="Q37" s="92">
        <f>SUM(E37:J37)</f>
        <v>2742.5901447466895</v>
      </c>
      <c r="R37" s="55">
        <f>SUM(E37:O37)</f>
        <v>2742.5901447466895</v>
      </c>
    </row>
    <row r="38" spans="2:18" x14ac:dyDescent="0.35">
      <c r="E38" s="26"/>
      <c r="F38" s="26"/>
      <c r="G38" s="26"/>
      <c r="H38" s="26"/>
      <c r="I38" s="26"/>
      <c r="J38" s="26"/>
      <c r="K38" s="26"/>
      <c r="L38" s="26"/>
      <c r="M38" s="26"/>
      <c r="N38" s="26"/>
      <c r="O38" s="26"/>
      <c r="P38" s="26"/>
      <c r="Q38" s="50"/>
      <c r="R38" s="50"/>
    </row>
    <row r="39" spans="2:18" x14ac:dyDescent="0.35">
      <c r="F39" s="95"/>
    </row>
  </sheetData>
  <hyperlinks>
    <hyperlink ref="C19" r:id="rId1" location="page=54" xr:uid="{7F54671B-BAAB-46DC-AF6C-E3F6BF7AB047}"/>
  </hyperlinks>
  <pageMargins left="0.7" right="0.7" top="0.75" bottom="0.75" header="0.3" footer="0.3"/>
  <pageSetup orientation="portrait" horizontalDpi="1200" verticalDpi="1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8C4C5-28BD-4318-B473-820DCD6CDEE8}">
  <dimension ref="B2:V98"/>
  <sheetViews>
    <sheetView zoomScaleNormal="100" workbookViewId="0">
      <selection activeCell="D28" sqref="D28"/>
    </sheetView>
  </sheetViews>
  <sheetFormatPr defaultRowHeight="14.5" x14ac:dyDescent="0.35"/>
  <cols>
    <col min="1" max="1" width="3.54296875" customWidth="1"/>
    <col min="2" max="2" width="46" customWidth="1"/>
    <col min="3" max="3" width="32.26953125" customWidth="1"/>
    <col min="4" max="4" width="14.81640625" customWidth="1"/>
    <col min="5" max="5" width="7.7265625" customWidth="1"/>
    <col min="6" max="6" width="12.1796875" customWidth="1"/>
    <col min="7" max="16" width="12.453125" customWidth="1"/>
    <col min="17" max="17" width="4.54296875" customWidth="1"/>
    <col min="18" max="18" width="11.7265625" customWidth="1"/>
    <col min="19" max="19" width="9.54296875" customWidth="1"/>
    <col min="20" max="20" width="4.453125" customWidth="1"/>
    <col min="21" max="21" width="11.7265625" customWidth="1"/>
    <col min="25" max="25" width="13.453125" bestFit="1" customWidth="1"/>
    <col min="26" max="26" width="9.54296875" bestFit="1" customWidth="1"/>
  </cols>
  <sheetData>
    <row r="2" spans="2:19" ht="23.5" x14ac:dyDescent="0.55000000000000004">
      <c r="B2" s="1" t="s">
        <v>88</v>
      </c>
    </row>
    <row r="3" spans="2:19" x14ac:dyDescent="0.35">
      <c r="D3" s="72"/>
      <c r="M3" s="61"/>
      <c r="N3" s="61"/>
      <c r="O3" s="61"/>
      <c r="P3" s="61"/>
      <c r="R3" s="119"/>
      <c r="S3" s="119"/>
    </row>
    <row r="4" spans="2:19" ht="15" thickBot="1" x14ac:dyDescent="0.4">
      <c r="B4" s="15" t="s">
        <v>27</v>
      </c>
      <c r="D4" s="72"/>
      <c r="E4" s="72"/>
      <c r="F4" s="72"/>
      <c r="G4" s="72"/>
      <c r="H4" s="72"/>
      <c r="I4" s="72"/>
      <c r="J4" s="72"/>
      <c r="L4" s="61"/>
      <c r="M4" s="61"/>
      <c r="N4" s="61"/>
      <c r="O4" s="61"/>
      <c r="P4" s="61"/>
      <c r="R4" s="115"/>
      <c r="S4" s="115"/>
    </row>
    <row r="5" spans="2:19" x14ac:dyDescent="0.35">
      <c r="B5" t="s">
        <v>29</v>
      </c>
      <c r="D5" s="72"/>
      <c r="E5" s="72"/>
      <c r="F5" s="72"/>
      <c r="G5" s="72"/>
      <c r="H5" s="72"/>
      <c r="I5" s="72"/>
      <c r="J5" s="72"/>
      <c r="M5" s="61"/>
      <c r="N5" s="61"/>
      <c r="O5" s="61"/>
      <c r="P5" s="61"/>
      <c r="R5" s="113">
        <v>2026</v>
      </c>
      <c r="S5" s="114">
        <v>2026</v>
      </c>
    </row>
    <row r="6" spans="2:19" ht="15" thickBot="1" x14ac:dyDescent="0.4">
      <c r="B6" t="s">
        <v>84</v>
      </c>
      <c r="D6" s="73"/>
      <c r="L6" s="61"/>
      <c r="M6" s="61"/>
      <c r="N6" s="61"/>
      <c r="O6" s="61"/>
      <c r="P6" s="61"/>
      <c r="R6" s="62">
        <v>2031</v>
      </c>
      <c r="S6" s="63">
        <v>2036</v>
      </c>
    </row>
    <row r="7" spans="2:19" x14ac:dyDescent="0.35">
      <c r="B7" t="s">
        <v>85</v>
      </c>
      <c r="D7" s="28"/>
      <c r="E7" s="28"/>
      <c r="F7" s="64"/>
    </row>
    <row r="9" spans="2:19" x14ac:dyDescent="0.35">
      <c r="B9" s="74" t="str">
        <f>$B$4</f>
        <v>1) Inputs</v>
      </c>
      <c r="C9" s="75"/>
      <c r="D9" s="76"/>
      <c r="E9" s="75"/>
      <c r="F9" s="75"/>
      <c r="G9" s="75"/>
      <c r="H9" s="75"/>
      <c r="I9" s="75"/>
      <c r="J9" s="75"/>
      <c r="K9" s="75"/>
      <c r="L9" s="75"/>
      <c r="M9" s="75"/>
      <c r="N9" s="75"/>
      <c r="O9" s="75"/>
      <c r="P9" s="75"/>
      <c r="Q9" s="75"/>
      <c r="R9" s="75"/>
      <c r="S9" s="75"/>
    </row>
    <row r="10" spans="2:19" x14ac:dyDescent="0.35">
      <c r="B10" s="3" t="s">
        <v>89</v>
      </c>
      <c r="C10" s="4"/>
      <c r="D10" s="4"/>
      <c r="E10" s="4"/>
      <c r="F10" s="4"/>
      <c r="G10" s="4"/>
      <c r="H10" s="4"/>
      <c r="I10" s="4"/>
      <c r="J10" s="4"/>
      <c r="K10" s="4"/>
      <c r="L10" s="4"/>
      <c r="M10" s="4"/>
      <c r="N10" s="4"/>
      <c r="O10" s="4"/>
      <c r="P10" s="4"/>
      <c r="Q10" s="4"/>
      <c r="R10" s="4"/>
      <c r="S10" s="4"/>
    </row>
    <row r="11" spans="2:19" x14ac:dyDescent="0.35">
      <c r="B11" s="77"/>
    </row>
    <row r="12" spans="2:19" x14ac:dyDescent="0.35">
      <c r="B12" t="s">
        <v>6</v>
      </c>
      <c r="C12" s="79" cm="1">
        <f t="array" ref="C12">DATE(_xlfn.XLOOKUP(TRUE,'1. MPFS FFS Model'!E12:O12&lt;&gt;0,'1. MPFS FFS Model'!E10:O10,Summary!E10,0,1),1,1)</f>
        <v>46388</v>
      </c>
    </row>
    <row r="13" spans="2:19" x14ac:dyDescent="0.35">
      <c r="B13" t="s">
        <v>7</v>
      </c>
      <c r="C13" s="79" cm="1">
        <f t="array" ref="C13">DATE(_xlfn.XLOOKUP(TRUE,'1. MPFS FFS Model'!E12:O12&lt;&gt;0,'1. MPFS FFS Model'!E10:O10,Summary!O9,0,-1),12,31)</f>
        <v>46752</v>
      </c>
    </row>
    <row r="14" spans="2:19" x14ac:dyDescent="0.35">
      <c r="C14" s="78"/>
      <c r="D14" s="17"/>
      <c r="E14" s="16"/>
      <c r="F14" s="16"/>
      <c r="G14" s="16"/>
      <c r="H14" s="16"/>
      <c r="I14" s="16"/>
      <c r="J14" s="16"/>
      <c r="K14" s="16"/>
      <c r="L14" s="16"/>
      <c r="M14" s="16"/>
      <c r="N14" s="16"/>
      <c r="O14" s="16"/>
      <c r="P14" s="16"/>
      <c r="R14" s="16"/>
      <c r="S14" s="16"/>
    </row>
    <row r="15" spans="2:19" x14ac:dyDescent="0.35">
      <c r="B15" s="2" t="s">
        <v>8</v>
      </c>
      <c r="C15" s="31" t="s">
        <v>9</v>
      </c>
      <c r="D15" s="16" t="s">
        <v>10</v>
      </c>
      <c r="E15" s="16"/>
      <c r="F15" s="16">
        <v>2026</v>
      </c>
      <c r="G15" s="16">
        <f>F15+1</f>
        <v>2027</v>
      </c>
      <c r="H15" s="16">
        <f t="shared" ref="H15:P15" si="0">G15+1</f>
        <v>2028</v>
      </c>
      <c r="I15" s="16">
        <f t="shared" si="0"/>
        <v>2029</v>
      </c>
      <c r="J15" s="16">
        <f t="shared" si="0"/>
        <v>2030</v>
      </c>
      <c r="K15" s="16">
        <f t="shared" si="0"/>
        <v>2031</v>
      </c>
      <c r="L15" s="16">
        <f t="shared" si="0"/>
        <v>2032</v>
      </c>
      <c r="M15" s="16">
        <f t="shared" si="0"/>
        <v>2033</v>
      </c>
      <c r="N15" s="16">
        <f t="shared" si="0"/>
        <v>2034</v>
      </c>
      <c r="O15" s="16">
        <f t="shared" si="0"/>
        <v>2035</v>
      </c>
      <c r="P15" s="16">
        <f t="shared" si="0"/>
        <v>2036</v>
      </c>
      <c r="Q15" s="17"/>
      <c r="R15" s="16" t="str">
        <f>_xlfn.CONCAT($R$5,"-", $R$6)</f>
        <v>2026-2031</v>
      </c>
      <c r="S15" s="16" t="str">
        <f>_xlfn.CONCAT($S$5, "-", $S$6)</f>
        <v>2026-2036</v>
      </c>
    </row>
    <row r="16" spans="2:19" x14ac:dyDescent="0.35">
      <c r="B16" t="s">
        <v>37</v>
      </c>
      <c r="C16" s="41" t="s">
        <v>23</v>
      </c>
      <c r="D16" s="80"/>
      <c r="E16" s="80"/>
      <c r="F16" s="96">
        <f>'1. MPFS FFS Model'!E37</f>
        <v>0</v>
      </c>
      <c r="G16" s="96">
        <f>'1. MPFS FFS Model'!F37</f>
        <v>2742.5901447466895</v>
      </c>
      <c r="H16" s="96">
        <f>'1. MPFS FFS Model'!G37</f>
        <v>0</v>
      </c>
      <c r="I16" s="96">
        <f>'1. MPFS FFS Model'!H37</f>
        <v>0</v>
      </c>
      <c r="J16" s="96">
        <f>'1. MPFS FFS Model'!I37</f>
        <v>0</v>
      </c>
      <c r="K16" s="96">
        <f>'1. MPFS FFS Model'!J37</f>
        <v>0</v>
      </c>
      <c r="L16" s="96">
        <f>'1. MPFS FFS Model'!K37</f>
        <v>0</v>
      </c>
      <c r="M16" s="96">
        <f>'1. MPFS FFS Model'!L37</f>
        <v>0</v>
      </c>
      <c r="N16" s="96">
        <f>'1. MPFS FFS Model'!M37</f>
        <v>0</v>
      </c>
      <c r="O16" s="96">
        <f>'1. MPFS FFS Model'!N37</f>
        <v>0</v>
      </c>
      <c r="P16" s="96">
        <f>'1. MPFS FFS Model'!O37</f>
        <v>0</v>
      </c>
      <c r="Q16" s="30"/>
      <c r="R16" s="96">
        <f>SUM(_xlfn.XLOOKUP($R$5, $15:$15, $16:$16, "", 0):_xlfn.XLOOKUP($R$6, $15:$15, $16:$16, "", 0))</f>
        <v>2742.5901447466895</v>
      </c>
      <c r="S16" s="96">
        <f>SUM(_xlfn.XLOOKUP($S$5, $15:$15, $16:$16, "", 0):_xlfn.XLOOKUP($S$6, $15:$15, $16:$16, "", 0))</f>
        <v>2742.5901447466895</v>
      </c>
    </row>
    <row r="17" spans="2:19" x14ac:dyDescent="0.35">
      <c r="C17" s="41"/>
      <c r="D17" s="80"/>
      <c r="E17" s="80"/>
      <c r="F17" s="81"/>
      <c r="G17" s="81"/>
      <c r="H17" s="81"/>
      <c r="I17" s="81"/>
      <c r="J17" s="81"/>
      <c r="K17" s="81"/>
      <c r="L17" s="81"/>
      <c r="M17" s="81"/>
      <c r="N17" s="81"/>
      <c r="O17" s="81"/>
      <c r="P17" s="81"/>
      <c r="Q17" s="30"/>
      <c r="R17" s="29"/>
      <c r="S17" s="29"/>
    </row>
    <row r="18" spans="2:19" x14ac:dyDescent="0.35">
      <c r="B18" s="2" t="s">
        <v>11</v>
      </c>
      <c r="C18" s="41"/>
      <c r="D18" s="80"/>
      <c r="E18" s="80"/>
      <c r="F18" s="81"/>
      <c r="G18" s="81"/>
      <c r="H18" s="81"/>
      <c r="I18" s="81"/>
      <c r="J18" s="81"/>
      <c r="K18" s="81"/>
      <c r="L18" s="81"/>
      <c r="M18" s="81"/>
      <c r="N18" s="81"/>
      <c r="O18" s="81"/>
      <c r="P18" s="81"/>
      <c r="Q18" s="30"/>
      <c r="R18" s="29"/>
      <c r="S18" s="29"/>
    </row>
    <row r="19" spans="2:19" x14ac:dyDescent="0.35">
      <c r="B19" s="42" t="s">
        <v>45</v>
      </c>
      <c r="C19" s="41">
        <v>0</v>
      </c>
      <c r="D19" s="80"/>
      <c r="E19" s="80"/>
      <c r="F19" s="81"/>
      <c r="J19" s="81"/>
      <c r="K19" s="81"/>
      <c r="L19" s="81"/>
      <c r="M19" s="81"/>
      <c r="N19" s="81"/>
      <c r="O19" s="81"/>
      <c r="P19" s="81"/>
      <c r="Q19" s="30"/>
      <c r="R19" s="29"/>
      <c r="S19" s="29"/>
    </row>
    <row r="20" spans="2:19" x14ac:dyDescent="0.35">
      <c r="B20" s="42" t="s">
        <v>46</v>
      </c>
      <c r="C20" s="41">
        <v>1</v>
      </c>
      <c r="D20" s="80"/>
      <c r="E20" s="80"/>
      <c r="F20" s="81"/>
      <c r="J20" s="81"/>
      <c r="K20" s="81"/>
      <c r="L20" s="81"/>
      <c r="M20" s="81"/>
      <c r="N20" s="81"/>
      <c r="O20" s="81"/>
      <c r="P20" s="81"/>
      <c r="Q20" s="30"/>
      <c r="R20" s="29"/>
      <c r="S20" s="29"/>
    </row>
    <row r="21" spans="2:19" x14ac:dyDescent="0.35">
      <c r="B21" s="42" t="s">
        <v>47</v>
      </c>
      <c r="C21" s="41">
        <v>1</v>
      </c>
      <c r="D21" s="80"/>
      <c r="E21" s="80"/>
      <c r="F21" s="81"/>
      <c r="J21" s="81"/>
      <c r="K21" s="81"/>
      <c r="L21" s="81"/>
      <c r="M21" s="81"/>
      <c r="N21" s="81"/>
      <c r="O21" s="81"/>
      <c r="P21" s="81"/>
      <c r="Q21" s="30"/>
      <c r="R21" s="29"/>
      <c r="S21" s="29"/>
    </row>
    <row r="22" spans="2:19" x14ac:dyDescent="0.35">
      <c r="B22" s="42" t="s">
        <v>130</v>
      </c>
      <c r="C22" s="41">
        <v>56</v>
      </c>
      <c r="D22" s="80"/>
      <c r="E22" s="80"/>
      <c r="F22" s="81"/>
      <c r="J22" s="81"/>
      <c r="K22" s="81"/>
      <c r="L22" s="81"/>
      <c r="M22" s="81"/>
      <c r="N22" s="81"/>
      <c r="O22" s="81"/>
      <c r="P22" s="81"/>
      <c r="Q22" s="30"/>
      <c r="R22" s="29"/>
      <c r="S22" s="29"/>
    </row>
    <row r="23" spans="2:19" x14ac:dyDescent="0.35">
      <c r="B23" s="42" t="s">
        <v>48</v>
      </c>
      <c r="C23" s="41">
        <v>2026</v>
      </c>
      <c r="D23" s="80"/>
      <c r="E23" s="80"/>
      <c r="F23" s="81"/>
      <c r="J23" s="81"/>
      <c r="K23" s="81"/>
      <c r="L23" s="81"/>
      <c r="M23" s="81"/>
      <c r="N23" s="81"/>
      <c r="O23" s="81"/>
      <c r="P23" s="81"/>
      <c r="Q23" s="30"/>
      <c r="R23" s="29"/>
      <c r="S23" s="29"/>
    </row>
    <row r="24" spans="2:19" x14ac:dyDescent="0.35">
      <c r="B24" s="42" t="s">
        <v>49</v>
      </c>
      <c r="C24" s="41">
        <v>2026</v>
      </c>
      <c r="D24" s="80"/>
      <c r="E24" s="80"/>
      <c r="F24" s="81"/>
      <c r="G24" s="81"/>
      <c r="H24" s="81"/>
      <c r="I24" s="81"/>
      <c r="J24" s="81"/>
      <c r="K24" s="81"/>
      <c r="L24" s="81"/>
      <c r="M24" s="81"/>
      <c r="N24" s="81"/>
      <c r="O24" s="81"/>
      <c r="P24" s="81"/>
      <c r="Q24" s="30"/>
      <c r="R24" s="29"/>
      <c r="S24" s="29"/>
    </row>
    <row r="25" spans="2:19" x14ac:dyDescent="0.35">
      <c r="C25" s="40"/>
      <c r="D25" s="65"/>
      <c r="F25" s="18"/>
      <c r="G25" s="18"/>
      <c r="H25" s="18"/>
      <c r="I25" s="37"/>
      <c r="J25" s="37"/>
      <c r="K25" s="37"/>
      <c r="L25" s="37"/>
      <c r="M25" s="37"/>
      <c r="N25" s="37"/>
      <c r="O25" s="37"/>
      <c r="P25" s="37"/>
      <c r="Q25" s="30"/>
      <c r="R25" s="29"/>
      <c r="S25" s="29"/>
    </row>
    <row r="26" spans="2:19" x14ac:dyDescent="0.35">
      <c r="B26" s="3" t="s">
        <v>90</v>
      </c>
      <c r="C26" s="3"/>
      <c r="D26" s="3"/>
      <c r="E26" s="3"/>
      <c r="F26" s="3"/>
      <c r="G26" s="3"/>
      <c r="H26" s="3"/>
      <c r="I26" s="3"/>
      <c r="J26" s="3"/>
      <c r="K26" s="3"/>
      <c r="L26" s="3"/>
      <c r="M26" s="3"/>
      <c r="N26" s="3"/>
      <c r="O26" s="3"/>
      <c r="P26" s="3"/>
      <c r="Q26" s="3"/>
      <c r="R26" s="3"/>
      <c r="S26" s="3"/>
    </row>
    <row r="27" spans="2:19" x14ac:dyDescent="0.35">
      <c r="B27" s="2" t="s">
        <v>5</v>
      </c>
      <c r="C27" s="31" t="s">
        <v>12</v>
      </c>
      <c r="E27" s="45"/>
      <c r="F27" s="16">
        <f>F$15</f>
        <v>2026</v>
      </c>
      <c r="G27" s="16">
        <f t="shared" ref="G27:P27" si="1">G$15</f>
        <v>2027</v>
      </c>
      <c r="H27" s="16">
        <f t="shared" si="1"/>
        <v>2028</v>
      </c>
      <c r="I27" s="16">
        <f t="shared" si="1"/>
        <v>2029</v>
      </c>
      <c r="J27" s="16">
        <f t="shared" si="1"/>
        <v>2030</v>
      </c>
      <c r="K27" s="16">
        <f t="shared" si="1"/>
        <v>2031</v>
      </c>
      <c r="L27" s="16">
        <f t="shared" si="1"/>
        <v>2032</v>
      </c>
      <c r="M27" s="16">
        <f t="shared" si="1"/>
        <v>2033</v>
      </c>
      <c r="N27" s="16">
        <f t="shared" si="1"/>
        <v>2034</v>
      </c>
      <c r="O27" s="16">
        <f t="shared" si="1"/>
        <v>2035</v>
      </c>
      <c r="P27" s="16">
        <f t="shared" si="1"/>
        <v>2036</v>
      </c>
      <c r="R27" s="2"/>
      <c r="S27" s="2"/>
    </row>
    <row r="28" spans="2:19" x14ac:dyDescent="0.35">
      <c r="B28" t="s">
        <v>131</v>
      </c>
      <c r="C28" s="41">
        <f>C19</f>
        <v>0</v>
      </c>
      <c r="E28" s="38"/>
      <c r="F28" s="100">
        <v>0</v>
      </c>
      <c r="G28" s="100">
        <v>1.1599999999999999</v>
      </c>
      <c r="H28" s="100">
        <v>1.21</v>
      </c>
      <c r="I28" s="100">
        <v>1.25</v>
      </c>
      <c r="J28" s="100">
        <v>1.29</v>
      </c>
      <c r="K28" s="100">
        <v>1.33</v>
      </c>
      <c r="L28" s="100">
        <v>1.35</v>
      </c>
      <c r="M28" s="100">
        <v>1.39</v>
      </c>
      <c r="N28" s="100">
        <v>1.41</v>
      </c>
      <c r="O28" s="100">
        <v>1.43</v>
      </c>
      <c r="P28" s="100">
        <v>1.45</v>
      </c>
      <c r="Q28" s="80"/>
      <c r="R28" s="80"/>
    </row>
    <row r="29" spans="2:19" x14ac:dyDescent="0.35">
      <c r="B29" t="s">
        <v>132</v>
      </c>
      <c r="C29" s="41">
        <f>C20</f>
        <v>1</v>
      </c>
      <c r="E29" s="38"/>
      <c r="F29" s="100">
        <v>0</v>
      </c>
      <c r="G29" s="100">
        <v>1.29</v>
      </c>
      <c r="H29" s="100">
        <v>1.35</v>
      </c>
      <c r="I29" s="100">
        <v>1.41</v>
      </c>
      <c r="J29" s="100">
        <v>1.46</v>
      </c>
      <c r="K29" s="100">
        <v>1.51</v>
      </c>
      <c r="L29" s="100">
        <v>1.54</v>
      </c>
      <c r="M29" s="100">
        <v>1.59</v>
      </c>
      <c r="N29" s="100">
        <v>1.62</v>
      </c>
      <c r="O29" s="100">
        <v>1.64</v>
      </c>
      <c r="P29" s="100">
        <v>1.67</v>
      </c>
      <c r="Q29" s="80"/>
      <c r="R29" s="80"/>
      <c r="S29" s="2"/>
    </row>
    <row r="30" spans="2:19" x14ac:dyDescent="0.35">
      <c r="B30" t="s">
        <v>133</v>
      </c>
      <c r="C30" s="41">
        <f>C21</f>
        <v>1</v>
      </c>
      <c r="E30" s="39"/>
      <c r="F30" s="100">
        <v>-0.26</v>
      </c>
      <c r="G30" s="100">
        <v>-0.26</v>
      </c>
      <c r="H30" s="100">
        <v>-0.26</v>
      </c>
      <c r="I30" s="100">
        <v>-0.25</v>
      </c>
      <c r="J30" s="100">
        <v>-0.26</v>
      </c>
      <c r="K30" s="100">
        <v>-0.26</v>
      </c>
      <c r="L30" s="100">
        <v>-0.26</v>
      </c>
      <c r="M30" s="100">
        <v>-0.26</v>
      </c>
      <c r="N30" s="100">
        <v>-0.26</v>
      </c>
      <c r="O30" s="100">
        <v>-0.26</v>
      </c>
      <c r="P30" s="100">
        <v>-0.26</v>
      </c>
      <c r="Q30" s="80"/>
      <c r="R30" s="90"/>
      <c r="S30" s="2"/>
    </row>
    <row r="31" spans="2:19" x14ac:dyDescent="0.35">
      <c r="B31" s="49" t="str">
        <f>IF(C28+C29=2, "Error: Only one MA Interaction term may be selected.", "Confirmed: One or fewer MA Interaction terms was selected.")</f>
        <v>Confirmed: One or fewer MA Interaction terms was selected.</v>
      </c>
      <c r="C31" s="118"/>
      <c r="D31" s="49"/>
      <c r="E31" s="49"/>
      <c r="F31" s="101"/>
      <c r="G31" s="101"/>
      <c r="H31" s="101"/>
      <c r="I31" s="102"/>
      <c r="J31" s="102"/>
      <c r="K31" s="102"/>
      <c r="L31" s="102"/>
      <c r="M31" s="102"/>
      <c r="N31" s="102"/>
      <c r="O31" s="102"/>
      <c r="P31" s="102"/>
      <c r="Q31" s="80"/>
      <c r="R31" s="90"/>
      <c r="S31" s="2"/>
    </row>
    <row r="32" spans="2:19" x14ac:dyDescent="0.35">
      <c r="B32" s="49"/>
      <c r="C32" s="49"/>
      <c r="D32" s="49"/>
      <c r="E32" s="49"/>
      <c r="F32" s="49"/>
      <c r="G32" s="49"/>
      <c r="H32" s="49"/>
      <c r="I32" s="7"/>
      <c r="J32" s="7"/>
      <c r="K32" s="7"/>
      <c r="L32" s="7"/>
      <c r="M32" s="7"/>
      <c r="N32" s="7"/>
      <c r="O32" s="7"/>
      <c r="P32" s="7"/>
      <c r="R32" s="2"/>
      <c r="S32" s="2"/>
    </row>
    <row r="33" spans="2:21" x14ac:dyDescent="0.35">
      <c r="B33" s="74" t="str">
        <f>$B$5</f>
        <v>2) Calculations</v>
      </c>
      <c r="C33" s="75"/>
      <c r="D33" s="76"/>
      <c r="E33" s="75"/>
      <c r="F33" s="75"/>
      <c r="G33" s="75"/>
      <c r="H33" s="75"/>
      <c r="I33" s="75"/>
      <c r="J33" s="75"/>
      <c r="K33" s="75"/>
      <c r="L33" s="75"/>
      <c r="M33" s="75"/>
      <c r="N33" s="75"/>
      <c r="O33" s="75"/>
      <c r="P33" s="75"/>
      <c r="Q33" s="75"/>
      <c r="R33" s="75"/>
      <c r="S33" s="75"/>
    </row>
    <row r="34" spans="2:21" x14ac:dyDescent="0.35">
      <c r="B34" s="3" t="s">
        <v>50</v>
      </c>
      <c r="C34" s="83"/>
      <c r="D34" s="4"/>
      <c r="E34" s="4"/>
      <c r="F34" s="84"/>
      <c r="G34" s="84"/>
      <c r="H34" s="84"/>
      <c r="I34" s="85"/>
      <c r="J34" s="85"/>
      <c r="K34" s="85"/>
      <c r="L34" s="85"/>
      <c r="M34" s="85"/>
      <c r="N34" s="85"/>
      <c r="O34" s="85"/>
      <c r="P34" s="85"/>
      <c r="Q34" s="86"/>
      <c r="R34" s="87"/>
      <c r="S34" s="87"/>
    </row>
    <row r="35" spans="2:21" x14ac:dyDescent="0.35">
      <c r="B35" s="66" t="s">
        <v>8</v>
      </c>
      <c r="C35" s="32" t="s">
        <v>3</v>
      </c>
      <c r="F35" s="16">
        <f>F$15</f>
        <v>2026</v>
      </c>
      <c r="G35" s="16">
        <f t="shared" ref="G35:P35" si="2">G$15</f>
        <v>2027</v>
      </c>
      <c r="H35" s="16">
        <f t="shared" si="2"/>
        <v>2028</v>
      </c>
      <c r="I35" s="16">
        <f t="shared" si="2"/>
        <v>2029</v>
      </c>
      <c r="J35" s="16">
        <f t="shared" si="2"/>
        <v>2030</v>
      </c>
      <c r="K35" s="16">
        <f t="shared" si="2"/>
        <v>2031</v>
      </c>
      <c r="L35" s="16">
        <f t="shared" si="2"/>
        <v>2032</v>
      </c>
      <c r="M35" s="16">
        <f t="shared" si="2"/>
        <v>2033</v>
      </c>
      <c r="N35" s="16">
        <f t="shared" si="2"/>
        <v>2034</v>
      </c>
      <c r="O35" s="16">
        <f t="shared" si="2"/>
        <v>2035</v>
      </c>
      <c r="P35" s="16">
        <f t="shared" si="2"/>
        <v>2036</v>
      </c>
      <c r="Q35" s="30"/>
      <c r="R35" s="16" t="str">
        <f>R$15</f>
        <v>2026-2031</v>
      </c>
      <c r="S35" s="16" t="str">
        <f>S$15</f>
        <v>2026-2036</v>
      </c>
    </row>
    <row r="36" spans="2:21" x14ac:dyDescent="0.35">
      <c r="B36" s="82" t="s">
        <v>51</v>
      </c>
      <c r="C36" s="32"/>
      <c r="F36" s="16"/>
      <c r="G36" s="16"/>
      <c r="H36" s="16"/>
      <c r="I36" s="16"/>
      <c r="J36" s="16"/>
      <c r="K36" s="16"/>
      <c r="L36" s="16"/>
      <c r="M36" s="16"/>
      <c r="N36" s="16"/>
      <c r="O36" s="16"/>
      <c r="P36" s="16"/>
      <c r="Q36" s="30"/>
      <c r="R36" s="16"/>
      <c r="S36" s="16"/>
    </row>
    <row r="37" spans="2:21" x14ac:dyDescent="0.35">
      <c r="B37" s="27" t="s">
        <v>52</v>
      </c>
      <c r="C37" s="8"/>
      <c r="F37" s="43">
        <f>DATE(F$15,1,1)</f>
        <v>46023</v>
      </c>
      <c r="G37" s="43">
        <f t="shared" ref="G37:P37" si="3">DATE(G$15,1,1)</f>
        <v>46388</v>
      </c>
      <c r="H37" s="43">
        <f>DATE(H$15,1,1)</f>
        <v>46753</v>
      </c>
      <c r="I37" s="43">
        <f t="shared" si="3"/>
        <v>47119</v>
      </c>
      <c r="J37" s="43">
        <f t="shared" si="3"/>
        <v>47484</v>
      </c>
      <c r="K37" s="43">
        <f t="shared" si="3"/>
        <v>47849</v>
      </c>
      <c r="L37" s="43">
        <f t="shared" si="3"/>
        <v>48214</v>
      </c>
      <c r="M37" s="43">
        <f t="shared" si="3"/>
        <v>48580</v>
      </c>
      <c r="N37" s="43">
        <f t="shared" si="3"/>
        <v>48945</v>
      </c>
      <c r="O37" s="43">
        <f t="shared" si="3"/>
        <v>49310</v>
      </c>
      <c r="P37" s="43">
        <f t="shared" si="3"/>
        <v>49675</v>
      </c>
      <c r="Q37" s="30"/>
      <c r="R37" s="29"/>
      <c r="S37" s="29"/>
    </row>
    <row r="38" spans="2:21" x14ac:dyDescent="0.35">
      <c r="B38" s="11" t="s">
        <v>53</v>
      </c>
      <c r="C38" s="8"/>
      <c r="F38" s="43">
        <f>DATE(F$15,9,30)</f>
        <v>46295</v>
      </c>
      <c r="G38" s="43">
        <f t="shared" ref="G38:P38" si="4">DATE(G$15,9,30)</f>
        <v>46660</v>
      </c>
      <c r="H38" s="43">
        <f t="shared" si="4"/>
        <v>47026</v>
      </c>
      <c r="I38" s="43">
        <f t="shared" si="4"/>
        <v>47391</v>
      </c>
      <c r="J38" s="43">
        <f t="shared" si="4"/>
        <v>47756</v>
      </c>
      <c r="K38" s="43">
        <f t="shared" si="4"/>
        <v>48121</v>
      </c>
      <c r="L38" s="43">
        <f t="shared" si="4"/>
        <v>48487</v>
      </c>
      <c r="M38" s="43">
        <f t="shared" si="4"/>
        <v>48852</v>
      </c>
      <c r="N38" s="43">
        <f t="shared" si="4"/>
        <v>49217</v>
      </c>
      <c r="O38" s="43">
        <f t="shared" si="4"/>
        <v>49582</v>
      </c>
      <c r="P38" s="43">
        <f t="shared" si="4"/>
        <v>49948</v>
      </c>
      <c r="Q38" s="30"/>
      <c r="R38" s="29"/>
      <c r="S38" s="29"/>
    </row>
    <row r="39" spans="2:21" x14ac:dyDescent="0.35">
      <c r="B39" s="27" t="s">
        <v>54</v>
      </c>
      <c r="C39" s="8"/>
      <c r="F39" s="43">
        <f>F$38-$C$22</f>
        <v>46239</v>
      </c>
      <c r="G39" s="43">
        <f t="shared" ref="G39:P39" si="5">G$38-$C$22</f>
        <v>46604</v>
      </c>
      <c r="H39" s="43">
        <f t="shared" si="5"/>
        <v>46970</v>
      </c>
      <c r="I39" s="43">
        <f t="shared" si="5"/>
        <v>47335</v>
      </c>
      <c r="J39" s="43">
        <f t="shared" si="5"/>
        <v>47700</v>
      </c>
      <c r="K39" s="43">
        <f t="shared" si="5"/>
        <v>48065</v>
      </c>
      <c r="L39" s="43">
        <f t="shared" si="5"/>
        <v>48431</v>
      </c>
      <c r="M39" s="43">
        <f t="shared" si="5"/>
        <v>48796</v>
      </c>
      <c r="N39" s="43">
        <f t="shared" si="5"/>
        <v>49161</v>
      </c>
      <c r="O39" s="43">
        <f t="shared" si="5"/>
        <v>49526</v>
      </c>
      <c r="P39" s="43">
        <f t="shared" si="5"/>
        <v>49892</v>
      </c>
    </row>
    <row r="40" spans="2:21" x14ac:dyDescent="0.35">
      <c r="B40" t="s">
        <v>55</v>
      </c>
      <c r="C40" s="8"/>
      <c r="F40" s="43"/>
      <c r="G40" s="43"/>
      <c r="H40" s="43"/>
      <c r="I40" s="43"/>
      <c r="J40" s="43"/>
      <c r="K40" s="43"/>
      <c r="L40" s="43"/>
      <c r="M40" s="43"/>
      <c r="N40" s="43"/>
      <c r="O40" s="43"/>
      <c r="P40" s="43"/>
      <c r="U40" s="6"/>
    </row>
    <row r="41" spans="2:21" x14ac:dyDescent="0.35">
      <c r="B41" s="27" t="s">
        <v>56</v>
      </c>
      <c r="C41" s="8"/>
      <c r="F41" s="43">
        <f>F$39+1</f>
        <v>46240</v>
      </c>
      <c r="G41" s="43">
        <f t="shared" ref="G41:P41" si="6">G$39+1</f>
        <v>46605</v>
      </c>
      <c r="H41" s="43">
        <f t="shared" si="6"/>
        <v>46971</v>
      </c>
      <c r="I41" s="43">
        <f t="shared" si="6"/>
        <v>47336</v>
      </c>
      <c r="J41" s="43">
        <f t="shared" si="6"/>
        <v>47701</v>
      </c>
      <c r="K41" s="43">
        <f t="shared" si="6"/>
        <v>48066</v>
      </c>
      <c r="L41" s="43">
        <f t="shared" si="6"/>
        <v>48432</v>
      </c>
      <c r="M41" s="43">
        <f t="shared" si="6"/>
        <v>48797</v>
      </c>
      <c r="N41" s="43">
        <f t="shared" si="6"/>
        <v>49162</v>
      </c>
      <c r="O41" s="43">
        <f t="shared" si="6"/>
        <v>49527</v>
      </c>
      <c r="P41" s="43">
        <f t="shared" si="6"/>
        <v>49893</v>
      </c>
      <c r="U41" s="6"/>
    </row>
    <row r="42" spans="2:21" x14ac:dyDescent="0.35">
      <c r="B42" s="27" t="s">
        <v>57</v>
      </c>
      <c r="F42" s="67">
        <f>DATE(F$15,12,31)</f>
        <v>46387</v>
      </c>
      <c r="G42" s="67">
        <f t="shared" ref="G42:P42" si="7">DATE(G$15,12,31)</f>
        <v>46752</v>
      </c>
      <c r="H42" s="67">
        <f t="shared" si="7"/>
        <v>47118</v>
      </c>
      <c r="I42" s="67">
        <f t="shared" si="7"/>
        <v>47483</v>
      </c>
      <c r="J42" s="67">
        <f t="shared" si="7"/>
        <v>47848</v>
      </c>
      <c r="K42" s="67">
        <f t="shared" si="7"/>
        <v>48213</v>
      </c>
      <c r="L42" s="67">
        <f t="shared" si="7"/>
        <v>48579</v>
      </c>
      <c r="M42" s="67">
        <f t="shared" si="7"/>
        <v>48944</v>
      </c>
      <c r="N42" s="67">
        <f t="shared" si="7"/>
        <v>49309</v>
      </c>
      <c r="O42" s="67">
        <f t="shared" si="7"/>
        <v>49674</v>
      </c>
      <c r="P42" s="67">
        <f t="shared" si="7"/>
        <v>50040</v>
      </c>
    </row>
    <row r="43" spans="2:21" x14ac:dyDescent="0.35">
      <c r="B43" t="s">
        <v>58</v>
      </c>
      <c r="C43" s="8"/>
      <c r="F43" s="17" cm="1">
        <f t="array" ref="F43">_xlfn.IFS(AND($C$12&gt;=F$37,$C$13&lt;=F$39),$C$13-$C$12+1,OR(F$39&lt;$C$12,F$37&gt;$C$13),0,AND(F$37&gt;$C$12,F$39&lt;$C$13),F$39-F$37+1,F$37&lt;=$C$12,F$39-$C$12+1,F$39&gt;=$C$13,$C$13-F$37+1)</f>
        <v>0</v>
      </c>
      <c r="G43" s="17" cm="1">
        <f t="array" ref="G43">_xlfn.IFS(AND($C$12&gt;=G$37,$C$13&lt;=G$39),$C$13-$C$12+1,OR(G$39&lt;$C$12,G$37&gt;$C$13),0,AND(G$37&gt;$C$12,G$39&lt;$C$13),G$39-G$37+1,G$37&lt;=$C$12,G$39-$C$12+1,G$39&gt;=$C$13,$C$13-G$37+1)</f>
        <v>217</v>
      </c>
      <c r="H43" s="17" cm="1">
        <f t="array" ref="H43">_xlfn.IFS(AND($C$12&gt;=H$37,$C$13&lt;=H$39),$C$13-$C$12+1,OR(H$39&lt;$C$12,H$37&gt;$C$13),0,AND(H$37&gt;$C$12,H$39&lt;$C$13),H$39-H$37+1,H$37&lt;=$C$12,H$39-$C$12+1,H$39&gt;=$C$13,$C$13-H$37+1)</f>
        <v>0</v>
      </c>
      <c r="I43" s="17" cm="1">
        <f t="array" ref="I43">_xlfn.IFS(AND($C$12&gt;=I$37,$C$13&lt;=I$39),$C$13-$C$12+1,OR(I$39&lt;$C$12,I$37&gt;$C$13),0,AND(I$37&gt;$C$12,I$39&lt;$C$13),I$39-I$37+1,I$37&lt;=$C$12,I$39-$C$12+1,I$39&gt;=$C$13,$C$13-I$37+1)</f>
        <v>0</v>
      </c>
      <c r="J43" s="17" cm="1">
        <f t="array" ref="J43">_xlfn.IFS(AND($C$12&gt;=J$37,$C$13&lt;=J$39),$C$13-$C$12+1,OR(J$39&lt;$C$12,J$37&gt;$C$13),0,AND(J$37&gt;$C$12,J$39&lt;$C$13),J$39-J$37+1,J$37&lt;=$C$12,J$39-$C$12+1,J$39&gt;=$C$13,$C$13-J$37+1)</f>
        <v>0</v>
      </c>
      <c r="K43" s="17" cm="1">
        <f t="array" ref="K43">_xlfn.IFS(AND($C$12&gt;=K$37,$C$13&lt;=K$39),$C$13-$C$12+1,OR(K$39&lt;$C$12,K$37&gt;$C$13),0,AND(K$37&gt;$C$12,K$39&lt;$C$13),K$39-K$37+1,K$37&lt;=$C$12,K$39-$C$12+1,K$39&gt;=$C$13,$C$13-K$37+1)</f>
        <v>0</v>
      </c>
      <c r="L43" s="17" cm="1">
        <f t="array" ref="L43">_xlfn.IFS(AND($C$12&gt;=L$37,$C$13&lt;=L$39),$C$13-$C$12+1,OR(L$39&lt;$C$12,L$37&gt;$C$13),0,AND(L$37&gt;$C$12,L$39&lt;$C$13),L$39-L$37+1,L$37&lt;=$C$12,L$39-$C$12+1,L$39&gt;=$C$13,$C$13-L$37+1)</f>
        <v>0</v>
      </c>
      <c r="M43" s="17" cm="1">
        <f t="array" ref="M43">_xlfn.IFS(AND($C$12&gt;=M$37,$C$13&lt;=M$39),$C$13-$C$12+1,OR(M$39&lt;$C$12,M$37&gt;$C$13),0,AND(M$37&gt;$C$12,M$39&lt;$C$13),M$39-M$37+1,M$37&lt;=$C$12,M$39-$C$12+1,M$39&gt;=$C$13,$C$13-M$37+1)</f>
        <v>0</v>
      </c>
      <c r="N43" s="17" cm="1">
        <f t="array" ref="N43">_xlfn.IFS(AND($C$12&gt;=N$37,$C$13&lt;=N$39),$C$13-$C$12+1,OR(N$39&lt;$C$12,N$37&gt;$C$13),0,AND(N$37&gt;$C$12,N$39&lt;$C$13),N$39-N$37+1,N$37&lt;=$C$12,N$39-$C$12+1,N$39&gt;=$C$13,$C$13-N$37+1)</f>
        <v>0</v>
      </c>
      <c r="O43" s="17" cm="1">
        <f t="array" ref="O43">_xlfn.IFS(AND($C$12&gt;=O$37,$C$13&lt;=O$39),$C$13-$C$12+1,OR(O$39&lt;$C$12,O$37&gt;$C$13),0,AND(O$37&gt;$C$12,O$39&lt;$C$13),O$39-O$37+1,O$37&lt;=$C$12,O$39-$C$12+1,O$39&gt;=$C$13,$C$13-O$37+1)</f>
        <v>0</v>
      </c>
      <c r="P43" s="17" cm="1">
        <f t="array" ref="P43">_xlfn.IFS(AND($C$12&gt;=P$37,$C$13&lt;=P$39),$C$13-$C$12+1,OR(P$39&lt;$C$12,P$37&gt;$C$13),0,AND(P$37&gt;$C$12,P$39&lt;$C$13),P$39-P$37+1,P$37&lt;=$C$12,P$39-$C$12+1,P$39&gt;=$C$13,$C$13-P$37+1)</f>
        <v>0</v>
      </c>
    </row>
    <row r="44" spans="2:21" x14ac:dyDescent="0.35">
      <c r="B44" t="s">
        <v>59</v>
      </c>
      <c r="C44" s="8"/>
      <c r="F44" s="17" cm="1">
        <f t="array" ref="F44">_xlfn.IFS(AND($C$12&gt;=F$41,$C$13&lt;=F$42),$C$13-$C$12+1,OR(F$42&lt;$C$12,F$41&gt;$C$13),0,AND(F$41&gt;$C$12,F$42&lt;$C$13),F$42-F$41+1,F$41&lt;=$C$12,F$42-$C$12+1,F$42&gt;=$C$13,$C$13-F$41+1)</f>
        <v>0</v>
      </c>
      <c r="G44" s="17" cm="1">
        <f t="array" ref="G44">_xlfn.IFS(AND($C$12&gt;=G$41,$C$13&lt;=G$42),$C$13-$C$12+1,OR(G$42&lt;$C$12,G$41&gt;$C$13),0,AND(G$41&gt;$C$12,G$42&lt;$C$13),G$42-G$41+1,G$41&lt;=$C$12,G$42-$C$12+1,G$42&gt;=$C$13,$C$13-G$41+1)</f>
        <v>148</v>
      </c>
      <c r="H44" s="17" cm="1">
        <f t="array" ref="H44">_xlfn.IFS(AND($C$12&gt;=H$41,$C$13&lt;=H$42),$C$13-$C$12+1,OR(H$42&lt;$C$12,H$41&gt;$C$13),0,AND(H$41&gt;$C$12,H$42&lt;$C$13),H$42-H$41+1,H$41&lt;=$C$12,H$42-$C$12+1,H$42&gt;=$C$13,$C$13-H$41+1)</f>
        <v>0</v>
      </c>
      <c r="I44" s="17" cm="1">
        <f t="array" ref="I44">_xlfn.IFS(AND($C$12&gt;=I$41,$C$13&lt;=I$42),$C$13-$C$12+1,OR(I$42&lt;$C$12,I$41&gt;$C$13),0,AND(I$41&gt;$C$12,I$42&lt;$C$13),I$42-I$41+1,I$41&lt;=$C$12,I$42-$C$12+1,I$42&gt;=$C$13,$C$13-I$41+1)</f>
        <v>0</v>
      </c>
      <c r="J44" s="17" cm="1">
        <f t="array" ref="J44">_xlfn.IFS(AND($C$12&gt;=J$41,$C$13&lt;=J$42),$C$13-$C$12+1,OR(J$42&lt;$C$12,J$41&gt;$C$13),0,AND(J$41&gt;$C$12,J$42&lt;$C$13),J$42-J$41+1,J$41&lt;=$C$12,J$42-$C$12+1,J$42&gt;=$C$13,$C$13-J$41+1)</f>
        <v>0</v>
      </c>
      <c r="K44" s="17" cm="1">
        <f t="array" ref="K44">_xlfn.IFS(AND($C$12&gt;=K$41,$C$13&lt;=K$42),$C$13-$C$12+1,OR(K$42&lt;$C$12,K$41&gt;$C$13),0,AND(K$41&gt;$C$12,K$42&lt;$C$13),K$42-K$41+1,K$41&lt;=$C$12,K$42-$C$12+1,K$42&gt;=$C$13,$C$13-K$41+1)</f>
        <v>0</v>
      </c>
      <c r="L44" s="17" cm="1">
        <f t="array" ref="L44">_xlfn.IFS(AND($C$12&gt;=L$41,$C$13&lt;=L$42),$C$13-$C$12+1,OR(L$42&lt;$C$12,L$41&gt;$C$13),0,AND(L$41&gt;$C$12,L$42&lt;$C$13),L$42-L$41+1,L$41&lt;=$C$12,L$42-$C$12+1,L$42&gt;=$C$13,$C$13-L$41+1)</f>
        <v>0</v>
      </c>
      <c r="M44" s="17" cm="1">
        <f t="array" ref="M44">_xlfn.IFS(AND($C$12&gt;=M$41,$C$13&lt;=M$42),$C$13-$C$12+1,OR(M$42&lt;$C$12,M$41&gt;$C$13),0,AND(M$41&gt;$C$12,M$42&lt;$C$13),M$42-M$41+1,M$41&lt;=$C$12,M$42-$C$12+1,M$42&gt;=$C$13,$C$13-M$41+1)</f>
        <v>0</v>
      </c>
      <c r="N44" s="17" cm="1">
        <f t="array" ref="N44">_xlfn.IFS(AND($C$12&gt;=N$41,$C$13&lt;=N$42),$C$13-$C$12+1,OR(N$42&lt;$C$12,N$41&gt;$C$13),0,AND(N$41&gt;$C$12,N$42&lt;$C$13),N$42-N$41+1,N$41&lt;=$C$12,N$42-$C$12+1,N$42&gt;=$C$13,$C$13-N$41+1)</f>
        <v>0</v>
      </c>
      <c r="O44" s="17" cm="1">
        <f t="array" ref="O44">_xlfn.IFS(AND($C$12&gt;=O$41,$C$13&lt;=O$42),$C$13-$C$12+1,OR(O$42&lt;$C$12,O$41&gt;$C$13),0,AND(O$41&gt;$C$12,O$42&lt;$C$13),O$42-O$41+1,O$41&lt;=$C$12,O$42-$C$12+1,O$42&gt;=$C$13,$C$13-O$41+1)</f>
        <v>0</v>
      </c>
      <c r="P44" s="17" cm="1">
        <f t="array" ref="P44">_xlfn.IFS(AND($C$12&gt;=P$41,$C$13&lt;=P$42),$C$13-$C$12+1,OR(P$42&lt;$C$12,P$41&gt;$C$13),0,AND(P$41&gt;$C$12,P$42&lt;$C$13),P$42-P$41+1,P$41&lt;=$C$12,P$42-$C$12+1,P$42&gt;=$C$13,$C$13-P$41+1)</f>
        <v>0</v>
      </c>
    </row>
    <row r="45" spans="2:21" x14ac:dyDescent="0.35">
      <c r="B45" t="s">
        <v>24</v>
      </c>
      <c r="C45" s="8"/>
      <c r="F45" s="17">
        <f>SUM(F$43,F$44)</f>
        <v>0</v>
      </c>
      <c r="G45" s="17">
        <f>SUM(G$43,G$44)</f>
        <v>365</v>
      </c>
      <c r="H45" s="17">
        <f t="shared" ref="H45:P45" si="8">SUM(H$43,H$44)</f>
        <v>0</v>
      </c>
      <c r="I45" s="17">
        <f t="shared" si="8"/>
        <v>0</v>
      </c>
      <c r="J45" s="17">
        <f t="shared" si="8"/>
        <v>0</v>
      </c>
      <c r="K45" s="17">
        <f t="shared" si="8"/>
        <v>0</v>
      </c>
      <c r="L45" s="17">
        <f t="shared" si="8"/>
        <v>0</v>
      </c>
      <c r="M45" s="17">
        <f t="shared" si="8"/>
        <v>0</v>
      </c>
      <c r="N45" s="17">
        <f t="shared" si="8"/>
        <v>0</v>
      </c>
      <c r="O45" s="17">
        <f t="shared" si="8"/>
        <v>0</v>
      </c>
      <c r="P45" s="17">
        <f t="shared" si="8"/>
        <v>0</v>
      </c>
    </row>
    <row r="46" spans="2:21" x14ac:dyDescent="0.35">
      <c r="B46" s="11" t="s">
        <v>60</v>
      </c>
      <c r="C46" s="8" t="s">
        <v>25</v>
      </c>
      <c r="F46" s="48" cm="1">
        <f t="array" ref="F46">_xlfn.IFS(AND(F$43=0, F$44=0), 0, AND(F$43&lt;&gt;0, F$44&lt;&gt;0), F$43/F$45, F$43=0, 0, F$43&lt;&gt;0, 1)</f>
        <v>0</v>
      </c>
      <c r="G46" s="48" cm="1">
        <f t="array" ref="G46">_xlfn.IFS(AND(G$43=0, G$44=0), 0, AND(G$43&lt;&gt;0, G$44&lt;&gt;0), G$43/G$45, G$43=0, 0, G$43&lt;&gt;0, 1)</f>
        <v>0.59452054794520548</v>
      </c>
      <c r="H46" s="48" cm="1">
        <f t="array" ref="H46">_xlfn.IFS(AND(H$43=0, H$44=0), 0, AND(H$43&lt;&gt;0, H$44&lt;&gt;0), H$43/H$45, H$43=0, 0, H$43&lt;&gt;0, 1)</f>
        <v>0</v>
      </c>
      <c r="I46" s="48" cm="1">
        <f t="array" ref="I46">_xlfn.IFS(AND(I$43=0, I$44=0), 0, AND(I$43&lt;&gt;0, I$44&lt;&gt;0), I$43/I$45, I$43=0, 0, I$43&lt;&gt;0, 1)</f>
        <v>0</v>
      </c>
      <c r="J46" s="48" cm="1">
        <f t="array" ref="J46">_xlfn.IFS(AND(J$43=0, J$44=0), 0, AND(J$43&lt;&gt;0, J$44&lt;&gt;0), J$43/J$45, J$43=0, 0, J$43&lt;&gt;0, 1)</f>
        <v>0</v>
      </c>
      <c r="K46" s="48" cm="1">
        <f t="array" ref="K46">_xlfn.IFS(AND(K$43=0, K$44=0), 0, AND(K$43&lt;&gt;0, K$44&lt;&gt;0), K$43/K$45, K$43=0, 0, K$43&lt;&gt;0, 1)</f>
        <v>0</v>
      </c>
      <c r="L46" s="48" cm="1">
        <f t="array" ref="L46">_xlfn.IFS(AND(L$43=0, L$44=0), 0, AND(L$43&lt;&gt;0, L$44&lt;&gt;0), L$43/L$45, L$43=0, 0, L$43&lt;&gt;0, 1)</f>
        <v>0</v>
      </c>
      <c r="M46" s="48" cm="1">
        <f t="array" ref="M46">_xlfn.IFS(AND(M$43=0, M$44=0), 0, AND(M$43&lt;&gt;0, M$44&lt;&gt;0), M$43/M$45, M$43=0, 0, M$43&lt;&gt;0, 1)</f>
        <v>0</v>
      </c>
      <c r="N46" s="48" cm="1">
        <f t="array" ref="N46">_xlfn.IFS(AND(N$43=0, N$44=0), 0, AND(N$43&lt;&gt;0, N$44&lt;&gt;0), N$43/N$45, N$43=0, 0, N$43&lt;&gt;0, 1)</f>
        <v>0</v>
      </c>
      <c r="O46" s="48" cm="1">
        <f t="array" ref="O46">_xlfn.IFS(AND(O$43=0, O$44=0), 0, AND(O$43&lt;&gt;0, O$44&lt;&gt;0), O$43/O$45, O$43=0, 0, O$43&lt;&gt;0, 1)</f>
        <v>0</v>
      </c>
      <c r="P46" s="48" cm="1">
        <f t="array" ref="P46">_xlfn.IFS(AND(P$43=0, P$44=0), 0, AND(P$43&lt;&gt;0, P$44&lt;&gt;0), P$43/P$45, P$43=0, 0, P$43&lt;&gt;0, 1)</f>
        <v>0</v>
      </c>
    </row>
    <row r="47" spans="2:21" x14ac:dyDescent="0.35">
      <c r="B47" s="11" t="s">
        <v>61</v>
      </c>
      <c r="C47" s="21" t="s">
        <v>26</v>
      </c>
      <c r="F47" s="48" cm="1">
        <f t="array" ref="F47">_xlfn.IFS(AND(F$43=0, F$44=0), 0, AND(F$43&lt;&gt;0, F$44&lt;&gt;0), F$44/F$45, F$44=0, 0, F$44&lt;&gt;0, 1)</f>
        <v>0</v>
      </c>
      <c r="G47" s="48" cm="1">
        <f t="array" ref="G47">_xlfn.IFS(AND(G$43=0, G$44=0), 0, AND(G$43&lt;&gt;0, G$44&lt;&gt;0), G$44/G$45, G$44=0, 0, G$44&lt;&gt;0, 1)</f>
        <v>0.40547945205479452</v>
      </c>
      <c r="H47" s="48" cm="1">
        <f t="array" ref="H47">_xlfn.IFS(AND(H$43=0, H$44=0), 0, AND(H$43&lt;&gt;0, H$44&lt;&gt;0), H$44/H$45, H$44=0, 0, H$44&lt;&gt;0, 1)</f>
        <v>0</v>
      </c>
      <c r="I47" s="48" cm="1">
        <f t="array" ref="I47">_xlfn.IFS(AND(I$43=0, I$44=0), 0, AND(I$43&lt;&gt;0, I$44&lt;&gt;0), I$44/I$45, I$44=0, 0, I$44&lt;&gt;0, 1)</f>
        <v>0</v>
      </c>
      <c r="J47" s="48" cm="1">
        <f t="array" ref="J47">_xlfn.IFS(AND(J$43=0, J$44=0), 0, AND(J$43&lt;&gt;0, J$44&lt;&gt;0), J$44/J$45, J$44=0, 0, J$44&lt;&gt;0, 1)</f>
        <v>0</v>
      </c>
      <c r="K47" s="48" cm="1">
        <f t="array" ref="K47">_xlfn.IFS(AND(K$43=0, K$44=0), 0, AND(K$43&lt;&gt;0, K$44&lt;&gt;0), K$44/K$45, K$44=0, 0, K$44&lt;&gt;0, 1)</f>
        <v>0</v>
      </c>
      <c r="L47" s="48" cm="1">
        <f t="array" ref="L47">_xlfn.IFS(AND(L$43=0, L$44=0), 0, AND(L$43&lt;&gt;0, L$44&lt;&gt;0), L$44/L$45, L$44=0, 0, L$44&lt;&gt;0, 1)</f>
        <v>0</v>
      </c>
      <c r="M47" s="48" cm="1">
        <f t="array" ref="M47">_xlfn.IFS(AND(M$43=0, M$44=0), 0, AND(M$43&lt;&gt;0, M$44&lt;&gt;0), M$44/M$45, M$44=0, 0, M$44&lt;&gt;0, 1)</f>
        <v>0</v>
      </c>
      <c r="N47" s="48" cm="1">
        <f t="array" ref="N47">_xlfn.IFS(AND(N$43=0, N$44=0), 0, AND(N$43&lt;&gt;0, N$44&lt;&gt;0), N$44/N$45, N$44=0, 0, N$44&lt;&gt;0, 1)</f>
        <v>0</v>
      </c>
      <c r="O47" s="48" cm="1">
        <f t="array" ref="O47">_xlfn.IFS(AND(O$43=0, O$44=0), 0, AND(O$43&lt;&gt;0, O$44&lt;&gt;0), O$44/O$45, O$44=0, 0, O$44&lt;&gt;0, 1)</f>
        <v>0</v>
      </c>
      <c r="P47" s="48" cm="1">
        <f t="array" ref="P47">_xlfn.IFS(AND(P$43=0, P$44=0), 0, AND(P$43&lt;&gt;0, P$44&lt;&gt;0), P$44/P$45, P$44=0, 0, P$44&lt;&gt;0, 1)</f>
        <v>0</v>
      </c>
    </row>
    <row r="48" spans="2:21" x14ac:dyDescent="0.35">
      <c r="C48" s="6"/>
      <c r="D48" s="56"/>
      <c r="F48" s="57"/>
      <c r="G48" s="57"/>
      <c r="H48" s="57"/>
      <c r="I48" s="57"/>
      <c r="J48" s="57"/>
      <c r="K48" s="57"/>
      <c r="L48" s="57"/>
      <c r="M48" s="57"/>
      <c r="N48" s="57"/>
      <c r="O48" s="57"/>
      <c r="P48" s="57"/>
    </row>
    <row r="49" spans="2:19" x14ac:dyDescent="0.35">
      <c r="B49" s="3" t="s">
        <v>62</v>
      </c>
      <c r="C49" s="3"/>
      <c r="D49" s="3"/>
      <c r="E49" s="3"/>
      <c r="F49" s="3"/>
      <c r="G49" s="3"/>
      <c r="H49" s="3"/>
      <c r="I49" s="3"/>
      <c r="J49" s="3"/>
      <c r="K49" s="3"/>
      <c r="L49" s="3"/>
      <c r="M49" s="3"/>
      <c r="N49" s="3"/>
      <c r="O49" s="3"/>
      <c r="P49" s="3"/>
      <c r="Q49" s="3"/>
      <c r="R49" s="3"/>
      <c r="S49" s="3"/>
    </row>
    <row r="50" spans="2:19" x14ac:dyDescent="0.35">
      <c r="B50" s="2"/>
      <c r="C50" s="2"/>
      <c r="D50" s="2"/>
      <c r="E50" s="2"/>
      <c r="F50" s="16">
        <f t="shared" ref="F50:P50" si="9">F$15</f>
        <v>2026</v>
      </c>
      <c r="G50" s="16">
        <f t="shared" si="9"/>
        <v>2027</v>
      </c>
      <c r="H50" s="16">
        <f t="shared" si="9"/>
        <v>2028</v>
      </c>
      <c r="I50" s="16">
        <f t="shared" si="9"/>
        <v>2029</v>
      </c>
      <c r="J50" s="16">
        <f t="shared" si="9"/>
        <v>2030</v>
      </c>
      <c r="K50" s="16">
        <f t="shared" si="9"/>
        <v>2031</v>
      </c>
      <c r="L50" s="16">
        <f t="shared" si="9"/>
        <v>2032</v>
      </c>
      <c r="M50" s="16">
        <f t="shared" si="9"/>
        <v>2033</v>
      </c>
      <c r="N50" s="16">
        <f t="shared" si="9"/>
        <v>2034</v>
      </c>
      <c r="O50" s="16">
        <f t="shared" si="9"/>
        <v>2035</v>
      </c>
      <c r="P50" s="16">
        <f t="shared" si="9"/>
        <v>2036</v>
      </c>
      <c r="Q50" s="30"/>
      <c r="R50" s="16" t="str">
        <f>R$15</f>
        <v>2026-2031</v>
      </c>
      <c r="S50" s="16" t="str">
        <f>S$15</f>
        <v>2026-2036</v>
      </c>
    </row>
    <row r="51" spans="2:19" s="17" customFormat="1" ht="15" customHeight="1" x14ac:dyDescent="0.35">
      <c r="B51" s="42" t="s">
        <v>38</v>
      </c>
      <c r="C51" s="46" t="s">
        <v>25</v>
      </c>
      <c r="D51" s="16"/>
      <c r="E51" s="16"/>
      <c r="F51" s="89">
        <f>F$46*F$16</f>
        <v>0</v>
      </c>
      <c r="G51" s="96">
        <f t="shared" ref="G51:P51" si="10">G$46*G$16</f>
        <v>1630.5261956439222</v>
      </c>
      <c r="H51" s="89">
        <f t="shared" si="10"/>
        <v>0</v>
      </c>
      <c r="I51" s="89">
        <f>I$46*I$16</f>
        <v>0</v>
      </c>
      <c r="J51" s="89">
        <f t="shared" si="10"/>
        <v>0</v>
      </c>
      <c r="K51" s="89">
        <f t="shared" si="10"/>
        <v>0</v>
      </c>
      <c r="L51" s="89">
        <f t="shared" si="10"/>
        <v>0</v>
      </c>
      <c r="M51" s="89">
        <f t="shared" si="10"/>
        <v>0</v>
      </c>
      <c r="N51" s="89">
        <f t="shared" si="10"/>
        <v>0</v>
      </c>
      <c r="O51" s="89">
        <f t="shared" si="10"/>
        <v>0</v>
      </c>
      <c r="P51" s="89">
        <f t="shared" si="10"/>
        <v>0</v>
      </c>
      <c r="Q51" s="30"/>
      <c r="R51" s="96">
        <f>SUM(_xlfn.XLOOKUP($R$5, $35:$35, 51:51, "", 0):_xlfn.XLOOKUP($R$6, $35:$35, 51:51, "", 0))</f>
        <v>1630.5261956439222</v>
      </c>
      <c r="S51" s="96">
        <f>SUM(_xlfn.XLOOKUP($S$5, $35:$35, 51:51, "", 0):_xlfn.XLOOKUP($S$6, $35:$35, 51:51, "", 0))</f>
        <v>1630.5261956439222</v>
      </c>
    </row>
    <row r="52" spans="2:19" s="17" customFormat="1" ht="15" customHeight="1" x14ac:dyDescent="0.35">
      <c r="B52" s="42" t="s">
        <v>39</v>
      </c>
      <c r="C52" s="46" t="s">
        <v>26</v>
      </c>
      <c r="D52" s="68"/>
      <c r="E52" s="16"/>
      <c r="F52" s="89">
        <f>F$47*F$16</f>
        <v>0</v>
      </c>
      <c r="G52" s="96">
        <f>G$47*G$16</f>
        <v>1112.0639491027673</v>
      </c>
      <c r="H52" s="89">
        <f t="shared" ref="H52:O52" si="11">H$47*H$16</f>
        <v>0</v>
      </c>
      <c r="I52" s="89">
        <f t="shared" si="11"/>
        <v>0</v>
      </c>
      <c r="J52" s="89">
        <f t="shared" si="11"/>
        <v>0</v>
      </c>
      <c r="K52" s="89">
        <f t="shared" si="11"/>
        <v>0</v>
      </c>
      <c r="L52" s="89">
        <f t="shared" si="11"/>
        <v>0</v>
      </c>
      <c r="M52" s="89">
        <f t="shared" si="11"/>
        <v>0</v>
      </c>
      <c r="N52" s="89">
        <f t="shared" si="11"/>
        <v>0</v>
      </c>
      <c r="O52" s="89">
        <f t="shared" si="11"/>
        <v>0</v>
      </c>
      <c r="P52" s="89">
        <f>P$47*P$16</f>
        <v>0</v>
      </c>
      <c r="Q52" s="30"/>
      <c r="R52" s="96">
        <f>SUM(_xlfn.XLOOKUP($R$5, $35:$35, 52:52, "", 0):_xlfn.XLOOKUP($R$6, $35:$35, 52:52, "", 0))</f>
        <v>1112.0639491027673</v>
      </c>
      <c r="S52" s="96">
        <f>SUM(_xlfn.XLOOKUP($S$5, $35:$35, 52:52, "", 0):_xlfn.XLOOKUP($S$6, $35:$35, 52:52, "", 0))</f>
        <v>1112.0639491027673</v>
      </c>
    </row>
    <row r="53" spans="2:19" s="17" customFormat="1" ht="15" customHeight="1" x14ac:dyDescent="0.35">
      <c r="B53" s="42" t="s">
        <v>63</v>
      </c>
      <c r="C53" s="32"/>
      <c r="D53" s="16"/>
      <c r="E53" s="16"/>
      <c r="F53" s="97">
        <f>F$51</f>
        <v>0</v>
      </c>
      <c r="G53" s="96">
        <f>F$52+G$51</f>
        <v>1630.5261956439222</v>
      </c>
      <c r="H53" s="96">
        <f>G$52+H$51</f>
        <v>1112.0639491027673</v>
      </c>
      <c r="I53" s="89">
        <f>H$52+I$51</f>
        <v>0</v>
      </c>
      <c r="J53" s="89">
        <f>I$52+J$51</f>
        <v>0</v>
      </c>
      <c r="K53" s="89">
        <f t="shared" ref="K53:O53" si="12">J$52+K$51</f>
        <v>0</v>
      </c>
      <c r="L53" s="89">
        <f t="shared" si="12"/>
        <v>0</v>
      </c>
      <c r="M53" s="89">
        <f t="shared" si="12"/>
        <v>0</v>
      </c>
      <c r="N53" s="89">
        <f t="shared" si="12"/>
        <v>0</v>
      </c>
      <c r="O53" s="89">
        <f t="shared" si="12"/>
        <v>0</v>
      </c>
      <c r="P53" s="89">
        <f>O$52+P$51</f>
        <v>0</v>
      </c>
      <c r="Q53" s="30"/>
      <c r="R53" s="96">
        <f>SUM(_xlfn.XLOOKUP($R$5, $35:$35, 53:53, "", 0):_xlfn.XLOOKUP($R$6, $35:$35, 53:53, "", 0))</f>
        <v>2742.5901447466895</v>
      </c>
      <c r="S53" s="96">
        <f>SUM(_xlfn.XLOOKUP($S$5, $35:$35, 53:53, "", 0):_xlfn.XLOOKUP($S$6, $35:$35, 53:53, "", 0))</f>
        <v>2742.5901447466895</v>
      </c>
    </row>
    <row r="54" spans="2:19" s="17" customFormat="1" ht="15" customHeight="1" x14ac:dyDescent="0.35">
      <c r="B54" s="11"/>
      <c r="C54" s="32"/>
      <c r="D54" s="16"/>
      <c r="E54" s="16"/>
      <c r="F54" s="16"/>
      <c r="G54" s="16"/>
      <c r="H54" s="96"/>
      <c r="I54" s="16"/>
      <c r="J54" s="16"/>
      <c r="K54" s="16"/>
      <c r="L54" s="16"/>
      <c r="M54" s="16"/>
      <c r="N54" s="16"/>
      <c r="O54" s="16"/>
      <c r="P54" s="16"/>
      <c r="R54" s="18"/>
      <c r="S54" s="18"/>
    </row>
    <row r="55" spans="2:19" x14ac:dyDescent="0.35">
      <c r="B55" s="3" t="s">
        <v>64</v>
      </c>
      <c r="C55" s="3"/>
      <c r="D55" s="3"/>
      <c r="E55" s="3"/>
      <c r="F55" s="3"/>
      <c r="G55" s="3"/>
      <c r="H55" s="3"/>
      <c r="I55" s="3"/>
      <c r="J55" s="3"/>
      <c r="K55" s="3"/>
      <c r="L55" s="3"/>
      <c r="M55" s="3"/>
      <c r="N55" s="3"/>
      <c r="O55" s="3"/>
      <c r="P55" s="3"/>
      <c r="Q55" s="3"/>
      <c r="R55" s="3"/>
      <c r="S55" s="3"/>
    </row>
    <row r="56" spans="2:19" x14ac:dyDescent="0.35">
      <c r="B56" s="2"/>
      <c r="C56" s="2"/>
      <c r="D56" s="2"/>
      <c r="E56" s="2"/>
      <c r="F56" s="16">
        <f>F$15</f>
        <v>2026</v>
      </c>
      <c r="G56" s="16">
        <f t="shared" ref="G56:P56" si="13">G$15</f>
        <v>2027</v>
      </c>
      <c r="H56" s="16">
        <f t="shared" si="13"/>
        <v>2028</v>
      </c>
      <c r="I56" s="16">
        <f t="shared" si="13"/>
        <v>2029</v>
      </c>
      <c r="J56" s="16">
        <f t="shared" si="13"/>
        <v>2030</v>
      </c>
      <c r="K56" s="16">
        <f t="shared" si="13"/>
        <v>2031</v>
      </c>
      <c r="L56" s="16">
        <f t="shared" si="13"/>
        <v>2032</v>
      </c>
      <c r="M56" s="16">
        <f t="shared" si="13"/>
        <v>2033</v>
      </c>
      <c r="N56" s="16">
        <f t="shared" si="13"/>
        <v>2034</v>
      </c>
      <c r="O56" s="16">
        <f t="shared" si="13"/>
        <v>2035</v>
      </c>
      <c r="P56" s="16">
        <f t="shared" si="13"/>
        <v>2036</v>
      </c>
      <c r="Q56" s="17"/>
      <c r="R56" s="16" t="str">
        <f>R$15</f>
        <v>2026-2031</v>
      </c>
      <c r="S56" s="16" t="str">
        <f>S$15</f>
        <v>2026-2036</v>
      </c>
    </row>
    <row r="57" spans="2:19" x14ac:dyDescent="0.35">
      <c r="B57" s="42" t="s">
        <v>65</v>
      </c>
      <c r="C57" s="13"/>
      <c r="D57" s="68"/>
      <c r="E57" s="2"/>
      <c r="F57" s="89">
        <f>IF(F$56&lt;=$C$23, 0, ($C$28*F$28+$C$29*F$29)*F$16)</f>
        <v>0</v>
      </c>
      <c r="G57" s="96">
        <f>IF(G$56&lt;=$C$23,0,($C$28*G$28+$C$29*G$29)*G$16)</f>
        <v>3537.9412867232295</v>
      </c>
      <c r="H57" s="89">
        <f>($C$28*H$28+$C$29*H$29)*H$16</f>
        <v>0</v>
      </c>
      <c r="I57" s="89">
        <f t="shared" ref="I57:O57" si="14">($C$28*I$28+$C$29*I$29)*I$16</f>
        <v>0</v>
      </c>
      <c r="J57" s="89">
        <f>($C$28*J$28+$C$29*J$29)*J$16</f>
        <v>0</v>
      </c>
      <c r="K57" s="89">
        <f t="shared" si="14"/>
        <v>0</v>
      </c>
      <c r="L57" s="89">
        <f t="shared" si="14"/>
        <v>0</v>
      </c>
      <c r="M57" s="89">
        <f t="shared" si="14"/>
        <v>0</v>
      </c>
      <c r="N57" s="89">
        <f t="shared" si="14"/>
        <v>0</v>
      </c>
      <c r="O57" s="89">
        <f t="shared" si="14"/>
        <v>0</v>
      </c>
      <c r="P57" s="89">
        <f>($C$28*P$28+$C$29*P$29)*P$16</f>
        <v>0</v>
      </c>
      <c r="Q57" s="30"/>
      <c r="R57" s="96">
        <f>SUM(_xlfn.XLOOKUP($R$5, $56:$56, 57:57, "", 0):_xlfn.XLOOKUP($R$6, $56:$56, 57:57, "", 0))</f>
        <v>3537.9412867232295</v>
      </c>
      <c r="S57" s="96">
        <f>SUM(_xlfn.XLOOKUP($S$5, $56:$56, 57:57, "", 0):_xlfn.XLOOKUP($S$6, $56:$56, 57:57, "", 0))</f>
        <v>3537.9412867232295</v>
      </c>
    </row>
    <row r="58" spans="2:19" x14ac:dyDescent="0.35">
      <c r="B58" s="42" t="s">
        <v>66</v>
      </c>
      <c r="C58" s="21"/>
      <c r="D58" s="34"/>
      <c r="E58" s="2"/>
      <c r="F58" s="89">
        <v>0</v>
      </c>
      <c r="G58" s="96">
        <v>0</v>
      </c>
      <c r="H58" s="89">
        <v>0</v>
      </c>
      <c r="I58" s="89">
        <v>1</v>
      </c>
      <c r="J58" s="89">
        <v>0</v>
      </c>
      <c r="K58" s="89">
        <v>0</v>
      </c>
      <c r="L58" s="89">
        <v>0</v>
      </c>
      <c r="M58" s="89">
        <v>0</v>
      </c>
      <c r="N58" s="89">
        <v>1</v>
      </c>
      <c r="O58" s="89">
        <v>1</v>
      </c>
      <c r="P58" s="89">
        <v>0</v>
      </c>
      <c r="Q58" s="30"/>
      <c r="R58" s="96"/>
      <c r="S58" s="96"/>
    </row>
    <row r="59" spans="2:19" x14ac:dyDescent="0.35">
      <c r="B59" s="69" t="s">
        <v>96</v>
      </c>
      <c r="C59" s="21"/>
      <c r="D59" s="34"/>
      <c r="E59" s="2"/>
      <c r="F59" s="89">
        <v>12</v>
      </c>
      <c r="G59" s="96">
        <v>12</v>
      </c>
      <c r="H59" s="89">
        <v>13</v>
      </c>
      <c r="I59" s="89">
        <v>11</v>
      </c>
      <c r="J59" s="89">
        <v>12</v>
      </c>
      <c r="K59" s="89">
        <v>12</v>
      </c>
      <c r="L59" s="89">
        <v>12</v>
      </c>
      <c r="M59" s="89">
        <v>13</v>
      </c>
      <c r="N59" s="89">
        <v>12</v>
      </c>
      <c r="O59" s="89">
        <v>11</v>
      </c>
      <c r="P59" s="89">
        <v>12</v>
      </c>
      <c r="Q59" s="30"/>
      <c r="R59" s="96"/>
      <c r="S59" s="96"/>
    </row>
    <row r="60" spans="2:19" x14ac:dyDescent="0.35">
      <c r="B60" s="42" t="s">
        <v>67</v>
      </c>
      <c r="C60" s="8"/>
      <c r="D60" s="68"/>
      <c r="R60" s="29"/>
      <c r="S60" s="29"/>
    </row>
    <row r="61" spans="2:19" x14ac:dyDescent="0.35">
      <c r="B61" s="27" t="s">
        <v>20</v>
      </c>
      <c r="C61" s="8" t="s">
        <v>21</v>
      </c>
      <c r="D61" s="68"/>
      <c r="E61" s="2"/>
      <c r="F61" s="97">
        <v>0</v>
      </c>
      <c r="G61" s="96">
        <f>F$57*(1/12)</f>
        <v>0</v>
      </c>
      <c r="H61" s="89">
        <f>G$57*(1/12)</f>
        <v>294.82844056026909</v>
      </c>
      <c r="I61" s="89">
        <f t="shared" ref="I61:O61" si="15">H$57*(1/12)</f>
        <v>0</v>
      </c>
      <c r="J61" s="89">
        <f t="shared" si="15"/>
        <v>0</v>
      </c>
      <c r="K61" s="89">
        <f t="shared" si="15"/>
        <v>0</v>
      </c>
      <c r="L61" s="89">
        <f t="shared" si="15"/>
        <v>0</v>
      </c>
      <c r="M61" s="89">
        <f t="shared" si="15"/>
        <v>0</v>
      </c>
      <c r="N61" s="89">
        <f t="shared" si="15"/>
        <v>0</v>
      </c>
      <c r="O61" s="89">
        <f t="shared" si="15"/>
        <v>0</v>
      </c>
      <c r="P61" s="89">
        <f>O$57*(1/12)</f>
        <v>0</v>
      </c>
      <c r="Q61" s="30"/>
      <c r="R61" s="96">
        <f>SUM(_xlfn.XLOOKUP($R$5, $56:$56, 61:61, "", 0):_xlfn.XLOOKUP($R$6, $56:$56, 61:61, "", 0))</f>
        <v>294.82844056026909</v>
      </c>
      <c r="S61" s="96">
        <f>SUM(_xlfn.XLOOKUP($S$5, $56:$56, 61:61, "", 0):_xlfn.XLOOKUP($S$6, $56:$56, 61:61, "", 0))</f>
        <v>294.82844056026909</v>
      </c>
    </row>
    <row r="62" spans="2:19" x14ac:dyDescent="0.35">
      <c r="B62" s="27" t="s">
        <v>22</v>
      </c>
      <c r="C62" s="8" t="s">
        <v>17</v>
      </c>
      <c r="D62" s="68"/>
      <c r="E62" s="2"/>
      <c r="F62" s="97">
        <v>0</v>
      </c>
      <c r="G62" s="96">
        <f>F$57*(2/12)</f>
        <v>0</v>
      </c>
      <c r="H62" s="89">
        <f>G$57*(2/12)</f>
        <v>589.65688112053817</v>
      </c>
      <c r="I62" s="89">
        <f t="shared" ref="I62:P62" si="16">H$57*(2/12)</f>
        <v>0</v>
      </c>
      <c r="J62" s="89">
        <f t="shared" si="16"/>
        <v>0</v>
      </c>
      <c r="K62" s="89">
        <f t="shared" si="16"/>
        <v>0</v>
      </c>
      <c r="L62" s="89">
        <f t="shared" si="16"/>
        <v>0</v>
      </c>
      <c r="M62" s="89">
        <f t="shared" si="16"/>
        <v>0</v>
      </c>
      <c r="N62" s="89">
        <f t="shared" si="16"/>
        <v>0</v>
      </c>
      <c r="O62" s="89">
        <f t="shared" si="16"/>
        <v>0</v>
      </c>
      <c r="P62" s="89">
        <f t="shared" si="16"/>
        <v>0</v>
      </c>
      <c r="Q62" s="30"/>
      <c r="R62" s="96">
        <f>SUM(_xlfn.XLOOKUP($R$5, $56:$56, 62:62, "", 0):_xlfn.XLOOKUP($R$6, $56:$56, 62:62, "", 0))</f>
        <v>589.65688112053817</v>
      </c>
      <c r="S62" s="96">
        <f>SUM(_xlfn.XLOOKUP($S$5, $56:$56, 62:62, "", 0):_xlfn.XLOOKUP($S$6, $56:$56, 62:62, "", 0))</f>
        <v>589.65688112053817</v>
      </c>
    </row>
    <row r="63" spans="2:19" x14ac:dyDescent="0.35">
      <c r="B63" s="27" t="s">
        <v>18</v>
      </c>
      <c r="C63" s="8" t="s">
        <v>19</v>
      </c>
      <c r="D63" s="34"/>
      <c r="E63" s="2"/>
      <c r="F63" s="89">
        <f>F$57*(9/12)</f>
        <v>0</v>
      </c>
      <c r="G63" s="96">
        <f>G$57*(9/12)</f>
        <v>2653.4559650424221</v>
      </c>
      <c r="H63" s="89">
        <f>H$57*(9/12)</f>
        <v>0</v>
      </c>
      <c r="I63" s="89">
        <f t="shared" ref="I63:P63" si="17">I$57*(9/12)</f>
        <v>0</v>
      </c>
      <c r="J63" s="89">
        <f t="shared" si="17"/>
        <v>0</v>
      </c>
      <c r="K63" s="89">
        <f t="shared" si="17"/>
        <v>0</v>
      </c>
      <c r="L63" s="89">
        <f t="shared" si="17"/>
        <v>0</v>
      </c>
      <c r="M63" s="89">
        <f t="shared" si="17"/>
        <v>0</v>
      </c>
      <c r="N63" s="89">
        <f t="shared" si="17"/>
        <v>0</v>
      </c>
      <c r="O63" s="89">
        <f t="shared" si="17"/>
        <v>0</v>
      </c>
      <c r="P63" s="89">
        <f t="shared" si="17"/>
        <v>0</v>
      </c>
      <c r="Q63" s="30"/>
      <c r="R63" s="96">
        <f>SUM(_xlfn.XLOOKUP($R$5, $56:$56, 63:63, "", 0):_xlfn.XLOOKUP($R$6, $56:$56, 63:63, "", 0))</f>
        <v>2653.4559650424221</v>
      </c>
      <c r="S63" s="96">
        <f>SUM(_xlfn.XLOOKUP($S$5, $56:$56, 63:63, "", 0):_xlfn.XLOOKUP($S$6, $56:$56, 63:63, "", 0))</f>
        <v>2653.4559650424221</v>
      </c>
    </row>
    <row r="64" spans="2:19" x14ac:dyDescent="0.35">
      <c r="B64" s="27" t="s">
        <v>68</v>
      </c>
      <c r="C64" s="13"/>
      <c r="D64" s="2"/>
      <c r="E64" s="2"/>
      <c r="F64" s="89">
        <f>SUM((1-F$58)*F$61,(G$58*G$61),F$62,F$63)</f>
        <v>0</v>
      </c>
      <c r="G64" s="96">
        <f>SUM((1-G$58)*G$61,(H$58*H$61),G$62,G$63)</f>
        <v>2653.4559650424221</v>
      </c>
      <c r="H64" s="96">
        <f>SUM((1-H$58)*H$61,(I$58*I$61),H$62,H$63)</f>
        <v>884.48532168080726</v>
      </c>
      <c r="I64" s="89">
        <f t="shared" ref="I64:O64" si="18">SUM((1-I$58)*I$61,(J$58*J$61),I$62,I$63)</f>
        <v>0</v>
      </c>
      <c r="J64" s="89">
        <f t="shared" si="18"/>
        <v>0</v>
      </c>
      <c r="K64" s="89">
        <f t="shared" si="18"/>
        <v>0</v>
      </c>
      <c r="L64" s="89">
        <f t="shared" si="18"/>
        <v>0</v>
      </c>
      <c r="M64" s="89">
        <f t="shared" si="18"/>
        <v>0</v>
      </c>
      <c r="N64" s="89">
        <f t="shared" si="18"/>
        <v>0</v>
      </c>
      <c r="O64" s="89">
        <f t="shared" si="18"/>
        <v>0</v>
      </c>
      <c r="P64" s="89">
        <f>SUM((1-P$58)*P$61,P$62,P$63)</f>
        <v>0</v>
      </c>
      <c r="Q64" s="30"/>
      <c r="R64" s="96">
        <f>SUM(_xlfn.XLOOKUP($R$5, $56:$56, 64:64, "", 0):_xlfn.XLOOKUP($R$6, $56:$56, 64:64, "", 0))</f>
        <v>3537.9412867232295</v>
      </c>
      <c r="S64" s="96">
        <f>SUM(_xlfn.XLOOKUP($S$5, $56:$56, 64:64, "", 0):_xlfn.XLOOKUP($S$6, $56:$56, 64:64, "", 0))</f>
        <v>3537.9412867232295</v>
      </c>
    </row>
    <row r="65" spans="2:22" x14ac:dyDescent="0.35">
      <c r="B65" s="11"/>
      <c r="C65" s="13"/>
      <c r="D65" s="2"/>
      <c r="E65" s="2"/>
      <c r="F65" s="22"/>
      <c r="G65" s="22"/>
      <c r="H65" s="22"/>
      <c r="I65" s="22"/>
      <c r="J65" s="22"/>
      <c r="K65" s="22"/>
      <c r="L65" s="22"/>
      <c r="M65" s="22"/>
      <c r="N65" s="22"/>
      <c r="O65" s="22"/>
      <c r="P65" s="22"/>
      <c r="Q65" s="23"/>
      <c r="R65" s="23"/>
      <c r="S65" s="23"/>
    </row>
    <row r="66" spans="2:22" x14ac:dyDescent="0.35">
      <c r="B66" s="3" t="s">
        <v>69</v>
      </c>
      <c r="C66" s="3"/>
      <c r="D66" s="3"/>
      <c r="E66" s="3"/>
      <c r="F66" s="3"/>
      <c r="G66" s="3"/>
      <c r="H66" s="3"/>
      <c r="I66" s="3"/>
      <c r="J66" s="3"/>
      <c r="K66" s="3"/>
      <c r="L66" s="3"/>
      <c r="M66" s="3"/>
      <c r="N66" s="3"/>
      <c r="O66" s="3"/>
      <c r="P66" s="3"/>
      <c r="Q66" s="3"/>
      <c r="R66" s="3"/>
      <c r="S66" s="3"/>
      <c r="U66" s="5"/>
      <c r="V66" s="9"/>
    </row>
    <row r="67" spans="2:22" x14ac:dyDescent="0.35">
      <c r="B67" s="2"/>
      <c r="C67" s="2"/>
      <c r="D67" s="2"/>
      <c r="E67" s="2"/>
      <c r="F67" s="16">
        <f t="shared" ref="F67:P67" si="19">F$15</f>
        <v>2026</v>
      </c>
      <c r="G67" s="16">
        <f t="shared" si="19"/>
        <v>2027</v>
      </c>
      <c r="H67" s="16">
        <f t="shared" si="19"/>
        <v>2028</v>
      </c>
      <c r="I67" s="16">
        <f t="shared" si="19"/>
        <v>2029</v>
      </c>
      <c r="J67" s="16">
        <f t="shared" si="19"/>
        <v>2030</v>
      </c>
      <c r="K67" s="16">
        <f t="shared" si="19"/>
        <v>2031</v>
      </c>
      <c r="L67" s="16">
        <f t="shared" si="19"/>
        <v>2032</v>
      </c>
      <c r="M67" s="16">
        <f t="shared" si="19"/>
        <v>2033</v>
      </c>
      <c r="N67" s="16">
        <f t="shared" si="19"/>
        <v>2034</v>
      </c>
      <c r="O67" s="16">
        <f t="shared" si="19"/>
        <v>2035</v>
      </c>
      <c r="P67" s="16">
        <f t="shared" si="19"/>
        <v>2036</v>
      </c>
      <c r="Q67" s="17"/>
      <c r="R67" s="16" t="str">
        <f>R$15</f>
        <v>2026-2031</v>
      </c>
      <c r="S67" s="16" t="str">
        <f>S$15</f>
        <v>2026-2036</v>
      </c>
      <c r="U67" s="5"/>
      <c r="V67" s="9"/>
    </row>
    <row r="68" spans="2:22" x14ac:dyDescent="0.35">
      <c r="B68" s="42" t="s">
        <v>70</v>
      </c>
      <c r="C68" s="13"/>
      <c r="D68" s="8"/>
      <c r="E68" s="2"/>
      <c r="F68" s="89">
        <f>(F$30*$C$30)*(F$57+F$16)</f>
        <v>0</v>
      </c>
      <c r="G68" s="96">
        <f>(G$30*$C$30)*(G$57+G$16)</f>
        <v>-1632.938172182179</v>
      </c>
      <c r="H68" s="89">
        <f t="shared" ref="H68:P68" si="20">(H$30*$C$30)*(H$57+H$16)</f>
        <v>0</v>
      </c>
      <c r="I68" s="89">
        <f t="shared" si="20"/>
        <v>0</v>
      </c>
      <c r="J68" s="89">
        <f t="shared" si="20"/>
        <v>0</v>
      </c>
      <c r="K68" s="89">
        <f t="shared" si="20"/>
        <v>0</v>
      </c>
      <c r="L68" s="89">
        <f t="shared" si="20"/>
        <v>0</v>
      </c>
      <c r="M68" s="89">
        <f t="shared" si="20"/>
        <v>0</v>
      </c>
      <c r="N68" s="89">
        <f t="shared" si="20"/>
        <v>0</v>
      </c>
      <c r="O68" s="89">
        <f t="shared" si="20"/>
        <v>0</v>
      </c>
      <c r="P68" s="89">
        <f t="shared" si="20"/>
        <v>0</v>
      </c>
      <c r="Q68" s="30"/>
      <c r="R68" s="96">
        <f>SUM(_xlfn.XLOOKUP($R$5, $56:$56, 68:68, "", 0):_xlfn.XLOOKUP($R$6, $56:$56, 68:68, "", 0))</f>
        <v>-1632.938172182179</v>
      </c>
      <c r="S68" s="96">
        <f>SUM(_xlfn.XLOOKUP($S$5, $56:$56, 68:68, "", 0):_xlfn.XLOOKUP($S$6, $56:$56, 68:68, "", 0))</f>
        <v>-1632.938172182179</v>
      </c>
      <c r="U68" s="5"/>
      <c r="V68" s="9"/>
    </row>
    <row r="69" spans="2:22" x14ac:dyDescent="0.35">
      <c r="B69" s="42" t="s">
        <v>71</v>
      </c>
      <c r="C69" s="13"/>
      <c r="D69" s="68"/>
      <c r="E69" s="2"/>
      <c r="F69" s="97">
        <v>0</v>
      </c>
      <c r="G69" s="98">
        <f>IF(G$56&lt;=$C$24, 0, G$68+F$68)</f>
        <v>-1632.938172182179</v>
      </c>
      <c r="H69" s="97">
        <f>IF(H$56=$C$24+1, SUM(F$68:H$68), $C$30*H$30*(H$57+H$16))</f>
        <v>0</v>
      </c>
      <c r="I69" s="89">
        <f>$C$30*I$30*(I$57+I$16)</f>
        <v>0</v>
      </c>
      <c r="J69" s="89">
        <f t="shared" ref="J69:P69" si="21">$C$30*J$30*(J$57+J$16)</f>
        <v>0</v>
      </c>
      <c r="K69" s="89">
        <f t="shared" si="21"/>
        <v>0</v>
      </c>
      <c r="L69" s="89">
        <f t="shared" si="21"/>
        <v>0</v>
      </c>
      <c r="M69" s="89">
        <f t="shared" si="21"/>
        <v>0</v>
      </c>
      <c r="N69" s="89">
        <f t="shared" si="21"/>
        <v>0</v>
      </c>
      <c r="O69" s="89">
        <f t="shared" si="21"/>
        <v>0</v>
      </c>
      <c r="P69" s="89">
        <f t="shared" si="21"/>
        <v>0</v>
      </c>
      <c r="Q69" s="30"/>
      <c r="R69" s="96">
        <f>SUM(_xlfn.XLOOKUP($R$5, $56:$56, 69:69, "", 0):_xlfn.XLOOKUP($R$6, $56:$56, 69:69, "", 0))</f>
        <v>-1632.938172182179</v>
      </c>
      <c r="S69" s="96">
        <f>SUM(_xlfn.XLOOKUP($S$5, $56:$56, 69:69, "", 0):_xlfn.XLOOKUP($S$6, $56:$56, 69:69, "", 0))</f>
        <v>-1632.938172182179</v>
      </c>
      <c r="U69" s="5"/>
      <c r="V69" s="9"/>
    </row>
    <row r="70" spans="2:22" x14ac:dyDescent="0.35">
      <c r="B70" s="42" t="s">
        <v>72</v>
      </c>
      <c r="C70" s="13"/>
      <c r="D70" s="68"/>
      <c r="E70" s="2"/>
      <c r="F70" s="97">
        <f>F$69*(9/12)</f>
        <v>0</v>
      </c>
      <c r="G70" s="96">
        <f>F$69*(3/12)+G$69*(9/12)</f>
        <v>-1224.7036291366342</v>
      </c>
      <c r="H70" s="89">
        <f>G$69*(3/12)+H$69*(9/12)</f>
        <v>-408.23454304554474</v>
      </c>
      <c r="I70" s="89">
        <f t="shared" ref="I70:O70" si="22">H$69*(3/12)+I$69*(9/12)</f>
        <v>0</v>
      </c>
      <c r="J70" s="89">
        <f t="shared" si="22"/>
        <v>0</v>
      </c>
      <c r="K70" s="89">
        <f t="shared" si="22"/>
        <v>0</v>
      </c>
      <c r="L70" s="89">
        <f t="shared" si="22"/>
        <v>0</v>
      </c>
      <c r="M70" s="89">
        <f t="shared" si="22"/>
        <v>0</v>
      </c>
      <c r="N70" s="89">
        <f t="shared" si="22"/>
        <v>0</v>
      </c>
      <c r="O70" s="89">
        <f t="shared" si="22"/>
        <v>0</v>
      </c>
      <c r="P70" s="89">
        <f>O$69*(3/12)+P$69*(9/12)</f>
        <v>0</v>
      </c>
      <c r="Q70" s="30"/>
      <c r="R70" s="96">
        <f>SUM(_xlfn.XLOOKUP($R$5, $56:$56, 70:70, "", 0):_xlfn.XLOOKUP($R$6, $56:$56, 70:70, "", 0))</f>
        <v>-1632.938172182179</v>
      </c>
      <c r="S70" s="96">
        <f>SUM(_xlfn.XLOOKUP($S$5, $56:$56, 70:70, "", 0):_xlfn.XLOOKUP($S$6, $56:$56, 70:70, "", 0))</f>
        <v>-1632.938172182179</v>
      </c>
      <c r="U70" s="5"/>
      <c r="V70" s="9"/>
    </row>
    <row r="71" spans="2:22" x14ac:dyDescent="0.35">
      <c r="B71" s="42"/>
      <c r="C71" s="13"/>
      <c r="D71" s="8"/>
      <c r="E71" s="2"/>
      <c r="F71" s="24"/>
      <c r="G71" s="24"/>
      <c r="H71" s="24"/>
      <c r="I71" s="24"/>
      <c r="J71" s="24"/>
      <c r="K71" s="24"/>
      <c r="L71" s="24"/>
      <c r="M71" s="24"/>
      <c r="N71" s="24"/>
      <c r="O71" s="24"/>
      <c r="P71" s="24"/>
      <c r="Q71" s="23"/>
      <c r="R71" s="23"/>
      <c r="S71" s="23"/>
      <c r="U71" s="5"/>
      <c r="V71" s="9"/>
    </row>
    <row r="72" spans="2:22" x14ac:dyDescent="0.35">
      <c r="B72" s="74" t="str">
        <f>$B$6</f>
        <v>3) Checks</v>
      </c>
      <c r="C72" s="75"/>
      <c r="D72" s="76"/>
      <c r="E72" s="75"/>
      <c r="F72" s="75"/>
      <c r="G72" s="75"/>
      <c r="H72" s="75"/>
      <c r="I72" s="75"/>
      <c r="J72" s="75"/>
      <c r="K72" s="75"/>
      <c r="L72" s="75"/>
      <c r="M72" s="75"/>
      <c r="N72" s="75"/>
      <c r="O72" s="75"/>
      <c r="P72" s="75"/>
      <c r="Q72" s="75"/>
      <c r="R72" s="75"/>
      <c r="S72" s="75"/>
      <c r="U72" s="5"/>
      <c r="V72" s="9"/>
    </row>
    <row r="73" spans="2:22" x14ac:dyDescent="0.35">
      <c r="B73" s="3" t="s">
        <v>73</v>
      </c>
      <c r="C73" s="3"/>
      <c r="D73" s="35"/>
      <c r="E73" s="3"/>
      <c r="F73" s="33"/>
      <c r="G73" s="33"/>
      <c r="H73" s="33"/>
      <c r="I73" s="33"/>
      <c r="J73" s="33"/>
      <c r="K73" s="33"/>
      <c r="L73" s="33"/>
      <c r="M73" s="33"/>
      <c r="N73" s="33"/>
      <c r="O73" s="33"/>
      <c r="P73" s="33"/>
      <c r="Q73" s="33"/>
      <c r="R73" s="33"/>
      <c r="S73" s="33"/>
    </row>
    <row r="74" spans="2:22" s="17" customFormat="1" x14ac:dyDescent="0.35">
      <c r="B74"/>
      <c r="C74" s="14" t="s">
        <v>3</v>
      </c>
      <c r="D74" s="36"/>
      <c r="E74" s="19"/>
      <c r="F74" s="16">
        <f>F$15</f>
        <v>2026</v>
      </c>
      <c r="G74" s="16">
        <f t="shared" ref="G74:P74" si="23">G$15</f>
        <v>2027</v>
      </c>
      <c r="H74" s="16">
        <f t="shared" si="23"/>
        <v>2028</v>
      </c>
      <c r="I74" s="16">
        <f t="shared" si="23"/>
        <v>2029</v>
      </c>
      <c r="J74" s="16">
        <f t="shared" si="23"/>
        <v>2030</v>
      </c>
      <c r="K74" s="16">
        <f t="shared" si="23"/>
        <v>2031</v>
      </c>
      <c r="L74" s="16">
        <f t="shared" si="23"/>
        <v>2032</v>
      </c>
      <c r="M74" s="16">
        <f t="shared" si="23"/>
        <v>2033</v>
      </c>
      <c r="N74" s="16">
        <f t="shared" si="23"/>
        <v>2034</v>
      </c>
      <c r="O74" s="16">
        <f t="shared" si="23"/>
        <v>2035</v>
      </c>
      <c r="P74" s="16">
        <f t="shared" si="23"/>
        <v>2036</v>
      </c>
      <c r="R74" s="16"/>
      <c r="S74" s="16"/>
    </row>
    <row r="75" spans="2:22" s="17" customFormat="1" ht="43.5" x14ac:dyDescent="0.35">
      <c r="B75" s="15" t="s">
        <v>74</v>
      </c>
      <c r="C75" s="116" t="s">
        <v>134</v>
      </c>
      <c r="D75" s="36"/>
      <c r="E75" s="19"/>
      <c r="F75" s="17" t="str">
        <f>IF(AND(ROUND(F$16,2)&lt;&gt;0,ROUND(SUM(F$46,F$47),2)&lt;&gt;1), "FFS incurred input must be within relevant policy dates.", "PASS")</f>
        <v>PASS</v>
      </c>
      <c r="G75" s="17" t="str">
        <f t="shared" ref="G75:P75" si="24">IF(AND(ROUND(G$16,2)&lt;&gt;0,ROUND(SUM(G$46,G$47),2)&lt;&gt;1), "FFS incurred input must be within relevant policy dates.", "PASS")</f>
        <v>PASS</v>
      </c>
      <c r="H75" s="17" t="str">
        <f>IF(AND(ROUND(H$16,2)&lt;&gt;0,ROUND(SUM(H$46,H$47),2)&lt;&gt;1), "FFS incurred input must be within relevant policy dates.", "PASS")</f>
        <v>PASS</v>
      </c>
      <c r="I75" s="17" t="str">
        <f t="shared" si="24"/>
        <v>PASS</v>
      </c>
      <c r="J75" s="17" t="str">
        <f t="shared" si="24"/>
        <v>PASS</v>
      </c>
      <c r="K75" s="17" t="str">
        <f t="shared" si="24"/>
        <v>PASS</v>
      </c>
      <c r="L75" s="17" t="str">
        <f t="shared" si="24"/>
        <v>PASS</v>
      </c>
      <c r="M75" s="17" t="str">
        <f t="shared" si="24"/>
        <v>PASS</v>
      </c>
      <c r="N75" s="17" t="str">
        <f t="shared" si="24"/>
        <v>PASS</v>
      </c>
      <c r="O75" s="17" t="str">
        <f t="shared" si="24"/>
        <v>PASS</v>
      </c>
      <c r="P75" s="17" t="str">
        <f t="shared" si="24"/>
        <v>PASS</v>
      </c>
      <c r="R75" s="16"/>
      <c r="S75" s="16"/>
    </row>
    <row r="76" spans="2:22" s="17" customFormat="1" ht="29" x14ac:dyDescent="0.35">
      <c r="B76" s="42" t="s">
        <v>75</v>
      </c>
      <c r="C76" s="116" t="s">
        <v>135</v>
      </c>
      <c r="D76" s="36"/>
      <c r="E76" s="19"/>
      <c r="F76" s="17" t="str">
        <f>IF(ROUND(F$52+F$51,2)=ROUND(F$16,2), "PASS", "FAIL")</f>
        <v>PASS</v>
      </c>
      <c r="G76" s="17" t="str">
        <f t="shared" ref="G76:P76" si="25">IF(ROUND(G$52+G$51,2)=ROUND(G$16,2), "PASS", "FAIL")</f>
        <v>PASS</v>
      </c>
      <c r="H76" s="17" t="str">
        <f>IF(ROUND(H$52+H$51,2)=ROUND(H$16,2), "PASS", "FAIL")</f>
        <v>PASS</v>
      </c>
      <c r="I76" s="17" t="str">
        <f t="shared" si="25"/>
        <v>PASS</v>
      </c>
      <c r="J76" s="17" t="str">
        <f t="shared" si="25"/>
        <v>PASS</v>
      </c>
      <c r="K76" s="17" t="str">
        <f t="shared" si="25"/>
        <v>PASS</v>
      </c>
      <c r="L76" s="17" t="str">
        <f t="shared" si="25"/>
        <v>PASS</v>
      </c>
      <c r="M76" s="17" t="str">
        <f t="shared" si="25"/>
        <v>PASS</v>
      </c>
      <c r="N76" s="17" t="str">
        <f t="shared" si="25"/>
        <v>PASS</v>
      </c>
      <c r="O76" s="17" t="str">
        <f t="shared" si="25"/>
        <v>PASS</v>
      </c>
      <c r="P76" s="17" t="str">
        <f t="shared" si="25"/>
        <v>PASS</v>
      </c>
      <c r="R76" s="16"/>
      <c r="S76" s="16"/>
    </row>
    <row r="77" spans="2:22" s="17" customFormat="1" ht="29" x14ac:dyDescent="0.35">
      <c r="B77" s="42" t="s">
        <v>76</v>
      </c>
      <c r="C77" s="116" t="s">
        <v>136</v>
      </c>
      <c r="D77" s="34"/>
      <c r="E77" s="2"/>
      <c r="F77" s="23" t="str">
        <f>IF(ROUND(SUM(F$57), 2)=ROUND(SUM(F$63,G$61,G$62), 2),"PASS","FAIL")</f>
        <v>PASS</v>
      </c>
      <c r="G77" s="23" t="str">
        <f t="shared" ref="G77:O77" si="26">IF(ROUND(SUM(G$57), 2)=ROUND(SUM(G$63,H$61,H$62), 2),"PASS","FAIL")</f>
        <v>PASS</v>
      </c>
      <c r="H77" s="23" t="str">
        <f>IF(ROUND(SUM(H$57), 2)=ROUND(SUM(H$63,I$61,I$62), 2),"PASS","FAIL")</f>
        <v>PASS</v>
      </c>
      <c r="I77" s="23" t="str">
        <f t="shared" si="26"/>
        <v>PASS</v>
      </c>
      <c r="J77" s="23" t="str">
        <f t="shared" si="26"/>
        <v>PASS</v>
      </c>
      <c r="K77" s="23" t="str">
        <f t="shared" si="26"/>
        <v>PASS</v>
      </c>
      <c r="L77" s="23" t="str">
        <f t="shared" si="26"/>
        <v>PASS</v>
      </c>
      <c r="M77" s="23" t="str">
        <f t="shared" si="26"/>
        <v>PASS</v>
      </c>
      <c r="N77" s="23" t="str">
        <f t="shared" si="26"/>
        <v>PASS</v>
      </c>
      <c r="O77" s="23" t="str">
        <f t="shared" si="26"/>
        <v>PASS</v>
      </c>
      <c r="P77" s="70"/>
      <c r="R77" s="16"/>
      <c r="S77" s="16"/>
    </row>
    <row r="78" spans="2:22" x14ac:dyDescent="0.35">
      <c r="B78" s="10"/>
      <c r="C78" s="8"/>
      <c r="D78" s="34"/>
      <c r="E78" s="2"/>
      <c r="F78" s="23"/>
      <c r="G78" s="23"/>
      <c r="H78" s="23"/>
      <c r="I78" s="23"/>
      <c r="J78" s="23"/>
      <c r="K78" s="23"/>
      <c r="L78" s="23"/>
      <c r="M78" s="23"/>
      <c r="N78" s="23"/>
      <c r="O78" s="23"/>
      <c r="P78" s="23"/>
      <c r="Q78" s="17"/>
      <c r="R78" s="16"/>
      <c r="S78" s="16"/>
    </row>
    <row r="79" spans="2:22" x14ac:dyDescent="0.35">
      <c r="B79" s="3" t="s">
        <v>93</v>
      </c>
      <c r="C79" s="3"/>
      <c r="D79" s="35"/>
      <c r="E79" s="3"/>
      <c r="F79" s="33"/>
      <c r="G79" s="33"/>
      <c r="H79" s="33"/>
      <c r="I79" s="33"/>
      <c r="J79" s="33"/>
      <c r="K79" s="33"/>
      <c r="L79" s="33"/>
      <c r="M79" s="33"/>
      <c r="N79" s="33"/>
      <c r="O79" s="33"/>
      <c r="P79" s="33"/>
      <c r="Q79" s="33"/>
      <c r="R79" s="33"/>
      <c r="S79" s="33"/>
    </row>
    <row r="80" spans="2:22" x14ac:dyDescent="0.35">
      <c r="B80" s="2"/>
      <c r="C80" s="2"/>
      <c r="D80" s="34"/>
      <c r="E80" s="2"/>
      <c r="F80" s="16">
        <f t="shared" ref="F80:P80" si="27">F$15</f>
        <v>2026</v>
      </c>
      <c r="G80" s="16">
        <f t="shared" si="27"/>
        <v>2027</v>
      </c>
      <c r="H80" s="16">
        <f t="shared" si="27"/>
        <v>2028</v>
      </c>
      <c r="I80" s="16">
        <f t="shared" si="27"/>
        <v>2029</v>
      </c>
      <c r="J80" s="16">
        <f t="shared" si="27"/>
        <v>2030</v>
      </c>
      <c r="K80" s="16">
        <f t="shared" si="27"/>
        <v>2031</v>
      </c>
      <c r="L80" s="16">
        <f t="shared" si="27"/>
        <v>2032</v>
      </c>
      <c r="M80" s="16">
        <f t="shared" si="27"/>
        <v>2033</v>
      </c>
      <c r="N80" s="16">
        <f t="shared" si="27"/>
        <v>2034</v>
      </c>
      <c r="O80" s="16">
        <f t="shared" si="27"/>
        <v>2035</v>
      </c>
      <c r="P80" s="16">
        <f t="shared" si="27"/>
        <v>2036</v>
      </c>
      <c r="Q80" s="17"/>
      <c r="R80" s="16" t="str">
        <f>R$15</f>
        <v>2026-2031</v>
      </c>
      <c r="S80" s="16" t="str">
        <f>S$15</f>
        <v>2026-2036</v>
      </c>
    </row>
    <row r="81" spans="2:19" x14ac:dyDescent="0.35">
      <c r="B81" s="42" t="s">
        <v>91</v>
      </c>
      <c r="C81" s="20"/>
      <c r="D81" s="8"/>
      <c r="F81" s="44">
        <f>SUM(F$16,F$61,F$62,F$63)</f>
        <v>0</v>
      </c>
      <c r="G81" s="44">
        <f>SUM(G$16,G$61,G$62,G$63)</f>
        <v>5396.0461097891111</v>
      </c>
      <c r="H81" s="44">
        <f t="shared" ref="H81:P81" si="28">SUM(H$16,H$61,H$62,H$63)</f>
        <v>884.48532168080726</v>
      </c>
      <c r="I81" s="44">
        <f t="shared" si="28"/>
        <v>0</v>
      </c>
      <c r="J81" s="44">
        <f t="shared" si="28"/>
        <v>0</v>
      </c>
      <c r="K81" s="44">
        <f t="shared" si="28"/>
        <v>0</v>
      </c>
      <c r="L81" s="44">
        <f t="shared" si="28"/>
        <v>0</v>
      </c>
      <c r="M81" s="44">
        <f t="shared" si="28"/>
        <v>0</v>
      </c>
      <c r="N81" s="44">
        <f t="shared" si="28"/>
        <v>0</v>
      </c>
      <c r="O81" s="44">
        <f t="shared" si="28"/>
        <v>0</v>
      </c>
      <c r="P81" s="44">
        <f t="shared" si="28"/>
        <v>0</v>
      </c>
      <c r="Q81" s="44"/>
      <c r="R81" s="30">
        <f>SUM(_xlfn.XLOOKUP($R$5, $74:$74, 81:81, "", 0):_xlfn.XLOOKUP($R$6, $74:$74, 81:81, "", 0))</f>
        <v>6280.5314314699181</v>
      </c>
      <c r="S81" s="30">
        <f>SUM(_xlfn.XLOOKUP($S$5, $74:$74, 81:81, "", 0):_xlfn.XLOOKUP($S$6, $74:$74, 81:81, "", 0))</f>
        <v>6280.5314314699181</v>
      </c>
    </row>
    <row r="82" spans="2:19" x14ac:dyDescent="0.35">
      <c r="B82" s="42" t="s">
        <v>92</v>
      </c>
      <c r="C82" s="20"/>
      <c r="D82" s="8"/>
      <c r="F82" s="25" t="str">
        <f>IF(E$81=0,"NA",F$81/E$81-1)</f>
        <v>NA</v>
      </c>
      <c r="G82" s="25" t="str">
        <f t="shared" ref="G82:O82" si="29">IF(F$81=0,"NA",G$81/F$81-1)</f>
        <v>NA</v>
      </c>
      <c r="H82" s="25">
        <f t="shared" si="29"/>
        <v>-0.83608640406607371</v>
      </c>
      <c r="I82" s="25">
        <f t="shared" si="29"/>
        <v>-1</v>
      </c>
      <c r="J82" s="25" t="str">
        <f>IF(I$81=0,"NA",J$81/I$81-1)</f>
        <v>NA</v>
      </c>
      <c r="K82" s="25" t="str">
        <f t="shared" si="29"/>
        <v>NA</v>
      </c>
      <c r="L82" s="25" t="str">
        <f t="shared" si="29"/>
        <v>NA</v>
      </c>
      <c r="M82" s="25" t="str">
        <f t="shared" si="29"/>
        <v>NA</v>
      </c>
      <c r="N82" s="25" t="str">
        <f t="shared" si="29"/>
        <v>NA</v>
      </c>
      <c r="O82" s="25" t="str">
        <f t="shared" si="29"/>
        <v>NA</v>
      </c>
      <c r="P82" s="25" t="str">
        <f>IF(O$81=0,"NA",P$81/O$81-1)</f>
        <v>NA</v>
      </c>
      <c r="Q82" s="17"/>
      <c r="R82" s="17"/>
      <c r="S82" s="17"/>
    </row>
    <row r="83" spans="2:19" x14ac:dyDescent="0.35">
      <c r="B83" s="42"/>
      <c r="F83" s="47"/>
      <c r="G83" s="48"/>
      <c r="H83" s="48"/>
      <c r="I83" s="48"/>
      <c r="J83" s="48"/>
      <c r="K83" s="48"/>
      <c r="L83" s="48"/>
      <c r="M83" s="48"/>
      <c r="N83" s="48"/>
      <c r="O83" s="48"/>
      <c r="P83" s="48"/>
      <c r="Q83" s="17"/>
      <c r="R83" s="17"/>
      <c r="S83" s="17"/>
    </row>
    <row r="84" spans="2:19" x14ac:dyDescent="0.35">
      <c r="B84" s="74" t="str">
        <f>$B$7</f>
        <v>4) Output: FY Cash Estimate</v>
      </c>
      <c r="C84" s="75"/>
      <c r="D84" s="76"/>
      <c r="E84" s="75"/>
      <c r="F84" s="75"/>
      <c r="G84" s="75"/>
      <c r="H84" s="75"/>
      <c r="I84" s="75"/>
      <c r="J84" s="75"/>
      <c r="K84" s="75"/>
      <c r="L84" s="75"/>
      <c r="M84" s="75"/>
      <c r="N84" s="75"/>
      <c r="O84" s="75"/>
      <c r="P84" s="75"/>
      <c r="Q84" s="75"/>
      <c r="R84" s="75"/>
      <c r="S84" s="75"/>
    </row>
    <row r="85" spans="2:19" x14ac:dyDescent="0.35">
      <c r="C85" s="14" t="s">
        <v>3</v>
      </c>
      <c r="D85" s="19"/>
      <c r="E85" s="19"/>
      <c r="F85" s="16">
        <f>F$15</f>
        <v>2026</v>
      </c>
      <c r="G85" s="16">
        <f t="shared" ref="G85:P85" si="30">G$15</f>
        <v>2027</v>
      </c>
      <c r="H85" s="16">
        <f t="shared" si="30"/>
        <v>2028</v>
      </c>
      <c r="I85" s="16">
        <f t="shared" si="30"/>
        <v>2029</v>
      </c>
      <c r="J85" s="16">
        <f t="shared" si="30"/>
        <v>2030</v>
      </c>
      <c r="K85" s="16">
        <f t="shared" si="30"/>
        <v>2031</v>
      </c>
      <c r="L85" s="16">
        <f t="shared" si="30"/>
        <v>2032</v>
      </c>
      <c r="M85" s="16">
        <f t="shared" si="30"/>
        <v>2033</v>
      </c>
      <c r="N85" s="16">
        <f t="shared" si="30"/>
        <v>2034</v>
      </c>
      <c r="O85" s="16">
        <f t="shared" si="30"/>
        <v>2035</v>
      </c>
      <c r="P85" s="16">
        <f t="shared" si="30"/>
        <v>2036</v>
      </c>
      <c r="Q85" s="17"/>
      <c r="R85" s="16" t="str">
        <f>R$15</f>
        <v>2026-2031</v>
      </c>
      <c r="S85" s="16" t="str">
        <f>S$15</f>
        <v>2026-2036</v>
      </c>
    </row>
    <row r="86" spans="2:19" x14ac:dyDescent="0.35">
      <c r="B86" s="2" t="s">
        <v>137</v>
      </c>
      <c r="C86" s="14"/>
      <c r="D86" s="19"/>
      <c r="E86" s="19"/>
      <c r="F86" s="17" t="str">
        <f t="shared" ref="F86:O86" si="31">IF(OR(F$75="FAIL",F$76= "FAIL", F$77="FAIL"), "FAIL", "PASS")</f>
        <v>PASS</v>
      </c>
      <c r="G86" s="17" t="str">
        <f t="shared" si="31"/>
        <v>PASS</v>
      </c>
      <c r="H86" s="17" t="str">
        <f t="shared" si="31"/>
        <v>PASS</v>
      </c>
      <c r="I86" s="17" t="str">
        <f t="shared" si="31"/>
        <v>PASS</v>
      </c>
      <c r="J86" s="17" t="str">
        <f t="shared" si="31"/>
        <v>PASS</v>
      </c>
      <c r="K86" s="17" t="str">
        <f t="shared" si="31"/>
        <v>PASS</v>
      </c>
      <c r="L86" s="17" t="str">
        <f t="shared" si="31"/>
        <v>PASS</v>
      </c>
      <c r="M86" s="17" t="str">
        <f t="shared" si="31"/>
        <v>PASS</v>
      </c>
      <c r="N86" s="17" t="str">
        <f t="shared" si="31"/>
        <v>PASS</v>
      </c>
      <c r="O86" s="17" t="str">
        <f t="shared" si="31"/>
        <v>PASS</v>
      </c>
      <c r="P86" s="17" t="str">
        <f>IF(OR(P$75="FAIL",P$76= "FAIL", P$77="FAIL"), "FAIL", "PASS")</f>
        <v>PASS</v>
      </c>
      <c r="Q86" s="17"/>
      <c r="R86" s="16"/>
      <c r="S86" s="16"/>
    </row>
    <row r="87" spans="2:19" x14ac:dyDescent="0.35">
      <c r="C87" s="14"/>
      <c r="D87" s="19"/>
      <c r="E87" s="19"/>
      <c r="F87" s="71"/>
      <c r="G87" s="16"/>
      <c r="H87" s="16"/>
      <c r="I87" s="16"/>
      <c r="J87" s="16"/>
      <c r="K87" s="16"/>
      <c r="L87" s="16"/>
      <c r="M87" s="16"/>
      <c r="N87" s="16"/>
      <c r="O87" s="16"/>
      <c r="P87" s="16"/>
      <c r="Q87" s="17"/>
      <c r="R87" s="16"/>
      <c r="S87" s="16"/>
    </row>
    <row r="88" spans="2:19" x14ac:dyDescent="0.35">
      <c r="B88" s="2" t="s">
        <v>138</v>
      </c>
      <c r="C88" s="14"/>
      <c r="D88" s="19"/>
      <c r="E88" s="19"/>
      <c r="F88" s="16"/>
      <c r="G88" s="16"/>
      <c r="H88" s="16"/>
      <c r="I88" s="16"/>
      <c r="J88" s="16"/>
      <c r="K88" s="16"/>
      <c r="L88" s="16"/>
      <c r="M88" s="16"/>
      <c r="N88" s="16"/>
      <c r="O88" s="16"/>
      <c r="P88" s="16"/>
      <c r="Q88" s="17"/>
      <c r="R88" s="16"/>
      <c r="S88" s="16"/>
    </row>
    <row r="89" spans="2:19" x14ac:dyDescent="0.35">
      <c r="B89" s="27" t="s">
        <v>13</v>
      </c>
      <c r="C89" s="14"/>
      <c r="D89" s="8"/>
      <c r="E89" s="19"/>
      <c r="F89" s="89">
        <f>ROUND(F$53,0)</f>
        <v>0</v>
      </c>
      <c r="G89" s="96">
        <f t="shared" ref="G89:P89" si="32">ROUND(G$53,0)</f>
        <v>1631</v>
      </c>
      <c r="H89" s="96">
        <f t="shared" si="32"/>
        <v>1112</v>
      </c>
      <c r="I89" s="89">
        <f t="shared" si="32"/>
        <v>0</v>
      </c>
      <c r="J89" s="89">
        <f t="shared" si="32"/>
        <v>0</v>
      </c>
      <c r="K89" s="89">
        <f t="shared" si="32"/>
        <v>0</v>
      </c>
      <c r="L89" s="89">
        <f t="shared" si="32"/>
        <v>0</v>
      </c>
      <c r="M89" s="89">
        <f t="shared" si="32"/>
        <v>0</v>
      </c>
      <c r="N89" s="89">
        <f t="shared" si="32"/>
        <v>0</v>
      </c>
      <c r="O89" s="89">
        <f t="shared" si="32"/>
        <v>0</v>
      </c>
      <c r="P89" s="89">
        <f t="shared" si="32"/>
        <v>0</v>
      </c>
      <c r="Q89" s="30"/>
      <c r="R89" s="96">
        <f>SUM(_xlfn.XLOOKUP($R$5, $85:$85, 89:89, "", 0):_xlfn.XLOOKUP($R$6, $85:$85, 89:89, "", 0))</f>
        <v>2743</v>
      </c>
      <c r="S89" s="96">
        <f>SUM(_xlfn.XLOOKUP($S$5, $85:$85, 89:89, "", 0):_xlfn.XLOOKUP($S$6, $85:$85, 89:89, "", 0))</f>
        <v>2743</v>
      </c>
    </row>
    <row r="90" spans="2:19" x14ac:dyDescent="0.35">
      <c r="B90" s="27" t="s">
        <v>14</v>
      </c>
      <c r="C90" s="14"/>
      <c r="D90" s="8"/>
      <c r="E90" s="19"/>
      <c r="F90" s="89">
        <f>ROUND(F$64,0)</f>
        <v>0</v>
      </c>
      <c r="G90" s="96">
        <f t="shared" ref="G90:P90" si="33">ROUND(G$64,0)</f>
        <v>2653</v>
      </c>
      <c r="H90" s="96">
        <f t="shared" si="33"/>
        <v>884</v>
      </c>
      <c r="I90" s="89">
        <f t="shared" si="33"/>
        <v>0</v>
      </c>
      <c r="J90" s="89">
        <f t="shared" si="33"/>
        <v>0</v>
      </c>
      <c r="K90" s="89">
        <f t="shared" si="33"/>
        <v>0</v>
      </c>
      <c r="L90" s="89">
        <f t="shared" si="33"/>
        <v>0</v>
      </c>
      <c r="M90" s="89">
        <f t="shared" si="33"/>
        <v>0</v>
      </c>
      <c r="N90" s="89">
        <f t="shared" si="33"/>
        <v>0</v>
      </c>
      <c r="O90" s="89">
        <f t="shared" si="33"/>
        <v>0</v>
      </c>
      <c r="P90" s="89">
        <f t="shared" si="33"/>
        <v>0</v>
      </c>
      <c r="Q90" s="30"/>
      <c r="R90" s="96">
        <f>SUM(_xlfn.XLOOKUP($R$5, $85:$85, 90:90, "", 0):_xlfn.XLOOKUP($R$6, $85:$85, 90:90, "", 0))</f>
        <v>3537</v>
      </c>
      <c r="S90" s="96">
        <f>SUM(_xlfn.XLOOKUP($S$5, $85:$85, 90:90, "", 0):_xlfn.XLOOKUP($S$6, $85:$85, 90:90, "", 0))</f>
        <v>3537</v>
      </c>
    </row>
    <row r="91" spans="2:19" x14ac:dyDescent="0.35">
      <c r="B91" t="s">
        <v>15</v>
      </c>
      <c r="C91" s="20"/>
      <c r="D91" s="8"/>
      <c r="E91" s="2"/>
      <c r="F91" s="89">
        <f>SUM(F$89,F$90)</f>
        <v>0</v>
      </c>
      <c r="G91" s="96">
        <f t="shared" ref="G91:P91" si="34">SUM(G$89,G$90)</f>
        <v>4284</v>
      </c>
      <c r="H91" s="96">
        <f t="shared" si="34"/>
        <v>1996</v>
      </c>
      <c r="I91" s="89">
        <f t="shared" si="34"/>
        <v>0</v>
      </c>
      <c r="J91" s="89">
        <f t="shared" si="34"/>
        <v>0</v>
      </c>
      <c r="K91" s="89">
        <f t="shared" si="34"/>
        <v>0</v>
      </c>
      <c r="L91" s="89">
        <f t="shared" si="34"/>
        <v>0</v>
      </c>
      <c r="M91" s="89">
        <f t="shared" si="34"/>
        <v>0</v>
      </c>
      <c r="N91" s="89">
        <f t="shared" si="34"/>
        <v>0</v>
      </c>
      <c r="O91" s="89">
        <f t="shared" si="34"/>
        <v>0</v>
      </c>
      <c r="P91" s="89">
        <f t="shared" si="34"/>
        <v>0</v>
      </c>
      <c r="Q91" s="30"/>
      <c r="R91" s="96">
        <f>SUM(_xlfn.XLOOKUP($R$5, $85:$85, 91:91, "", 0):_xlfn.XLOOKUP($R$6, $85:$85, 91:91, "", 0))</f>
        <v>6280</v>
      </c>
      <c r="S91" s="96">
        <f>SUM(_xlfn.XLOOKUP($S$5, $85:$85, 91:91, "", 0):_xlfn.XLOOKUP($S$6, $85:$85, 91:91, "", 0))</f>
        <v>6280</v>
      </c>
    </row>
    <row r="92" spans="2:19" x14ac:dyDescent="0.35">
      <c r="B92" s="10"/>
      <c r="C92" s="8"/>
      <c r="D92" s="8"/>
      <c r="E92" s="2"/>
      <c r="F92" s="89"/>
      <c r="G92" s="96"/>
      <c r="H92" s="89"/>
      <c r="I92" s="89"/>
      <c r="J92" s="89"/>
      <c r="K92" s="89"/>
      <c r="L92" s="89"/>
      <c r="M92" s="89"/>
      <c r="N92" s="89"/>
      <c r="O92" s="89"/>
      <c r="P92" s="89"/>
      <c r="Q92" s="30"/>
      <c r="R92" s="96"/>
      <c r="S92" s="96"/>
    </row>
    <row r="93" spans="2:19" x14ac:dyDescent="0.35">
      <c r="B93" s="10" t="s">
        <v>139</v>
      </c>
      <c r="C93" s="8"/>
      <c r="D93" s="8"/>
      <c r="E93" s="2"/>
      <c r="F93" s="89"/>
      <c r="G93" s="96"/>
      <c r="H93" s="89"/>
      <c r="I93" s="89"/>
      <c r="J93" s="89"/>
      <c r="K93" s="89"/>
      <c r="L93" s="89"/>
      <c r="M93" s="89"/>
      <c r="N93" s="89"/>
      <c r="O93" s="89"/>
      <c r="P93" s="89"/>
      <c r="Q93" s="30"/>
      <c r="R93" s="96"/>
      <c r="S93" s="96"/>
    </row>
    <row r="94" spans="2:19" x14ac:dyDescent="0.35">
      <c r="B94" t="s">
        <v>16</v>
      </c>
      <c r="C94" s="20"/>
      <c r="D94" s="8"/>
      <c r="E94" s="2"/>
      <c r="F94" s="89">
        <f>ROUND(F$70,0)</f>
        <v>0</v>
      </c>
      <c r="G94" s="96">
        <f t="shared" ref="G94:P94" si="35">ROUND(G$70,0)</f>
        <v>-1225</v>
      </c>
      <c r="H94" s="89">
        <f t="shared" si="35"/>
        <v>-408</v>
      </c>
      <c r="I94" s="89">
        <f t="shared" si="35"/>
        <v>0</v>
      </c>
      <c r="J94" s="89">
        <f t="shared" si="35"/>
        <v>0</v>
      </c>
      <c r="K94" s="89">
        <f t="shared" si="35"/>
        <v>0</v>
      </c>
      <c r="L94" s="89">
        <f t="shared" si="35"/>
        <v>0</v>
      </c>
      <c r="M94" s="89">
        <f t="shared" si="35"/>
        <v>0</v>
      </c>
      <c r="N94" s="89">
        <f t="shared" si="35"/>
        <v>0</v>
      </c>
      <c r="O94" s="89">
        <f t="shared" si="35"/>
        <v>0</v>
      </c>
      <c r="P94" s="89">
        <f t="shared" si="35"/>
        <v>0</v>
      </c>
      <c r="Q94" s="30"/>
      <c r="R94" s="96">
        <f>SUM(_xlfn.XLOOKUP($R$5, $85:$85, 94:94, "", 0):_xlfn.XLOOKUP($R$6, $85:$85, 94:94, "", 0))</f>
        <v>-1633</v>
      </c>
      <c r="S94" s="96">
        <f>SUM(_xlfn.XLOOKUP($S$5, $85:$85, 94:94, "", 0):_xlfn.XLOOKUP($S$6, $85:$85, 94:94, "", 0))</f>
        <v>-1633</v>
      </c>
    </row>
    <row r="95" spans="2:19" x14ac:dyDescent="0.35">
      <c r="F95" s="89"/>
      <c r="G95" s="96"/>
      <c r="H95" s="89"/>
      <c r="I95" s="89"/>
      <c r="J95" s="89"/>
      <c r="K95" s="89"/>
      <c r="L95" s="89"/>
      <c r="M95" s="89"/>
      <c r="N95" s="89"/>
      <c r="O95" s="89"/>
      <c r="P95" s="89"/>
      <c r="Q95" s="30"/>
      <c r="R95" s="96"/>
      <c r="S95" s="96"/>
    </row>
    <row r="96" spans="2:19" x14ac:dyDescent="0.35">
      <c r="B96" s="2" t="s">
        <v>142</v>
      </c>
      <c r="C96" s="6"/>
      <c r="F96" s="89"/>
      <c r="G96" s="96"/>
      <c r="H96" s="89"/>
      <c r="I96" s="89"/>
      <c r="J96" s="89"/>
      <c r="K96" s="89"/>
      <c r="L96" s="89"/>
      <c r="M96" s="89"/>
      <c r="N96" s="89"/>
      <c r="O96" s="89"/>
      <c r="P96" s="89"/>
      <c r="Q96" s="30"/>
      <c r="R96" s="96"/>
      <c r="S96" s="96"/>
    </row>
    <row r="97" spans="2:19" x14ac:dyDescent="0.35">
      <c r="B97" t="s">
        <v>140</v>
      </c>
      <c r="F97" s="89">
        <f t="shared" ref="F97:P97" si="36">F98</f>
        <v>0</v>
      </c>
      <c r="G97" s="96">
        <f t="shared" si="36"/>
        <v>3059</v>
      </c>
      <c r="H97" s="96">
        <f t="shared" si="36"/>
        <v>1588</v>
      </c>
      <c r="I97" s="89">
        <f t="shared" si="36"/>
        <v>0</v>
      </c>
      <c r="J97" s="89">
        <f t="shared" si="36"/>
        <v>0</v>
      </c>
      <c r="K97" s="89">
        <f t="shared" si="36"/>
        <v>0</v>
      </c>
      <c r="L97" s="89">
        <f t="shared" si="36"/>
        <v>0</v>
      </c>
      <c r="M97" s="89">
        <f t="shared" si="36"/>
        <v>0</v>
      </c>
      <c r="N97" s="89">
        <f t="shared" si="36"/>
        <v>0</v>
      </c>
      <c r="O97" s="89">
        <f t="shared" si="36"/>
        <v>0</v>
      </c>
      <c r="P97" s="89">
        <f t="shared" si="36"/>
        <v>0</v>
      </c>
      <c r="Q97" s="30"/>
      <c r="R97" s="96">
        <f>SUM(F97:K97)</f>
        <v>4647</v>
      </c>
      <c r="S97" s="96">
        <f>SUM(F97:P97)</f>
        <v>4647</v>
      </c>
    </row>
    <row r="98" spans="2:19" x14ac:dyDescent="0.35">
      <c r="B98" t="s">
        <v>141</v>
      </c>
      <c r="F98" s="89">
        <f t="shared" ref="F98:P98" si="37">SUM(F91,F94)</f>
        <v>0</v>
      </c>
      <c r="G98" s="96">
        <f t="shared" si="37"/>
        <v>3059</v>
      </c>
      <c r="H98" s="96">
        <f t="shared" si="37"/>
        <v>1588</v>
      </c>
      <c r="I98" s="89">
        <f t="shared" si="37"/>
        <v>0</v>
      </c>
      <c r="J98" s="89">
        <f t="shared" si="37"/>
        <v>0</v>
      </c>
      <c r="K98" s="89">
        <f t="shared" si="37"/>
        <v>0</v>
      </c>
      <c r="L98" s="89">
        <f t="shared" si="37"/>
        <v>0</v>
      </c>
      <c r="M98" s="89">
        <f t="shared" si="37"/>
        <v>0</v>
      </c>
      <c r="N98" s="89">
        <f t="shared" si="37"/>
        <v>0</v>
      </c>
      <c r="O98" s="89">
        <f t="shared" si="37"/>
        <v>0</v>
      </c>
      <c r="P98" s="89">
        <f t="shared" si="37"/>
        <v>0</v>
      </c>
      <c r="Q98" s="30"/>
      <c r="R98" s="96">
        <f>SUM(F98:K98)</f>
        <v>4647</v>
      </c>
      <c r="S98" s="96">
        <f>SUM(F98:P98)</f>
        <v>4647</v>
      </c>
    </row>
  </sheetData>
  <mergeCells count="1">
    <mergeCell ref="R3:S3"/>
  </mergeCells>
  <conditionalFormatting sqref="B31:C31">
    <cfRule type="cellIs" dxfId="5" priority="5" operator="equal">
      <formula>"Error: Only one MA Interaction term may be selected."</formula>
    </cfRule>
    <cfRule type="cellIs" dxfId="4" priority="6" operator="equal">
      <formula>"Confirmed: One or fewer MA Interaction terms was selected."</formula>
    </cfRule>
  </conditionalFormatting>
  <conditionalFormatting sqref="F46:P47">
    <cfRule type="expression" dxfId="3" priority="3">
      <formula>AND(F$16&lt;&gt;0,SUM(#REF!,#REF!)&lt;&gt;1)</formula>
    </cfRule>
  </conditionalFormatting>
  <conditionalFormatting sqref="F77:P78">
    <cfRule type="cellIs" dxfId="2" priority="4" operator="equal">
      <formula>"FAIL"</formula>
    </cfRule>
  </conditionalFormatting>
  <conditionalFormatting sqref="F86:P86">
    <cfRule type="cellIs" dxfId="1" priority="1" operator="equal">
      <formula>"FAIL"</formula>
    </cfRule>
    <cfRule type="cellIs" dxfId="0" priority="2" operator="equal">
      <formula>"PASS"</formula>
    </cfRule>
  </conditionalFormatting>
  <dataValidations count="3">
    <dataValidation type="list" allowBlank="1" showInputMessage="1" showErrorMessage="1" sqref="C19:C21" xr:uid="{48066173-B379-42A2-A5B1-30F812524AED}">
      <formula1>"0, 1"</formula1>
    </dataValidation>
    <dataValidation type="whole" allowBlank="1" showInputMessage="1" showErrorMessage="1" sqref="C22" xr:uid="{0B1C41C7-FD6E-4AB0-83BC-DAC1B203158A}">
      <formula1>0</formula1>
      <formula2>200</formula2>
    </dataValidation>
    <dataValidation type="list" allowBlank="1" showInputMessage="1" showErrorMessage="1" sqref="C16" xr:uid="{EAF694B8-6F4D-4800-A161-7633B1BA3911}">
      <formula1>"FY, CY"</formula1>
    </dataValidation>
  </dataValidation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8899E-A125-48A4-9CA7-09CBFA965F66}">
  <dimension ref="A28:F50"/>
  <sheetViews>
    <sheetView zoomScaleNormal="100" workbookViewId="0">
      <selection activeCell="T14" sqref="T14"/>
    </sheetView>
  </sheetViews>
  <sheetFormatPr defaultColWidth="9" defaultRowHeight="14.5" x14ac:dyDescent="0.35"/>
  <cols>
    <col min="1" max="1" width="3" style="103" customWidth="1"/>
    <col min="2" max="4" width="9" style="103"/>
    <col min="5" max="5" width="3.7265625" style="103" customWidth="1"/>
    <col min="6" max="6" width="9" style="103"/>
    <col min="7" max="7" width="4.54296875" style="103" customWidth="1"/>
    <col min="8" max="8" width="3.7265625" style="103" customWidth="1"/>
    <col min="9" max="16384" width="9" style="103"/>
  </cols>
  <sheetData>
    <row r="28" spans="1:6" s="108" customFormat="1" ht="15.5" x14ac:dyDescent="0.35">
      <c r="A28" s="110"/>
      <c r="B28" s="104"/>
      <c r="C28" s="104"/>
      <c r="D28" s="104"/>
      <c r="E28" s="104"/>
      <c r="F28" s="104"/>
    </row>
    <row r="29" spans="1:6" s="108" customFormat="1" ht="14" x14ac:dyDescent="0.3">
      <c r="A29" s="109"/>
      <c r="B29" s="104"/>
      <c r="C29" s="104"/>
      <c r="D29" s="104"/>
      <c r="E29" s="104"/>
      <c r="F29" s="104"/>
    </row>
    <row r="30" spans="1:6" x14ac:dyDescent="0.35">
      <c r="A30" s="106"/>
      <c r="B30" s="106"/>
      <c r="C30" s="106"/>
      <c r="D30" s="106"/>
      <c r="E30" s="106"/>
      <c r="F30" s="106"/>
    </row>
    <row r="31" spans="1:6" x14ac:dyDescent="0.35">
      <c r="A31" s="106"/>
      <c r="B31" s="106"/>
      <c r="C31" s="106"/>
      <c r="D31" s="106"/>
      <c r="E31" s="106"/>
      <c r="F31" s="106"/>
    </row>
    <row r="32" spans="1:6" x14ac:dyDescent="0.35">
      <c r="A32" s="106"/>
      <c r="B32" s="106"/>
      <c r="C32" s="106"/>
      <c r="D32" s="106"/>
      <c r="E32" s="106"/>
      <c r="F32" s="106"/>
    </row>
    <row r="33" spans="1:6" x14ac:dyDescent="0.35">
      <c r="A33" s="106"/>
      <c r="B33" s="106"/>
      <c r="C33" s="106"/>
      <c r="D33" s="106"/>
      <c r="E33" s="106"/>
      <c r="F33" s="106"/>
    </row>
    <row r="34" spans="1:6" x14ac:dyDescent="0.35">
      <c r="A34" s="106"/>
      <c r="B34" s="106"/>
      <c r="C34" s="106"/>
      <c r="D34" s="106"/>
      <c r="E34" s="106"/>
      <c r="F34" s="106"/>
    </row>
    <row r="35" spans="1:6" x14ac:dyDescent="0.35">
      <c r="A35" s="106"/>
      <c r="B35" s="106"/>
      <c r="C35" s="106"/>
      <c r="D35" s="106"/>
      <c r="E35" s="106"/>
      <c r="F35" s="106"/>
    </row>
    <row r="36" spans="1:6" x14ac:dyDescent="0.35">
      <c r="A36" s="106"/>
      <c r="B36" s="106"/>
      <c r="C36" s="106"/>
      <c r="D36" s="106"/>
      <c r="E36" s="106"/>
      <c r="F36" s="106"/>
    </row>
    <row r="37" spans="1:6" x14ac:dyDescent="0.35">
      <c r="A37" s="106"/>
      <c r="B37" s="106"/>
      <c r="C37" s="106"/>
      <c r="D37" s="106"/>
      <c r="E37" s="106"/>
      <c r="F37" s="106"/>
    </row>
    <row r="38" spans="1:6" x14ac:dyDescent="0.35">
      <c r="A38" s="106"/>
      <c r="B38" s="106"/>
      <c r="C38" s="106"/>
      <c r="D38" s="106"/>
      <c r="E38" s="106"/>
      <c r="F38" s="106"/>
    </row>
    <row r="39" spans="1:6" x14ac:dyDescent="0.35">
      <c r="A39" s="106"/>
      <c r="B39" s="106"/>
      <c r="C39" s="106"/>
      <c r="D39" s="106"/>
      <c r="E39" s="106"/>
      <c r="F39" s="106"/>
    </row>
    <row r="40" spans="1:6" x14ac:dyDescent="0.35">
      <c r="A40" s="106"/>
      <c r="B40" s="106"/>
      <c r="C40" s="106"/>
      <c r="D40" s="106"/>
      <c r="E40" s="106"/>
      <c r="F40" s="106"/>
    </row>
    <row r="41" spans="1:6" x14ac:dyDescent="0.35">
      <c r="A41" s="106"/>
      <c r="B41" s="106"/>
      <c r="C41" s="106"/>
      <c r="D41" s="106"/>
      <c r="E41" s="106"/>
      <c r="F41" s="106"/>
    </row>
    <row r="42" spans="1:6" x14ac:dyDescent="0.35">
      <c r="A42" s="106"/>
      <c r="B42" s="106"/>
      <c r="C42" s="106"/>
      <c r="D42" s="106"/>
      <c r="E42" s="106"/>
      <c r="F42" s="106"/>
    </row>
    <row r="43" spans="1:6" x14ac:dyDescent="0.35">
      <c r="A43" s="106"/>
      <c r="B43" s="106"/>
      <c r="C43" s="106"/>
      <c r="D43" s="106"/>
      <c r="E43" s="106"/>
      <c r="F43" s="106"/>
    </row>
    <row r="44" spans="1:6" x14ac:dyDescent="0.35">
      <c r="A44" s="106"/>
      <c r="B44" s="106"/>
      <c r="C44" s="106"/>
      <c r="D44" s="106"/>
      <c r="E44" s="106"/>
      <c r="F44" s="106"/>
    </row>
    <row r="45" spans="1:6" x14ac:dyDescent="0.35">
      <c r="A45" s="106"/>
      <c r="B45" s="106"/>
      <c r="C45" s="106"/>
      <c r="D45" s="106"/>
      <c r="E45" s="106"/>
      <c r="F45" s="106"/>
    </row>
    <row r="46" spans="1:6" s="108" customFormat="1" ht="15.5" x14ac:dyDescent="0.35">
      <c r="A46" s="105"/>
      <c r="B46" s="104"/>
      <c r="C46" s="104"/>
      <c r="D46" s="104"/>
      <c r="E46" s="104"/>
      <c r="F46" s="104"/>
    </row>
    <row r="47" spans="1:6" s="108" customFormat="1" ht="15.5" x14ac:dyDescent="0.35">
      <c r="A47" s="105"/>
      <c r="B47" s="104"/>
      <c r="C47" s="104"/>
      <c r="D47" s="104"/>
      <c r="E47" s="104"/>
      <c r="F47" s="104"/>
    </row>
    <row r="48" spans="1:6" s="108" customFormat="1" ht="15.5" x14ac:dyDescent="0.35">
      <c r="A48" s="105"/>
      <c r="B48" s="104"/>
      <c r="C48" s="104"/>
      <c r="D48" s="104"/>
      <c r="E48" s="104"/>
      <c r="F48" s="104"/>
    </row>
    <row r="49" spans="1:6" s="108" customFormat="1" ht="15.5" x14ac:dyDescent="0.35">
      <c r="A49" s="105"/>
      <c r="B49" s="104"/>
      <c r="C49" s="104"/>
      <c r="D49" s="104"/>
      <c r="E49" s="104"/>
      <c r="F49" s="104"/>
    </row>
    <row r="50" spans="1:6" s="108" customFormat="1" ht="15.5" x14ac:dyDescent="0.35">
      <c r="A50" s="105"/>
      <c r="B50" s="104"/>
      <c r="C50" s="104"/>
      <c r="D50" s="104"/>
      <c r="E50" s="104"/>
      <c r="F50" s="104"/>
    </row>
  </sheetData>
  <pageMargins left="0.25" right="0.25" top="0.75" bottom="0.75" header="0.3" footer="0.3"/>
  <pageSetup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README</vt:lpstr>
      <vt:lpstr>Summary</vt:lpstr>
      <vt:lpstr>1. MPFS FFS Model</vt:lpstr>
      <vt:lpstr>2. Premiums and MA Model</vt:lpstr>
      <vt:lpstr>License</vt:lpstr>
      <vt:lpstr>'2. Premiums and MA Model'!CY_calc</vt:lpstr>
      <vt:lpstr>'2. Premiums and MA Model'!CY_check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Congressional Budget Office</dc:creator>
  <cp:keywords/>
  <dc:description/>
  <cp:lastModifiedBy>Emily Stern</cp:lastModifiedBy>
  <cp:revision>1</cp:revision>
  <dcterms:created xsi:type="dcterms:W3CDTF">2026-02-18T17:49:41Z</dcterms:created>
  <dcterms:modified xsi:type="dcterms:W3CDTF">2026-02-20T16:54:22Z</dcterms:modified>
  <cp:category/>
  <cp:contentStatus/>
</cp:coreProperties>
</file>